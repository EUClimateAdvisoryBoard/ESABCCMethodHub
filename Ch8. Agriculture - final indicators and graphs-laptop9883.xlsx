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https://eea1.sharepoint.com/teams/EuropeanScientificAdvisoryBoardonClimateChange2/Shared Documents/General/Subgroups/1b. Consistency EU measures/Drafts/underlying excels and flowcharts/"/>
    </mc:Choice>
  </mc:AlternateContent>
  <xr:revisionPtr revIDLastSave="892" documentId="13_ncr:1_{EE451BB6-9F12-452C-B153-E6B639CE48CD}" xr6:coauthVersionLast="47" xr6:coauthVersionMax="47" xr10:uidLastSave="{B835B2FA-CBAE-4640-A061-9B8F75D6D255}"/>
  <bookViews>
    <workbookView xWindow="0" yWindow="0" windowWidth="25800" windowHeight="21000" firstSheet="1" activeTab="2" xr2:uid="{00000000-000D-0000-FFFF-FFFF00000000}"/>
  </bookViews>
  <sheets>
    <sheet name="Colour palette" sheetId="42" r:id="rId1"/>
    <sheet name="1. GHG emissions" sheetId="17" r:id="rId2"/>
    <sheet name="2. animal production and consum" sheetId="44" r:id="rId3"/>
    <sheet name="3. crop area and production" sheetId="45" r:id="rId4"/>
    <sheet name="4. GHG intensity" sheetId="46" r:id="rId5"/>
    <sheet name="5. Fertilizer use" sheetId="47" r:id="rId6"/>
    <sheet name="6. animal product consumption" sheetId="48" r:id="rId7"/>
    <sheet name="7. food waste" sheetId="49" r:id="rId8"/>
    <sheet name="8. Bioenergy crops" sheetId="50" r:id="rId9"/>
  </sheets>
  <externalReferences>
    <externalReference r:id="rId10"/>
  </externalReferenc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44" l="1"/>
  <c r="E21" i="44"/>
  <c r="E10" i="44"/>
  <c r="D18" i="48"/>
  <c r="D29" i="48"/>
  <c r="D28" i="48"/>
  <c r="D19" i="48"/>
  <c r="D9" i="48"/>
  <c r="D8" i="48"/>
  <c r="D31" i="50"/>
  <c r="D30" i="50"/>
  <c r="D15" i="47"/>
  <c r="D14" i="47"/>
  <c r="I45" i="46"/>
  <c r="I44" i="46"/>
  <c r="I43" i="46"/>
  <c r="AW11" i="17"/>
  <c r="B45" i="17" l="1"/>
  <c r="AC10" i="17" l="1"/>
  <c r="B54" i="17"/>
  <c r="D21" i="17" l="1"/>
  <c r="D20" i="17"/>
  <c r="D19" i="17"/>
  <c r="D17" i="17"/>
  <c r="D10" i="48"/>
  <c r="B67" i="17"/>
  <c r="B66" i="17"/>
  <c r="T51" i="17"/>
  <c r="T50" i="17"/>
  <c r="T49" i="17"/>
  <c r="B58" i="17"/>
  <c r="U41" i="17"/>
  <c r="D7" i="17"/>
  <c r="D18" i="17"/>
  <c r="D23" i="17"/>
  <c r="B64" i="17" l="1"/>
  <c r="B46" i="17"/>
  <c r="B60" i="17"/>
  <c r="B57" i="17"/>
  <c r="B59" i="17" s="1"/>
  <c r="B52" i="17" l="1"/>
  <c r="AW37" i="17"/>
  <c r="AM37" i="17"/>
  <c r="AM14" i="17" s="1"/>
  <c r="AC37" i="17"/>
  <c r="AW14" i="17" l="1"/>
  <c r="B51" i="17"/>
  <c r="AW8" i="17"/>
  <c r="AD8" i="17" l="1"/>
  <c r="AC14" i="17"/>
  <c r="AE8" i="17" l="1"/>
  <c r="AF8" i="17" s="1"/>
  <c r="AG8" i="17" s="1"/>
  <c r="AH8" i="17" s="1"/>
  <c r="AI8" i="17" s="1"/>
  <c r="AJ8" i="17" s="1"/>
  <c r="AK8" i="17" s="1"/>
  <c r="AL8" i="17" s="1"/>
  <c r="AM8" i="17" s="1"/>
  <c r="AN8" i="17" s="1"/>
  <c r="AO8" i="17" s="1"/>
  <c r="AP8" i="17" s="1"/>
  <c r="AQ8" i="17" s="1"/>
  <c r="AR8" i="17" s="1"/>
  <c r="AS8" i="17" s="1"/>
  <c r="AT8" i="17" s="1"/>
  <c r="AU8" i="17" s="1"/>
  <c r="AV8" i="17" s="1"/>
  <c r="D22" i="17"/>
  <c r="B55" i="17"/>
  <c r="B50" i="17"/>
  <c r="AM41" i="17"/>
  <c r="B49" i="17"/>
  <c r="I23" i="46"/>
  <c r="I15" i="46"/>
  <c r="I7" i="46"/>
  <c r="I29" i="44"/>
  <c r="I18" i="44"/>
  <c r="D32" i="50"/>
  <c r="AC26" i="50"/>
  <c r="T25" i="50"/>
  <c r="S25" i="50"/>
  <c r="R25" i="50"/>
  <c r="Q25" i="50"/>
  <c r="P25" i="50"/>
  <c r="O25" i="50"/>
  <c r="N25" i="50"/>
  <c r="M25" i="50"/>
  <c r="L25" i="50"/>
  <c r="K25" i="50"/>
  <c r="J25" i="50"/>
  <c r="I25" i="50"/>
  <c r="H25" i="50"/>
  <c r="G25" i="50"/>
  <c r="F25" i="50"/>
  <c r="E25" i="50"/>
  <c r="T24" i="50"/>
  <c r="S24" i="50"/>
  <c r="R24" i="50"/>
  <c r="Q24" i="50"/>
  <c r="P24" i="50"/>
  <c r="P23" i="50" s="1"/>
  <c r="O24" i="50"/>
  <c r="N24" i="50"/>
  <c r="N23" i="50" s="1"/>
  <c r="AW27" i="50" s="1"/>
  <c r="M24" i="50"/>
  <c r="M23" i="50" s="1"/>
  <c r="L24" i="50"/>
  <c r="L23" i="50" s="1"/>
  <c r="K24" i="50"/>
  <c r="J24" i="50"/>
  <c r="J23" i="50" s="1"/>
  <c r="I24" i="50"/>
  <c r="H24" i="50"/>
  <c r="H23" i="50" s="1"/>
  <c r="G24" i="50"/>
  <c r="G23" i="50" s="1"/>
  <c r="F24" i="50"/>
  <c r="F23" i="50" s="1"/>
  <c r="E24" i="50"/>
  <c r="E23" i="50" s="1"/>
  <c r="T23" i="50"/>
  <c r="S23" i="50"/>
  <c r="R23" i="50"/>
  <c r="Q23" i="50"/>
  <c r="K23" i="50"/>
  <c r="I23" i="50"/>
  <c r="D25" i="50"/>
  <c r="D24" i="50"/>
  <c r="D23" i="50" l="1"/>
  <c r="O23" i="50"/>
  <c r="D14" i="45" l="1"/>
  <c r="T15" i="50"/>
  <c r="S15" i="50"/>
  <c r="R15" i="50"/>
  <c r="Q15" i="50"/>
  <c r="P15" i="50"/>
  <c r="O15" i="50"/>
  <c r="N15" i="50"/>
  <c r="M15" i="50"/>
  <c r="L15" i="50"/>
  <c r="K15" i="50"/>
  <c r="J15" i="50"/>
  <c r="I15" i="50"/>
  <c r="H15" i="50"/>
  <c r="G15" i="50"/>
  <c r="F15" i="50"/>
  <c r="E15" i="50"/>
  <c r="D15" i="50"/>
  <c r="T4" i="50"/>
  <c r="T9" i="50" s="1"/>
  <c r="S4" i="50"/>
  <c r="S9" i="50" s="1"/>
  <c r="R4" i="50"/>
  <c r="R9" i="50" s="1"/>
  <c r="Q4" i="50"/>
  <c r="Q9" i="50" s="1"/>
  <c r="P4" i="50"/>
  <c r="P9" i="50" s="1"/>
  <c r="O4" i="50"/>
  <c r="O9" i="50" s="1"/>
  <c r="N4" i="50"/>
  <c r="N9" i="50" s="1"/>
  <c r="M4" i="50"/>
  <c r="M9" i="50" s="1"/>
  <c r="L4" i="50"/>
  <c r="L9" i="50" s="1"/>
  <c r="K4" i="50"/>
  <c r="K9" i="50" s="1"/>
  <c r="J4" i="50"/>
  <c r="J9" i="50" s="1"/>
  <c r="I4" i="50"/>
  <c r="I9" i="50" s="1"/>
  <c r="H4" i="50"/>
  <c r="H9" i="50" s="1"/>
  <c r="G4" i="50"/>
  <c r="G9" i="50" s="1"/>
  <c r="F4" i="50"/>
  <c r="F9" i="50" s="1"/>
  <c r="E4" i="50"/>
  <c r="E9" i="50" s="1"/>
  <c r="D4" i="50"/>
  <c r="D9" i="50" s="1"/>
  <c r="D8" i="49"/>
  <c r="N9" i="49" s="1"/>
  <c r="D30" i="48"/>
  <c r="N56" i="48"/>
  <c r="M56" i="48"/>
  <c r="L56" i="48"/>
  <c r="K56" i="48"/>
  <c r="J56" i="48"/>
  <c r="I56" i="48"/>
  <c r="H56" i="48"/>
  <c r="G56" i="48"/>
  <c r="F56" i="48"/>
  <c r="E56" i="48"/>
  <c r="D56" i="48"/>
  <c r="D20" i="48" l="1"/>
  <c r="D16" i="47" l="1"/>
  <c r="AF5" i="47"/>
  <c r="AF4" i="47"/>
  <c r="AF3" i="47"/>
  <c r="AE5" i="47"/>
  <c r="AE4" i="47"/>
  <c r="AE3" i="47"/>
  <c r="T12" i="47" l="1"/>
  <c r="S12" i="47"/>
  <c r="R12" i="47"/>
  <c r="Q12" i="47"/>
  <c r="P12" i="47"/>
  <c r="O12" i="47"/>
  <c r="N12" i="47"/>
  <c r="M12" i="47"/>
  <c r="L12" i="47"/>
  <c r="K12" i="47"/>
  <c r="J12" i="47"/>
  <c r="I12" i="47"/>
  <c r="H12" i="47"/>
  <c r="G12" i="47"/>
  <c r="F12" i="47"/>
  <c r="E12" i="47"/>
  <c r="T11" i="47"/>
  <c r="S11" i="47"/>
  <c r="R11" i="47"/>
  <c r="Q11" i="47"/>
  <c r="P11" i="47"/>
  <c r="O11" i="47"/>
  <c r="N11" i="47"/>
  <c r="M11" i="47"/>
  <c r="L11" i="47"/>
  <c r="K11" i="47"/>
  <c r="J11" i="47"/>
  <c r="I11" i="47"/>
  <c r="H11" i="47"/>
  <c r="G11" i="47"/>
  <c r="F11" i="47"/>
  <c r="E11" i="47"/>
  <c r="D12" i="47"/>
  <c r="D11" i="47"/>
  <c r="S6" i="47"/>
  <c r="R6" i="47"/>
  <c r="Q6" i="47"/>
  <c r="P6" i="47"/>
  <c r="AE6" i="47" s="1"/>
  <c r="O6" i="47"/>
  <c r="N6" i="47"/>
  <c r="M6" i="47"/>
  <c r="L6" i="47"/>
  <c r="K6" i="47"/>
  <c r="J6" i="47"/>
  <c r="I6" i="47"/>
  <c r="H6" i="47"/>
  <c r="G6" i="47"/>
  <c r="F6" i="47"/>
  <c r="E6" i="47"/>
  <c r="D6" i="47"/>
  <c r="AC7" i="47"/>
  <c r="T3" i="47" l="1"/>
  <c r="S3" i="47"/>
  <c r="R3" i="47"/>
  <c r="Q3" i="47"/>
  <c r="P3" i="47"/>
  <c r="O3" i="47"/>
  <c r="N3" i="47"/>
  <c r="M3" i="47"/>
  <c r="L3" i="47"/>
  <c r="K3" i="47"/>
  <c r="J3" i="47"/>
  <c r="I3" i="47"/>
  <c r="H3" i="47"/>
  <c r="G3" i="47"/>
  <c r="F3" i="47"/>
  <c r="E3" i="47"/>
  <c r="D3" i="47"/>
  <c r="S21" i="46"/>
  <c r="R21" i="46"/>
  <c r="Q21" i="46"/>
  <c r="P21" i="46"/>
  <c r="O21" i="46"/>
  <c r="N21" i="46"/>
  <c r="M21" i="46"/>
  <c r="L21" i="46"/>
  <c r="K21" i="46"/>
  <c r="J21" i="46"/>
  <c r="I21" i="46"/>
  <c r="S13" i="46"/>
  <c r="R13" i="46"/>
  <c r="Q13" i="46"/>
  <c r="P13" i="46"/>
  <c r="O13" i="46"/>
  <c r="N13" i="46"/>
  <c r="M13" i="46"/>
  <c r="L13" i="46"/>
  <c r="K13" i="46"/>
  <c r="J13" i="46"/>
  <c r="I13" i="46"/>
  <c r="S5" i="46"/>
  <c r="V5" i="46" s="1"/>
  <c r="R5" i="46"/>
  <c r="Q5" i="46"/>
  <c r="P5" i="46"/>
  <c r="O5" i="46"/>
  <c r="N5" i="46"/>
  <c r="M5" i="46"/>
  <c r="L5" i="46"/>
  <c r="K5" i="46"/>
  <c r="J5" i="46"/>
  <c r="I5" i="46"/>
  <c r="V12" i="45"/>
  <c r="V11" i="45"/>
  <c r="V10" i="45"/>
  <c r="W20" i="46"/>
  <c r="V20" i="46"/>
  <c r="W19" i="46"/>
  <c r="V19" i="46"/>
  <c r="W12" i="46"/>
  <c r="V12" i="46"/>
  <c r="W11" i="46"/>
  <c r="V11" i="46"/>
  <c r="W4" i="46"/>
  <c r="V4" i="46"/>
  <c r="V6" i="45"/>
  <c r="V5" i="45"/>
  <c r="V4" i="45"/>
  <c r="V21" i="46" l="1"/>
  <c r="V13" i="46"/>
  <c r="V3" i="46"/>
  <c r="W3" i="46"/>
  <c r="T6" i="47"/>
  <c r="AF6" i="47" s="1"/>
  <c r="V27" i="44"/>
  <c r="V26" i="44"/>
  <c r="V25" i="44"/>
  <c r="V16" i="44"/>
  <c r="V15" i="44"/>
  <c r="V14" i="44"/>
  <c r="V5" i="44"/>
  <c r="V4" i="44"/>
  <c r="V3" i="44"/>
  <c r="U27" i="44"/>
  <c r="U26" i="44"/>
  <c r="U25" i="44"/>
  <c r="U16" i="44"/>
  <c r="U15" i="44"/>
  <c r="U14" i="44"/>
  <c r="U5" i="44"/>
  <c r="U4" i="44"/>
  <c r="U3" i="44"/>
  <c r="V3" i="45" l="1"/>
  <c r="AY8" i="17"/>
  <c r="AY7" i="17"/>
  <c r="N28" i="17" l="1"/>
  <c r="O28" i="17" s="1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AW13" i="17" l="1"/>
  <c r="AW12" i="17"/>
  <c r="B47" i="17" s="1"/>
  <c r="B62" i="17" l="1"/>
  <c r="B48" i="17"/>
  <c r="B63" i="17"/>
</calcChain>
</file>

<file path=xl/sharedStrings.xml><?xml version="1.0" encoding="utf-8"?>
<sst xmlns="http://schemas.openxmlformats.org/spreadsheetml/2006/main" count="518" uniqueCount="239">
  <si>
    <t>2005</t>
  </si>
  <si>
    <t>2010</t>
  </si>
  <si>
    <t>2015</t>
  </si>
  <si>
    <t>2020</t>
  </si>
  <si>
    <t>Total</t>
  </si>
  <si>
    <t>1.5TECH</t>
  </si>
  <si>
    <t>1.5LIFE</t>
  </si>
  <si>
    <t>2030 benchmark</t>
  </si>
  <si>
    <t>Source</t>
  </si>
  <si>
    <t>EEA GHG data viewer</t>
  </si>
  <si>
    <t>linear trajectory</t>
  </si>
  <si>
    <t>calculated</t>
  </si>
  <si>
    <t>Unit</t>
  </si>
  <si>
    <t>Mt CO2e</t>
  </si>
  <si>
    <t>2050 benchmark (max)</t>
  </si>
  <si>
    <t>2050 benchmark (min)</t>
  </si>
  <si>
    <t>linear trajectory 1</t>
  </si>
  <si>
    <t>Enteric fermentation</t>
  </si>
  <si>
    <t>Manure management</t>
  </si>
  <si>
    <t>Total agriculture emissions</t>
  </si>
  <si>
    <t>Other</t>
  </si>
  <si>
    <t>Fertilizer use</t>
  </si>
  <si>
    <t>EU27</t>
  </si>
  <si>
    <t>UK</t>
  </si>
  <si>
    <t>EU27/UK ratio</t>
  </si>
  <si>
    <t>UNFCCC CRF table</t>
  </si>
  <si>
    <t>Demand-side Focus Pathway</t>
  </si>
  <si>
    <t>High Renewable Energy Pathway</t>
  </si>
  <si>
    <t>Font and colours:</t>
  </si>
  <si>
    <t>Half page width:</t>
  </si>
  <si>
    <t>Mixed Options Pathway</t>
  </si>
  <si>
    <t xml:space="preserve">Font: </t>
  </si>
  <si>
    <t xml:space="preserve">Segoe UI, size 8 </t>
  </si>
  <si>
    <t>Signature colour</t>
  </si>
  <si>
    <t>Gridlines:</t>
  </si>
  <si>
    <t>Transparency: 90%</t>
  </si>
  <si>
    <t>Lines:</t>
  </si>
  <si>
    <t>High width: 2.25 pt</t>
  </si>
  <si>
    <t>Low width: 0.25 pt</t>
  </si>
  <si>
    <t>Colours:</t>
  </si>
  <si>
    <t>Primary colour palette</t>
  </si>
  <si>
    <t>Full page width:</t>
  </si>
  <si>
    <t>Title and</t>
  </si>
  <si>
    <t xml:space="preserve">In Word document </t>
  </si>
  <si>
    <t>source:</t>
  </si>
  <si>
    <t>(only unit on chart)</t>
  </si>
  <si>
    <t xml:space="preserve"> </t>
  </si>
  <si>
    <t>scenarios 2040 advice</t>
  </si>
  <si>
    <t>Average 2031-2050 min</t>
  </si>
  <si>
    <t>Dairy cattle</t>
  </si>
  <si>
    <t>Non-dairy cattle</t>
  </si>
  <si>
    <t>million heads</t>
  </si>
  <si>
    <t>EU CRF tables</t>
  </si>
  <si>
    <t>Pigs and swines</t>
  </si>
  <si>
    <t>FAOSTAT</t>
  </si>
  <si>
    <t>Mt</t>
  </si>
  <si>
    <t>Consumption (in Mt)</t>
  </si>
  <si>
    <t>Production (in Mt)</t>
  </si>
  <si>
    <t>Herd size (million head, right axis)</t>
  </si>
  <si>
    <t>Production</t>
  </si>
  <si>
    <t>Consumption</t>
  </si>
  <si>
    <t>Herd size</t>
  </si>
  <si>
    <t>2010-2020</t>
  </si>
  <si>
    <t>Cropland area</t>
  </si>
  <si>
    <t>kha</t>
  </si>
  <si>
    <t>Oilseed crop production</t>
  </si>
  <si>
    <t>Cereal crop production</t>
  </si>
  <si>
    <t>Sugar crop production</t>
  </si>
  <si>
    <t>2005-2020</t>
  </si>
  <si>
    <t>Item</t>
  </si>
  <si>
    <t>2006</t>
  </si>
  <si>
    <t>2007</t>
  </si>
  <si>
    <t>2008</t>
  </si>
  <si>
    <t>2009</t>
  </si>
  <si>
    <t>2011</t>
  </si>
  <si>
    <t>2012</t>
  </si>
  <si>
    <t>2013</t>
  </si>
  <si>
    <t>2014</t>
  </si>
  <si>
    <t>2016</t>
  </si>
  <si>
    <t>2017</t>
  </si>
  <si>
    <t>2018</t>
  </si>
  <si>
    <t>2019</t>
  </si>
  <si>
    <t>2021</t>
  </si>
  <si>
    <t>Cereals, primary</t>
  </si>
  <si>
    <t>Oilcrops, Cake Equivalent</t>
  </si>
  <si>
    <t>Sugar Crops Primary</t>
  </si>
  <si>
    <t>Area and production</t>
  </si>
  <si>
    <t>Yields</t>
  </si>
  <si>
    <t>t/ha</t>
  </si>
  <si>
    <t>2005-2021</t>
  </si>
  <si>
    <t>GHG emissions (Mt CO2e)</t>
  </si>
  <si>
    <t>Production (Mt)</t>
  </si>
  <si>
    <t>GHG intensity (t CO2e/t)</t>
  </si>
  <si>
    <t>Inorganic</t>
  </si>
  <si>
    <t>Organic</t>
  </si>
  <si>
    <t>Use per ha</t>
  </si>
  <si>
    <t>Farm to Fork strategy</t>
  </si>
  <si>
    <t>Mt N</t>
  </si>
  <si>
    <t>kg N/ha</t>
  </si>
  <si>
    <t>Share inorganic</t>
  </si>
  <si>
    <t>Share organic</t>
  </si>
  <si>
    <t>Change 2017-2021</t>
  </si>
  <si>
    <t>Change 2022-2030</t>
  </si>
  <si>
    <t>2009-2017</t>
  </si>
  <si>
    <t>2017-2021</t>
  </si>
  <si>
    <t>Bovine meat</t>
  </si>
  <si>
    <t>Dairy</t>
  </si>
  <si>
    <t>Pig meat</t>
  </si>
  <si>
    <t>Historic</t>
  </si>
  <si>
    <t>2050 benchmark</t>
  </si>
  <si>
    <t>kg/cap/year</t>
  </si>
  <si>
    <t>Animal product consumption (in kg/cap/year)</t>
  </si>
  <si>
    <t>Animal product consumption (in kcal/cap/year)</t>
  </si>
  <si>
    <t>Red meat (bovine, mutton, pork)</t>
  </si>
  <si>
    <t>kg/cap/week</t>
  </si>
  <si>
    <t>WRCF</t>
  </si>
  <si>
    <t>Benchmark min</t>
  </si>
  <si>
    <t>Benchmark max</t>
  </si>
  <si>
    <t>kcal/cap/day</t>
  </si>
  <si>
    <t>ACP4A Diet 5</t>
  </si>
  <si>
    <t>Average 2016-2020</t>
  </si>
  <si>
    <t>Average 2021-2050</t>
  </si>
  <si>
    <t>RoC</t>
  </si>
  <si>
    <t>EU level</t>
  </si>
  <si>
    <t>Eurostat ENV_WASFW$DEFAULTVIEW</t>
  </si>
  <si>
    <t>Food processing</t>
  </si>
  <si>
    <t>Retail and distribution</t>
  </si>
  <si>
    <t>NACE_R2 (Labels)</t>
  </si>
  <si>
    <t>Total (aggregate changing according to the context)</t>
  </si>
  <si>
    <t>Primary production of food - agriculture, fishing and aquaculture</t>
  </si>
  <si>
    <t>Manufacture of food products and beverages</t>
  </si>
  <si>
    <t>Retail and other distribution of food</t>
  </si>
  <si>
    <t>Restaurants and food services</t>
  </si>
  <si>
    <t>Total activities by households</t>
  </si>
  <si>
    <t>Cyprus</t>
  </si>
  <si>
    <t>Belgium</t>
  </si>
  <si>
    <t>Denmark</t>
  </si>
  <si>
    <t>Greece</t>
  </si>
  <si>
    <t>Portugal</t>
  </si>
  <si>
    <t>Netherlands</t>
  </si>
  <si>
    <t>Ireland</t>
  </si>
  <si>
    <t>Malta</t>
  </si>
  <si>
    <t>Luxembourg</t>
  </si>
  <si>
    <t>Italy</t>
  </si>
  <si>
    <t>Latvia</t>
  </si>
  <si>
    <t>Lithuania</t>
  </si>
  <si>
    <t>Austria</t>
  </si>
  <si>
    <t>France</t>
  </si>
  <si>
    <t>Germany</t>
  </si>
  <si>
    <t>Estonia</t>
  </si>
  <si>
    <t>Finland</t>
  </si>
  <si>
    <t>Poland</t>
  </si>
  <si>
    <t>Hungary</t>
  </si>
  <si>
    <t>Czechia</t>
  </si>
  <si>
    <t>Spain</t>
  </si>
  <si>
    <t>Sweden</t>
  </si>
  <si>
    <t>Bulgaria</t>
  </si>
  <si>
    <t>Slovakia</t>
  </si>
  <si>
    <t>Croatia</t>
  </si>
  <si>
    <t>Slovenia</t>
  </si>
  <si>
    <t>Per member state</t>
  </si>
  <si>
    <t>Households</t>
  </si>
  <si>
    <t>Restaurant sector</t>
  </si>
  <si>
    <t>Total food waste</t>
  </si>
  <si>
    <t>Cereal crops</t>
  </si>
  <si>
    <t>oilseed crops and products</t>
  </si>
  <si>
    <t>Cereal production</t>
  </si>
  <si>
    <t>Cereal imports</t>
  </si>
  <si>
    <t>Cereal exports</t>
  </si>
  <si>
    <t>JRC</t>
  </si>
  <si>
    <t>Total cereal supply</t>
  </si>
  <si>
    <t>Mt dry mass</t>
  </si>
  <si>
    <t>% of supply for bioenergy</t>
  </si>
  <si>
    <t>%</t>
  </si>
  <si>
    <t>Total vegetable oil supply</t>
  </si>
  <si>
    <t>Cereal crops for bioenergy</t>
  </si>
  <si>
    <t>Vegetable oils for bioenergy</t>
  </si>
  <si>
    <t>Average 2017-2021</t>
  </si>
  <si>
    <t>Average 2021-2030</t>
  </si>
  <si>
    <t>`10</t>
  </si>
  <si>
    <t>`20</t>
  </si>
  <si>
    <t>´30</t>
  </si>
  <si>
    <t>´40</t>
  </si>
  <si>
    <t>´50</t>
  </si>
  <si>
    <t>Energy crops</t>
  </si>
  <si>
    <t>Mtoe</t>
  </si>
  <si>
    <t>ratio</t>
  </si>
  <si>
    <t>2015 level</t>
  </si>
  <si>
    <t>CTP IA figure 79</t>
  </si>
  <si>
    <t>CTP IA part 2 figure 79</t>
  </si>
  <si>
    <t>Historic total</t>
  </si>
  <si>
    <t>Oilseed crops and products</t>
  </si>
  <si>
    <t>Graph feed</t>
  </si>
  <si>
    <t>CTP data</t>
  </si>
  <si>
    <t>Total foodcrop use for biofuels</t>
  </si>
  <si>
    <t>Average 2030-2050</t>
  </si>
  <si>
    <t>see above</t>
  </si>
  <si>
    <t>Mt fresh material</t>
  </si>
  <si>
    <t>Primary production (agriculture and fishery)</t>
  </si>
  <si>
    <t>2040 advice</t>
  </si>
  <si>
    <t>ESABCC Database: CH4 + N2O from agriculture</t>
  </si>
  <si>
    <t>Single scenario chosen because range of outcomes is narrow - so floating bars are very difficult to see</t>
  </si>
  <si>
    <t>% change vs 2005</t>
  </si>
  <si>
    <t>FF55 MIX</t>
  </si>
  <si>
    <t>Average of 90-95% env-friendly paths</t>
  </si>
  <si>
    <t>ESABCC - see below</t>
  </si>
  <si>
    <t>2030 MIX % reduction below 2022</t>
  </si>
  <si>
    <t>2030 AB % reduction below 2022</t>
  </si>
  <si>
    <t>Avg tCO2e reduction 2017-2021</t>
  </si>
  <si>
    <t>Avg tCO2e reduction 2018-2022</t>
  </si>
  <si>
    <t>2030 reduction if 2018-22 trend maintained</t>
  </si>
  <si>
    <t>2030 reduction if 2017-21 trend maintained</t>
  </si>
  <si>
    <t>2005 emissions (inventory)</t>
  </si>
  <si>
    <t>Annual reduction rate 2030-50 (LIFE)</t>
  </si>
  <si>
    <t>Annual reduction rate 2030-50 (TECH)</t>
  </si>
  <si>
    <t>Annual reduction rate 2030-50 (MIX)</t>
  </si>
  <si>
    <t>2050 MIX % below 2005</t>
  </si>
  <si>
    <t>2050 1.5 TECH % below 2005</t>
  </si>
  <si>
    <t>2050 1.5 LIFE % below 2005</t>
  </si>
  <si>
    <t>2040 avg % below 2005</t>
  </si>
  <si>
    <r>
      <t xml:space="preserve">2040 advice % below 2005 by </t>
    </r>
    <r>
      <rPr>
        <u/>
        <sz val="11"/>
        <color theme="1"/>
        <rFont val="Calibri"/>
        <family val="2"/>
        <scheme val="minor"/>
      </rPr>
      <t>2030</t>
    </r>
  </si>
  <si>
    <t>2040 advice Demand-focus Pathway: 2050 vs 2005</t>
  </si>
  <si>
    <t>Livestock share of ag emissions: 2021</t>
  </si>
  <si>
    <t>Fertiliser share of ag emissions: 2021</t>
  </si>
  <si>
    <t>Average 2005-2022</t>
  </si>
  <si>
    <t>Average 2018-2022</t>
  </si>
  <si>
    <t>Average 2022-2030</t>
  </si>
  <si>
    <t>Average 2023-2030</t>
  </si>
  <si>
    <t>Benchmark data</t>
  </si>
  <si>
    <t>Agriculture emissions</t>
  </si>
  <si>
    <t>FF55 MIX (2005-2030 % change)</t>
  </si>
  <si>
    <r>
      <t xml:space="preserve">2040 advice % below 2005 by </t>
    </r>
    <r>
      <rPr>
        <u/>
        <sz val="11"/>
        <color theme="1"/>
        <rFont val="Calibri"/>
        <family val="2"/>
        <scheme val="minor"/>
      </rPr>
      <t>2050</t>
    </r>
  </si>
  <si>
    <t>CTP MIX (IA figure 19)</t>
  </si>
  <si>
    <t>non dairy</t>
  </si>
  <si>
    <t>pig</t>
  </si>
  <si>
    <t>Average consumption</t>
  </si>
  <si>
    <t>Average production</t>
  </si>
  <si>
    <t>Average herd size</t>
  </si>
  <si>
    <t>2016-2020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</si>
</sst>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0.0"/>
    <numFmt numFmtId="165" formatCode="###0.00_)"/>
    <numFmt numFmtId="166" formatCode="#,##0_)"/>
    <numFmt numFmtId="167" formatCode="#,##0.0_i"/>
    <numFmt numFmtId="168" formatCode="_-* #,##0.00\ _€_-;\-* #,##0.00\ _€_-;_-* &quot;-&quot;??\ _€_-;_-@_-"/>
    <numFmt numFmtId="169" formatCode="???,???.00"/>
    <numFmt numFmtId="170" formatCode="#,##0.0000"/>
    <numFmt numFmtId="171" formatCode="#,##0.0"/>
    <numFmt numFmtId="172" formatCode="0.000"/>
    <numFmt numFmtId="173" formatCode="0.00000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000000"/>
      <name val="Calibri"/>
      <family val="2"/>
    </font>
    <font>
      <sz val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Arial"/>
      <family val="2"/>
    </font>
    <font>
      <b/>
      <sz val="10"/>
      <color indexed="18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4"/>
      <name val="Helv"/>
    </font>
    <font>
      <b/>
      <sz val="10"/>
      <name val="Helv"/>
    </font>
    <font>
      <sz val="10"/>
      <name val="Helv"/>
    </font>
    <font>
      <sz val="12"/>
      <name val="Helv"/>
    </font>
    <font>
      <b/>
      <sz val="12"/>
      <name val="Helv"/>
    </font>
    <font>
      <sz val="9"/>
      <name val="Helv"/>
    </font>
    <font>
      <vertAlign val="superscript"/>
      <sz val="12"/>
      <name val="Helv"/>
    </font>
    <font>
      <b/>
      <sz val="9"/>
      <name val="Helv"/>
    </font>
    <font>
      <sz val="8.5"/>
      <name val="Helv"/>
    </font>
    <font>
      <sz val="8"/>
      <name val="Helv"/>
    </font>
    <font>
      <sz val="11"/>
      <color rgb="FF9C6500"/>
      <name val="Calibri"/>
      <family val="2"/>
      <scheme val="minor"/>
    </font>
    <font>
      <sz val="9"/>
      <color theme="1"/>
      <name val="Arial"/>
      <family val="2"/>
    </font>
    <font>
      <b/>
      <sz val="18"/>
      <color theme="3"/>
      <name val="Calibri Light"/>
      <family val="2"/>
      <scheme val="major"/>
    </font>
    <font>
      <sz val="8"/>
      <name val="Arial"/>
      <family val="2"/>
      <charset val="161"/>
    </font>
    <font>
      <sz val="9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</font>
    <font>
      <b/>
      <sz val="12"/>
      <color indexed="10"/>
      <name val="Arial"/>
      <family val="2"/>
    </font>
    <font>
      <sz val="10"/>
      <name val="Arial"/>
      <family val="2"/>
      <charset val="161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9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  <fill>
      <patternFill patternType="solid">
        <fgColor indexed="22"/>
        <bgColor indexed="55"/>
      </patternFill>
    </fill>
    <fill>
      <patternFill patternType="lightGray">
        <fgColor indexed="9"/>
      </patternFill>
    </fill>
    <fill>
      <patternFill patternType="gray0625">
        <fgColor indexed="9"/>
      </patternFill>
    </fill>
    <fill>
      <patternFill patternType="solid">
        <fgColor indexed="22"/>
        <bgColor indexed="64"/>
      </patternFill>
    </fill>
    <fill>
      <patternFill patternType="darkTrellis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608C95"/>
        <bgColor rgb="FF000000"/>
      </patternFill>
    </fill>
    <fill>
      <patternFill patternType="solid">
        <fgColor rgb="FF3D5584"/>
        <bgColor rgb="FF000000"/>
      </patternFill>
    </fill>
    <fill>
      <patternFill patternType="solid">
        <fgColor rgb="FF648ECA"/>
        <bgColor rgb="FF000000"/>
      </patternFill>
    </fill>
    <fill>
      <patternFill patternType="solid">
        <fgColor rgb="FF98C9EE"/>
        <bgColor rgb="FF000000"/>
      </patternFill>
    </fill>
    <fill>
      <patternFill patternType="solid">
        <fgColor rgb="FFA2C0B6"/>
        <bgColor rgb="FF000000"/>
      </patternFill>
    </fill>
    <fill>
      <patternFill patternType="solid">
        <fgColor rgb="FF64786A"/>
        <bgColor rgb="FF000000"/>
      </patternFill>
    </fill>
    <fill>
      <patternFill patternType="solid">
        <fgColor rgb="FF2E422F"/>
        <bgColor rgb="FF000000"/>
      </patternFill>
    </fill>
    <fill>
      <patternFill patternType="solid">
        <fgColor rgb="FFEFE973"/>
        <bgColor rgb="FF000000"/>
      </patternFill>
    </fill>
    <fill>
      <patternFill patternType="solid">
        <fgColor rgb="FFF59E2D"/>
        <bgColor rgb="FF000000"/>
      </patternFill>
    </fill>
    <fill>
      <patternFill patternType="solid">
        <fgColor rgb="FFF26119"/>
        <bgColor rgb="FF000000"/>
      </patternFill>
    </fill>
    <fill>
      <patternFill patternType="solid">
        <fgColor rgb="FFB04545"/>
        <bgColor rgb="FF000000"/>
      </patternFill>
    </fill>
    <fill>
      <patternFill patternType="solid">
        <fgColor rgb="FFF0CBD9"/>
        <bgColor rgb="FF000000"/>
      </patternFill>
    </fill>
    <fill>
      <patternFill patternType="solid">
        <fgColor rgb="FFB487C7"/>
        <bgColor rgb="FF000000"/>
      </patternFill>
    </fill>
    <fill>
      <patternFill patternType="solid">
        <fgColor rgb="FF4F3A66"/>
        <bgColor rgb="FF000000"/>
      </patternFill>
    </fill>
    <fill>
      <patternFill patternType="solid">
        <fgColor rgb="FF2C2D2D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EC26A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</borders>
  <cellStyleXfs count="17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0"/>
    <xf numFmtId="0" fontId="5" fillId="0" borderId="0"/>
    <xf numFmtId="0" fontId="6" fillId="0" borderId="0"/>
    <xf numFmtId="0" fontId="7" fillId="0" borderId="0"/>
    <xf numFmtId="0" fontId="8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6" applyNumberFormat="0" applyAlignment="0" applyProtection="0"/>
    <xf numFmtId="0" fontId="16" fillId="7" borderId="7" applyNumberFormat="0" applyAlignment="0" applyProtection="0"/>
    <xf numFmtId="0" fontId="17" fillId="7" borderId="6" applyNumberFormat="0" applyAlignment="0" applyProtection="0"/>
    <xf numFmtId="0" fontId="18" fillId="0" borderId="8" applyNumberFormat="0" applyFill="0" applyAlignment="0" applyProtection="0"/>
    <xf numFmtId="0" fontId="19" fillId="8" borderId="9" applyNumberFormat="0" applyAlignment="0" applyProtection="0"/>
    <xf numFmtId="0" fontId="20" fillId="0" borderId="0" applyNumberFormat="0" applyFill="0" applyBorder="0" applyAlignment="0" applyProtection="0"/>
    <xf numFmtId="0" fontId="1" fillId="9" borderId="10" applyNumberFormat="0" applyFont="0" applyAlignment="0" applyProtection="0"/>
    <xf numFmtId="0" fontId="21" fillId="0" borderId="0" applyNumberFormat="0" applyFill="0" applyBorder="0" applyAlignment="0" applyProtection="0"/>
    <xf numFmtId="0" fontId="4" fillId="0" borderId="11" applyNumberFormat="0" applyFill="0" applyAlignment="0" applyProtection="0"/>
    <xf numFmtId="0" fontId="2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2" fillId="33" borderId="0" applyNumberFormat="0" applyBorder="0" applyAlignment="0" applyProtection="0"/>
    <xf numFmtId="0" fontId="30" fillId="0" borderId="0">
      <alignment horizontal="center" vertical="center" wrapText="1"/>
    </xf>
    <xf numFmtId="43" fontId="7" fillId="0" borderId="0" applyFont="0" applyFill="0" applyBorder="0" applyAlignment="0" applyProtection="0"/>
    <xf numFmtId="0" fontId="31" fillId="0" borderId="0">
      <alignment horizontal="left" vertical="center" wrapText="1"/>
    </xf>
    <xf numFmtId="165" fontId="29" fillId="0" borderId="12" applyNumberFormat="0" applyFill="0">
      <alignment horizontal="right"/>
    </xf>
    <xf numFmtId="166" fontId="32" fillId="0" borderId="12">
      <alignment horizontal="right" vertical="center"/>
    </xf>
    <xf numFmtId="49" fontId="33" fillId="0" borderId="12">
      <alignment horizontal="left" vertical="center"/>
    </xf>
    <xf numFmtId="165" fontId="29" fillId="0" borderId="12" applyNumberFormat="0" applyFill="0">
      <alignment horizontal="right"/>
    </xf>
    <xf numFmtId="0" fontId="28" fillId="0" borderId="12">
      <alignment horizontal="left"/>
    </xf>
    <xf numFmtId="0" fontId="34" fillId="0" borderId="13">
      <alignment horizontal="right" vertical="center"/>
    </xf>
    <xf numFmtId="0" fontId="35" fillId="0" borderId="12">
      <alignment horizontal="left" vertical="center"/>
    </xf>
    <xf numFmtId="0" fontId="29" fillId="0" borderId="12">
      <alignment horizontal="left" vertical="center"/>
    </xf>
    <xf numFmtId="0" fontId="28" fillId="0" borderId="12">
      <alignment horizontal="left"/>
    </xf>
    <xf numFmtId="0" fontId="28" fillId="34" borderId="0">
      <alignment horizontal="centerContinuous" wrapText="1"/>
    </xf>
    <xf numFmtId="49" fontId="28" fillId="34" borderId="14">
      <alignment horizontal="left" vertical="center"/>
    </xf>
    <xf numFmtId="0" fontId="28" fillId="34" borderId="0">
      <alignment horizontal="centerContinuous" vertical="center" wrapText="1"/>
    </xf>
    <xf numFmtId="0" fontId="37" fillId="5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7" fillId="0" borderId="0"/>
    <xf numFmtId="0" fontId="1" fillId="0" borderId="0"/>
    <xf numFmtId="0" fontId="1" fillId="9" borderId="10" applyNumberFormat="0" applyFont="0" applyAlignment="0" applyProtection="0"/>
    <xf numFmtId="0" fontId="1" fillId="9" borderId="10" applyNumberFormat="0" applyFont="0" applyAlignment="0" applyProtection="0"/>
    <xf numFmtId="0" fontId="1" fillId="9" borderId="10" applyNumberFormat="0" applyFont="0" applyAlignment="0" applyProtection="0"/>
    <xf numFmtId="167" fontId="38" fillId="0" borderId="0" applyFill="0" applyBorder="0" applyProtection="0">
      <alignment horizontal="right"/>
    </xf>
    <xf numFmtId="3" fontId="32" fillId="0" borderId="0">
      <alignment horizontal="left" vertical="center"/>
    </xf>
    <xf numFmtId="0" fontId="30" fillId="0" borderId="0">
      <alignment horizontal="left" vertical="center"/>
    </xf>
    <xf numFmtId="0" fontId="36" fillId="0" borderId="0">
      <alignment horizontal="right"/>
    </xf>
    <xf numFmtId="49" fontId="36" fillId="0" borderId="0">
      <alignment horizontal="center"/>
    </xf>
    <xf numFmtId="0" fontId="33" fillId="0" borderId="0">
      <alignment horizontal="right"/>
    </xf>
    <xf numFmtId="0" fontId="36" fillId="0" borderId="0">
      <alignment horizontal="left"/>
    </xf>
    <xf numFmtId="0" fontId="23" fillId="0" borderId="0"/>
    <xf numFmtId="49" fontId="32" fillId="0" borderId="0">
      <alignment horizontal="left" vertical="center"/>
    </xf>
    <xf numFmtId="49" fontId="33" fillId="0" borderId="12">
      <alignment horizontal="left"/>
    </xf>
    <xf numFmtId="165" fontId="32" fillId="0" borderId="0" applyNumberFormat="0">
      <alignment horizontal="right"/>
    </xf>
    <xf numFmtId="0" fontId="34" fillId="35" borderId="0">
      <alignment horizontal="centerContinuous" vertical="center" wrapText="1"/>
    </xf>
    <xf numFmtId="0" fontId="34" fillId="0" borderId="15">
      <alignment horizontal="left" vertical="center"/>
    </xf>
    <xf numFmtId="0" fontId="27" fillId="0" borderId="0">
      <alignment horizontal="left" vertical="top"/>
    </xf>
    <xf numFmtId="0" fontId="3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28" fillId="0" borderId="0">
      <alignment horizontal="left"/>
    </xf>
    <xf numFmtId="0" fontId="31" fillId="0" borderId="0">
      <alignment horizontal="left"/>
    </xf>
    <xf numFmtId="0" fontId="29" fillId="0" borderId="0">
      <alignment horizontal="left"/>
    </xf>
    <xf numFmtId="0" fontId="27" fillId="0" borderId="0">
      <alignment horizontal="left" vertical="top"/>
    </xf>
    <xf numFmtId="0" fontId="31" fillId="0" borderId="0">
      <alignment horizontal="left"/>
    </xf>
    <xf numFmtId="0" fontId="29" fillId="0" borderId="0">
      <alignment horizontal="left"/>
    </xf>
    <xf numFmtId="0" fontId="24" fillId="36" borderId="0" applyNumberFormat="0" applyBorder="0">
      <protection locked="0"/>
    </xf>
    <xf numFmtId="0" fontId="25" fillId="37" borderId="0" applyNumberFormat="0" applyBorder="0">
      <protection locked="0"/>
    </xf>
    <xf numFmtId="49" fontId="32" fillId="0" borderId="12">
      <alignment horizontal="left"/>
    </xf>
    <xf numFmtId="0" fontId="34" fillId="0" borderId="13">
      <alignment horizontal="left"/>
    </xf>
    <xf numFmtId="0" fontId="28" fillId="0" borderId="0">
      <alignment horizontal="left" vertical="center"/>
    </xf>
    <xf numFmtId="49" fontId="36" fillId="0" borderId="12">
      <alignment horizontal="left"/>
    </xf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7" fillId="0" borderId="0"/>
    <xf numFmtId="168" fontId="7" fillId="0" borderId="0" applyFont="0" applyFill="0" applyBorder="0" applyAlignment="0" applyProtection="0"/>
    <xf numFmtId="0" fontId="1" fillId="0" borderId="0"/>
    <xf numFmtId="0" fontId="1" fillId="0" borderId="0"/>
    <xf numFmtId="0" fontId="23" fillId="0" borderId="0"/>
    <xf numFmtId="9" fontId="23" fillId="0" borderId="0" applyFont="0" applyFill="0" applyBorder="0" applyAlignment="0" applyProtection="0"/>
    <xf numFmtId="9" fontId="7" fillId="0" borderId="0" applyFont="0" applyFill="0" applyBorder="0" applyAlignment="0" applyProtection="0"/>
    <xf numFmtId="169" fontId="41" fillId="0" borderId="0" applyNumberFormat="0" applyProtection="0">
      <alignment horizontal="center" vertical="center"/>
    </xf>
    <xf numFmtId="49" fontId="42" fillId="0" borderId="16" applyNumberFormat="0" applyFont="0" applyFill="0" applyBorder="0" applyProtection="0">
      <alignment horizontal="left" vertical="center" indent="5"/>
    </xf>
    <xf numFmtId="4" fontId="43" fillId="0" borderId="2" applyFill="0" applyBorder="0" applyProtection="0">
      <alignment horizontal="right" vertical="center"/>
    </xf>
    <xf numFmtId="43" fontId="1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23" fillId="0" borderId="0"/>
    <xf numFmtId="4" fontId="42" fillId="0" borderId="1" applyFill="0" applyBorder="0" applyProtection="0">
      <alignment horizontal="right" vertical="center"/>
    </xf>
    <xf numFmtId="0" fontId="42" fillId="0" borderId="1" applyNumberFormat="0" applyFill="0" applyAlignment="0" applyProtection="0"/>
    <xf numFmtId="0" fontId="45" fillId="38" borderId="0" applyNumberFormat="0" applyFont="0" applyBorder="0" applyAlignment="0" applyProtection="0"/>
    <xf numFmtId="170" fontId="42" fillId="39" borderId="1" applyNumberFormat="0" applyFont="0" applyBorder="0" applyAlignment="0" applyProtection="0">
      <alignment horizontal="right" vertical="center"/>
    </xf>
    <xf numFmtId="0" fontId="46" fillId="0" borderId="17">
      <alignment horizontal="center"/>
      <protection hidden="1"/>
    </xf>
    <xf numFmtId="0" fontId="47" fillId="0" borderId="0"/>
    <xf numFmtId="0" fontId="40" fillId="0" borderId="0"/>
    <xf numFmtId="0" fontId="7" fillId="0" borderId="0"/>
    <xf numFmtId="43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48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53">
    <xf numFmtId="0" fontId="0" fillId="0" borderId="0" xfId="0"/>
    <xf numFmtId="1" fontId="0" fillId="0" borderId="0" xfId="0" applyNumberFormat="1"/>
    <xf numFmtId="9" fontId="0" fillId="0" borderId="0" xfId="1" applyFont="1"/>
    <xf numFmtId="3" fontId="0" fillId="0" borderId="0" xfId="0" applyNumberFormat="1"/>
    <xf numFmtId="0" fontId="2" fillId="2" borderId="0" xfId="0" applyFont="1" applyFill="1"/>
    <xf numFmtId="0" fontId="0" fillId="2" borderId="0" xfId="0" applyFill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71" fontId="0" fillId="0" borderId="0" xfId="0" applyNumberFormat="1"/>
    <xf numFmtId="0" fontId="0" fillId="40" borderId="0" xfId="0" applyFill="1"/>
    <xf numFmtId="0" fontId="0" fillId="40" borderId="0" xfId="0" applyFill="1" applyAlignment="1">
      <alignment horizontal="center"/>
    </xf>
    <xf numFmtId="0" fontId="49" fillId="0" borderId="0" xfId="0" applyFont="1"/>
    <xf numFmtId="0" fontId="50" fillId="0" borderId="0" xfId="0" applyFont="1"/>
    <xf numFmtId="0" fontId="49" fillId="0" borderId="0" xfId="0" applyFont="1" applyAlignment="1">
      <alignment horizontal="right"/>
    </xf>
    <xf numFmtId="9" fontId="49" fillId="0" borderId="0" xfId="0" applyNumberFormat="1" applyFont="1"/>
    <xf numFmtId="0" fontId="49" fillId="41" borderId="0" xfId="0" applyFont="1" applyFill="1"/>
    <xf numFmtId="0" fontId="49" fillId="42" borderId="0" xfId="0" applyFont="1" applyFill="1"/>
    <xf numFmtId="0" fontId="49" fillId="43" borderId="0" xfId="0" applyFont="1" applyFill="1"/>
    <xf numFmtId="0" fontId="49" fillId="44" borderId="0" xfId="0" applyFont="1" applyFill="1"/>
    <xf numFmtId="0" fontId="49" fillId="45" borderId="0" xfId="0" applyFont="1" applyFill="1"/>
    <xf numFmtId="0" fontId="49" fillId="46" borderId="0" xfId="0" applyFont="1" applyFill="1"/>
    <xf numFmtId="0" fontId="49" fillId="47" borderId="0" xfId="0" applyFont="1" applyFill="1"/>
    <xf numFmtId="0" fontId="49" fillId="48" borderId="0" xfId="0" applyFont="1" applyFill="1"/>
    <xf numFmtId="0" fontId="49" fillId="49" borderId="0" xfId="0" applyFont="1" applyFill="1"/>
    <xf numFmtId="0" fontId="49" fillId="50" borderId="0" xfId="0" applyFont="1" applyFill="1"/>
    <xf numFmtId="0" fontId="49" fillId="51" borderId="0" xfId="0" applyFont="1" applyFill="1"/>
    <xf numFmtId="0" fontId="49" fillId="52" borderId="0" xfId="0" applyFont="1" applyFill="1"/>
    <xf numFmtId="0" fontId="49" fillId="53" borderId="0" xfId="0" applyFont="1" applyFill="1"/>
    <xf numFmtId="0" fontId="49" fillId="54" borderId="0" xfId="0" applyFont="1" applyFill="1"/>
    <xf numFmtId="0" fontId="49" fillId="55" borderId="0" xfId="0" applyFont="1" applyFill="1"/>
    <xf numFmtId="0" fontId="49" fillId="56" borderId="0" xfId="0" applyFont="1" applyFill="1"/>
    <xf numFmtId="0" fontId="0" fillId="0" borderId="0" xfId="0" quotePrefix="1"/>
    <xf numFmtId="17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164" fontId="0" fillId="0" borderId="0" xfId="0" applyNumberFormat="1"/>
    <xf numFmtId="9" fontId="0" fillId="0" borderId="0" xfId="1" applyFont="1" applyAlignment="1">
      <alignment horizontal="center"/>
    </xf>
    <xf numFmtId="0" fontId="2" fillId="57" borderId="0" xfId="0" applyFont="1" applyFill="1"/>
    <xf numFmtId="0" fontId="2" fillId="57" borderId="0" xfId="0" applyFont="1" applyFill="1" applyAlignment="1">
      <alignment horizontal="center"/>
    </xf>
    <xf numFmtId="0" fontId="0" fillId="57" borderId="0" xfId="0" applyFill="1"/>
    <xf numFmtId="0" fontId="22" fillId="0" borderId="0" xfId="169" applyAlignment="1">
      <alignment horizontal="center"/>
    </xf>
    <xf numFmtId="2" fontId="0" fillId="0" borderId="0" xfId="0" applyNumberFormat="1"/>
    <xf numFmtId="173" fontId="0" fillId="0" borderId="0" xfId="0" applyNumberFormat="1"/>
    <xf numFmtId="0" fontId="4" fillId="0" borderId="0" xfId="0" applyFont="1"/>
    <xf numFmtId="4" fontId="0" fillId="0" borderId="0" xfId="0" applyNumberFormat="1"/>
    <xf numFmtId="164" fontId="0" fillId="0" borderId="0" xfId="0" applyNumberFormat="1" applyAlignment="1">
      <alignment horizontal="center"/>
    </xf>
    <xf numFmtId="0" fontId="51" fillId="0" borderId="0" xfId="0" applyFont="1"/>
    <xf numFmtId="3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/>
    </xf>
    <xf numFmtId="0" fontId="0" fillId="58" borderId="0" xfId="0" applyFill="1" applyAlignment="1">
      <alignment horizontal="center"/>
    </xf>
  </cellXfs>
  <cellStyles count="170">
    <cellStyle name="20% - Accent1" xfId="25" builtinId="30" customBuiltin="1"/>
    <cellStyle name="20% - Accent1 2" xfId="48" xr:uid="{EF349DA7-B6E5-4DC5-B767-B6D92AF7E3EC}"/>
    <cellStyle name="20% - Accent1 3" xfId="49" xr:uid="{37799E49-DBAE-4CD5-A067-E42A578A473C}"/>
    <cellStyle name="20% - Accent2" xfId="29" builtinId="34" customBuiltin="1"/>
    <cellStyle name="20% - Accent2 2" xfId="50" xr:uid="{7CECD539-D3CA-4E15-AC9C-D235FA850490}"/>
    <cellStyle name="20% - Accent2 3" xfId="51" xr:uid="{57C6823C-0F62-4670-9A16-CBAC8C50E5D8}"/>
    <cellStyle name="20% - Accent3" xfId="33" builtinId="38" customBuiltin="1"/>
    <cellStyle name="20% - Accent3 2" xfId="52" xr:uid="{885CBCE4-EA76-43E4-8632-BD033B5D73C4}"/>
    <cellStyle name="20% - Accent3 3" xfId="53" xr:uid="{47556736-6C9D-430C-86B6-3B2EBE9D5966}"/>
    <cellStyle name="20% - Accent4" xfId="37" builtinId="42" customBuiltin="1"/>
    <cellStyle name="20% - Accent4 2" xfId="54" xr:uid="{73353521-A73B-44F8-BBDB-5633077675C4}"/>
    <cellStyle name="20% - Accent4 3" xfId="55" xr:uid="{493AE928-2EFD-483A-8162-272BDA473EF0}"/>
    <cellStyle name="20% - Accent5" xfId="41" builtinId="46" customBuiltin="1"/>
    <cellStyle name="20% - Accent5 2" xfId="56" xr:uid="{0A74C958-C6B7-48B4-8428-C3C1CB6B4A40}"/>
    <cellStyle name="20% - Accent5 3" xfId="57" xr:uid="{EE6D92EA-4FDA-4A0A-90CA-CE55F431CBC2}"/>
    <cellStyle name="20% - Accent6" xfId="45" builtinId="50" customBuiltin="1"/>
    <cellStyle name="20% - Accent6 2" xfId="58" xr:uid="{8F33C687-E8BA-4150-AB50-6F10311B956F}"/>
    <cellStyle name="20% - Accent6 3" xfId="59" xr:uid="{4266150C-5E0C-4AF6-8DA2-1AE4872E707E}"/>
    <cellStyle name="40% - Accent1" xfId="26" builtinId="31" customBuiltin="1"/>
    <cellStyle name="40% - Accent1 2" xfId="60" xr:uid="{FD2576D1-BCFA-458F-9DB5-07D64E00509F}"/>
    <cellStyle name="40% - Accent1 3" xfId="61" xr:uid="{2435BF9E-1B3F-46EF-BC28-15EE8DD4C94A}"/>
    <cellStyle name="40% - Accent2" xfId="30" builtinId="35" customBuiltin="1"/>
    <cellStyle name="40% - Accent2 2" xfId="62" xr:uid="{04B6AEBB-7C83-49E0-BCAC-38F16B175B9B}"/>
    <cellStyle name="40% - Accent2 3" xfId="63" xr:uid="{8F91FD4E-2B27-4C63-894C-66BBF13C29B9}"/>
    <cellStyle name="40% - Accent3" xfId="34" builtinId="39" customBuiltin="1"/>
    <cellStyle name="40% - Accent3 2" xfId="64" xr:uid="{1BD7F255-F5E9-41EF-8CE5-15AE35E0F89F}"/>
    <cellStyle name="40% - Accent3 3" xfId="65" xr:uid="{48952A33-7AFE-438E-915A-E7E27EB72B4D}"/>
    <cellStyle name="40% - Accent4" xfId="38" builtinId="43" customBuiltin="1"/>
    <cellStyle name="40% - Accent4 2" xfId="66" xr:uid="{27369165-4219-413F-839B-3F95831A14FB}"/>
    <cellStyle name="40% - Accent4 3" xfId="67" xr:uid="{5DDB81E7-5A82-4FA7-A133-49EC755E72D3}"/>
    <cellStyle name="40% - Accent5" xfId="42" builtinId="47" customBuiltin="1"/>
    <cellStyle name="40% - Accent5 2" xfId="68" xr:uid="{E33EA2F3-09B9-4376-BE5C-FFF84BCBC07E}"/>
    <cellStyle name="40% - Accent5 3" xfId="69" xr:uid="{FCFFAB5E-45FC-4759-B083-AAFB565C56D8}"/>
    <cellStyle name="40% - Accent6" xfId="46" builtinId="51" customBuiltin="1"/>
    <cellStyle name="40% - Accent6 2" xfId="70" xr:uid="{AD01C7EA-54CC-4C67-BD52-1F8A19DB6570}"/>
    <cellStyle name="40% - Accent6 3" xfId="71" xr:uid="{DB26C4B2-C109-4196-B7E7-49A1ECC046CD}"/>
    <cellStyle name="5x indented GHG Textfiels" xfId="143" xr:uid="{F83D2B3E-D80F-499F-BEC3-FFF7B5C2AEBA}"/>
    <cellStyle name="60% - Accent1" xfId="27" builtinId="32" customBuiltin="1"/>
    <cellStyle name="60% - Accent1 2" xfId="72" xr:uid="{E06E8E81-3F1F-4FD5-A7E2-5A909B821531}"/>
    <cellStyle name="60% - Accent2" xfId="31" builtinId="36" customBuiltin="1"/>
    <cellStyle name="60% - Accent2 2" xfId="73" xr:uid="{11FCD26B-6226-4D8F-B666-C3A7340670DD}"/>
    <cellStyle name="60% - Accent3" xfId="35" builtinId="40" customBuiltin="1"/>
    <cellStyle name="60% - Accent3 2" xfId="74" xr:uid="{69224D30-1CB9-4042-AC47-741B3101FB6C}"/>
    <cellStyle name="60% - Accent4" xfId="39" builtinId="44" customBuiltin="1"/>
    <cellStyle name="60% - Accent4 2" xfId="75" xr:uid="{31A1600E-2ADA-4494-830E-19E470E88D31}"/>
    <cellStyle name="60% - Accent5" xfId="43" builtinId="48" customBuiltin="1"/>
    <cellStyle name="60% - Accent5 2" xfId="76" xr:uid="{EF1950ED-4FE6-4B6D-9132-67D459E99238}"/>
    <cellStyle name="60% - Accent6" xfId="47" builtinId="52" customBuiltin="1"/>
    <cellStyle name="60% - Accent6 2" xfId="77" xr:uid="{3EA7A03E-54F0-4C77-B111-82968D28AD79}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Bold GHG Numbers (0.00)" xfId="144" xr:uid="{DA4FF68C-7FF0-4CED-A5EA-0097B6EB2369}"/>
    <cellStyle name="Calculation" xfId="17" builtinId="22" customBuiltin="1"/>
    <cellStyle name="Check Cell" xfId="19" builtinId="23" customBuiltin="1"/>
    <cellStyle name="Column heading" xfId="78" xr:uid="{B7F6F0CA-8447-40B5-B305-0995BEF9DC81}"/>
    <cellStyle name="Comma 2" xfId="79" xr:uid="{E229120F-E6BF-453E-B284-ADB3C2EFF798}"/>
    <cellStyle name="Comma 2 2" xfId="160" xr:uid="{2A2288AD-3C24-4FB2-8418-F26E54997657}"/>
    <cellStyle name="Comma 2 2 2" xfId="167" xr:uid="{EB037193-A471-4CB2-9E7C-8CF3185046D6}"/>
    <cellStyle name="Comma 2 3" xfId="163" xr:uid="{E2D67C64-2CF4-4488-9A8F-645F79D74688}"/>
    <cellStyle name="Comma 2 4" xfId="145" xr:uid="{2BE6E7D8-58DF-4616-A8B4-ACC033CF8394}"/>
    <cellStyle name="Comma 3" xfId="156" xr:uid="{E12608C2-090C-409F-BF94-5C614256EB27}"/>
    <cellStyle name="Comma 3 2" xfId="157" xr:uid="{C669213E-2105-465E-96E8-2B2A1ADD5F86}"/>
    <cellStyle name="Comma 3 3" xfId="161" xr:uid="{84354EFF-D576-4FFC-A206-30B76C92195E}"/>
    <cellStyle name="Comma 3 3 2" xfId="168" xr:uid="{0F5D64C1-E285-420D-B6D8-505AE982E671}"/>
    <cellStyle name="Comma 3 4" xfId="165" xr:uid="{3D09E4A3-5CD1-455D-9B7E-C036370DE385}"/>
    <cellStyle name="Comma 4" xfId="162" xr:uid="{C701A914-F7C5-4135-8657-7A9ABA714A2D}"/>
    <cellStyle name="Comma 5" xfId="159" xr:uid="{086F30DA-0BA8-415D-B817-1952049D5F8A}"/>
    <cellStyle name="Corner heading" xfId="80" xr:uid="{330ED3DB-6560-4052-B4DE-F68437890C69}"/>
    <cellStyle name="Data" xfId="81" xr:uid="{B3481D78-FAE6-4498-BEB0-B4E42369CD22}"/>
    <cellStyle name="Data no deci" xfId="82" xr:uid="{77489161-3B29-4346-8823-96B2E8044414}"/>
    <cellStyle name="Data Superscript" xfId="83" xr:uid="{F640F237-610A-48A7-BE88-46296592F176}"/>
    <cellStyle name="Data_1-1A-Regular" xfId="84" xr:uid="{2AB52574-9598-4CB8-B487-29D8E240C7BF}"/>
    <cellStyle name="Explanatory Text" xfId="22" builtinId="53" customBuiltin="1"/>
    <cellStyle name="Good" xfId="12" builtinId="26" customBuiltin="1"/>
    <cellStyle name="Heading 1" xfId="8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Headline" xfId="146" xr:uid="{4E05191A-A3A7-4E45-B95A-BCD7F498231F}"/>
    <cellStyle name="Hed Side" xfId="85" xr:uid="{7CF23A2E-88A2-4097-BC86-89BEFEED221A}"/>
    <cellStyle name="Hed Side bold" xfId="86" xr:uid="{9F782E38-AE41-4773-941D-50FA1FF86B91}"/>
    <cellStyle name="Hed Side Indent" xfId="87" xr:uid="{17640473-0DD0-4C3B-8441-1B62DE15E0EB}"/>
    <cellStyle name="Hed Side Regular" xfId="88" xr:uid="{E470F15A-3C40-47DB-A3DD-90E86487C31A}"/>
    <cellStyle name="Hed Side_1-1A-Regular" xfId="89" xr:uid="{E9F183F5-C7C6-45E2-816F-496B1C6D77E9}"/>
    <cellStyle name="Hed Top" xfId="90" xr:uid="{7BDA868B-13BF-46CB-AE60-AFE0D0E66FBE}"/>
    <cellStyle name="Hed Top - SECTION" xfId="91" xr:uid="{24B5B5BD-4A52-4F56-BC33-3B0DF32B7AE6}"/>
    <cellStyle name="Hed Top_3-new4" xfId="92" xr:uid="{DD86D1C9-1E75-4C54-8359-BC926AAFA9B5}"/>
    <cellStyle name="Hyperlink" xfId="169" builtinId="8"/>
    <cellStyle name="Hyperlink 2" xfId="134" xr:uid="{8C068579-6944-4469-B8C5-5876577F8569}"/>
    <cellStyle name="Input" xfId="15" builtinId="20" customBuiltin="1"/>
    <cellStyle name="Linked Cell" xfId="18" builtinId="24" customBuiltin="1"/>
    <cellStyle name="Milliers 2" xfId="136" xr:uid="{D8FFE04B-DB51-4D64-B1E0-2B7720A0CD04}"/>
    <cellStyle name="Neutral" xfId="14" builtinId="28" customBuiltin="1"/>
    <cellStyle name="Neutral 2" xfId="93" xr:uid="{9F71F88E-1C42-42BB-9048-2F53E4F20AA1}"/>
    <cellStyle name="Normal" xfId="0" builtinId="0"/>
    <cellStyle name="Normal 12" xfId="94" xr:uid="{EC410101-D69E-4FCF-A9F1-21B3CF23F348}"/>
    <cellStyle name="Normal 2" xfId="2" xr:uid="{55B6A459-018A-4159-BCD7-B35C942A65A0}"/>
    <cellStyle name="Normal 2 2" xfId="6" xr:uid="{AA58C20A-3AFF-4D45-9EE5-5F1CBF1179BF}"/>
    <cellStyle name="Normal 2 2 2" xfId="97" xr:uid="{58E3476F-BE97-4199-8773-2E33D564CF2D}"/>
    <cellStyle name="Normal 2 2 3" xfId="96" xr:uid="{831227AC-581D-4890-BAB5-3946EF3B389A}"/>
    <cellStyle name="Normal 2 3" xfId="135" xr:uid="{A978334C-3E38-4F8C-9AEC-0A99C8A704DD}"/>
    <cellStyle name="Normal 2 4" xfId="95" xr:uid="{C7DE0F11-6FE3-4C12-A367-016EE4943441}"/>
    <cellStyle name="Normal 3" xfId="4" xr:uid="{2E4BA378-3DE0-42C2-BA23-2407BCA94ACF}"/>
    <cellStyle name="Normal 3 2" xfId="138" xr:uid="{726176F6-8CC2-4CBA-9AA3-933B2AB786CE}"/>
    <cellStyle name="Normal 3 3" xfId="98" xr:uid="{96377BA5-BA51-47A3-8326-7538582DBB83}"/>
    <cellStyle name="Normal 3 4" xfId="147" xr:uid="{B666AE08-34F2-48FA-8465-610E73AE3A38}"/>
    <cellStyle name="Normal 4" xfId="5" xr:uid="{C4A79ADA-18DB-4104-AD79-FCF2C31AE69C}"/>
    <cellStyle name="Normal 4 2" xfId="132" xr:uid="{C19418A3-F747-4D48-9A68-6EFDF0E72F85}"/>
    <cellStyle name="Normal 4 3" xfId="164" xr:uid="{FB4BA9DE-52B1-451E-B473-EB99721C1AC7}"/>
    <cellStyle name="Normal 5" xfId="142" xr:uid="{58842B04-BC91-4B1D-999F-4998E1DC29C8}"/>
    <cellStyle name="Normal 6" xfId="154" xr:uid="{8229B25A-E9AE-48BB-A9AF-E30C655F08A3}"/>
    <cellStyle name="Normal 6 2" xfId="155" xr:uid="{58BF46DA-3A04-4611-B8D3-011CF36A8D09}"/>
    <cellStyle name="Normal 7" xfId="153" xr:uid="{EA3703FF-45DE-42E8-8F10-6E5FF133FBE2}"/>
    <cellStyle name="Normal 8" xfId="139" xr:uid="{2ED08D51-D347-48C3-AC54-F657E20E74FC}"/>
    <cellStyle name="Normal 9" xfId="3" xr:uid="{901E6851-97D6-414B-9218-20533A98EFED}"/>
    <cellStyle name="Normal 9 2" xfId="99" xr:uid="{FB6972EF-B788-4FB0-B93D-37D130E34275}"/>
    <cellStyle name="Normal GHG Numbers (0.00)" xfId="148" xr:uid="{94AA7987-9E96-4F07-8ADF-A2B53B4EE6BB}"/>
    <cellStyle name="Normal GHG whole table" xfId="149" xr:uid="{3156BCC2-469A-4D5D-BC3A-5854C86DB246}"/>
    <cellStyle name="Normal GHG-Shade" xfId="150" xr:uid="{33F64DAB-4759-4EE0-B938-935266B4665D}"/>
    <cellStyle name="Note" xfId="21" builtinId="10" customBuiltin="1"/>
    <cellStyle name="Note 2" xfId="100" xr:uid="{6DEB8261-6E52-4657-8CC1-81718DF31F1A}"/>
    <cellStyle name="Note 3" xfId="101" xr:uid="{39E54385-D062-4AEF-BF96-DE804439AEF4}"/>
    <cellStyle name="Note 4" xfId="102" xr:uid="{022AF93A-D3B5-4DB6-9D7F-99FD54820E9B}"/>
    <cellStyle name="NumberCellStyle" xfId="103" xr:uid="{D09C104C-93B5-410B-9A69-EB5387AFC1C4}"/>
    <cellStyle name="Output" xfId="16" builtinId="21" customBuiltin="1"/>
    <cellStyle name="Pattern" xfId="151" xr:uid="{C5B6B55A-2D4E-4EFE-B52D-08544A8E2869}"/>
    <cellStyle name="Percent" xfId="1" builtinId="5"/>
    <cellStyle name="Percent 2" xfId="133" xr:uid="{EFE8812B-55B9-44C3-8E2C-F87D498E8DE4}"/>
    <cellStyle name="Percent 2 2" xfId="141" xr:uid="{F9E8E6E0-C3F1-49C1-BC66-A469EF843869}"/>
    <cellStyle name="Percent 3" xfId="158" xr:uid="{C739EFB1-9B9D-4C58-9894-942726FEDA0D}"/>
    <cellStyle name="Percent 4" xfId="140" xr:uid="{FD674B19-9311-426D-81A8-A030956D65BD}"/>
    <cellStyle name="Reference" xfId="104" xr:uid="{DBFA3B77-CFDF-4449-A8DD-1E286D1FA68C}"/>
    <cellStyle name="Row heading" xfId="105" xr:uid="{3D5DD19C-7502-48B3-8DA7-2CE786ACE5A2}"/>
    <cellStyle name="Source Hed" xfId="106" xr:uid="{2699F76C-1169-40F1-A181-5C0E99223BEA}"/>
    <cellStyle name="Source Letter" xfId="107" xr:uid="{D0776B51-2F3C-4C2A-B83D-5968884A2806}"/>
    <cellStyle name="Source Superscript" xfId="108" xr:uid="{10F35462-EEE1-48B3-8E71-98E7E28238AE}"/>
    <cellStyle name="Source Text" xfId="109" xr:uid="{8ED7D922-6E8F-4200-91B1-9369FA2EC1D6}"/>
    <cellStyle name="Standard 2" xfId="131" xr:uid="{5FDB74BA-E82A-4194-A5FC-6401D6ADA2B6}"/>
    <cellStyle name="Standard 3" xfId="137" xr:uid="{781C33C5-8D72-4B7A-B3EE-960A5ABD8341}"/>
    <cellStyle name="Standard_E00seit45" xfId="110" xr:uid="{E60E5DFC-99F9-4821-95F9-A448A6D7ED01}"/>
    <cellStyle name="State" xfId="111" xr:uid="{1E22EF94-4035-46A3-B93F-7B4C04D93865}"/>
    <cellStyle name="Superscript" xfId="112" xr:uid="{E095C70B-1BE0-483B-9328-402E4F7F4665}"/>
    <cellStyle name="Table Data" xfId="113" xr:uid="{6D28BA16-B1ED-487E-97D4-E11766253CAB}"/>
    <cellStyle name="Table Head Top" xfId="114" xr:uid="{D73E975F-B195-4C69-ABA9-C3FDF3B768EE}"/>
    <cellStyle name="Table Hed Side" xfId="115" xr:uid="{19764F6F-0584-40C9-86AF-753E0D4ACD46}"/>
    <cellStyle name="Table Title" xfId="116" xr:uid="{DEDC75C9-E546-42B3-A8E7-56EF9F0EAE06}"/>
    <cellStyle name="Title" xfId="7" builtinId="15" customBuiltin="1"/>
    <cellStyle name="Title 2" xfId="118" xr:uid="{D0FC54C7-BAC5-467F-8F57-2084F2E2393E}"/>
    <cellStyle name="Title 3" xfId="117" xr:uid="{62A59C55-F8BD-439D-9818-59BD38960B4A}"/>
    <cellStyle name="Title Text" xfId="119" xr:uid="{46B5E72A-6019-4651-B789-3218EFB90083}"/>
    <cellStyle name="Title Text 1" xfId="120" xr:uid="{B66B38CF-B1B9-4A7F-A767-134AD0C8B60D}"/>
    <cellStyle name="Title Text 2" xfId="121" xr:uid="{8D7959A8-9EB8-4C2C-A363-103B0AD7FAD3}"/>
    <cellStyle name="Title-1" xfId="122" xr:uid="{36D030D9-D8F5-429A-903C-44ADDFF4B66E}"/>
    <cellStyle name="Title-2" xfId="123" xr:uid="{E482A6AF-F54E-46D8-85EC-0F79A3AB2412}"/>
    <cellStyle name="Title-3" xfId="124" xr:uid="{52079772-F763-4205-A35F-F27A24D17A83}"/>
    <cellStyle name="Titre ligne" xfId="125" xr:uid="{B26EA383-68B0-464B-A8D1-9AE2A1714C6F}"/>
    <cellStyle name="Total" xfId="23" builtinId="25" customBuiltin="1"/>
    <cellStyle name="Total intermediaire" xfId="126" xr:uid="{F17DB0AD-BDDB-41FD-8960-52BB3FCB6198}"/>
    <cellStyle name="Warning Text" xfId="20" builtinId="11" customBuiltin="1"/>
    <cellStyle name="Wrap" xfId="127" xr:uid="{374F57C0-3A75-4493-8C04-4C69D4F4D0BF}"/>
    <cellStyle name="Wrap Bold" xfId="128" xr:uid="{A3F8ABE9-DB85-4BEB-8717-FDE1DBC76539}"/>
    <cellStyle name="Wrap Title" xfId="129" xr:uid="{1DF114DE-99D7-4A0A-BF1F-5AB3072093AC}"/>
    <cellStyle name="Wrap_NTS99-~11" xfId="130" xr:uid="{B35AD1E7-4B68-4494-9F06-F6EF3B83D614}"/>
    <cellStyle name="Year" xfId="152" xr:uid="{BF9A27E0-4EC2-4496-B182-E26259F1F3E4}"/>
    <cellStyle name="Κόμμα 2" xfId="166" xr:uid="{39429696-BB52-41AB-928B-DAAD9594DB86}"/>
  </cellStyles>
  <dxfs count="0"/>
  <tableStyles count="0" defaultTableStyle="TableStyleMedium2" defaultPivotStyle="PivotStyleLight16"/>
  <colors>
    <mruColors>
      <color rgb="FF8EC26A"/>
      <color rgb="FFEFE973"/>
      <color rgb="FF648ECA"/>
      <color rgb="FFB487C7"/>
      <color rgb="FFA2C0B6"/>
      <color rgb="FF3D5584"/>
      <color rgb="FFF26119"/>
      <color rgb="FF98C9EE"/>
      <color rgb="FFF59E2D"/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'1. GHG emissions'!$A$4</c:f>
              <c:strCache>
                <c:ptCount val="1"/>
                <c:pt idx="0">
                  <c:v>Enteric fermentation</c:v>
                </c:pt>
              </c:strCache>
            </c:strRef>
          </c:tx>
          <c:spPr>
            <a:solidFill>
              <a:srgbClr val="3D5584"/>
            </a:solidFill>
            <a:ln>
              <a:noFill/>
            </a:ln>
            <a:effectLst/>
          </c:spPr>
          <c:invertIfNegative val="0"/>
          <c:cat>
            <c:strRef>
              <c:f>'1. GHG emissions'!$D$2:$AW$2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'1. GHG emissions'!$D$4:$AW$4</c:f>
              <c:numCache>
                <c:formatCode>0</c:formatCode>
                <c:ptCount val="46"/>
                <c:pt idx="0">
                  <c:v>189.01042749141558</c:v>
                </c:pt>
                <c:pt idx="1">
                  <c:v>187.98271151369175</c:v>
                </c:pt>
                <c:pt idx="2">
                  <c:v>188.920788936153</c:v>
                </c:pt>
                <c:pt idx="3">
                  <c:v>188.12321184793373</c:v>
                </c:pt>
                <c:pt idx="4">
                  <c:v>186.40297925605577</c:v>
                </c:pt>
                <c:pt idx="5">
                  <c:v>184.31825473661073</c:v>
                </c:pt>
                <c:pt idx="6">
                  <c:v>182.10599462061421</c:v>
                </c:pt>
                <c:pt idx="7">
                  <c:v>182.09599302227707</c:v>
                </c:pt>
                <c:pt idx="8">
                  <c:v>182.87487670228046</c:v>
                </c:pt>
                <c:pt idx="9">
                  <c:v>184.16848885163995</c:v>
                </c:pt>
                <c:pt idx="10">
                  <c:v>185.88127709948819</c:v>
                </c:pt>
                <c:pt idx="11">
                  <c:v>186.47718707241401</c:v>
                </c:pt>
                <c:pt idx="12">
                  <c:v>186.64579374586103</c:v>
                </c:pt>
                <c:pt idx="13">
                  <c:v>185.63822192731556</c:v>
                </c:pt>
                <c:pt idx="14">
                  <c:v>183.81563989541507</c:v>
                </c:pt>
                <c:pt idx="15">
                  <c:v>183.7484125647313</c:v>
                </c:pt>
                <c:pt idx="16" formatCode="#,##0">
                  <c:v>182.5454973719479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21-4957-AA4C-92EF55278447}"/>
            </c:ext>
          </c:extLst>
        </c:ser>
        <c:ser>
          <c:idx val="2"/>
          <c:order val="2"/>
          <c:tx>
            <c:strRef>
              <c:f>'1. GHG emissions'!$A$5</c:f>
              <c:strCache>
                <c:ptCount val="1"/>
                <c:pt idx="0">
                  <c:v>Manure management</c:v>
                </c:pt>
              </c:strCache>
            </c:strRef>
          </c:tx>
          <c:spPr>
            <a:solidFill>
              <a:srgbClr val="648ECA"/>
            </a:solidFill>
            <a:ln>
              <a:noFill/>
            </a:ln>
            <a:effectLst/>
          </c:spPr>
          <c:invertIfNegative val="0"/>
          <c:cat>
            <c:strRef>
              <c:f>'1. GHG emissions'!$D$2:$AW$2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'1. GHG emissions'!$D$5:$AW$5</c:f>
              <c:numCache>
                <c:formatCode>0</c:formatCode>
                <c:ptCount val="46"/>
                <c:pt idx="0">
                  <c:v>69.088234676698775</c:v>
                </c:pt>
                <c:pt idx="1">
                  <c:v>68.598819169127239</c:v>
                </c:pt>
                <c:pt idx="2">
                  <c:v>68.898851607129714</c:v>
                </c:pt>
                <c:pt idx="3">
                  <c:v>67.314391875458981</c:v>
                </c:pt>
                <c:pt idx="4">
                  <c:v>66.943394927444018</c:v>
                </c:pt>
                <c:pt idx="5">
                  <c:v>64.598333558888626</c:v>
                </c:pt>
                <c:pt idx="6">
                  <c:v>64.685387258508015</c:v>
                </c:pt>
                <c:pt idx="7">
                  <c:v>63.783446353228946</c:v>
                </c:pt>
                <c:pt idx="8">
                  <c:v>63.011644586561651</c:v>
                </c:pt>
                <c:pt idx="9">
                  <c:v>63.612131897409682</c:v>
                </c:pt>
                <c:pt idx="10">
                  <c:v>64.258187526517361</c:v>
                </c:pt>
                <c:pt idx="11">
                  <c:v>64.247368037516253</c:v>
                </c:pt>
                <c:pt idx="12">
                  <c:v>64.513165524237579</c:v>
                </c:pt>
                <c:pt idx="13">
                  <c:v>64.26715709564823</c:v>
                </c:pt>
                <c:pt idx="14">
                  <c:v>63.777673732175806</c:v>
                </c:pt>
                <c:pt idx="15">
                  <c:v>64.090868994502955</c:v>
                </c:pt>
                <c:pt idx="16" formatCode="#,##0">
                  <c:v>62.90260958350251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21-4957-AA4C-92EF55278447}"/>
            </c:ext>
          </c:extLst>
        </c:ser>
        <c:ser>
          <c:idx val="3"/>
          <c:order val="3"/>
          <c:tx>
            <c:strRef>
              <c:f>'1. GHG emissions'!$A$6</c:f>
              <c:strCache>
                <c:ptCount val="1"/>
                <c:pt idx="0">
                  <c:v>Fertilizer use</c:v>
                </c:pt>
              </c:strCache>
            </c:strRef>
          </c:tx>
          <c:spPr>
            <a:solidFill>
              <a:srgbClr val="EFE973"/>
            </a:solidFill>
            <a:ln>
              <a:noFill/>
            </a:ln>
            <a:effectLst/>
          </c:spPr>
          <c:invertIfNegative val="0"/>
          <c:cat>
            <c:strRef>
              <c:f>'1. GHG emissions'!$D$2:$AW$2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'1. GHG emissions'!$D$6:$AW$6</c:f>
              <c:numCache>
                <c:formatCode>0</c:formatCode>
                <c:ptCount val="46"/>
                <c:pt idx="0">
                  <c:v>117.67972448941138</c:v>
                </c:pt>
                <c:pt idx="1">
                  <c:v>116.36457053575248</c:v>
                </c:pt>
                <c:pt idx="2">
                  <c:v>117.15944851505891</c:v>
                </c:pt>
                <c:pt idx="3">
                  <c:v>117.87195232306489</c:v>
                </c:pt>
                <c:pt idx="4">
                  <c:v>114.33474252775099</c:v>
                </c:pt>
                <c:pt idx="5">
                  <c:v>113.44434151611263</c:v>
                </c:pt>
                <c:pt idx="6">
                  <c:v>114.55726510845247</c:v>
                </c:pt>
                <c:pt idx="7">
                  <c:v>114.62183694491189</c:v>
                </c:pt>
                <c:pt idx="8">
                  <c:v>116.62336387978179</c:v>
                </c:pt>
                <c:pt idx="9">
                  <c:v>119.73776822400438</c:v>
                </c:pt>
                <c:pt idx="10">
                  <c:v>118.73613715732535</c:v>
                </c:pt>
                <c:pt idx="11">
                  <c:v>119.61501939897151</c:v>
                </c:pt>
                <c:pt idx="12">
                  <c:v>121.73857484733233</c:v>
                </c:pt>
                <c:pt idx="13">
                  <c:v>119.99454321579562</c:v>
                </c:pt>
                <c:pt idx="14">
                  <c:v>118.13703229908408</c:v>
                </c:pt>
                <c:pt idx="15">
                  <c:v>118.62947452869902</c:v>
                </c:pt>
                <c:pt idx="16" formatCode="#,##0">
                  <c:v>117.99412784629206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21-4957-AA4C-92EF55278447}"/>
            </c:ext>
          </c:extLst>
        </c:ser>
        <c:ser>
          <c:idx val="4"/>
          <c:order val="4"/>
          <c:tx>
            <c:strRef>
              <c:f>'1. GHG emissions'!$A$7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B487C7"/>
            </a:solidFill>
            <a:ln>
              <a:noFill/>
            </a:ln>
            <a:effectLst/>
          </c:spPr>
          <c:invertIfNegative val="0"/>
          <c:cat>
            <c:strRef>
              <c:f>'1. GHG emissions'!$D$2:$AW$2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'1. GHG emissions'!$D$7:$AW$7</c:f>
              <c:numCache>
                <c:formatCode>0</c:formatCode>
                <c:ptCount val="46"/>
                <c:pt idx="0">
                  <c:v>4.2777840654544548</c:v>
                </c:pt>
                <c:pt idx="1">
                  <c:v>4.3484008472312894</c:v>
                </c:pt>
                <c:pt idx="2">
                  <c:v>5.2331004820223939</c:v>
                </c:pt>
                <c:pt idx="3">
                  <c:v>4.451932104627133</c:v>
                </c:pt>
                <c:pt idx="4">
                  <c:v>5.0642661101549322</c:v>
                </c:pt>
                <c:pt idx="5">
                  <c:v>5.1221914462051927</c:v>
                </c:pt>
                <c:pt idx="6">
                  <c:v>5.378086020221744</c:v>
                </c:pt>
                <c:pt idx="7">
                  <c:v>5.7734342578031459</c:v>
                </c:pt>
                <c:pt idx="8">
                  <c:v>5.3933964041000735</c:v>
                </c:pt>
                <c:pt idx="9">
                  <c:v>5.345964152657757</c:v>
                </c:pt>
                <c:pt idx="10">
                  <c:v>5.6054715072171746</c:v>
                </c:pt>
                <c:pt idx="11">
                  <c:v>5.5856257283741542</c:v>
                </c:pt>
                <c:pt idx="12">
                  <c:v>5.258822740697056</c:v>
                </c:pt>
                <c:pt idx="13">
                  <c:v>5.0892099561038009</c:v>
                </c:pt>
                <c:pt idx="14">
                  <c:v>5.1387386607676007</c:v>
                </c:pt>
                <c:pt idx="15">
                  <c:v>5.4318646211897459</c:v>
                </c:pt>
                <c:pt idx="16">
                  <c:v>5.1696654404224205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21-4957-AA4C-92EF55278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50617439"/>
        <c:axId val="150616479"/>
        <c:extLst>
          <c:ext xmlns:c15="http://schemas.microsoft.com/office/drawing/2012/chart" uri="{02D57815-91ED-43cb-92C2-25804820EDAC}">
            <c15:filteredBarSeries>
              <c15:ser>
                <c:idx val="11"/>
                <c:order val="10"/>
                <c:tx>
                  <c:strRef>
                    <c:extLst>
                      <c:ext uri="{02D57815-91ED-43cb-92C2-25804820EDAC}">
                        <c15:formulaRef>
                          <c15:sqref>'1. GHG emissions'!$A$15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ysClr val="window" lastClr="FFFFFF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'1. GHG emissions'!$D$2:$AW$2</c15:sqref>
                        </c15:formulaRef>
                      </c:ext>
                    </c:extLst>
                    <c:strCache>
                      <c:ptCount val="4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  <c:pt idx="30">
                        <c:v>2035</c:v>
                      </c:pt>
                      <c:pt idx="35">
                        <c:v>2040</c:v>
                      </c:pt>
                      <c:pt idx="40">
                        <c:v>2045</c:v>
                      </c:pt>
                      <c:pt idx="45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'1. GHG emissions'!$D$15:$AW$15</c15:sqref>
                        </c15:formulaRef>
                      </c:ext>
                    </c:extLst>
                    <c:numCache>
                      <c:formatCode>#,##0</c:formatCode>
                      <c:ptCount val="4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B-8721-4957-AA4C-92EF5527844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'1. GHG emissions'!$A$3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'1. GHG emissions'!$D$2:$AW$2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'1. GHG emissions'!$D$3:$AW$3</c:f>
              <c:numCache>
                <c:formatCode>0</c:formatCode>
                <c:ptCount val="46"/>
                <c:pt idx="0">
                  <c:v>380.0561707229802</c:v>
                </c:pt>
                <c:pt idx="1">
                  <c:v>377.29450206580276</c:v>
                </c:pt>
                <c:pt idx="2">
                  <c:v>380.21218954036402</c:v>
                </c:pt>
                <c:pt idx="3">
                  <c:v>377.76148815108473</c:v>
                </c:pt>
                <c:pt idx="4">
                  <c:v>372.74538282140571</c:v>
                </c:pt>
                <c:pt idx="5">
                  <c:v>367.48312125781717</c:v>
                </c:pt>
                <c:pt idx="6">
                  <c:v>366.72673300779644</c:v>
                </c:pt>
                <c:pt idx="7">
                  <c:v>366.27471057822106</c:v>
                </c:pt>
                <c:pt idx="8">
                  <c:v>367.90328157272398</c:v>
                </c:pt>
                <c:pt idx="9">
                  <c:v>372.86435312571177</c:v>
                </c:pt>
                <c:pt idx="10">
                  <c:v>374.48107329054807</c:v>
                </c:pt>
                <c:pt idx="11">
                  <c:v>375.92520023727593</c:v>
                </c:pt>
                <c:pt idx="12">
                  <c:v>378.15635685812799</c:v>
                </c:pt>
                <c:pt idx="13">
                  <c:v>374.9891321948632</c:v>
                </c:pt>
                <c:pt idx="14">
                  <c:v>370.86908458744256</c:v>
                </c:pt>
                <c:pt idx="15">
                  <c:v>371.90062070912302</c:v>
                </c:pt>
                <c:pt idx="16">
                  <c:v>368.61190024216489</c:v>
                </c:pt>
                <c:pt idx="17">
                  <c:v>360.87142892999998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21-4957-AA4C-92EF55278447}"/>
            </c:ext>
          </c:extLst>
        </c:ser>
        <c:ser>
          <c:idx val="6"/>
          <c:order val="6"/>
          <c:tx>
            <c:strRef>
              <c:f>'1. GHG emissions'!$A$9</c:f>
              <c:strCache>
                <c:ptCount val="1"/>
              </c:strCache>
            </c:strRef>
          </c:tx>
          <c:spPr>
            <a:ln w="12700" cap="rnd">
              <a:solidFill>
                <a:sysClr val="windowText" lastClr="00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'1. GHG emissions'!$D$2:$AW$2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'1. GHG emissions'!$D$9:$AW$9</c:f>
              <c:numCache>
                <c:formatCode>#,##0</c:formatCode>
                <c:ptCount val="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721-4957-AA4C-92EF55278447}"/>
            </c:ext>
          </c:extLst>
        </c:ser>
        <c:ser>
          <c:idx val="7"/>
          <c:order val="7"/>
          <c:tx>
            <c:strRef>
              <c:f>'1. GHG emissions'!$A$10</c:f>
              <c:strCache>
                <c:ptCount val="1"/>
                <c:pt idx="0">
                  <c:v>2030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F26119"/>
              </a:solidFill>
              <a:ln w="9525">
                <a:noFill/>
              </a:ln>
              <a:effectLst/>
            </c:spPr>
          </c:marker>
          <c:cat>
            <c:strRef>
              <c:f>'1. GHG emissions'!$D$2:$AW$2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'1. GHG emissions'!$D$10:$AW$10</c:f>
              <c:numCache>
                <c:formatCode>#,##0</c:formatCode>
                <c:ptCount val="46"/>
                <c:pt idx="25">
                  <c:v>333.20266124124134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721-4957-AA4C-92EF55278447}"/>
            </c:ext>
          </c:extLst>
        </c:ser>
        <c:ser>
          <c:idx val="12"/>
          <c:order val="11"/>
          <c:tx>
            <c:strRef>
              <c:f>'1. GHG emissions'!$A$11</c:f>
              <c:strCache>
                <c:ptCount val="1"/>
                <c:pt idx="0">
                  <c:v>2050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3D5584"/>
              </a:solidFill>
              <a:ln w="9525">
                <a:noFill/>
              </a:ln>
              <a:effectLst/>
            </c:spPr>
          </c:marker>
          <c:val>
            <c:numRef>
              <c:f>'1. GHG emissions'!$D$11:$AW$11</c:f>
              <c:numCache>
                <c:formatCode>#,##0</c:formatCode>
                <c:ptCount val="46"/>
                <c:pt idx="45">
                  <c:v>246.5894480434051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60-48FE-849F-BF642914468F}"/>
            </c:ext>
          </c:extLst>
        </c:ser>
        <c:ser>
          <c:idx val="10"/>
          <c:order val="12"/>
          <c:tx>
            <c:strRef>
              <c:f>'1. GHG emissions'!$A$14</c:f>
              <c:strCache>
                <c:ptCount val="1"/>
                <c:pt idx="0">
                  <c:v>scenarios 2040 advice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A2C0B6"/>
              </a:solidFill>
              <a:ln w="9525">
                <a:solidFill>
                  <a:srgbClr val="A2C0B6"/>
                </a:solidFill>
              </a:ln>
              <a:effectLst/>
            </c:spPr>
          </c:marker>
          <c:cat>
            <c:strRef>
              <c:f>'1. GHG emissions'!$D$2:$AW$2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'1. GHG emissions'!$D$14:$AW$14</c:f>
              <c:numCache>
                <c:formatCode>#,##0</c:formatCode>
                <c:ptCount val="46"/>
                <c:pt idx="25">
                  <c:v>315.89633225</c:v>
                </c:pt>
                <c:pt idx="35">
                  <c:v>282.75463450000001</c:v>
                </c:pt>
                <c:pt idx="45">
                  <c:v>268.44377425000005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721-4957-AA4C-92EF55278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617439"/>
        <c:axId val="150616479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'1. GHG emissions'!$A$8</c15:sqref>
                        </c15:formulaRef>
                      </c:ext>
                    </c:extLst>
                    <c:strCache>
                      <c:ptCount val="1"/>
                      <c:pt idx="0">
                        <c:v>linear trajectory 1</c:v>
                      </c:pt>
                    </c:strCache>
                  </c:strRef>
                </c:tx>
                <c:spPr>
                  <a:ln w="12700" cap="rnd">
                    <a:solidFill>
                      <a:sysClr val="windowText" lastClr="00000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'1. GHG emissions'!$D$2:$AW$2</c15:sqref>
                        </c15:formulaRef>
                      </c:ext>
                    </c:extLst>
                    <c:strCache>
                      <c:ptCount val="4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  <c:pt idx="30">
                        <c:v>2035</c:v>
                      </c:pt>
                      <c:pt idx="35">
                        <c:v>2040</c:v>
                      </c:pt>
                      <c:pt idx="40">
                        <c:v>2045</c:v>
                      </c:pt>
                      <c:pt idx="45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'1. GHG emissions'!$D$8:$AW$8</c15:sqref>
                        </c15:formulaRef>
                      </c:ext>
                    </c:extLst>
                    <c:numCache>
                      <c:formatCode>#,##0</c:formatCode>
                      <c:ptCount val="46"/>
                      <c:pt idx="17">
                        <c:v>360.87142892999998</c:v>
                      </c:pt>
                      <c:pt idx="18">
                        <c:v>357.41283296890515</c:v>
                      </c:pt>
                      <c:pt idx="19">
                        <c:v>353.95423700781038</c:v>
                      </c:pt>
                      <c:pt idx="20">
                        <c:v>350.49564104671555</c:v>
                      </c:pt>
                      <c:pt idx="21">
                        <c:v>347.03704508562078</c:v>
                      </c:pt>
                      <c:pt idx="22">
                        <c:v>343.578449124526</c:v>
                      </c:pt>
                      <c:pt idx="23">
                        <c:v>340.11985316343117</c:v>
                      </c:pt>
                      <c:pt idx="24">
                        <c:v>336.6612572023364</c:v>
                      </c:pt>
                      <c:pt idx="25">
                        <c:v>333.20266124124157</c:v>
                      </c:pt>
                      <c:pt idx="26">
                        <c:v>328.87200058134977</c:v>
                      </c:pt>
                      <c:pt idx="27">
                        <c:v>324.54133992145796</c:v>
                      </c:pt>
                      <c:pt idx="28">
                        <c:v>320.21067926156616</c:v>
                      </c:pt>
                      <c:pt idx="29">
                        <c:v>315.88001860167435</c:v>
                      </c:pt>
                      <c:pt idx="30">
                        <c:v>311.54935794178255</c:v>
                      </c:pt>
                      <c:pt idx="31">
                        <c:v>307.21869728189074</c:v>
                      </c:pt>
                      <c:pt idx="32">
                        <c:v>302.88803662199894</c:v>
                      </c:pt>
                      <c:pt idx="33">
                        <c:v>298.55737596210713</c:v>
                      </c:pt>
                      <c:pt idx="34">
                        <c:v>294.22671530221533</c:v>
                      </c:pt>
                      <c:pt idx="35">
                        <c:v>289.89605464232352</c:v>
                      </c:pt>
                      <c:pt idx="36">
                        <c:v>285.56539398243171</c:v>
                      </c:pt>
                      <c:pt idx="37">
                        <c:v>281.23473332253991</c:v>
                      </c:pt>
                      <c:pt idx="38">
                        <c:v>276.9040726626481</c:v>
                      </c:pt>
                      <c:pt idx="39">
                        <c:v>272.5734120027563</c:v>
                      </c:pt>
                      <c:pt idx="40">
                        <c:v>268.24275134286449</c:v>
                      </c:pt>
                      <c:pt idx="41">
                        <c:v>263.91209068297269</c:v>
                      </c:pt>
                      <c:pt idx="42">
                        <c:v>259.58143002308088</c:v>
                      </c:pt>
                      <c:pt idx="43">
                        <c:v>255.25076936318905</c:v>
                      </c:pt>
                      <c:pt idx="44">
                        <c:v>250.92010870329722</c:v>
                      </c:pt>
                      <c:pt idx="45">
                        <c:v>246.5894480434051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8721-4957-AA4C-92EF55278447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'1. GHG emissions'!$A$12</c15:sqref>
                        </c15:formulaRef>
                      </c:ext>
                    </c:extLst>
                    <c:strCache>
                      <c:ptCount val="1"/>
                      <c:pt idx="0">
                        <c:v>2050 benchmark (min)</c:v>
                      </c:pt>
                    </c:strCache>
                  </c:strRef>
                </c:tx>
                <c:spPr>
                  <a:ln w="28575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B487C7"/>
                    </a:solidFill>
                    <a:ln w="9525">
                      <a:noFill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'1. GHG emissions'!$D$2:$AW$2</c15:sqref>
                        </c15:formulaRef>
                      </c:ext>
                    </c:extLst>
                    <c:strCache>
                      <c:ptCount val="4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  <c:pt idx="30">
                        <c:v>2035</c:v>
                      </c:pt>
                      <c:pt idx="35">
                        <c:v>2040</c:v>
                      </c:pt>
                      <c:pt idx="40">
                        <c:v>2045</c:v>
                      </c:pt>
                      <c:pt idx="45">
                        <c:v>2050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'1. GHG emissions'!$D$12:$AW$12</c15:sqref>
                        </c15:formulaRef>
                      </c:ext>
                    </c:extLst>
                    <c:numCache>
                      <c:formatCode>#,##0</c:formatCode>
                      <c:ptCount val="46"/>
                      <c:pt idx="45">
                        <c:v>248.81995247286363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721-4957-AA4C-92EF55278447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'1. GHG emissions'!$A$13</c15:sqref>
                        </c15:formulaRef>
                      </c:ext>
                    </c:extLst>
                    <c:strCache>
                      <c:ptCount val="1"/>
                      <c:pt idx="0">
                        <c:v>2050 benchmark (max)</c:v>
                      </c:pt>
                    </c:strCache>
                  </c:strRef>
                </c:tx>
                <c:spPr>
                  <a:ln w="28575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3D5584"/>
                    </a:solidFill>
                    <a:ln w="9525">
                      <a:noFill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'1. GHG emissions'!$D$2:$AW$2</c15:sqref>
                        </c15:formulaRef>
                      </c:ext>
                    </c:extLst>
                    <c:strCache>
                      <c:ptCount val="4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  <c:pt idx="30">
                        <c:v>2035</c:v>
                      </c:pt>
                      <c:pt idx="35">
                        <c:v>2040</c:v>
                      </c:pt>
                      <c:pt idx="40">
                        <c:v>2045</c:v>
                      </c:pt>
                      <c:pt idx="45">
                        <c:v>2050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'1. GHG emissions'!$D$13:$AW$13</c15:sqref>
                        </c15:formulaRef>
                      </c:ext>
                    </c:extLst>
                    <c:numCache>
                      <c:formatCode>#,##0</c:formatCode>
                      <c:ptCount val="46"/>
                      <c:pt idx="45">
                        <c:v>207.03545341187356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721-4957-AA4C-92EF55278447}"/>
                  </c:ext>
                </c:extLst>
              </c15:ser>
            </c15:filteredLineSeries>
          </c:ext>
        </c:extLst>
      </c:lineChart>
      <c:catAx>
        <c:axId val="15061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150616479"/>
        <c:crosses val="autoZero"/>
        <c:auto val="1"/>
        <c:lblAlgn val="ctr"/>
        <c:lblOffset val="100"/>
        <c:noMultiLvlLbl val="0"/>
      </c:catAx>
      <c:valAx>
        <c:axId val="150616479"/>
        <c:scaling>
          <c:orientation val="minMax"/>
          <c:max val="4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US" b="1"/>
                  <a:t>Mt CO2e</a:t>
                </a:r>
                <a:endParaRPr lang="en-DK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DK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150617439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Segoe UI" panose="020B0502040204020203" pitchFamily="34" charset="0"/>
          <a:cs typeface="Segoe UI" panose="020B0502040204020203" pitchFamily="34" charset="0"/>
        </a:defRPr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BE"/>
              <a:t>International aviation emissions</a:t>
            </a:r>
            <a:r>
              <a:rPr lang="en-BE" baseline="0"/>
              <a:t> (in Mt CO2eq.)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'Indicator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'Indicator 1'!#REF!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A44-4AF4-A249-EE86B61A25A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'Indicator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'Indicator 1'!#REF!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A44-4AF4-A249-EE86B61A25A7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'Indicator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'Indicator 1'!#REF!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EA44-4AF4-A249-EE86B61A25A7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'Indicator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'Indicator 1'!#REF!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EA44-4AF4-A249-EE86B61A25A7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'Indicator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'Indicator 1'!#REF!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EA44-4AF4-A249-EE86B61A25A7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'Indicator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'Indicator 1'!#REF!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EA44-4AF4-A249-EE86B61A2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742560"/>
        <c:axId val="111744000"/>
      </c:lineChart>
      <c:catAx>
        <c:axId val="11174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11744000"/>
        <c:crosses val="autoZero"/>
        <c:auto val="1"/>
        <c:lblAlgn val="ctr"/>
        <c:lblOffset val="100"/>
        <c:noMultiLvlLbl val="0"/>
      </c:catAx>
      <c:valAx>
        <c:axId val="111744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1174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Dairy products</a:t>
            </a:r>
            <a:endParaRPr lang="en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 animal production and consum'!$A$3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rgbClr val="F26119"/>
            </a:solidFill>
            <a:ln>
              <a:noFill/>
            </a:ln>
            <a:effectLst/>
          </c:spPr>
          <c:invertIfNegative val="0"/>
          <c:cat>
            <c:strRef>
              <c:f>'2. animal production and consum'!$B$2:$S$2</c:f>
              <c:strCache>
                <c:ptCount val="1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</c:strCache>
            </c:strRef>
          </c:cat>
          <c:val>
            <c:numRef>
              <c:f>'2. animal production and consum'!$B$3:$S$3</c:f>
              <c:numCache>
                <c:formatCode>General</c:formatCode>
                <c:ptCount val="16"/>
                <c:pt idx="5" formatCode="0">
                  <c:v>80.572999999999993</c:v>
                </c:pt>
                <c:pt idx="6" formatCode="0">
                  <c:v>82.019000000000005</c:v>
                </c:pt>
                <c:pt idx="7" formatCode="0">
                  <c:v>80.759</c:v>
                </c:pt>
                <c:pt idx="8" formatCode="0">
                  <c:v>82.016000000000005</c:v>
                </c:pt>
                <c:pt idx="9" formatCode="0">
                  <c:v>79.043999999999997</c:v>
                </c:pt>
                <c:pt idx="10" formatCode="0">
                  <c:v>80.784999999999997</c:v>
                </c:pt>
                <c:pt idx="11" formatCode="0">
                  <c:v>81.823999999999998</c:v>
                </c:pt>
                <c:pt idx="12" formatCode="0">
                  <c:v>82.567999999999998</c:v>
                </c:pt>
                <c:pt idx="13" formatCode="0">
                  <c:v>85.248999999999995</c:v>
                </c:pt>
                <c:pt idx="14" formatCode="0">
                  <c:v>86.293999999999997</c:v>
                </c:pt>
                <c:pt idx="15" formatCode="0">
                  <c:v>86.631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5C-47E3-ADA4-0D829F3D10F4}"/>
            </c:ext>
          </c:extLst>
        </c:ser>
        <c:ser>
          <c:idx val="1"/>
          <c:order val="1"/>
          <c:tx>
            <c:strRef>
              <c:f>'2. animal production and consum'!$A$4</c:f>
              <c:strCache>
                <c:ptCount val="1"/>
                <c:pt idx="0">
                  <c:v>Production</c:v>
                </c:pt>
              </c:strCache>
            </c:strRef>
          </c:tx>
          <c:spPr>
            <a:solidFill>
              <a:srgbClr val="3D5584"/>
            </a:solidFill>
            <a:ln>
              <a:noFill/>
            </a:ln>
            <a:effectLst/>
          </c:spPr>
          <c:invertIfNegative val="0"/>
          <c:cat>
            <c:strRef>
              <c:f>'2. animal production and consum'!$B$2:$S$2</c:f>
              <c:strCache>
                <c:ptCount val="1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</c:strCache>
            </c:strRef>
          </c:cat>
          <c:val>
            <c:numRef>
              <c:f>'2. animal production and consum'!$B$4:$S$4</c:f>
              <c:numCache>
                <c:formatCode>General</c:formatCode>
                <c:ptCount val="16"/>
                <c:pt idx="5" formatCode="0">
                  <c:v>141.06899999999999</c:v>
                </c:pt>
                <c:pt idx="6" formatCode="0">
                  <c:v>143.44399999999999</c:v>
                </c:pt>
                <c:pt idx="7" formatCode="0">
                  <c:v>143.756</c:v>
                </c:pt>
                <c:pt idx="8" formatCode="0">
                  <c:v>145.262</c:v>
                </c:pt>
                <c:pt idx="9" formatCode="0">
                  <c:v>150.148</c:v>
                </c:pt>
                <c:pt idx="10" formatCode="0">
                  <c:v>153.161</c:v>
                </c:pt>
                <c:pt idx="11" formatCode="0">
                  <c:v>154.834</c:v>
                </c:pt>
                <c:pt idx="12" formatCode="0">
                  <c:v>155.97</c:v>
                </c:pt>
                <c:pt idx="13" formatCode="0">
                  <c:v>158.30199999999999</c:v>
                </c:pt>
                <c:pt idx="14" formatCode="0">
                  <c:v>161.245</c:v>
                </c:pt>
                <c:pt idx="15" formatCode="0">
                  <c:v>163.065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5C-47E3-ADA4-0D829F3D1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2996127"/>
        <c:axId val="1814649631"/>
      </c:barChart>
      <c:lineChart>
        <c:grouping val="standard"/>
        <c:varyColors val="0"/>
        <c:ser>
          <c:idx val="2"/>
          <c:order val="2"/>
          <c:tx>
            <c:strRef>
              <c:f>'2. animal production and consum'!$A$5</c:f>
              <c:strCache>
                <c:ptCount val="1"/>
                <c:pt idx="0">
                  <c:v>Herd size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'2. animal production and consum'!$B$2:$S$2</c:f>
              <c:strCache>
                <c:ptCount val="1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</c:strCache>
            </c:strRef>
          </c:cat>
          <c:val>
            <c:numRef>
              <c:f>'2. animal production and consum'!$B$5:$S$5</c:f>
              <c:numCache>
                <c:formatCode>0</c:formatCode>
                <c:ptCount val="16"/>
                <c:pt idx="0">
                  <c:v>23.169958449999999</c:v>
                </c:pt>
                <c:pt idx="1">
                  <c:v>22.724646710000002</c:v>
                </c:pt>
                <c:pt idx="2">
                  <c:v>22.471953799999998</c:v>
                </c:pt>
                <c:pt idx="3">
                  <c:v>22.454052600000001</c:v>
                </c:pt>
                <c:pt idx="4">
                  <c:v>22.09077667</c:v>
                </c:pt>
                <c:pt idx="5">
                  <c:v>21.54676581</c:v>
                </c:pt>
                <c:pt idx="6">
                  <c:v>21.357888849999998</c:v>
                </c:pt>
                <c:pt idx="7">
                  <c:v>21.446461060000001</c:v>
                </c:pt>
                <c:pt idx="8">
                  <c:v>21.594929520000001</c:v>
                </c:pt>
                <c:pt idx="9">
                  <c:v>21.641769580000002</c:v>
                </c:pt>
                <c:pt idx="10">
                  <c:v>21.637552289999999</c:v>
                </c:pt>
                <c:pt idx="11">
                  <c:v>21.582380799999999</c:v>
                </c:pt>
                <c:pt idx="12">
                  <c:v>21.389741539999999</c:v>
                </c:pt>
                <c:pt idx="13">
                  <c:v>21.081265139999999</c:v>
                </c:pt>
                <c:pt idx="14">
                  <c:v>20.816969629999999</c:v>
                </c:pt>
                <c:pt idx="15">
                  <c:v>20.632262320000002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5C-47E3-ADA4-0D829F3D1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14143"/>
        <c:axId val="393009823"/>
      </c:lineChart>
      <c:catAx>
        <c:axId val="3299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814649631"/>
        <c:crosses val="autoZero"/>
        <c:auto val="1"/>
        <c:lblAlgn val="ctr"/>
        <c:lblOffset val="100"/>
        <c:noMultiLvlLbl val="0"/>
      </c:catAx>
      <c:valAx>
        <c:axId val="1814649631"/>
        <c:scaling>
          <c:orientation val="minMax"/>
          <c:max val="2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Mt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2996127"/>
        <c:crosses val="autoZero"/>
        <c:crossBetween val="between"/>
        <c:majorUnit val="100"/>
      </c:valAx>
      <c:valAx>
        <c:axId val="393009823"/>
        <c:scaling>
          <c:orientation val="minMax"/>
          <c:max val="25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Million heads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93014143"/>
        <c:crosses val="max"/>
        <c:crossBetween val="between"/>
        <c:majorUnit val="12.5"/>
      </c:valAx>
      <c:catAx>
        <c:axId val="3930141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30098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BE"/>
              <a:t>Bovine meat</a:t>
            </a:r>
            <a:endParaRPr lang="en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 animal production and consum'!$A$3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rgbClr val="F26119"/>
            </a:solidFill>
            <a:ln>
              <a:noFill/>
            </a:ln>
            <a:effectLst/>
          </c:spPr>
          <c:invertIfNegative val="0"/>
          <c:cat>
            <c:strRef>
              <c:f>'2. animal production and consum'!$B$2:$S$2</c:f>
              <c:strCache>
                <c:ptCount val="1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</c:strCache>
            </c:strRef>
          </c:cat>
          <c:val>
            <c:numRef>
              <c:f>'2. animal production and consum'!$B$14:$S$14</c:f>
              <c:numCache>
                <c:formatCode>General</c:formatCode>
                <c:ptCount val="16"/>
                <c:pt idx="5" formatCode="0">
                  <c:v>6.9530000000000003</c:v>
                </c:pt>
                <c:pt idx="6" formatCode="0">
                  <c:v>6.7409999999999997</c:v>
                </c:pt>
                <c:pt idx="7" formatCode="0">
                  <c:v>6.6429999999999998</c:v>
                </c:pt>
                <c:pt idx="8" formatCode="0">
                  <c:v>6.4219999999999997</c:v>
                </c:pt>
                <c:pt idx="9" formatCode="0">
                  <c:v>6.1120000000000001</c:v>
                </c:pt>
                <c:pt idx="10" formatCode="0">
                  <c:v>6.0510000000000002</c:v>
                </c:pt>
                <c:pt idx="11" formatCode="0">
                  <c:v>6.1159999999999997</c:v>
                </c:pt>
                <c:pt idx="12" formatCode="0">
                  <c:v>6.0220000000000002</c:v>
                </c:pt>
                <c:pt idx="13" formatCode="0">
                  <c:v>6.2370000000000001</c:v>
                </c:pt>
                <c:pt idx="14" formatCode="0">
                  <c:v>6.2460000000000004</c:v>
                </c:pt>
                <c:pt idx="15" formatCode="0">
                  <c:v>6.1150000000000002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8D-46C1-AEDA-10CA8329B940}"/>
            </c:ext>
          </c:extLst>
        </c:ser>
        <c:ser>
          <c:idx val="1"/>
          <c:order val="1"/>
          <c:tx>
            <c:strRef>
              <c:f>'2. animal production and consum'!$A$4</c:f>
              <c:strCache>
                <c:ptCount val="1"/>
                <c:pt idx="0">
                  <c:v>Production</c:v>
                </c:pt>
              </c:strCache>
            </c:strRef>
          </c:tx>
          <c:spPr>
            <a:solidFill>
              <a:srgbClr val="3D5584"/>
            </a:solidFill>
            <a:ln>
              <a:noFill/>
            </a:ln>
            <a:effectLst/>
          </c:spPr>
          <c:invertIfNegative val="0"/>
          <c:cat>
            <c:strRef>
              <c:f>'2. animal production and consum'!$B$2:$S$2</c:f>
              <c:strCache>
                <c:ptCount val="1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</c:strCache>
            </c:strRef>
          </c:cat>
          <c:val>
            <c:numRef>
              <c:f>'2. animal production and consum'!$B$15:$S$15</c:f>
              <c:numCache>
                <c:formatCode>General</c:formatCode>
                <c:ptCount val="16"/>
                <c:pt idx="5" formatCode="0">
                  <c:v>7.2569999999999997</c:v>
                </c:pt>
                <c:pt idx="6" formatCode="0">
                  <c:v>7.1260000000000003</c:v>
                </c:pt>
                <c:pt idx="7" formatCode="0">
                  <c:v>6.8570000000000002</c:v>
                </c:pt>
                <c:pt idx="8" formatCode="0">
                  <c:v>6.5670000000000002</c:v>
                </c:pt>
                <c:pt idx="9" formatCode="0">
                  <c:v>6.5970000000000004</c:v>
                </c:pt>
                <c:pt idx="10" formatCode="0">
                  <c:v>6.827</c:v>
                </c:pt>
                <c:pt idx="11" formatCode="0">
                  <c:v>6.9989999999999997</c:v>
                </c:pt>
                <c:pt idx="12" formatCode="0">
                  <c:v>6.9930000000000003</c:v>
                </c:pt>
                <c:pt idx="13" formatCode="0">
                  <c:v>7.1120000000000001</c:v>
                </c:pt>
                <c:pt idx="14" formatCode="0">
                  <c:v>6.9989999999999997</c:v>
                </c:pt>
                <c:pt idx="15" formatCode="0">
                  <c:v>6.9359999999999999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8D-46C1-AEDA-10CA8329B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2996127"/>
        <c:axId val="1814649631"/>
      </c:barChart>
      <c:lineChart>
        <c:grouping val="standard"/>
        <c:varyColors val="0"/>
        <c:ser>
          <c:idx val="2"/>
          <c:order val="2"/>
          <c:tx>
            <c:strRef>
              <c:f>'2. animal production and consum'!$A$5</c:f>
              <c:strCache>
                <c:ptCount val="1"/>
                <c:pt idx="0">
                  <c:v>Herd size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'2. animal production and consum'!$B$2:$S$2</c:f>
              <c:strCache>
                <c:ptCount val="1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</c:strCache>
            </c:strRef>
          </c:cat>
          <c:val>
            <c:numRef>
              <c:f>'2. animal production and consum'!$B$16:$S$16</c:f>
              <c:numCache>
                <c:formatCode>General</c:formatCode>
                <c:ptCount val="16"/>
                <c:pt idx="0">
                  <c:v>60.724760549999999</c:v>
                </c:pt>
                <c:pt idx="1">
                  <c:v>60.839168780000001</c:v>
                </c:pt>
                <c:pt idx="2">
                  <c:v>61.637469469999999</c:v>
                </c:pt>
                <c:pt idx="3">
                  <c:v>61.571172410000003</c:v>
                </c:pt>
                <c:pt idx="4">
                  <c:v>61.218664770000004</c:v>
                </c:pt>
                <c:pt idx="5" formatCode="0">
                  <c:v>60.587279080000002</c:v>
                </c:pt>
                <c:pt idx="6" formatCode="0">
                  <c:v>59.664191339999995</c:v>
                </c:pt>
                <c:pt idx="7" formatCode="0">
                  <c:v>59.606499580000005</c:v>
                </c:pt>
                <c:pt idx="8" formatCode="0">
                  <c:v>60.168643300000006</c:v>
                </c:pt>
                <c:pt idx="9" formatCode="0">
                  <c:v>60.893261019999997</c:v>
                </c:pt>
                <c:pt idx="10" formatCode="0">
                  <c:v>61.356187169999998</c:v>
                </c:pt>
                <c:pt idx="11" formatCode="0">
                  <c:v>62.007257019999997</c:v>
                </c:pt>
                <c:pt idx="12" formatCode="0">
                  <c:v>61.873208149999996</c:v>
                </c:pt>
                <c:pt idx="13" formatCode="0">
                  <c:v>61.283197540000003</c:v>
                </c:pt>
                <c:pt idx="14" formatCode="0">
                  <c:v>60.588897920000001</c:v>
                </c:pt>
                <c:pt idx="15" formatCode="0">
                  <c:v>60.163155240000002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8D-46C1-AEDA-10CA8329B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14143"/>
        <c:axId val="393009823"/>
      </c:lineChart>
      <c:catAx>
        <c:axId val="3299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814649631"/>
        <c:crosses val="autoZero"/>
        <c:auto val="1"/>
        <c:lblAlgn val="ctr"/>
        <c:lblOffset val="100"/>
        <c:noMultiLvlLbl val="0"/>
      </c:catAx>
      <c:valAx>
        <c:axId val="1814649631"/>
        <c:scaling>
          <c:orientation val="minMax"/>
          <c:max val="9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Mt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2996127"/>
        <c:crosses val="autoZero"/>
        <c:crossBetween val="between"/>
        <c:majorUnit val="3"/>
      </c:valAx>
      <c:valAx>
        <c:axId val="393009823"/>
        <c:scaling>
          <c:orientation val="minMax"/>
          <c:max val="7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Million heads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93014143"/>
        <c:crosses val="max"/>
        <c:crossBetween val="between"/>
        <c:majorUnit val="20"/>
      </c:valAx>
      <c:catAx>
        <c:axId val="3930141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30098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Pig </a:t>
            </a:r>
            <a:r>
              <a:rPr lang="en-BE"/>
              <a:t>meat</a:t>
            </a:r>
            <a:endParaRPr lang="en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 animal production and consum'!$A$3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rgbClr val="F26119"/>
            </a:solidFill>
            <a:ln>
              <a:noFill/>
            </a:ln>
            <a:effectLst/>
          </c:spPr>
          <c:invertIfNegative val="0"/>
          <c:cat>
            <c:strRef>
              <c:f>'2. animal production and consum'!$B$2:$S$2</c:f>
              <c:strCache>
                <c:ptCount val="1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</c:strCache>
            </c:strRef>
          </c:cat>
          <c:val>
            <c:numRef>
              <c:f>'2. animal production and consum'!$B$25:$S$25</c:f>
              <c:numCache>
                <c:formatCode>General</c:formatCode>
                <c:ptCount val="16"/>
                <c:pt idx="5" formatCode="0">
                  <c:v>19.178000000000001</c:v>
                </c:pt>
                <c:pt idx="6" formatCode="0">
                  <c:v>18.882999999999999</c:v>
                </c:pt>
                <c:pt idx="7" formatCode="0">
                  <c:v>18.523</c:v>
                </c:pt>
                <c:pt idx="8" formatCode="0">
                  <c:v>18.242999999999999</c:v>
                </c:pt>
                <c:pt idx="9" formatCode="0">
                  <c:v>17.812000000000001</c:v>
                </c:pt>
                <c:pt idx="10" formatCode="0">
                  <c:v>18.361000000000001</c:v>
                </c:pt>
                <c:pt idx="11" formatCode="0">
                  <c:v>17.991</c:v>
                </c:pt>
                <c:pt idx="12" formatCode="0">
                  <c:v>18.218</c:v>
                </c:pt>
                <c:pt idx="13" formatCode="0">
                  <c:v>18.670999999999999</c:v>
                </c:pt>
                <c:pt idx="14" formatCode="0">
                  <c:v>18.189</c:v>
                </c:pt>
                <c:pt idx="15" formatCode="0">
                  <c:v>17.457000000000001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3B-4504-A048-A7F029FAB242}"/>
            </c:ext>
          </c:extLst>
        </c:ser>
        <c:ser>
          <c:idx val="1"/>
          <c:order val="1"/>
          <c:tx>
            <c:strRef>
              <c:f>'2. animal production and consum'!$A$4</c:f>
              <c:strCache>
                <c:ptCount val="1"/>
                <c:pt idx="0">
                  <c:v>Production</c:v>
                </c:pt>
              </c:strCache>
            </c:strRef>
          </c:tx>
          <c:spPr>
            <a:solidFill>
              <a:srgbClr val="3D5584"/>
            </a:solidFill>
            <a:ln>
              <a:noFill/>
            </a:ln>
            <a:effectLst/>
          </c:spPr>
          <c:invertIfNegative val="0"/>
          <c:cat>
            <c:strRef>
              <c:f>'2. animal production and consum'!$B$2:$S$2</c:f>
              <c:strCache>
                <c:ptCount val="1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</c:strCache>
            </c:strRef>
          </c:cat>
          <c:val>
            <c:numRef>
              <c:f>'2. animal production and consum'!$B$26:$S$26</c:f>
              <c:numCache>
                <c:formatCode>General</c:formatCode>
                <c:ptCount val="16"/>
                <c:pt idx="5" formatCode="0">
                  <c:v>22.224</c:v>
                </c:pt>
                <c:pt idx="6" formatCode="0">
                  <c:v>22.457000000000001</c:v>
                </c:pt>
                <c:pt idx="7" formatCode="0">
                  <c:v>22.001999999999999</c:v>
                </c:pt>
                <c:pt idx="8" formatCode="0">
                  <c:v>21.686</c:v>
                </c:pt>
                <c:pt idx="9" formatCode="0">
                  <c:v>21.745999999999999</c:v>
                </c:pt>
                <c:pt idx="10" formatCode="0">
                  <c:v>22.568999999999999</c:v>
                </c:pt>
                <c:pt idx="11" formatCode="0">
                  <c:v>22.946000000000002</c:v>
                </c:pt>
                <c:pt idx="12" formatCode="0">
                  <c:v>22.824000000000002</c:v>
                </c:pt>
                <c:pt idx="13" formatCode="0">
                  <c:v>23.222999999999999</c:v>
                </c:pt>
                <c:pt idx="14" formatCode="0">
                  <c:v>22.995999999999999</c:v>
                </c:pt>
                <c:pt idx="15" formatCode="0">
                  <c:v>23.219000000000001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3B-4504-A048-A7F029FAB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2996127"/>
        <c:axId val="1814649631"/>
      </c:barChart>
      <c:lineChart>
        <c:grouping val="standard"/>
        <c:varyColors val="0"/>
        <c:ser>
          <c:idx val="2"/>
          <c:order val="2"/>
          <c:tx>
            <c:strRef>
              <c:f>'2. animal production and consum'!$A$5</c:f>
              <c:strCache>
                <c:ptCount val="1"/>
                <c:pt idx="0">
                  <c:v>Herd size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'2. animal production and consum'!$B$2:$S$2</c:f>
              <c:strCache>
                <c:ptCount val="1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</c:strCache>
            </c:strRef>
          </c:cat>
          <c:val>
            <c:numRef>
              <c:f>'2. animal production and consum'!$B$27:$S$27</c:f>
              <c:numCache>
                <c:formatCode>General</c:formatCode>
                <c:ptCount val="16"/>
                <c:pt idx="0">
                  <c:v>151.65401903660427</c:v>
                </c:pt>
                <c:pt idx="1">
                  <c:v>152.80495867356069</c:v>
                </c:pt>
                <c:pt idx="2">
                  <c:v>153.54326530458573</c:v>
                </c:pt>
                <c:pt idx="3">
                  <c:v>146.36727173766434</c:v>
                </c:pt>
                <c:pt idx="4">
                  <c:v>143.99195572195291</c:v>
                </c:pt>
                <c:pt idx="5" formatCode="0">
                  <c:v>144.06174610551599</c:v>
                </c:pt>
                <c:pt idx="6" formatCode="0">
                  <c:v>142.26143097776134</c:v>
                </c:pt>
                <c:pt idx="7" formatCode="0">
                  <c:v>138.2683928370011</c:v>
                </c:pt>
                <c:pt idx="8" formatCode="0">
                  <c:v>136.46508511145046</c:v>
                </c:pt>
                <c:pt idx="9" formatCode="0">
                  <c:v>138.4113957799471</c:v>
                </c:pt>
                <c:pt idx="10" formatCode="0">
                  <c:v>139.35306096061805</c:v>
                </c:pt>
                <c:pt idx="11" formatCode="0">
                  <c:v>137.69743263293503</c:v>
                </c:pt>
                <c:pt idx="12" formatCode="0">
                  <c:v>138.80286082472298</c:v>
                </c:pt>
                <c:pt idx="13" formatCode="0">
                  <c:v>139.68197808299175</c:v>
                </c:pt>
                <c:pt idx="14" formatCode="0">
                  <c:v>137.37960332018301</c:v>
                </c:pt>
                <c:pt idx="15" formatCode="0">
                  <c:v>139.98062003276567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3B-4504-A048-A7F029FAB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14143"/>
        <c:axId val="393009823"/>
      </c:lineChart>
      <c:catAx>
        <c:axId val="3299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814649631"/>
        <c:crosses val="autoZero"/>
        <c:auto val="1"/>
        <c:lblAlgn val="ctr"/>
        <c:lblOffset val="100"/>
        <c:noMultiLvlLbl val="0"/>
      </c:catAx>
      <c:valAx>
        <c:axId val="1814649631"/>
        <c:scaling>
          <c:orientation val="minMax"/>
          <c:max val="3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Mt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2996127"/>
        <c:crosses val="autoZero"/>
        <c:crossBetween val="between"/>
        <c:majorUnit val="10"/>
      </c:valAx>
      <c:valAx>
        <c:axId val="393009823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Million heads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93014143"/>
        <c:crosses val="max"/>
        <c:crossBetween val="between"/>
        <c:majorUnit val="40"/>
      </c:valAx>
      <c:catAx>
        <c:axId val="3930141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30098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'3. crop area and production'!$A$4</c:f>
              <c:strCache>
                <c:ptCount val="1"/>
                <c:pt idx="0">
                  <c:v>Cereal crop production</c:v>
                </c:pt>
              </c:strCache>
            </c:strRef>
          </c:tx>
          <c:spPr>
            <a:solidFill>
              <a:srgbClr val="3D5584"/>
            </a:solidFill>
            <a:ln>
              <a:noFill/>
            </a:ln>
            <a:effectLst/>
          </c:spPr>
          <c:invertIfNegative val="0"/>
          <c:cat>
            <c:numRef>
              <c:f>'3. crop area and production'!$B$2:$T$2</c:f>
              <c:numCache>
                <c:formatCode>General</c:formatCode>
                <c:ptCount val="17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</c:numCache>
            </c:numRef>
          </c:cat>
          <c:val>
            <c:numRef>
              <c:f>'3. crop area and production'!$B$4:$T$4</c:f>
              <c:numCache>
                <c:formatCode>General</c:formatCode>
                <c:ptCount val="17"/>
                <c:pt idx="5" formatCode="0">
                  <c:v>263.46300000000002</c:v>
                </c:pt>
                <c:pt idx="6" formatCode="0">
                  <c:v>273.97399999999999</c:v>
                </c:pt>
                <c:pt idx="7" formatCode="0">
                  <c:v>268.65499999999997</c:v>
                </c:pt>
                <c:pt idx="8" formatCode="0">
                  <c:v>290.06599999999997</c:v>
                </c:pt>
                <c:pt idx="9" formatCode="0">
                  <c:v>309.57600000000002</c:v>
                </c:pt>
                <c:pt idx="10" formatCode="0">
                  <c:v>294.14100000000002</c:v>
                </c:pt>
                <c:pt idx="11" formatCode="0">
                  <c:v>280.96199999999999</c:v>
                </c:pt>
                <c:pt idx="12" formatCode="0">
                  <c:v>289.274</c:v>
                </c:pt>
                <c:pt idx="13" formatCode="0">
                  <c:v>274.45999999999998</c:v>
                </c:pt>
                <c:pt idx="14" formatCode="0">
                  <c:v>300.23700000000002</c:v>
                </c:pt>
                <c:pt idx="15" formatCode="0">
                  <c:v>287.38400000000001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C8-4F94-A3F9-CDA950804B86}"/>
            </c:ext>
          </c:extLst>
        </c:ser>
        <c:ser>
          <c:idx val="2"/>
          <c:order val="1"/>
          <c:tx>
            <c:strRef>
              <c:f>'3. crop area and production'!$A$5</c:f>
              <c:strCache>
                <c:ptCount val="1"/>
                <c:pt idx="0">
                  <c:v>Sugar crop production</c:v>
                </c:pt>
              </c:strCache>
            </c:strRef>
          </c:tx>
          <c:spPr>
            <a:solidFill>
              <a:srgbClr val="98C9EE"/>
            </a:solidFill>
            <a:ln>
              <a:noFill/>
            </a:ln>
            <a:effectLst/>
          </c:spPr>
          <c:invertIfNegative val="0"/>
          <c:cat>
            <c:numRef>
              <c:f>'3. crop area and production'!$B$2:$T$2</c:f>
              <c:numCache>
                <c:formatCode>General</c:formatCode>
                <c:ptCount val="17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</c:numCache>
            </c:numRef>
          </c:cat>
          <c:val>
            <c:numRef>
              <c:f>'3. crop area and production'!$B$5:$T$5</c:f>
              <c:numCache>
                <c:formatCode>General</c:formatCode>
                <c:ptCount val="17"/>
                <c:pt idx="5" formatCode="0">
                  <c:v>98.591999999999999</c:v>
                </c:pt>
                <c:pt idx="6" formatCode="0">
                  <c:v>116.64700000000001</c:v>
                </c:pt>
                <c:pt idx="7" formatCode="0">
                  <c:v>108.26600000000001</c:v>
                </c:pt>
                <c:pt idx="8" formatCode="0">
                  <c:v>100.858</c:v>
                </c:pt>
                <c:pt idx="9" formatCode="0">
                  <c:v>123.761</c:v>
                </c:pt>
                <c:pt idx="10" formatCode="0">
                  <c:v>97.784999999999997</c:v>
                </c:pt>
                <c:pt idx="11" formatCode="0">
                  <c:v>110.932</c:v>
                </c:pt>
                <c:pt idx="12" formatCode="0">
                  <c:v>137.06200000000001</c:v>
                </c:pt>
                <c:pt idx="13" formatCode="0">
                  <c:v>113.958</c:v>
                </c:pt>
                <c:pt idx="14" formatCode="0">
                  <c:v>113.128</c:v>
                </c:pt>
                <c:pt idx="15" formatCode="0">
                  <c:v>100.145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C8-4F94-A3F9-CDA950804B86}"/>
            </c:ext>
          </c:extLst>
        </c:ser>
        <c:ser>
          <c:idx val="3"/>
          <c:order val="2"/>
          <c:tx>
            <c:strRef>
              <c:f>'3. crop area and production'!$A$6</c:f>
              <c:strCache>
                <c:ptCount val="1"/>
                <c:pt idx="0">
                  <c:v>Oilseed crop production</c:v>
                </c:pt>
              </c:strCache>
            </c:strRef>
          </c:tx>
          <c:spPr>
            <a:solidFill>
              <a:srgbClr val="F26119"/>
            </a:solidFill>
            <a:ln>
              <a:noFill/>
            </a:ln>
            <a:effectLst/>
          </c:spPr>
          <c:invertIfNegative val="0"/>
          <c:cat>
            <c:numRef>
              <c:f>'3. crop area and production'!$B$2:$T$2</c:f>
              <c:numCache>
                <c:formatCode>General</c:formatCode>
                <c:ptCount val="17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</c:numCache>
            </c:numRef>
          </c:cat>
          <c:val>
            <c:numRef>
              <c:f>'3. crop area and production'!$B$6:$T$6</c:f>
              <c:numCache>
                <c:formatCode>General</c:formatCode>
                <c:ptCount val="17"/>
                <c:pt idx="5" formatCode="0">
                  <c:v>40.441000000000003</c:v>
                </c:pt>
                <c:pt idx="6" formatCode="0">
                  <c:v>41.215000000000003</c:v>
                </c:pt>
                <c:pt idx="7" formatCode="0">
                  <c:v>35.640999999999998</c:v>
                </c:pt>
                <c:pt idx="8" formatCode="0">
                  <c:v>45.572000000000003</c:v>
                </c:pt>
                <c:pt idx="9" formatCode="0">
                  <c:v>44.064999999999998</c:v>
                </c:pt>
                <c:pt idx="10" formatCode="0">
                  <c:v>43.408000000000001</c:v>
                </c:pt>
                <c:pt idx="11" formatCode="0">
                  <c:v>43.173999999999999</c:v>
                </c:pt>
                <c:pt idx="12" formatCode="0">
                  <c:v>47.069000000000003</c:v>
                </c:pt>
                <c:pt idx="13" formatCode="0">
                  <c:v>47.374000000000002</c:v>
                </c:pt>
                <c:pt idx="14" formatCode="0">
                  <c:v>42.265999999999998</c:v>
                </c:pt>
                <c:pt idx="15" formatCode="0">
                  <c:v>43.912999999999997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C8-4F94-A3F9-CDA950804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633016383"/>
        <c:axId val="1633014943"/>
      </c:barChart>
      <c:lineChart>
        <c:grouping val="standard"/>
        <c:varyColors val="0"/>
        <c:ser>
          <c:idx val="0"/>
          <c:order val="3"/>
          <c:tx>
            <c:strRef>
              <c:f>'3. crop area and production'!$A$3</c:f>
              <c:strCache>
                <c:ptCount val="1"/>
                <c:pt idx="0">
                  <c:v>Cropland area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'3. crop area and production'!$B$2:$T$2</c:f>
              <c:numCache>
                <c:formatCode>General</c:formatCode>
                <c:ptCount val="17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</c:numCache>
            </c:numRef>
          </c:cat>
          <c:val>
            <c:numRef>
              <c:f>'3. crop area and production'!$B$3:$T$3</c:f>
              <c:numCache>
                <c:formatCode>0</c:formatCode>
                <c:ptCount val="17"/>
                <c:pt idx="0">
                  <c:v>126.86262244061166</c:v>
                </c:pt>
                <c:pt idx="1">
                  <c:v>126.48798657998493</c:v>
                </c:pt>
                <c:pt idx="2">
                  <c:v>126.04920620619343</c:v>
                </c:pt>
                <c:pt idx="3">
                  <c:v>125.70023702358969</c:v>
                </c:pt>
                <c:pt idx="4">
                  <c:v>125.23158928210957</c:v>
                </c:pt>
                <c:pt idx="5">
                  <c:v>124.5782291946466</c:v>
                </c:pt>
                <c:pt idx="6">
                  <c:v>124.21329826126735</c:v>
                </c:pt>
                <c:pt idx="7">
                  <c:v>123.91356998676018</c:v>
                </c:pt>
                <c:pt idx="8">
                  <c:v>123.71572950982853</c:v>
                </c:pt>
                <c:pt idx="9">
                  <c:v>123.27482106948364</c:v>
                </c:pt>
                <c:pt idx="10">
                  <c:v>123.05076552138235</c:v>
                </c:pt>
                <c:pt idx="11">
                  <c:v>122.74794796302361</c:v>
                </c:pt>
                <c:pt idx="12">
                  <c:v>120.93348280864146</c:v>
                </c:pt>
                <c:pt idx="13">
                  <c:v>121.71411545932203</c:v>
                </c:pt>
                <c:pt idx="14">
                  <c:v>121.34088989287876</c:v>
                </c:pt>
                <c:pt idx="15">
                  <c:v>121.29976178154683</c:v>
                </c:pt>
                <c:pt idx="16">
                  <c:v>120.93348280864146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C8-4F94-A3F9-CDA950804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1238863"/>
        <c:axId val="1641237903"/>
      </c:lineChart>
      <c:catAx>
        <c:axId val="1633016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33014943"/>
        <c:crosses val="autoZero"/>
        <c:auto val="1"/>
        <c:lblAlgn val="ctr"/>
        <c:lblOffset val="100"/>
        <c:noMultiLvlLbl val="0"/>
      </c:catAx>
      <c:valAx>
        <c:axId val="16330149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DK"/>
                  <a:t>Crop production (Mt)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33016383"/>
        <c:crosses val="autoZero"/>
        <c:crossBetween val="between"/>
        <c:majorUnit val="150"/>
      </c:valAx>
      <c:valAx>
        <c:axId val="1641237903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DK"/>
                  <a:t>Cropland area (Mha)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41238863"/>
        <c:crosses val="max"/>
        <c:crossBetween val="between"/>
        <c:majorUnit val="50"/>
      </c:valAx>
      <c:catAx>
        <c:axId val="16412388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412379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BE"/>
              <a:t>International aviation emissions</a:t>
            </a:r>
            <a:r>
              <a:rPr lang="en-BE" baseline="0"/>
              <a:t> (in Mt CO2eq.)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'Indicator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'Indicator 1'!#REF!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5F90-4CCB-AD6E-A49735EC495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'Indicator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'Indicator 1'!#REF!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5F90-4CCB-AD6E-A49735EC495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'Indicator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'Indicator 1'!#REF!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5F90-4CCB-AD6E-A49735EC495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'Indicator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'Indicator 1'!#REF!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5F90-4CCB-AD6E-A49735EC4958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'Indicator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'Indicator 1'!#REF!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5F90-4CCB-AD6E-A49735EC4958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'Indicator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'Indicator 1'!#REF!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5F90-4CCB-AD6E-A49735EC4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742560"/>
        <c:axId val="111744000"/>
      </c:lineChart>
      <c:catAx>
        <c:axId val="11174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11744000"/>
        <c:crosses val="autoZero"/>
        <c:auto val="1"/>
        <c:lblAlgn val="ctr"/>
        <c:lblOffset val="100"/>
        <c:noMultiLvlLbl val="0"/>
      </c:catAx>
      <c:valAx>
        <c:axId val="111744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1174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Dairy products</a:t>
            </a:r>
            <a:endParaRPr lang="en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'4. GHG intensity'!$A$3</c:f>
              <c:strCache>
                <c:ptCount val="1"/>
                <c:pt idx="0">
                  <c:v>GHG emissions (Mt CO2e)</c:v>
                </c:pt>
              </c:strCache>
            </c:strRef>
          </c:tx>
          <c:spPr>
            <a:solidFill>
              <a:srgbClr val="F26119"/>
            </a:solidFill>
            <a:ln>
              <a:noFill/>
            </a:ln>
            <a:effectLst/>
          </c:spPr>
          <c:invertIfNegative val="0"/>
          <c:cat>
            <c:strRef>
              <c:f>'4. GHG intensity'!$B$2:$S$2</c:f>
              <c:strCache>
                <c:ptCount val="18"/>
                <c:pt idx="0">
                  <c:v>Source</c:v>
                </c:pt>
                <c:pt idx="1">
                  <c:v>Unit</c:v>
                </c:pt>
                <c:pt idx="2">
                  <c:v>2005</c:v>
                </c:pt>
                <c:pt idx="7">
                  <c:v>2010</c:v>
                </c:pt>
                <c:pt idx="12">
                  <c:v>2015</c:v>
                </c:pt>
                <c:pt idx="17">
                  <c:v>2020</c:v>
                </c:pt>
              </c:strCache>
            </c:strRef>
          </c:cat>
          <c:val>
            <c:numRef>
              <c:f>'4. GHG intensity'!$B$3:$S$3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 formatCode="0">
                  <c:v>99.998262174819999</c:v>
                </c:pt>
                <c:pt idx="3" formatCode="0">
                  <c:v>98.65336789669999</c:v>
                </c:pt>
                <c:pt idx="4" formatCode="0">
                  <c:v>98.105362793379996</c:v>
                </c:pt>
                <c:pt idx="5" formatCode="0">
                  <c:v>98.305981334720002</c:v>
                </c:pt>
                <c:pt idx="6" formatCode="0">
                  <c:v>96.860706310499992</c:v>
                </c:pt>
                <c:pt idx="7" formatCode="0">
                  <c:v>95.722197024539994</c:v>
                </c:pt>
                <c:pt idx="8" formatCode="0">
                  <c:v>95.978298355859991</c:v>
                </c:pt>
                <c:pt idx="9" formatCode="0">
                  <c:v>96.460344008500002</c:v>
                </c:pt>
                <c:pt idx="10" formatCode="0">
                  <c:v>96.995255085920007</c:v>
                </c:pt>
                <c:pt idx="11" formatCode="0">
                  <c:v>98.379592432719988</c:v>
                </c:pt>
                <c:pt idx="12" formatCode="0">
                  <c:v>99.228927192979995</c:v>
                </c:pt>
                <c:pt idx="13" formatCode="0">
                  <c:v>99.404097683160003</c:v>
                </c:pt>
                <c:pt idx="14" formatCode="0">
                  <c:v>99.36820924896</c:v>
                </c:pt>
                <c:pt idx="15" formatCode="0">
                  <c:v>98.62744358642</c:v>
                </c:pt>
                <c:pt idx="16" formatCode="0">
                  <c:v>98.201803469559991</c:v>
                </c:pt>
                <c:pt idx="17" formatCode="0">
                  <c:v>98.634543090839998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5D-4316-A973-B63CE94CB812}"/>
            </c:ext>
          </c:extLst>
        </c:ser>
        <c:ser>
          <c:idx val="1"/>
          <c:order val="1"/>
          <c:tx>
            <c:strRef>
              <c:f>'4. GHG intensity'!$A$4</c:f>
              <c:strCache>
                <c:ptCount val="1"/>
                <c:pt idx="0">
                  <c:v>Production (Mt)</c:v>
                </c:pt>
              </c:strCache>
            </c:strRef>
          </c:tx>
          <c:spPr>
            <a:solidFill>
              <a:srgbClr val="3D5584"/>
            </a:solidFill>
            <a:ln>
              <a:noFill/>
            </a:ln>
            <a:effectLst/>
          </c:spPr>
          <c:invertIfNegative val="0"/>
          <c:cat>
            <c:strRef>
              <c:f>'4. GHG intensity'!$B$2:$S$2</c:f>
              <c:strCache>
                <c:ptCount val="18"/>
                <c:pt idx="0">
                  <c:v>Source</c:v>
                </c:pt>
                <c:pt idx="1">
                  <c:v>Unit</c:v>
                </c:pt>
                <c:pt idx="2">
                  <c:v>2005</c:v>
                </c:pt>
                <c:pt idx="7">
                  <c:v>2010</c:v>
                </c:pt>
                <c:pt idx="12">
                  <c:v>2015</c:v>
                </c:pt>
                <c:pt idx="17">
                  <c:v>2020</c:v>
                </c:pt>
              </c:strCache>
            </c:strRef>
          </c:cat>
          <c:val>
            <c:numRef>
              <c:f>'4. GHG intensity'!$B$4:$S$4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7" formatCode="0">
                  <c:v>141.06899999999999</c:v>
                </c:pt>
                <c:pt idx="8" formatCode="0">
                  <c:v>143.44399999999999</c:v>
                </c:pt>
                <c:pt idx="9" formatCode="0">
                  <c:v>143.756</c:v>
                </c:pt>
                <c:pt idx="10" formatCode="0">
                  <c:v>145.262</c:v>
                </c:pt>
                <c:pt idx="11" formatCode="0">
                  <c:v>150.148</c:v>
                </c:pt>
                <c:pt idx="12" formatCode="0">
                  <c:v>153.161</c:v>
                </c:pt>
                <c:pt idx="13" formatCode="0">
                  <c:v>154.834</c:v>
                </c:pt>
                <c:pt idx="14" formatCode="0">
                  <c:v>155.97</c:v>
                </c:pt>
                <c:pt idx="15" formatCode="0">
                  <c:v>158.30199999999999</c:v>
                </c:pt>
                <c:pt idx="16" formatCode="0">
                  <c:v>161.245</c:v>
                </c:pt>
                <c:pt idx="17" formatCode="0">
                  <c:v>163.065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5D-4316-A973-B63CE94CB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2996127"/>
        <c:axId val="1814649631"/>
      </c:barChart>
      <c:lineChart>
        <c:grouping val="standard"/>
        <c:varyColors val="0"/>
        <c:ser>
          <c:idx val="2"/>
          <c:order val="2"/>
          <c:tx>
            <c:strRef>
              <c:f>'4. GHG intensity'!$A$5</c:f>
              <c:strCache>
                <c:ptCount val="1"/>
                <c:pt idx="0">
                  <c:v>GHG intensity (t CO2e/t)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'4. GHG intensity'!$B$2:$S$2</c:f>
              <c:strCache>
                <c:ptCount val="18"/>
                <c:pt idx="0">
                  <c:v>Source</c:v>
                </c:pt>
                <c:pt idx="1">
                  <c:v>Unit</c:v>
                </c:pt>
                <c:pt idx="2">
                  <c:v>2005</c:v>
                </c:pt>
                <c:pt idx="7">
                  <c:v>2010</c:v>
                </c:pt>
                <c:pt idx="12">
                  <c:v>2015</c:v>
                </c:pt>
                <c:pt idx="17">
                  <c:v>2020</c:v>
                </c:pt>
              </c:strCache>
            </c:strRef>
          </c:cat>
          <c:val>
            <c:numRef>
              <c:f>'4. GHG intensity'!$B$5:$S$5</c:f>
              <c:numCache>
                <c:formatCode>General</c:formatCode>
                <c:ptCount val="18"/>
                <c:pt idx="7" formatCode="0.0">
                  <c:v>0.67854877417816817</c:v>
                </c:pt>
                <c:pt idx="8" formatCode="0.0">
                  <c:v>0.66909942804062905</c:v>
                </c:pt>
                <c:pt idx="9" formatCode="0.0">
                  <c:v>0.67100047308286259</c:v>
                </c:pt>
                <c:pt idx="10" formatCode="0.0">
                  <c:v>0.66772628138067769</c:v>
                </c:pt>
                <c:pt idx="11" formatCode="0.0">
                  <c:v>0.65521746831606142</c:v>
                </c:pt>
                <c:pt idx="12" formatCode="0.0">
                  <c:v>0.64787333063234109</c:v>
                </c:pt>
                <c:pt idx="13" formatCode="0.0">
                  <c:v>0.64200432516863226</c:v>
                </c:pt>
                <c:pt idx="14" formatCode="0.0">
                  <c:v>0.63709821920215426</c:v>
                </c:pt>
                <c:pt idx="15" formatCode="0.0">
                  <c:v>0.62303346506310731</c:v>
                </c:pt>
                <c:pt idx="16" formatCode="0.0">
                  <c:v>0.6090223167822878</c:v>
                </c:pt>
                <c:pt idx="17" formatCode="0.0">
                  <c:v>0.60487868697047187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5D-4316-A973-B63CE94CB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14143"/>
        <c:axId val="393009823"/>
      </c:lineChart>
      <c:catAx>
        <c:axId val="3299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814649631"/>
        <c:crosses val="autoZero"/>
        <c:auto val="1"/>
        <c:lblAlgn val="ctr"/>
        <c:lblOffset val="100"/>
        <c:noMultiLvlLbl val="0"/>
      </c:catAx>
      <c:valAx>
        <c:axId val="1814649631"/>
        <c:scaling>
          <c:orientation val="minMax"/>
          <c:max val="2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Mt product or Mt CO2e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2996127"/>
        <c:crosses val="autoZero"/>
        <c:crossBetween val="between"/>
        <c:majorUnit val="100"/>
      </c:valAx>
      <c:valAx>
        <c:axId val="393009823"/>
        <c:scaling>
          <c:orientation val="minMax"/>
          <c:max val="0.75000000000000011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 CO2e/t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93014143"/>
        <c:crosses val="max"/>
        <c:crossBetween val="between"/>
        <c:majorUnit val="0.25"/>
      </c:valAx>
      <c:catAx>
        <c:axId val="3930141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30098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Bovine meat</a:t>
            </a:r>
            <a:endParaRPr lang="en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'4. GHG intensity'!$A$3</c:f>
              <c:strCache>
                <c:ptCount val="1"/>
                <c:pt idx="0">
                  <c:v>GHG emissions (Mt CO2e)</c:v>
                </c:pt>
              </c:strCache>
            </c:strRef>
          </c:tx>
          <c:spPr>
            <a:solidFill>
              <a:srgbClr val="F26119"/>
            </a:solidFill>
            <a:ln>
              <a:noFill/>
            </a:ln>
            <a:effectLst/>
          </c:spPr>
          <c:invertIfNegative val="0"/>
          <c:cat>
            <c:strRef>
              <c:f>'4. GHG intensity'!$B$2:$S$2</c:f>
              <c:strCache>
                <c:ptCount val="18"/>
                <c:pt idx="0">
                  <c:v>Source</c:v>
                </c:pt>
                <c:pt idx="1">
                  <c:v>Unit</c:v>
                </c:pt>
                <c:pt idx="2">
                  <c:v>2005</c:v>
                </c:pt>
                <c:pt idx="7">
                  <c:v>2010</c:v>
                </c:pt>
                <c:pt idx="12">
                  <c:v>2015</c:v>
                </c:pt>
                <c:pt idx="17">
                  <c:v>2020</c:v>
                </c:pt>
              </c:strCache>
            </c:strRef>
          </c:cat>
          <c:val>
            <c:numRef>
              <c:f>'4. GHG intensity'!$B$11:$S$11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7" formatCode="0">
                  <c:v>102.54706336877999</c:v>
                </c:pt>
                <c:pt idx="8" formatCode="0">
                  <c:v>100.86609832608001</c:v>
                </c:pt>
                <c:pt idx="9" formatCode="0">
                  <c:v>101.0875467795</c:v>
                </c:pt>
                <c:pt idx="10" formatCode="0">
                  <c:v>101.55799577214</c:v>
                </c:pt>
                <c:pt idx="11" formatCode="0">
                  <c:v>102.10482552912002</c:v>
                </c:pt>
                <c:pt idx="12" formatCode="0">
                  <c:v>103.13450938555999</c:v>
                </c:pt>
                <c:pt idx="13" formatCode="0">
                  <c:v>103.76937428156</c:v>
                </c:pt>
                <c:pt idx="14" formatCode="0">
                  <c:v>103.84929777522001</c:v>
                </c:pt>
                <c:pt idx="15" formatCode="0">
                  <c:v>103.26174816984</c:v>
                </c:pt>
                <c:pt idx="16" formatCode="0">
                  <c:v>101.69848759764001</c:v>
                </c:pt>
                <c:pt idx="17" formatCode="0">
                  <c:v>100.80836368928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0A-4291-9A97-29FD12B6CD9C}"/>
            </c:ext>
          </c:extLst>
        </c:ser>
        <c:ser>
          <c:idx val="1"/>
          <c:order val="1"/>
          <c:tx>
            <c:strRef>
              <c:f>'4. GHG intensity'!$A$4</c:f>
              <c:strCache>
                <c:ptCount val="1"/>
                <c:pt idx="0">
                  <c:v>Production (Mt)</c:v>
                </c:pt>
              </c:strCache>
            </c:strRef>
          </c:tx>
          <c:spPr>
            <a:solidFill>
              <a:srgbClr val="3D5584"/>
            </a:solidFill>
            <a:ln>
              <a:noFill/>
            </a:ln>
            <a:effectLst/>
          </c:spPr>
          <c:invertIfNegative val="0"/>
          <c:cat>
            <c:strRef>
              <c:f>'4. GHG intensity'!$B$2:$S$2</c:f>
              <c:strCache>
                <c:ptCount val="18"/>
                <c:pt idx="0">
                  <c:v>Source</c:v>
                </c:pt>
                <c:pt idx="1">
                  <c:v>Unit</c:v>
                </c:pt>
                <c:pt idx="2">
                  <c:v>2005</c:v>
                </c:pt>
                <c:pt idx="7">
                  <c:v>2010</c:v>
                </c:pt>
                <c:pt idx="12">
                  <c:v>2015</c:v>
                </c:pt>
                <c:pt idx="17">
                  <c:v>2020</c:v>
                </c:pt>
              </c:strCache>
            </c:strRef>
          </c:cat>
          <c:val>
            <c:numRef>
              <c:f>'4. GHG intensity'!$B$12:$S$12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7" formatCode="0">
                  <c:v>7.2569999999999997</c:v>
                </c:pt>
                <c:pt idx="8" formatCode="0">
                  <c:v>7.1260000000000003</c:v>
                </c:pt>
                <c:pt idx="9" formatCode="0">
                  <c:v>6.8570000000000002</c:v>
                </c:pt>
                <c:pt idx="10" formatCode="0">
                  <c:v>6.5670000000000002</c:v>
                </c:pt>
                <c:pt idx="11" formatCode="0">
                  <c:v>6.5970000000000004</c:v>
                </c:pt>
                <c:pt idx="12" formatCode="0">
                  <c:v>6.827</c:v>
                </c:pt>
                <c:pt idx="13" formatCode="0">
                  <c:v>6.9989999999999997</c:v>
                </c:pt>
                <c:pt idx="14" formatCode="0">
                  <c:v>6.9930000000000003</c:v>
                </c:pt>
                <c:pt idx="15" formatCode="0">
                  <c:v>7.1120000000000001</c:v>
                </c:pt>
                <c:pt idx="16" formatCode="0">
                  <c:v>6.9989999999999997</c:v>
                </c:pt>
                <c:pt idx="17" formatCode="0">
                  <c:v>6.9359999999999999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0A-4291-9A97-29FD12B6C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2996127"/>
        <c:axId val="1814649631"/>
      </c:barChart>
      <c:lineChart>
        <c:grouping val="standard"/>
        <c:varyColors val="0"/>
        <c:ser>
          <c:idx val="2"/>
          <c:order val="2"/>
          <c:tx>
            <c:strRef>
              <c:f>'4. GHG intensity'!$A$13</c:f>
              <c:strCache>
                <c:ptCount val="1"/>
                <c:pt idx="0">
                  <c:v>GHG intensity (t CO2e/t)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'4. GHG intensity'!$B$2:$S$2</c:f>
              <c:strCache>
                <c:ptCount val="18"/>
                <c:pt idx="0">
                  <c:v>Source</c:v>
                </c:pt>
                <c:pt idx="1">
                  <c:v>Unit</c:v>
                </c:pt>
                <c:pt idx="2">
                  <c:v>2005</c:v>
                </c:pt>
                <c:pt idx="7">
                  <c:v>2010</c:v>
                </c:pt>
                <c:pt idx="12">
                  <c:v>2015</c:v>
                </c:pt>
                <c:pt idx="17">
                  <c:v>2020</c:v>
                </c:pt>
              </c:strCache>
            </c:strRef>
          </c:cat>
          <c:val>
            <c:numRef>
              <c:f>'4. GHG intensity'!$B$13:$S$13</c:f>
              <c:numCache>
                <c:formatCode>General</c:formatCode>
                <c:ptCount val="18"/>
                <c:pt idx="7" formatCode="0">
                  <c:v>14.13077902284415</c:v>
                </c:pt>
                <c:pt idx="8" formatCode="0">
                  <c:v>14.154658760325569</c:v>
                </c:pt>
                <c:pt idx="9" formatCode="0">
                  <c:v>14.742241035365319</c:v>
                </c:pt>
                <c:pt idx="10" formatCode="0">
                  <c:v>15.464899615066241</c:v>
                </c:pt>
                <c:pt idx="11" formatCode="0">
                  <c:v>15.477463321073218</c:v>
                </c:pt>
                <c:pt idx="12" formatCode="0">
                  <c:v>15.106856508797421</c:v>
                </c:pt>
                <c:pt idx="13" formatCode="0">
                  <c:v>14.826314370847266</c:v>
                </c:pt>
                <c:pt idx="14" formatCode="0">
                  <c:v>14.850464432320893</c:v>
                </c:pt>
                <c:pt idx="15" formatCode="0">
                  <c:v>14.519368415331835</c:v>
                </c:pt>
                <c:pt idx="16" formatCode="0">
                  <c:v>14.530431146969569</c:v>
                </c:pt>
                <c:pt idx="17" formatCode="0">
                  <c:v>14.534077809873127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0A-4291-9A97-29FD12B6C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14143"/>
        <c:axId val="393009823"/>
      </c:lineChart>
      <c:catAx>
        <c:axId val="3299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814649631"/>
        <c:crosses val="autoZero"/>
        <c:auto val="1"/>
        <c:lblAlgn val="ctr"/>
        <c:lblOffset val="100"/>
        <c:noMultiLvlLbl val="0"/>
      </c:catAx>
      <c:valAx>
        <c:axId val="1814649631"/>
        <c:scaling>
          <c:orientation val="minMax"/>
          <c:max val="1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Mt product or Mt CO2e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2996127"/>
        <c:crosses val="autoZero"/>
        <c:crossBetween val="between"/>
        <c:majorUnit val="50"/>
      </c:valAx>
      <c:valAx>
        <c:axId val="393009823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 CO2e/t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93014143"/>
        <c:crosses val="max"/>
        <c:crossBetween val="between"/>
        <c:majorUnit val="10"/>
      </c:valAx>
      <c:catAx>
        <c:axId val="3930141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30098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Pig meat</a:t>
            </a:r>
            <a:endParaRPr lang="en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'4. GHG intensity'!$A$3</c:f>
              <c:strCache>
                <c:ptCount val="1"/>
                <c:pt idx="0">
                  <c:v>GHG emissions (Mt CO2e)</c:v>
                </c:pt>
              </c:strCache>
            </c:strRef>
          </c:tx>
          <c:spPr>
            <a:solidFill>
              <a:srgbClr val="F26119"/>
            </a:solidFill>
            <a:ln>
              <a:noFill/>
            </a:ln>
            <a:effectLst/>
          </c:spPr>
          <c:invertIfNegative val="0"/>
          <c:cat>
            <c:strRef>
              <c:f>'4. GHG intensity'!$B$2:$S$2</c:f>
              <c:strCache>
                <c:ptCount val="18"/>
                <c:pt idx="0">
                  <c:v>Source</c:v>
                </c:pt>
                <c:pt idx="1">
                  <c:v>Unit</c:v>
                </c:pt>
                <c:pt idx="2">
                  <c:v>2005</c:v>
                </c:pt>
                <c:pt idx="7">
                  <c:v>2010</c:v>
                </c:pt>
                <c:pt idx="12">
                  <c:v>2015</c:v>
                </c:pt>
                <c:pt idx="17">
                  <c:v>2020</c:v>
                </c:pt>
              </c:strCache>
            </c:strRef>
          </c:cat>
          <c:val>
            <c:numRef>
              <c:f>'4. GHG intensity'!$B$19:$S$19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7" formatCode="0">
                  <c:v>30.015658451371763</c:v>
                </c:pt>
                <c:pt idx="8" formatCode="0">
                  <c:v>30.069211987833313</c:v>
                </c:pt>
                <c:pt idx="9" formatCode="0">
                  <c:v>29.046903074402564</c:v>
                </c:pt>
                <c:pt idx="10" formatCode="0">
                  <c:v>28.23512302549743</c:v>
                </c:pt>
                <c:pt idx="11" formatCode="0">
                  <c:v>28.725671877967937</c:v>
                </c:pt>
                <c:pt idx="12" formatCode="0">
                  <c:v>29.003392201070348</c:v>
                </c:pt>
                <c:pt idx="13" formatCode="0">
                  <c:v>28.761486402795164</c:v>
                </c:pt>
                <c:pt idx="14" formatCode="0">
                  <c:v>29.033235553166339</c:v>
                </c:pt>
                <c:pt idx="15" formatCode="0">
                  <c:v>28.991728545910767</c:v>
                </c:pt>
                <c:pt idx="16" formatCode="0">
                  <c:v>28.77776821153828</c:v>
                </c:pt>
                <c:pt idx="17" formatCode="0">
                  <c:v>29.34313577185593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48-492B-A704-A73064151013}"/>
            </c:ext>
          </c:extLst>
        </c:ser>
        <c:ser>
          <c:idx val="1"/>
          <c:order val="1"/>
          <c:tx>
            <c:strRef>
              <c:f>'4. GHG intensity'!$A$4</c:f>
              <c:strCache>
                <c:ptCount val="1"/>
                <c:pt idx="0">
                  <c:v>Production (Mt)</c:v>
                </c:pt>
              </c:strCache>
            </c:strRef>
          </c:tx>
          <c:spPr>
            <a:solidFill>
              <a:srgbClr val="3D5584"/>
            </a:solidFill>
            <a:ln>
              <a:noFill/>
            </a:ln>
            <a:effectLst/>
          </c:spPr>
          <c:invertIfNegative val="0"/>
          <c:cat>
            <c:strRef>
              <c:f>'4. GHG intensity'!$B$2:$S$2</c:f>
              <c:strCache>
                <c:ptCount val="18"/>
                <c:pt idx="0">
                  <c:v>Source</c:v>
                </c:pt>
                <c:pt idx="1">
                  <c:v>Unit</c:v>
                </c:pt>
                <c:pt idx="2">
                  <c:v>2005</c:v>
                </c:pt>
                <c:pt idx="7">
                  <c:v>2010</c:v>
                </c:pt>
                <c:pt idx="12">
                  <c:v>2015</c:v>
                </c:pt>
                <c:pt idx="17">
                  <c:v>2020</c:v>
                </c:pt>
              </c:strCache>
            </c:strRef>
          </c:cat>
          <c:val>
            <c:numRef>
              <c:f>'4. GHG intensity'!$B$20:$S$20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7" formatCode="0">
                  <c:v>22.224</c:v>
                </c:pt>
                <c:pt idx="8" formatCode="0">
                  <c:v>22.457000000000001</c:v>
                </c:pt>
                <c:pt idx="9" formatCode="0">
                  <c:v>22.001999999999999</c:v>
                </c:pt>
                <c:pt idx="10" formatCode="0">
                  <c:v>21.686</c:v>
                </c:pt>
                <c:pt idx="11" formatCode="0">
                  <c:v>21.745999999999999</c:v>
                </c:pt>
                <c:pt idx="12" formatCode="0">
                  <c:v>22.568999999999999</c:v>
                </c:pt>
                <c:pt idx="13" formatCode="0">
                  <c:v>22.946000000000002</c:v>
                </c:pt>
                <c:pt idx="14" formatCode="0">
                  <c:v>22.824000000000002</c:v>
                </c:pt>
                <c:pt idx="15" formatCode="0">
                  <c:v>23.222999999999999</c:v>
                </c:pt>
                <c:pt idx="16" formatCode="0">
                  <c:v>22.995999999999999</c:v>
                </c:pt>
                <c:pt idx="17" formatCode="0">
                  <c:v>23.219000000000001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48-492B-A704-A73064151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2996127"/>
        <c:axId val="1814649631"/>
      </c:barChart>
      <c:lineChart>
        <c:grouping val="standard"/>
        <c:varyColors val="0"/>
        <c:ser>
          <c:idx val="2"/>
          <c:order val="2"/>
          <c:tx>
            <c:strRef>
              <c:f>'4. GHG intensity'!$A$21</c:f>
              <c:strCache>
                <c:ptCount val="1"/>
                <c:pt idx="0">
                  <c:v>GHG intensity (t CO2e/t)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'4. GHG intensity'!$B$2:$S$2</c:f>
              <c:strCache>
                <c:ptCount val="18"/>
                <c:pt idx="0">
                  <c:v>Source</c:v>
                </c:pt>
                <c:pt idx="1">
                  <c:v>Unit</c:v>
                </c:pt>
                <c:pt idx="2">
                  <c:v>2005</c:v>
                </c:pt>
                <c:pt idx="7">
                  <c:v>2010</c:v>
                </c:pt>
                <c:pt idx="12">
                  <c:v>2015</c:v>
                </c:pt>
                <c:pt idx="17">
                  <c:v>2020</c:v>
                </c:pt>
              </c:strCache>
            </c:strRef>
          </c:cat>
          <c:val>
            <c:numRef>
              <c:f>'4. GHG intensity'!$B$21:$S$21</c:f>
              <c:numCache>
                <c:formatCode>General</c:formatCode>
                <c:ptCount val="18"/>
                <c:pt idx="7" formatCode="0.0">
                  <c:v>1.3505965825851225</c:v>
                </c:pt>
                <c:pt idx="8" formatCode="0.0">
                  <c:v>1.3389683389514766</c:v>
                </c:pt>
                <c:pt idx="9" formatCode="0.0">
                  <c:v>1.3201937584947989</c:v>
                </c:pt>
                <c:pt idx="10" formatCode="0.0">
                  <c:v>1.3019977416534829</c:v>
                </c:pt>
                <c:pt idx="11" formatCode="0.0">
                  <c:v>1.3209634819262366</c:v>
                </c:pt>
                <c:pt idx="12" formatCode="0.0">
                  <c:v>1.2850986840830496</c:v>
                </c:pt>
                <c:pt idx="13" formatCode="0.0">
                  <c:v>1.2534422732848933</c:v>
                </c:pt>
                <c:pt idx="14" formatCode="0.0">
                  <c:v>1.2720485258134568</c:v>
                </c:pt>
                <c:pt idx="15" formatCode="0.0">
                  <c:v>1.2484058280976087</c:v>
                </c:pt>
                <c:pt idx="16" formatCode="0.0">
                  <c:v>1.2514249526673458</c:v>
                </c:pt>
                <c:pt idx="17" formatCode="0.0">
                  <c:v>1.2637553629293221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48-492B-A704-A73064151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14143"/>
        <c:axId val="393009823"/>
      </c:lineChart>
      <c:catAx>
        <c:axId val="3299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814649631"/>
        <c:crosses val="autoZero"/>
        <c:auto val="1"/>
        <c:lblAlgn val="ctr"/>
        <c:lblOffset val="100"/>
        <c:noMultiLvlLbl val="0"/>
      </c:catAx>
      <c:valAx>
        <c:axId val="1814649631"/>
        <c:scaling>
          <c:orientation val="minMax"/>
          <c:max val="3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Mt product or Mt CO2e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2996127"/>
        <c:crosses val="autoZero"/>
        <c:crossBetween val="between"/>
        <c:majorUnit val="10"/>
      </c:valAx>
      <c:valAx>
        <c:axId val="393009823"/>
        <c:scaling>
          <c:orientation val="minMax"/>
          <c:max val="1.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 CO2e/t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93014143"/>
        <c:crosses val="max"/>
        <c:crossBetween val="between"/>
        <c:majorUnit val="0.5"/>
      </c:valAx>
      <c:catAx>
        <c:axId val="3930141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30098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'5. Fertilizer use'!$A$4</c:f>
              <c:strCache>
                <c:ptCount val="1"/>
                <c:pt idx="0">
                  <c:v>Inorganic</c:v>
                </c:pt>
              </c:strCache>
            </c:strRef>
          </c:tx>
          <c:spPr>
            <a:solidFill>
              <a:srgbClr val="3D5584"/>
            </a:solidFill>
            <a:ln>
              <a:noFill/>
            </a:ln>
            <a:effectLst/>
          </c:spPr>
          <c:invertIfNegative val="0"/>
          <c:cat>
            <c:strRef>
              <c:f>'5. Fertilizer use'!$B$2:$AC$2</c:f>
              <c:strCache>
                <c:ptCount val="28"/>
                <c:pt idx="0">
                  <c:v>Source</c:v>
                </c:pt>
                <c:pt idx="1">
                  <c:v>Unit</c:v>
                </c:pt>
                <c:pt idx="2">
                  <c:v>2005</c:v>
                </c:pt>
                <c:pt idx="7">
                  <c:v>2010</c:v>
                </c:pt>
                <c:pt idx="12">
                  <c:v>2015</c:v>
                </c:pt>
                <c:pt idx="17">
                  <c:v>2020</c:v>
                </c:pt>
                <c:pt idx="22">
                  <c:v>2025</c:v>
                </c:pt>
                <c:pt idx="27">
                  <c:v>2030</c:v>
                </c:pt>
              </c:strCache>
            </c:strRef>
          </c:cat>
          <c:val>
            <c:numRef>
              <c:f>'5. Fertilizer use'!$B$4:$AC$4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 formatCode="0">
                  <c:v>9.972314315540503</c:v>
                </c:pt>
                <c:pt idx="3" formatCode="0">
                  <c:v>9.8864533936740138</c:v>
                </c:pt>
                <c:pt idx="4" formatCode="0">
                  <c:v>10.015004471145598</c:v>
                </c:pt>
                <c:pt idx="5" formatCode="0">
                  <c:v>9.8337052097925337</c:v>
                </c:pt>
                <c:pt idx="6" formatCode="0">
                  <c:v>9.3564788551271949</c:v>
                </c:pt>
                <c:pt idx="7" formatCode="0">
                  <c:v>9.4495828476846739</c:v>
                </c:pt>
                <c:pt idx="8" formatCode="0">
                  <c:v>9.6150922497303739</c:v>
                </c:pt>
                <c:pt idx="9" formatCode="0">
                  <c:v>9.7296805559994581</c:v>
                </c:pt>
                <c:pt idx="10" formatCode="0">
                  <c:v>9.8513727146858425</c:v>
                </c:pt>
                <c:pt idx="11" formatCode="0">
                  <c:v>10.06780302304376</c:v>
                </c:pt>
                <c:pt idx="12" formatCode="0">
                  <c:v>10.243902261147205</c:v>
                </c:pt>
                <c:pt idx="13" formatCode="0">
                  <c:v>10.344739177168147</c:v>
                </c:pt>
                <c:pt idx="14" formatCode="0">
                  <c:v>10.500076044018597</c:v>
                </c:pt>
                <c:pt idx="15" formatCode="0">
                  <c:v>10.354157828782753</c:v>
                </c:pt>
                <c:pt idx="16" formatCode="0">
                  <c:v>9.8697320529513259</c:v>
                </c:pt>
                <c:pt idx="17" formatCode="0">
                  <c:v>9.9890406282045188</c:v>
                </c:pt>
                <c:pt idx="18" formatCode="0">
                  <c:v>9.8448345997613629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B8-44F0-A3F8-3070AF3DF448}"/>
            </c:ext>
          </c:extLst>
        </c:ser>
        <c:ser>
          <c:idx val="2"/>
          <c:order val="2"/>
          <c:tx>
            <c:strRef>
              <c:f>'5. Fertilizer use'!$A$5</c:f>
              <c:strCache>
                <c:ptCount val="1"/>
                <c:pt idx="0">
                  <c:v>Organic</c:v>
                </c:pt>
              </c:strCache>
            </c:strRef>
          </c:tx>
          <c:spPr>
            <a:solidFill>
              <a:srgbClr val="8EC26A"/>
            </a:solidFill>
            <a:ln>
              <a:noFill/>
            </a:ln>
            <a:effectLst/>
          </c:spPr>
          <c:invertIfNegative val="0"/>
          <c:cat>
            <c:strRef>
              <c:f>'5. Fertilizer use'!$B$2:$AC$2</c:f>
              <c:strCache>
                <c:ptCount val="28"/>
                <c:pt idx="0">
                  <c:v>Source</c:v>
                </c:pt>
                <c:pt idx="1">
                  <c:v>Unit</c:v>
                </c:pt>
                <c:pt idx="2">
                  <c:v>2005</c:v>
                </c:pt>
                <c:pt idx="7">
                  <c:v>2010</c:v>
                </c:pt>
                <c:pt idx="12">
                  <c:v>2015</c:v>
                </c:pt>
                <c:pt idx="17">
                  <c:v>2020</c:v>
                </c:pt>
                <c:pt idx="22">
                  <c:v>2025</c:v>
                </c:pt>
                <c:pt idx="27">
                  <c:v>2030</c:v>
                </c:pt>
              </c:strCache>
            </c:strRef>
          </c:cat>
          <c:val>
            <c:numRef>
              <c:f>'5. Fertilizer use'!$B$5:$AC$5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 formatCode="0">
                  <c:v>4.9282262531857537</c:v>
                </c:pt>
                <c:pt idx="3" formatCode="0">
                  <c:v>4.9211950331084431</c:v>
                </c:pt>
                <c:pt idx="4" formatCode="0">
                  <c:v>4.9945167674943916</c:v>
                </c:pt>
                <c:pt idx="5" formatCode="0">
                  <c:v>4.9497454910218037</c:v>
                </c:pt>
                <c:pt idx="6" formatCode="0">
                  <c:v>4.9476869070516303</c:v>
                </c:pt>
                <c:pt idx="7" formatCode="0">
                  <c:v>4.9180303298911836</c:v>
                </c:pt>
                <c:pt idx="8" formatCode="0">
                  <c:v>4.9833468098190163</c:v>
                </c:pt>
                <c:pt idx="9" formatCode="0">
                  <c:v>4.9906843648430064</c:v>
                </c:pt>
                <c:pt idx="10" formatCode="0">
                  <c:v>5.0485837890024925</c:v>
                </c:pt>
                <c:pt idx="11" formatCode="0">
                  <c:v>5.1286708350250558</c:v>
                </c:pt>
                <c:pt idx="12" formatCode="0">
                  <c:v>5.1678390089337114</c:v>
                </c:pt>
                <c:pt idx="13" formatCode="0">
                  <c:v>5.1688688479314058</c:v>
                </c:pt>
                <c:pt idx="14" formatCode="0">
                  <c:v>5.2245312035355571</c:v>
                </c:pt>
                <c:pt idx="15" formatCode="0">
                  <c:v>5.2149780046139727</c:v>
                </c:pt>
                <c:pt idx="16" formatCode="0">
                  <c:v>5.1836708789811796</c:v>
                </c:pt>
                <c:pt idx="17" formatCode="0">
                  <c:v>5.2495704662737328</c:v>
                </c:pt>
                <c:pt idx="18" formatCode="0">
                  <c:v>5.164705092327817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B8-44F0-A3F8-3070AF3DF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539606559"/>
        <c:axId val="1539608959"/>
      </c:barChart>
      <c:lineChart>
        <c:grouping val="standard"/>
        <c:varyColors val="0"/>
        <c:ser>
          <c:idx val="0"/>
          <c:order val="0"/>
          <c:tx>
            <c:strRef>
              <c:f>'5. Fertilizer use'!$A$3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'5. Fertilizer use'!$B$2:$AC$2</c:f>
              <c:strCache>
                <c:ptCount val="28"/>
                <c:pt idx="0">
                  <c:v>Source</c:v>
                </c:pt>
                <c:pt idx="1">
                  <c:v>Unit</c:v>
                </c:pt>
                <c:pt idx="2">
                  <c:v>2005</c:v>
                </c:pt>
                <c:pt idx="7">
                  <c:v>2010</c:v>
                </c:pt>
                <c:pt idx="12">
                  <c:v>2015</c:v>
                </c:pt>
                <c:pt idx="17">
                  <c:v>2020</c:v>
                </c:pt>
                <c:pt idx="22">
                  <c:v>2025</c:v>
                </c:pt>
                <c:pt idx="27">
                  <c:v>2030</c:v>
                </c:pt>
              </c:strCache>
            </c:strRef>
          </c:cat>
          <c:val>
            <c:numRef>
              <c:f>'5. Fertilizer use'!$B$3:$AC$3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 formatCode="0">
                  <c:v>14.900540568726257</c:v>
                </c:pt>
                <c:pt idx="3" formatCode="0">
                  <c:v>14.807648426782457</c:v>
                </c:pt>
                <c:pt idx="4" formatCode="0">
                  <c:v>15.009521238639991</c:v>
                </c:pt>
                <c:pt idx="5" formatCode="0">
                  <c:v>14.783450700814338</c:v>
                </c:pt>
                <c:pt idx="6" formatCode="0">
                  <c:v>14.304165762178826</c:v>
                </c:pt>
                <c:pt idx="7" formatCode="0">
                  <c:v>14.367613177575858</c:v>
                </c:pt>
                <c:pt idx="8" formatCode="0">
                  <c:v>14.59843905954939</c:v>
                </c:pt>
                <c:pt idx="9" formatCode="0">
                  <c:v>14.720364920842464</c:v>
                </c:pt>
                <c:pt idx="10" formatCode="0">
                  <c:v>14.899956503688335</c:v>
                </c:pt>
                <c:pt idx="11" formatCode="0">
                  <c:v>15.196473858068817</c:v>
                </c:pt>
                <c:pt idx="12" formatCode="0">
                  <c:v>15.411741270080917</c:v>
                </c:pt>
                <c:pt idx="13" formatCode="0">
                  <c:v>15.513608025099554</c:v>
                </c:pt>
                <c:pt idx="14" formatCode="0">
                  <c:v>15.724607247554154</c:v>
                </c:pt>
                <c:pt idx="15" formatCode="0">
                  <c:v>15.569135833396725</c:v>
                </c:pt>
                <c:pt idx="16" formatCode="0">
                  <c:v>15.053402931932506</c:v>
                </c:pt>
                <c:pt idx="17" formatCode="0">
                  <c:v>15.238611094478252</c:v>
                </c:pt>
                <c:pt idx="18" formatCode="0">
                  <c:v>15.009539692089181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B8-44F0-A3F8-3070AF3DF448}"/>
            </c:ext>
          </c:extLst>
        </c:ser>
        <c:ser>
          <c:idx val="4"/>
          <c:order val="4"/>
          <c:tx>
            <c:strRef>
              <c:f>'5. Fertilizer use'!$A$7</c:f>
              <c:strCache>
                <c:ptCount val="1"/>
                <c:pt idx="0">
                  <c:v>2030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26119"/>
              </a:solidFill>
              <a:ln w="9525">
                <a:noFill/>
              </a:ln>
              <a:effectLst/>
            </c:spPr>
          </c:marker>
          <c:cat>
            <c:strRef>
              <c:f>'5. Fertilizer use'!$B$2:$AC$2</c:f>
              <c:strCache>
                <c:ptCount val="28"/>
                <c:pt idx="0">
                  <c:v>Source</c:v>
                </c:pt>
                <c:pt idx="1">
                  <c:v>Unit</c:v>
                </c:pt>
                <c:pt idx="2">
                  <c:v>2005</c:v>
                </c:pt>
                <c:pt idx="7">
                  <c:v>2010</c:v>
                </c:pt>
                <c:pt idx="12">
                  <c:v>2015</c:v>
                </c:pt>
                <c:pt idx="17">
                  <c:v>2020</c:v>
                </c:pt>
                <c:pt idx="22">
                  <c:v>2025</c:v>
                </c:pt>
                <c:pt idx="27">
                  <c:v>2030</c:v>
                </c:pt>
              </c:strCache>
            </c:strRef>
          </c:cat>
          <c:val>
            <c:numRef>
              <c:f>'5. Fertilizer use'!$B$7:$AC$7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7">
                  <c:v>12.190888875582601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FB8-44F0-A3F8-3070AF3DF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9606559"/>
        <c:axId val="1539608959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'5. Fertilizer use'!$A$8</c15:sqref>
                        </c15:formulaRef>
                      </c:ext>
                    </c:extLst>
                    <c:strCache>
                      <c:ptCount val="1"/>
                      <c:pt idx="0">
                        <c:v>linear trajectory</c:v>
                      </c:pt>
                    </c:strCache>
                  </c:strRef>
                </c:tx>
                <c:spPr>
                  <a:ln w="12700" cap="rnd">
                    <a:solidFill>
                      <a:sysClr val="windowText" lastClr="00000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'5. Fertilizer use'!$B$2:$AC$2</c15:sqref>
                        </c15:formulaRef>
                      </c:ext>
                    </c:extLst>
                    <c:strCache>
                      <c:ptCount val="28"/>
                      <c:pt idx="0">
                        <c:v>Source</c:v>
                      </c:pt>
                      <c:pt idx="1">
                        <c:v>Unit</c:v>
                      </c:pt>
                      <c:pt idx="2">
                        <c:v>2005</c:v>
                      </c:pt>
                      <c:pt idx="7">
                        <c:v>2010</c:v>
                      </c:pt>
                      <c:pt idx="12">
                        <c:v>2015</c:v>
                      </c:pt>
                      <c:pt idx="17">
                        <c:v>2020</c:v>
                      </c:pt>
                      <c:pt idx="22">
                        <c:v>2025</c:v>
                      </c:pt>
                      <c:pt idx="27">
                        <c:v>2030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'5. Fertilizer use'!$B$8:$AC$8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8" formatCode="0">
                        <c:v>15.009539692089181</c:v>
                      </c:pt>
                      <c:pt idx="19" formatCode="0">
                        <c:v>14.696356268032893</c:v>
                      </c:pt>
                      <c:pt idx="20" formatCode="0">
                        <c:v>14.383172843976606</c:v>
                      </c:pt>
                      <c:pt idx="21" formatCode="0">
                        <c:v>14.06998941992032</c:v>
                      </c:pt>
                      <c:pt idx="22" formatCode="0">
                        <c:v>13.756805995864035</c:v>
                      </c:pt>
                      <c:pt idx="23" formatCode="0">
                        <c:v>13.443622571807747</c:v>
                      </c:pt>
                      <c:pt idx="24" formatCode="0">
                        <c:v>13.13043914775146</c:v>
                      </c:pt>
                      <c:pt idx="25" formatCode="0">
                        <c:v>12.817255723695174</c:v>
                      </c:pt>
                      <c:pt idx="26" formatCode="0">
                        <c:v>12.504072299638889</c:v>
                      </c:pt>
                      <c:pt idx="27" formatCode="0">
                        <c:v>12.190888875582601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7FB8-44F0-A3F8-3070AF3DF448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'5. Fertilizer use'!$A$6</c:f>
              <c:strCache>
                <c:ptCount val="1"/>
                <c:pt idx="0">
                  <c:v>Use per ha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'5. Fertilizer use'!$B$2:$AC$2</c:f>
              <c:strCache>
                <c:ptCount val="28"/>
                <c:pt idx="0">
                  <c:v>Source</c:v>
                </c:pt>
                <c:pt idx="1">
                  <c:v>Unit</c:v>
                </c:pt>
                <c:pt idx="2">
                  <c:v>2005</c:v>
                </c:pt>
                <c:pt idx="7">
                  <c:v>2010</c:v>
                </c:pt>
                <c:pt idx="12">
                  <c:v>2015</c:v>
                </c:pt>
                <c:pt idx="17">
                  <c:v>2020</c:v>
                </c:pt>
                <c:pt idx="22">
                  <c:v>2025</c:v>
                </c:pt>
                <c:pt idx="27">
                  <c:v>2030</c:v>
                </c:pt>
              </c:strCache>
            </c:strRef>
          </c:cat>
          <c:val>
            <c:numRef>
              <c:f>'5. Fertilizer use'!$B$6:$AC$6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 formatCode="0">
                  <c:v>117.45414277323222</c:v>
                </c:pt>
                <c:pt idx="3" formatCode="0">
                  <c:v>117.06762695142443</c:v>
                </c:pt>
                <c:pt idx="4" formatCode="0">
                  <c:v>119.07668195932278</c:v>
                </c:pt>
                <c:pt idx="5" formatCode="0">
                  <c:v>117.60877346667201</c:v>
                </c:pt>
                <c:pt idx="6" formatCode="0">
                  <c:v>114.22170591443818</c:v>
                </c:pt>
                <c:pt idx="7" formatCode="0">
                  <c:v>115.33004819908989</c:v>
                </c:pt>
                <c:pt idx="8" formatCode="0">
                  <c:v>117.52718319131478</c:v>
                </c:pt>
                <c:pt idx="9" formatCode="0">
                  <c:v>118.79542266771342</c:v>
                </c:pt>
                <c:pt idx="10" formatCode="0">
                  <c:v>120.43704194060963</c:v>
                </c:pt>
                <c:pt idx="11" formatCode="0">
                  <c:v>123.27313660835372</c:v>
                </c:pt>
                <c:pt idx="12" formatCode="0">
                  <c:v>125.24701658522264</c:v>
                </c:pt>
                <c:pt idx="13" formatCode="0">
                  <c:v>126.38588491738248</c:v>
                </c:pt>
                <c:pt idx="14" formatCode="0">
                  <c:v>130.02691134295631</c:v>
                </c:pt>
                <c:pt idx="15" formatCode="0">
                  <c:v>127.91561418034603</c:v>
                </c:pt>
                <c:pt idx="16" formatCode="0">
                  <c:v>124.05878138211972</c:v>
                </c:pt>
                <c:pt idx="17" formatCode="0">
                  <c:v>125.62770833731746</c:v>
                </c:pt>
                <c:pt idx="18" formatCode="0">
                  <c:v>124.11401163265475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B8-44F0-A3F8-3070AF3DF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9628639"/>
        <c:axId val="1539610879"/>
      </c:lineChart>
      <c:catAx>
        <c:axId val="153960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1539608959"/>
        <c:crosses val="autoZero"/>
        <c:auto val="1"/>
        <c:lblAlgn val="ctr"/>
        <c:lblOffset val="100"/>
        <c:noMultiLvlLbl val="0"/>
      </c:catAx>
      <c:valAx>
        <c:axId val="1539608959"/>
        <c:scaling>
          <c:orientation val="minMax"/>
          <c:max val="2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US" b="1"/>
                  <a:t>Mt N</a:t>
                </a:r>
                <a:endParaRPr lang="en-DK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1539606559"/>
        <c:crosses val="autoZero"/>
        <c:crossBetween val="between"/>
        <c:majorUnit val="5"/>
      </c:valAx>
      <c:valAx>
        <c:axId val="1539610879"/>
        <c:scaling>
          <c:orientation val="minMax"/>
          <c:max val="15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US"/>
                  <a:t>kg N/ha</a:t>
                </a:r>
              </a:p>
              <a:p>
                <a:pPr>
                  <a:defRPr/>
                </a:pP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DK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1539628639"/>
        <c:crosses val="max"/>
        <c:crossBetween val="between"/>
        <c:majorUnit val="50"/>
      </c:valAx>
      <c:catAx>
        <c:axId val="15396286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39610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Segoe UI" panose="020B0502040204020203" pitchFamily="34" charset="0"/>
          <a:cs typeface="Segoe UI" panose="020B0502040204020203" pitchFamily="34" charset="0"/>
        </a:defRPr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Bovine meat</a:t>
            </a:r>
            <a:endParaRPr lang="en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>
        <c:manualLayout>
          <c:layoutTarget val="inner"/>
          <c:xMode val="edge"/>
          <c:yMode val="edge"/>
          <c:x val="0.22094351176809734"/>
          <c:y val="0.18752350770307863"/>
          <c:w val="0.70273272653459473"/>
          <c:h val="0.69221946232995324"/>
        </c:manualLayout>
      </c:layout>
      <c:lineChart>
        <c:grouping val="standard"/>
        <c:varyColors val="0"/>
        <c:ser>
          <c:idx val="0"/>
          <c:order val="0"/>
          <c:tx>
            <c:strRef>
              <c:f>'6. animal product consumption'!$A$4</c:f>
              <c:strCache>
                <c:ptCount val="1"/>
                <c:pt idx="0">
                  <c:v>Historic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'6. animal product consumption'!$D$3:$AR$3</c:f>
              <c:strCache>
                <c:ptCount val="41"/>
                <c:pt idx="0">
                  <c:v>`10</c:v>
                </c:pt>
                <c:pt idx="10">
                  <c:v>`20</c:v>
                </c:pt>
                <c:pt idx="20">
                  <c:v>´30</c:v>
                </c:pt>
                <c:pt idx="30">
                  <c:v>´40</c:v>
                </c:pt>
                <c:pt idx="40">
                  <c:v>´50</c:v>
                </c:pt>
              </c:strCache>
            </c:strRef>
          </c:cat>
          <c:val>
            <c:numRef>
              <c:f>'6. animal product consumption'!$D$4:$AR$4</c:f>
              <c:numCache>
                <c:formatCode>0</c:formatCode>
                <c:ptCount val="41"/>
                <c:pt idx="0">
                  <c:v>61.35</c:v>
                </c:pt>
                <c:pt idx="1">
                  <c:v>58.61</c:v>
                </c:pt>
                <c:pt idx="2">
                  <c:v>57.58</c:v>
                </c:pt>
                <c:pt idx="3">
                  <c:v>55.36</c:v>
                </c:pt>
                <c:pt idx="4">
                  <c:v>52.58</c:v>
                </c:pt>
                <c:pt idx="5">
                  <c:v>51.75</c:v>
                </c:pt>
                <c:pt idx="6">
                  <c:v>52.15</c:v>
                </c:pt>
                <c:pt idx="7">
                  <c:v>51.15</c:v>
                </c:pt>
                <c:pt idx="8">
                  <c:v>52.93</c:v>
                </c:pt>
                <c:pt idx="9">
                  <c:v>53.35</c:v>
                </c:pt>
                <c:pt idx="10">
                  <c:v>52.12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72-4391-BF01-ABCD03274103}"/>
            </c:ext>
          </c:extLst>
        </c:ser>
        <c:ser>
          <c:idx val="1"/>
          <c:order val="1"/>
          <c:tx>
            <c:strRef>
              <c:f>'6. animal product consumption'!$A$5</c:f>
              <c:strCache>
                <c:ptCount val="1"/>
                <c:pt idx="0">
                  <c:v>2050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3D5584"/>
              </a:solidFill>
              <a:ln w="9525">
                <a:noFill/>
              </a:ln>
              <a:effectLst/>
            </c:spPr>
          </c:marker>
          <c:cat>
            <c:strRef>
              <c:f>'6. animal product consumption'!$D$3:$AR$3</c:f>
              <c:strCache>
                <c:ptCount val="41"/>
                <c:pt idx="0">
                  <c:v>`10</c:v>
                </c:pt>
                <c:pt idx="10">
                  <c:v>`20</c:v>
                </c:pt>
                <c:pt idx="20">
                  <c:v>´30</c:v>
                </c:pt>
                <c:pt idx="30">
                  <c:v>´40</c:v>
                </c:pt>
                <c:pt idx="40">
                  <c:v>´50</c:v>
                </c:pt>
              </c:strCache>
            </c:strRef>
          </c:cat>
          <c:val>
            <c:numRef>
              <c:f>'6. animal product consumption'!$D$5:$AR$5</c:f>
              <c:numCache>
                <c:formatCode>0</c:formatCode>
                <c:ptCount val="41"/>
                <c:pt idx="40" formatCode="General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72-4391-BF01-ABCD03274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996127"/>
        <c:axId val="181464963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'6. animal product consumption'!$A$6</c15:sqref>
                        </c15:formulaRef>
                      </c:ext>
                    </c:extLst>
                    <c:strCache>
                      <c:ptCount val="1"/>
                      <c:pt idx="0">
                        <c:v>linear trajectory</c:v>
                      </c:pt>
                    </c:strCache>
                  </c:strRef>
                </c:tx>
                <c:spPr>
                  <a:ln w="12700" cap="rnd">
                    <a:solidFill>
                      <a:sysClr val="windowText" lastClr="00000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dPt>
                  <c:idx val="40"/>
                  <c:marker>
                    <c:symbol val="none"/>
                  </c:marker>
                  <c:bubble3D val="0"/>
                  <c:spPr>
                    <a:ln w="12700" cap="rnd">
                      <a:noFill/>
                      <a:prstDash val="sysDot"/>
                      <a:round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3-0B72-4391-BF01-ABCD03274103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'6. animal product consumption'!$D$3:$AR$3</c15:sqref>
                        </c15:formulaRef>
                      </c:ext>
                    </c:extLst>
                    <c:strCache>
                      <c:ptCount val="41"/>
                      <c:pt idx="0">
                        <c:v>`10</c:v>
                      </c:pt>
                      <c:pt idx="10">
                        <c:v>`20</c:v>
                      </c:pt>
                      <c:pt idx="20">
                        <c:v>´30</c:v>
                      </c:pt>
                      <c:pt idx="30">
                        <c:v>´40</c:v>
                      </c:pt>
                      <c:pt idx="40">
                        <c:v>´50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'6. animal product consumption'!$D$6:$AR$6</c15:sqref>
                        </c15:formulaRef>
                      </c:ext>
                    </c:extLst>
                    <c:numCache>
                      <c:formatCode>0</c:formatCode>
                      <c:ptCount val="41"/>
                      <c:pt idx="10">
                        <c:v>52.120000000000005</c:v>
                      </c:pt>
                      <c:pt idx="11">
                        <c:v>51.982666666666667</c:v>
                      </c:pt>
                      <c:pt idx="12">
                        <c:v>51.845333333333336</c:v>
                      </c:pt>
                      <c:pt idx="13">
                        <c:v>51.708000000000006</c:v>
                      </c:pt>
                      <c:pt idx="14">
                        <c:v>51.570666666666668</c:v>
                      </c:pt>
                      <c:pt idx="15">
                        <c:v>51.433333333333337</c:v>
                      </c:pt>
                      <c:pt idx="16">
                        <c:v>51.295999999999999</c:v>
                      </c:pt>
                      <c:pt idx="17">
                        <c:v>51.158666666666669</c:v>
                      </c:pt>
                      <c:pt idx="18">
                        <c:v>51.021333333333338</c:v>
                      </c:pt>
                      <c:pt idx="19">
                        <c:v>50.884</c:v>
                      </c:pt>
                      <c:pt idx="20">
                        <c:v>50.74666666666667</c:v>
                      </c:pt>
                      <c:pt idx="21">
                        <c:v>50.609333333333339</c:v>
                      </c:pt>
                      <c:pt idx="22">
                        <c:v>50.472000000000001</c:v>
                      </c:pt>
                      <c:pt idx="23">
                        <c:v>50.334666666666671</c:v>
                      </c:pt>
                      <c:pt idx="24">
                        <c:v>50.197333333333333</c:v>
                      </c:pt>
                      <c:pt idx="25">
                        <c:v>50.06</c:v>
                      </c:pt>
                      <c:pt idx="26">
                        <c:v>49.922666666666672</c:v>
                      </c:pt>
                      <c:pt idx="27">
                        <c:v>49.785333333333334</c:v>
                      </c:pt>
                      <c:pt idx="28">
                        <c:v>49.648000000000003</c:v>
                      </c:pt>
                      <c:pt idx="29">
                        <c:v>49.510666666666673</c:v>
                      </c:pt>
                      <c:pt idx="30">
                        <c:v>49.373333333333335</c:v>
                      </c:pt>
                      <c:pt idx="31">
                        <c:v>49.236000000000004</c:v>
                      </c:pt>
                      <c:pt idx="32">
                        <c:v>49.098666666666674</c:v>
                      </c:pt>
                      <c:pt idx="33">
                        <c:v>48.961333333333336</c:v>
                      </c:pt>
                      <c:pt idx="34">
                        <c:v>48.824000000000005</c:v>
                      </c:pt>
                      <c:pt idx="35">
                        <c:v>48.686666666666667</c:v>
                      </c:pt>
                      <c:pt idx="36">
                        <c:v>48.549333333333337</c:v>
                      </c:pt>
                      <c:pt idx="37">
                        <c:v>48.412000000000006</c:v>
                      </c:pt>
                      <c:pt idx="38">
                        <c:v>48.274666666666668</c:v>
                      </c:pt>
                      <c:pt idx="39">
                        <c:v>48.137333333333338</c:v>
                      </c:pt>
                      <c:pt idx="40">
                        <c:v>48.000000000000007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0B72-4391-BF01-ABCD03274103}"/>
                  </c:ext>
                </c:extLst>
              </c15:ser>
            </c15:filteredLineSeries>
          </c:ext>
        </c:extLst>
      </c:lineChart>
      <c:catAx>
        <c:axId val="3299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814649631"/>
        <c:crosses val="autoZero"/>
        <c:auto val="1"/>
        <c:lblAlgn val="ctr"/>
        <c:lblOffset val="100"/>
        <c:noMultiLvlLbl val="0"/>
      </c:catAx>
      <c:valAx>
        <c:axId val="1814649631"/>
        <c:scaling>
          <c:orientation val="minMax"/>
          <c:max val="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kcal/cap/day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2996127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Dairy products</a:t>
            </a:r>
            <a:endParaRPr lang="en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'6. animal product consumption'!$A$4</c:f>
              <c:strCache>
                <c:ptCount val="1"/>
                <c:pt idx="0">
                  <c:v>Historic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'6. animal product consumption'!$D$3:$AR$3</c:f>
              <c:strCache>
                <c:ptCount val="41"/>
                <c:pt idx="0">
                  <c:v>`10</c:v>
                </c:pt>
                <c:pt idx="10">
                  <c:v>`20</c:v>
                </c:pt>
                <c:pt idx="20">
                  <c:v>´30</c:v>
                </c:pt>
                <c:pt idx="30">
                  <c:v>´40</c:v>
                </c:pt>
                <c:pt idx="40">
                  <c:v>´50</c:v>
                </c:pt>
              </c:strCache>
            </c:strRef>
          </c:cat>
          <c:val>
            <c:numRef>
              <c:f>'6. animal product consumption'!$D$14:$AR$14</c:f>
              <c:numCache>
                <c:formatCode>0</c:formatCode>
                <c:ptCount val="41"/>
                <c:pt idx="0">
                  <c:v>445.86</c:v>
                </c:pt>
                <c:pt idx="1">
                  <c:v>449.11</c:v>
                </c:pt>
                <c:pt idx="2">
                  <c:v>445.83</c:v>
                </c:pt>
                <c:pt idx="3">
                  <c:v>446.01</c:v>
                </c:pt>
                <c:pt idx="4">
                  <c:v>448.15</c:v>
                </c:pt>
                <c:pt idx="5">
                  <c:v>454.4</c:v>
                </c:pt>
                <c:pt idx="6">
                  <c:v>459.88</c:v>
                </c:pt>
                <c:pt idx="7">
                  <c:v>464.47999999999996</c:v>
                </c:pt>
                <c:pt idx="8">
                  <c:v>475.64</c:v>
                </c:pt>
                <c:pt idx="9">
                  <c:v>535.85</c:v>
                </c:pt>
                <c:pt idx="10">
                  <c:v>545.11</c:v>
                </c:pt>
                <c:pt idx="11">
                  <c:v>550.38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A4-4FA5-AC96-4950CE7D3E3D}"/>
            </c:ext>
          </c:extLst>
        </c:ser>
        <c:ser>
          <c:idx val="1"/>
          <c:order val="1"/>
          <c:tx>
            <c:strRef>
              <c:f>'6. animal product consumption'!$A$5</c:f>
              <c:strCache>
                <c:ptCount val="1"/>
                <c:pt idx="0">
                  <c:v>2050 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D5584"/>
              </a:solidFill>
              <a:ln w="9525">
                <a:noFill/>
              </a:ln>
              <a:effectLst/>
            </c:spPr>
          </c:marker>
          <c:cat>
            <c:strRef>
              <c:f>'6. animal product consumption'!$D$3:$AR$3</c:f>
              <c:strCache>
                <c:ptCount val="41"/>
                <c:pt idx="0">
                  <c:v>`10</c:v>
                </c:pt>
                <c:pt idx="10">
                  <c:v>`20</c:v>
                </c:pt>
                <c:pt idx="20">
                  <c:v>´30</c:v>
                </c:pt>
                <c:pt idx="30">
                  <c:v>´40</c:v>
                </c:pt>
                <c:pt idx="40">
                  <c:v>´50</c:v>
                </c:pt>
              </c:strCache>
            </c:strRef>
          </c:cat>
          <c:val>
            <c:numRef>
              <c:f>'6. animal product consumption'!$D$15:$AR$15</c:f>
              <c:numCache>
                <c:formatCode>0</c:formatCode>
                <c:ptCount val="41"/>
                <c:pt idx="40" formatCode="General">
                  <c:v>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A4-4FA5-AC96-4950CE7D3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996127"/>
        <c:axId val="181464963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'6. animal product consumption'!$A$6</c15:sqref>
                        </c15:formulaRef>
                      </c:ext>
                    </c:extLst>
                    <c:strCache>
                      <c:ptCount val="1"/>
                      <c:pt idx="0">
                        <c:v>linear trajectory</c:v>
                      </c:pt>
                    </c:strCache>
                  </c:strRef>
                </c:tx>
                <c:spPr>
                  <a:ln w="19050" cap="rnd">
                    <a:solidFill>
                      <a:sysClr val="windowText" lastClr="00000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'6. animal product consumption'!$D$3:$AR$3</c15:sqref>
                        </c15:formulaRef>
                      </c:ext>
                    </c:extLst>
                    <c:strCache>
                      <c:ptCount val="41"/>
                      <c:pt idx="0">
                        <c:v>`10</c:v>
                      </c:pt>
                      <c:pt idx="10">
                        <c:v>`20</c:v>
                      </c:pt>
                      <c:pt idx="20">
                        <c:v>´30</c:v>
                      </c:pt>
                      <c:pt idx="30">
                        <c:v>´40</c:v>
                      </c:pt>
                      <c:pt idx="40">
                        <c:v>´50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'6. animal product consumption'!$D$16:$AR$16</c15:sqref>
                        </c15:formulaRef>
                      </c:ext>
                    </c:extLst>
                    <c:numCache>
                      <c:formatCode>0</c:formatCode>
                      <c:ptCount val="41"/>
                      <c:pt idx="10">
                        <c:v>472.94</c:v>
                      </c:pt>
                      <c:pt idx="11">
                        <c:v>467.20866666666666</c:v>
                      </c:pt>
                      <c:pt idx="12">
                        <c:v>461.47733333333332</c:v>
                      </c:pt>
                      <c:pt idx="13">
                        <c:v>455.74599999999998</c:v>
                      </c:pt>
                      <c:pt idx="14">
                        <c:v>450.0146666666667</c:v>
                      </c:pt>
                      <c:pt idx="15">
                        <c:v>444.28333333333336</c:v>
                      </c:pt>
                      <c:pt idx="16">
                        <c:v>438.55200000000002</c:v>
                      </c:pt>
                      <c:pt idx="17">
                        <c:v>432.82066666666668</c:v>
                      </c:pt>
                      <c:pt idx="18">
                        <c:v>427.08933333333334</c:v>
                      </c:pt>
                      <c:pt idx="19">
                        <c:v>421.358</c:v>
                      </c:pt>
                      <c:pt idx="20">
                        <c:v>415.62666666666667</c:v>
                      </c:pt>
                      <c:pt idx="21">
                        <c:v>409.89533333333333</c:v>
                      </c:pt>
                      <c:pt idx="22">
                        <c:v>404.16399999999999</c:v>
                      </c:pt>
                      <c:pt idx="23">
                        <c:v>398.43266666666671</c:v>
                      </c:pt>
                      <c:pt idx="24">
                        <c:v>392.70133333333337</c:v>
                      </c:pt>
                      <c:pt idx="25">
                        <c:v>386.97</c:v>
                      </c:pt>
                      <c:pt idx="26">
                        <c:v>381.23866666666669</c:v>
                      </c:pt>
                      <c:pt idx="27">
                        <c:v>375.50733333333335</c:v>
                      </c:pt>
                      <c:pt idx="28">
                        <c:v>369.77600000000001</c:v>
                      </c:pt>
                      <c:pt idx="29">
                        <c:v>364.04466666666667</c:v>
                      </c:pt>
                      <c:pt idx="30">
                        <c:v>358.31333333333333</c:v>
                      </c:pt>
                      <c:pt idx="31">
                        <c:v>352.58199999999999</c:v>
                      </c:pt>
                      <c:pt idx="32">
                        <c:v>346.85066666666671</c:v>
                      </c:pt>
                      <c:pt idx="33">
                        <c:v>341.11933333333332</c:v>
                      </c:pt>
                      <c:pt idx="34">
                        <c:v>335.38800000000003</c:v>
                      </c:pt>
                      <c:pt idx="35">
                        <c:v>329.65666666666669</c:v>
                      </c:pt>
                      <c:pt idx="36">
                        <c:v>323.92533333333336</c:v>
                      </c:pt>
                      <c:pt idx="37">
                        <c:v>318.19400000000002</c:v>
                      </c:pt>
                      <c:pt idx="38">
                        <c:v>312.46266666666668</c:v>
                      </c:pt>
                      <c:pt idx="39">
                        <c:v>306.7313333333334</c:v>
                      </c:pt>
                      <c:pt idx="40">
                        <c:v>301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1A4-4FA5-AC96-4950CE7D3E3D}"/>
                  </c:ext>
                </c:extLst>
              </c15:ser>
            </c15:filteredLineSeries>
          </c:ext>
        </c:extLst>
      </c:lineChart>
      <c:catAx>
        <c:axId val="3299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814649631"/>
        <c:crosses val="autoZero"/>
        <c:auto val="1"/>
        <c:lblAlgn val="ctr"/>
        <c:lblOffset val="100"/>
        <c:noMultiLvlLbl val="0"/>
      </c:catAx>
      <c:valAx>
        <c:axId val="18146496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kcal/cap/day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2996127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Pig meat</a:t>
            </a:r>
            <a:endParaRPr lang="en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'6. animal product consumption'!$A$4</c:f>
              <c:strCache>
                <c:ptCount val="1"/>
                <c:pt idx="0">
                  <c:v>Historic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'6. animal product consumption'!$D$3:$AR$3</c:f>
              <c:strCache>
                <c:ptCount val="41"/>
                <c:pt idx="0">
                  <c:v>`10</c:v>
                </c:pt>
                <c:pt idx="10">
                  <c:v>`20</c:v>
                </c:pt>
                <c:pt idx="20">
                  <c:v>´30</c:v>
                </c:pt>
                <c:pt idx="30">
                  <c:v>´40</c:v>
                </c:pt>
                <c:pt idx="40">
                  <c:v>´50</c:v>
                </c:pt>
              </c:strCache>
            </c:strRef>
          </c:cat>
          <c:val>
            <c:numRef>
              <c:f>'6. animal product consumption'!$D$24:$AR$24</c:f>
              <c:numCache>
                <c:formatCode>0</c:formatCode>
                <c:ptCount val="41"/>
                <c:pt idx="0">
                  <c:v>222.45</c:v>
                </c:pt>
                <c:pt idx="1">
                  <c:v>219.28</c:v>
                </c:pt>
                <c:pt idx="2">
                  <c:v>214.18</c:v>
                </c:pt>
                <c:pt idx="3">
                  <c:v>209.97</c:v>
                </c:pt>
                <c:pt idx="4">
                  <c:v>207.18</c:v>
                </c:pt>
                <c:pt idx="5">
                  <c:v>212.86</c:v>
                </c:pt>
                <c:pt idx="6">
                  <c:v>208.92</c:v>
                </c:pt>
                <c:pt idx="7">
                  <c:v>211.2</c:v>
                </c:pt>
                <c:pt idx="8">
                  <c:v>215.94</c:v>
                </c:pt>
                <c:pt idx="9">
                  <c:v>211.64</c:v>
                </c:pt>
                <c:pt idx="10">
                  <c:v>203.79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79-4A90-8DA9-56F5ADB10F69}"/>
            </c:ext>
          </c:extLst>
        </c:ser>
        <c:ser>
          <c:idx val="1"/>
          <c:order val="1"/>
          <c:tx>
            <c:strRef>
              <c:f>'6. animal product consumption'!$A$25</c:f>
              <c:strCache>
                <c:ptCount val="1"/>
                <c:pt idx="0">
                  <c:v>2050 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D5584"/>
              </a:solidFill>
              <a:ln w="9525">
                <a:noFill/>
              </a:ln>
              <a:effectLst/>
            </c:spPr>
          </c:marker>
          <c:cat>
            <c:strRef>
              <c:f>'6. animal product consumption'!$D$3:$AR$3</c:f>
              <c:strCache>
                <c:ptCount val="41"/>
                <c:pt idx="0">
                  <c:v>`10</c:v>
                </c:pt>
                <c:pt idx="10">
                  <c:v>`20</c:v>
                </c:pt>
                <c:pt idx="20">
                  <c:v>´30</c:v>
                </c:pt>
                <c:pt idx="30">
                  <c:v>´40</c:v>
                </c:pt>
                <c:pt idx="40">
                  <c:v>´50</c:v>
                </c:pt>
              </c:strCache>
            </c:strRef>
          </c:cat>
          <c:val>
            <c:numRef>
              <c:f>'6. animal product consumption'!$D$25:$AR$25</c:f>
              <c:numCache>
                <c:formatCode>0</c:formatCode>
                <c:ptCount val="41"/>
                <c:pt idx="40" formatCode="General">
                  <c:v>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79-4A90-8DA9-56F5ADB10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996127"/>
        <c:axId val="181464963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'6. animal product consumption'!$A$6</c15:sqref>
                        </c15:formulaRef>
                      </c:ext>
                    </c:extLst>
                    <c:strCache>
                      <c:ptCount val="1"/>
                      <c:pt idx="0">
                        <c:v>linear trajectory</c:v>
                      </c:pt>
                    </c:strCache>
                  </c:strRef>
                </c:tx>
                <c:spPr>
                  <a:ln w="12700" cap="rnd">
                    <a:solidFill>
                      <a:sysClr val="windowText" lastClr="00000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'6. animal product consumption'!$D$3:$AR$3</c15:sqref>
                        </c15:formulaRef>
                      </c:ext>
                    </c:extLst>
                    <c:strCache>
                      <c:ptCount val="41"/>
                      <c:pt idx="0">
                        <c:v>`10</c:v>
                      </c:pt>
                      <c:pt idx="10">
                        <c:v>`20</c:v>
                      </c:pt>
                      <c:pt idx="20">
                        <c:v>´30</c:v>
                      </c:pt>
                      <c:pt idx="30">
                        <c:v>´40</c:v>
                      </c:pt>
                      <c:pt idx="40">
                        <c:v>´50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'6. animal product consumption'!$D$26:$AR$26</c15:sqref>
                        </c15:formulaRef>
                      </c:ext>
                    </c:extLst>
                    <c:numCache>
                      <c:formatCode>0</c:formatCode>
                      <c:ptCount val="41"/>
                      <c:pt idx="10">
                        <c:v>203.79</c:v>
                      </c:pt>
                      <c:pt idx="11">
                        <c:v>203.23033333333331</c:v>
                      </c:pt>
                      <c:pt idx="12">
                        <c:v>202.67066666666665</c:v>
                      </c:pt>
                      <c:pt idx="13">
                        <c:v>202.11099999999999</c:v>
                      </c:pt>
                      <c:pt idx="14">
                        <c:v>201.55133333333333</c:v>
                      </c:pt>
                      <c:pt idx="15">
                        <c:v>200.99166666666665</c:v>
                      </c:pt>
                      <c:pt idx="16">
                        <c:v>200.43199999999999</c:v>
                      </c:pt>
                      <c:pt idx="17">
                        <c:v>199.87233333333333</c:v>
                      </c:pt>
                      <c:pt idx="18">
                        <c:v>199.31266666666664</c:v>
                      </c:pt>
                      <c:pt idx="19">
                        <c:v>198.75299999999999</c:v>
                      </c:pt>
                      <c:pt idx="20">
                        <c:v>198.19333333333333</c:v>
                      </c:pt>
                      <c:pt idx="21">
                        <c:v>197.63366666666664</c:v>
                      </c:pt>
                      <c:pt idx="22">
                        <c:v>197.07399999999998</c:v>
                      </c:pt>
                      <c:pt idx="23">
                        <c:v>196.51433333333333</c:v>
                      </c:pt>
                      <c:pt idx="24">
                        <c:v>195.95466666666667</c:v>
                      </c:pt>
                      <c:pt idx="25">
                        <c:v>195.39499999999998</c:v>
                      </c:pt>
                      <c:pt idx="26">
                        <c:v>194.83533333333332</c:v>
                      </c:pt>
                      <c:pt idx="27">
                        <c:v>194.27566666666667</c:v>
                      </c:pt>
                      <c:pt idx="28">
                        <c:v>193.71599999999998</c:v>
                      </c:pt>
                      <c:pt idx="29">
                        <c:v>193.15633333333332</c:v>
                      </c:pt>
                      <c:pt idx="30">
                        <c:v>192.59666666666666</c:v>
                      </c:pt>
                      <c:pt idx="31">
                        <c:v>192.03699999999998</c:v>
                      </c:pt>
                      <c:pt idx="32">
                        <c:v>191.47733333333332</c:v>
                      </c:pt>
                      <c:pt idx="33">
                        <c:v>190.91766666666666</c:v>
                      </c:pt>
                      <c:pt idx="34">
                        <c:v>190.358</c:v>
                      </c:pt>
                      <c:pt idx="35">
                        <c:v>189.79833333333332</c:v>
                      </c:pt>
                      <c:pt idx="36">
                        <c:v>189.23866666666666</c:v>
                      </c:pt>
                      <c:pt idx="37">
                        <c:v>188.679</c:v>
                      </c:pt>
                      <c:pt idx="38">
                        <c:v>188.11933333333332</c:v>
                      </c:pt>
                      <c:pt idx="39">
                        <c:v>187.55966666666666</c:v>
                      </c:pt>
                      <c:pt idx="40">
                        <c:v>187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F579-4A90-8DA9-56F5ADB10F69}"/>
                  </c:ext>
                </c:extLst>
              </c15:ser>
            </c15:filteredLineSeries>
          </c:ext>
        </c:extLst>
      </c:lineChart>
      <c:catAx>
        <c:axId val="3299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814649631"/>
        <c:crosses val="autoZero"/>
        <c:auto val="1"/>
        <c:lblAlgn val="ctr"/>
        <c:lblOffset val="100"/>
        <c:noMultiLvlLbl val="0"/>
      </c:catAx>
      <c:valAx>
        <c:axId val="1814649631"/>
        <c:scaling>
          <c:orientation val="minMax"/>
          <c:max val="2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kcal/cap/day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2996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'7. food waste'!$B$2</c:f>
              <c:strCache>
                <c:ptCount val="1"/>
                <c:pt idx="0">
                  <c:v>Source</c:v>
                </c:pt>
              </c:strCache>
            </c:strRef>
          </c:tx>
          <c:cat>
            <c:strRef>
              <c:f>'7. food waste'!$A$3:$A$7</c:f>
              <c:strCache>
                <c:ptCount val="5"/>
                <c:pt idx="0">
                  <c:v>Households</c:v>
                </c:pt>
                <c:pt idx="1">
                  <c:v>Restaurant sector</c:v>
                </c:pt>
                <c:pt idx="2">
                  <c:v>Retail and distribution</c:v>
                </c:pt>
                <c:pt idx="3">
                  <c:v>Food processing</c:v>
                </c:pt>
                <c:pt idx="4">
                  <c:v>Primary production (agriculture and fishery)</c:v>
                </c:pt>
              </c:strCache>
            </c:strRef>
          </c:cat>
          <c:val>
            <c:numRef>
              <c:f>'7. food waste'!$B$3:$B$7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4D-4CB4-AC50-EA143E81D15D}"/>
            </c:ext>
          </c:extLst>
        </c:ser>
        <c:ser>
          <c:idx val="1"/>
          <c:order val="1"/>
          <c:tx>
            <c:strRef>
              <c:f>'7. food waste'!$C$2</c:f>
              <c:strCache>
                <c:ptCount val="1"/>
                <c:pt idx="0">
                  <c:v>Unit</c:v>
                </c:pt>
              </c:strCache>
            </c:strRef>
          </c:tx>
          <c:cat>
            <c:strRef>
              <c:f>'7. food waste'!$A$3:$A$7</c:f>
              <c:strCache>
                <c:ptCount val="5"/>
                <c:pt idx="0">
                  <c:v>Households</c:v>
                </c:pt>
                <c:pt idx="1">
                  <c:v>Restaurant sector</c:v>
                </c:pt>
                <c:pt idx="2">
                  <c:v>Retail and distribution</c:v>
                </c:pt>
                <c:pt idx="3">
                  <c:v>Food processing</c:v>
                </c:pt>
                <c:pt idx="4">
                  <c:v>Primary production (agriculture and fishery)</c:v>
                </c:pt>
              </c:strCache>
            </c:strRef>
          </c:cat>
          <c:val>
            <c:numRef>
              <c:f>'7. food waste'!$C$3:$C$7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4D-4CB4-AC50-EA143E81D15D}"/>
            </c:ext>
          </c:extLst>
        </c:ser>
        <c:ser>
          <c:idx val="2"/>
          <c:order val="2"/>
          <c:tx>
            <c:strRef>
              <c:f>'7. food waste'!$D$2</c:f>
              <c:strCache>
                <c:ptCount val="1"/>
                <c:pt idx="0">
                  <c:v>2020</c:v>
                </c:pt>
              </c:strCache>
            </c:strRef>
          </c:tx>
          <c:dPt>
            <c:idx val="0"/>
            <c:bubble3D val="0"/>
            <c:spPr>
              <a:solidFill>
                <a:srgbClr val="3D55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84D-4CB4-AC50-EA143E81D15D}"/>
              </c:ext>
            </c:extLst>
          </c:dPt>
          <c:dPt>
            <c:idx val="1"/>
            <c:bubble3D val="0"/>
            <c:spPr>
              <a:solidFill>
                <a:srgbClr val="648EC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84D-4CB4-AC50-EA143E81D15D}"/>
              </c:ext>
            </c:extLst>
          </c:dPt>
          <c:dPt>
            <c:idx val="2"/>
            <c:bubble3D val="0"/>
            <c:spPr>
              <a:solidFill>
                <a:srgbClr val="F2611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84D-4CB4-AC50-EA143E81D15D}"/>
              </c:ext>
            </c:extLst>
          </c:dPt>
          <c:dPt>
            <c:idx val="3"/>
            <c:bubble3D val="0"/>
            <c:spPr>
              <a:solidFill>
                <a:srgbClr val="EFE9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84D-4CB4-AC50-EA143E81D15D}"/>
              </c:ext>
            </c:extLst>
          </c:dPt>
          <c:dPt>
            <c:idx val="4"/>
            <c:bubble3D val="0"/>
            <c:spPr>
              <a:solidFill>
                <a:srgbClr val="B487C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84D-4CB4-AC50-EA143E81D15D}"/>
              </c:ext>
            </c:extLst>
          </c:dPt>
          <c:dLbls>
            <c:dLbl>
              <c:idx val="4"/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262424006961188"/>
                      <c:h val="0.2093664685593591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84D-4CB4-AC50-EA143E81D15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DK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'7. food waste'!$A$3:$A$7</c:f>
              <c:strCache>
                <c:ptCount val="5"/>
                <c:pt idx="0">
                  <c:v>Households</c:v>
                </c:pt>
                <c:pt idx="1">
                  <c:v>Restaurant sector</c:v>
                </c:pt>
                <c:pt idx="2">
                  <c:v>Retail and distribution</c:v>
                </c:pt>
                <c:pt idx="3">
                  <c:v>Food processing</c:v>
                </c:pt>
                <c:pt idx="4">
                  <c:v>Primary production (agriculture and fishery)</c:v>
                </c:pt>
              </c:strCache>
            </c:strRef>
          </c:cat>
          <c:val>
            <c:numRef>
              <c:f>'7. food waste'!$D$3:$D$7</c:f>
              <c:numCache>
                <c:formatCode>0</c:formatCode>
                <c:ptCount val="5"/>
                <c:pt idx="0">
                  <c:v>70</c:v>
                </c:pt>
                <c:pt idx="1">
                  <c:v>12</c:v>
                </c:pt>
                <c:pt idx="2">
                  <c:v>9</c:v>
                </c:pt>
                <c:pt idx="3">
                  <c:v>26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4D-4CB4-AC50-EA143E81D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 food waste'!$A$8</c:f>
              <c:strCache>
                <c:ptCount val="1"/>
                <c:pt idx="0">
                  <c:v>Total food waste</c:v>
                </c:pt>
              </c:strCache>
            </c:strRef>
          </c:tx>
          <c:spPr>
            <a:solidFill>
              <a:srgbClr val="3D5584"/>
            </a:solidFill>
            <a:ln>
              <a:noFill/>
            </a:ln>
            <a:effectLst/>
          </c:spPr>
          <c:invertIfNegative val="0"/>
          <c:cat>
            <c:strRef>
              <c:f>'7. food waste'!$B$2:$N$2</c:f>
              <c:strCache>
                <c:ptCount val="13"/>
                <c:pt idx="0">
                  <c:v>Source</c:v>
                </c:pt>
                <c:pt idx="1">
                  <c:v>Unit</c:v>
                </c:pt>
                <c:pt idx="2">
                  <c:v>2020</c:v>
                </c:pt>
                <c:pt idx="7">
                  <c:v>2025</c:v>
                </c:pt>
                <c:pt idx="12">
                  <c:v>2030</c:v>
                </c:pt>
              </c:strCache>
            </c:strRef>
          </c:cat>
          <c:val>
            <c:numRef>
              <c:f>'7. food waste'!$B$8:$N$8</c:f>
              <c:numCache>
                <c:formatCode>General</c:formatCode>
                <c:ptCount val="13"/>
                <c:pt idx="2" formatCode="0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24-4B8A-A1D2-262475056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94831"/>
        <c:axId val="1913335647"/>
      </c:barChart>
      <c:lineChart>
        <c:grouping val="standard"/>
        <c:varyColors val="0"/>
        <c:ser>
          <c:idx val="1"/>
          <c:order val="1"/>
          <c:tx>
            <c:strRef>
              <c:f>'7. food waste'!$A$9</c:f>
              <c:strCache>
                <c:ptCount val="1"/>
                <c:pt idx="0">
                  <c:v>2030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26119"/>
              </a:solidFill>
              <a:ln w="9525">
                <a:noFill/>
              </a:ln>
              <a:effectLst/>
            </c:spPr>
          </c:marker>
          <c:cat>
            <c:strRef>
              <c:f>'7. food waste'!$B$2:$N$2</c:f>
              <c:strCache>
                <c:ptCount val="13"/>
                <c:pt idx="0">
                  <c:v>Source</c:v>
                </c:pt>
                <c:pt idx="1">
                  <c:v>Unit</c:v>
                </c:pt>
                <c:pt idx="2">
                  <c:v>2020</c:v>
                </c:pt>
                <c:pt idx="7">
                  <c:v>2025</c:v>
                </c:pt>
                <c:pt idx="12">
                  <c:v>2030</c:v>
                </c:pt>
              </c:strCache>
            </c:strRef>
          </c:cat>
          <c:val>
            <c:numRef>
              <c:f>'7. food waste'!$B$9:$N$9</c:f>
              <c:numCache>
                <c:formatCode>General</c:formatCode>
                <c:ptCount val="13"/>
                <c:pt idx="12">
                  <c:v>65.5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24-4B8A-A1D2-262475056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94831"/>
        <c:axId val="1913335647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'7. food waste'!$A$10</c15:sqref>
                        </c15:formulaRef>
                      </c:ext>
                    </c:extLst>
                    <c:strCache>
                      <c:ptCount val="1"/>
                      <c:pt idx="0">
                        <c:v>linear trajectory</c:v>
                      </c:pt>
                    </c:strCache>
                  </c:strRef>
                </c:tx>
                <c:spPr>
                  <a:ln w="12700" cap="rnd">
                    <a:solidFill>
                      <a:sysClr val="windowText" lastClr="00000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'7. food waste'!$B$2:$N$2</c15:sqref>
                        </c15:formulaRef>
                      </c:ext>
                    </c:extLst>
                    <c:strCache>
                      <c:ptCount val="13"/>
                      <c:pt idx="0">
                        <c:v>Source</c:v>
                      </c:pt>
                      <c:pt idx="1">
                        <c:v>Unit</c:v>
                      </c:pt>
                      <c:pt idx="2">
                        <c:v>2020</c:v>
                      </c:pt>
                      <c:pt idx="7">
                        <c:v>2025</c:v>
                      </c:pt>
                      <c:pt idx="12">
                        <c:v>2030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'7. food waste'!$B$10:$N$10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2" formatCode="0">
                        <c:v>131</c:v>
                      </c:pt>
                      <c:pt idx="3" formatCode="0">
                        <c:v>124.45000000000002</c:v>
                      </c:pt>
                      <c:pt idx="4" formatCode="0">
                        <c:v>117.9</c:v>
                      </c:pt>
                      <c:pt idx="5" formatCode="0">
                        <c:v>111.35000000000001</c:v>
                      </c:pt>
                      <c:pt idx="6" formatCode="0">
                        <c:v>104.80000000000001</c:v>
                      </c:pt>
                      <c:pt idx="7" formatCode="0">
                        <c:v>98.250000000000014</c:v>
                      </c:pt>
                      <c:pt idx="8" formatCode="0">
                        <c:v>91.700000000000017</c:v>
                      </c:pt>
                      <c:pt idx="9" formatCode="0">
                        <c:v>85.15</c:v>
                      </c:pt>
                      <c:pt idx="10" formatCode="0">
                        <c:v>78.600000000000023</c:v>
                      </c:pt>
                      <c:pt idx="11" formatCode="0">
                        <c:v>72.050000000000011</c:v>
                      </c:pt>
                      <c:pt idx="12" formatCode="0">
                        <c:v>65.500000000000014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924-4B8A-A1D2-262475056477}"/>
                  </c:ext>
                </c:extLst>
              </c15:ser>
            </c15:filteredLineSeries>
          </c:ext>
        </c:extLst>
      </c:lineChart>
      <c:catAx>
        <c:axId val="10594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913335647"/>
        <c:crosses val="autoZero"/>
        <c:auto val="1"/>
        <c:lblAlgn val="ctr"/>
        <c:lblOffset val="100"/>
        <c:noMultiLvlLbl val="0"/>
      </c:catAx>
      <c:valAx>
        <c:axId val="1913335647"/>
        <c:scaling>
          <c:orientation val="minMax"/>
          <c:max val="15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0594831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'8. Bioenergy crops'!$A$24</c:f>
              <c:strCache>
                <c:ptCount val="1"/>
                <c:pt idx="0">
                  <c:v>Cereal crops</c:v>
                </c:pt>
              </c:strCache>
            </c:strRef>
          </c:tx>
          <c:spPr>
            <a:solidFill>
              <a:srgbClr val="648ECA"/>
            </a:solidFill>
            <a:ln>
              <a:noFill/>
            </a:ln>
            <a:effectLst/>
          </c:spPr>
          <c:invertIfNegative val="0"/>
          <c:cat>
            <c:numRef>
              <c:f>'8. Bioenergy crops'!$D$22:$AW$22</c:f>
              <c:numCache>
                <c:formatCode>0%</c:formatCode>
                <c:ptCount val="46"/>
                <c:pt idx="0" formatCode="0">
                  <c:v>2005</c:v>
                </c:pt>
                <c:pt idx="5" formatCode="General">
                  <c:v>2010</c:v>
                </c:pt>
                <c:pt idx="10" formatCode="General">
                  <c:v>2015</c:v>
                </c:pt>
                <c:pt idx="15" formatCode="General">
                  <c:v>2020</c:v>
                </c:pt>
                <c:pt idx="20" formatCode="General">
                  <c:v>2025</c:v>
                </c:pt>
                <c:pt idx="25" formatCode="General">
                  <c:v>2030</c:v>
                </c:pt>
                <c:pt idx="30" formatCode="General">
                  <c:v>2035</c:v>
                </c:pt>
                <c:pt idx="35" formatCode="General">
                  <c:v>2040</c:v>
                </c:pt>
                <c:pt idx="40" formatCode="General">
                  <c:v>2045</c:v>
                </c:pt>
                <c:pt idx="45" formatCode="General">
                  <c:v>2050</c:v>
                </c:pt>
              </c:numCache>
            </c:numRef>
          </c:cat>
          <c:val>
            <c:numRef>
              <c:f>'8. Bioenergy crops'!$D$24:$AW$24</c:f>
              <c:numCache>
                <c:formatCode>General</c:formatCode>
                <c:ptCount val="46"/>
                <c:pt idx="0">
                  <c:v>4.2</c:v>
                </c:pt>
                <c:pt idx="1">
                  <c:v>5</c:v>
                </c:pt>
                <c:pt idx="2">
                  <c:v>5.8</c:v>
                </c:pt>
                <c:pt idx="3">
                  <c:v>6.9</c:v>
                </c:pt>
                <c:pt idx="4">
                  <c:v>8.1999999999999993</c:v>
                </c:pt>
                <c:pt idx="5">
                  <c:v>8.9</c:v>
                </c:pt>
                <c:pt idx="6">
                  <c:v>10.4</c:v>
                </c:pt>
                <c:pt idx="7">
                  <c:v>9.8000000000000007</c:v>
                </c:pt>
                <c:pt idx="8">
                  <c:v>10.4</c:v>
                </c:pt>
                <c:pt idx="9">
                  <c:v>11</c:v>
                </c:pt>
                <c:pt idx="10">
                  <c:v>9.9</c:v>
                </c:pt>
                <c:pt idx="11">
                  <c:v>10.5</c:v>
                </c:pt>
                <c:pt idx="12">
                  <c:v>11.2</c:v>
                </c:pt>
                <c:pt idx="13">
                  <c:v>11.3</c:v>
                </c:pt>
                <c:pt idx="14">
                  <c:v>11.5</c:v>
                </c:pt>
                <c:pt idx="15">
                  <c:v>12.1</c:v>
                </c:pt>
                <c:pt idx="16">
                  <c:v>13.4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1E-485F-9D5D-52C2284E34CF}"/>
            </c:ext>
          </c:extLst>
        </c:ser>
        <c:ser>
          <c:idx val="2"/>
          <c:order val="2"/>
          <c:tx>
            <c:strRef>
              <c:f>'8. Bioenergy crops'!$A$25</c:f>
              <c:strCache>
                <c:ptCount val="1"/>
                <c:pt idx="0">
                  <c:v>Oilseed crops and products</c:v>
                </c:pt>
              </c:strCache>
            </c:strRef>
          </c:tx>
          <c:spPr>
            <a:solidFill>
              <a:srgbClr val="EFE973"/>
            </a:solidFill>
            <a:ln>
              <a:noFill/>
            </a:ln>
            <a:effectLst/>
          </c:spPr>
          <c:invertIfNegative val="0"/>
          <c:cat>
            <c:numRef>
              <c:f>'8. Bioenergy crops'!$D$22:$AW$22</c:f>
              <c:numCache>
                <c:formatCode>0%</c:formatCode>
                <c:ptCount val="46"/>
                <c:pt idx="0" formatCode="0">
                  <c:v>2005</c:v>
                </c:pt>
                <c:pt idx="5" formatCode="General">
                  <c:v>2010</c:v>
                </c:pt>
                <c:pt idx="10" formatCode="General">
                  <c:v>2015</c:v>
                </c:pt>
                <c:pt idx="15" formatCode="General">
                  <c:v>2020</c:v>
                </c:pt>
                <c:pt idx="20" formatCode="General">
                  <c:v>2025</c:v>
                </c:pt>
                <c:pt idx="25" formatCode="General">
                  <c:v>2030</c:v>
                </c:pt>
                <c:pt idx="30" formatCode="General">
                  <c:v>2035</c:v>
                </c:pt>
                <c:pt idx="35" formatCode="General">
                  <c:v>2040</c:v>
                </c:pt>
                <c:pt idx="40" formatCode="General">
                  <c:v>2045</c:v>
                </c:pt>
                <c:pt idx="45" formatCode="General">
                  <c:v>2050</c:v>
                </c:pt>
              </c:numCache>
            </c:numRef>
          </c:cat>
          <c:val>
            <c:numRef>
              <c:f>'8. Bioenergy crops'!$D$25:$AW$25</c:f>
              <c:numCache>
                <c:formatCode>0.0</c:formatCode>
                <c:ptCount val="46"/>
                <c:pt idx="0">
                  <c:v>2.821061072</c:v>
                </c:pt>
                <c:pt idx="1">
                  <c:v>4.0116693410000002</c:v>
                </c:pt>
                <c:pt idx="2">
                  <c:v>5.6960849400000004</c:v>
                </c:pt>
                <c:pt idx="3">
                  <c:v>7.0942504279999996</c:v>
                </c:pt>
                <c:pt idx="4">
                  <c:v>8.6843032610000002</c:v>
                </c:pt>
                <c:pt idx="5">
                  <c:v>9.8552235469999996</c:v>
                </c:pt>
                <c:pt idx="6">
                  <c:v>9.4671570230000004</c:v>
                </c:pt>
                <c:pt idx="7">
                  <c:v>9.782617406</c:v>
                </c:pt>
                <c:pt idx="8">
                  <c:v>9.998416379</c:v>
                </c:pt>
                <c:pt idx="9">
                  <c:v>11.08981779</c:v>
                </c:pt>
                <c:pt idx="10">
                  <c:v>10.622129210000001</c:v>
                </c:pt>
                <c:pt idx="11">
                  <c:v>9.8576406240000001</c:v>
                </c:pt>
                <c:pt idx="12">
                  <c:v>11.08081859</c:v>
                </c:pt>
                <c:pt idx="13">
                  <c:v>10.98782877</c:v>
                </c:pt>
                <c:pt idx="14">
                  <c:v>10.6405257</c:v>
                </c:pt>
                <c:pt idx="15">
                  <c:v>10.85356017</c:v>
                </c:pt>
                <c:pt idx="16">
                  <c:v>10.491016119999999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1E-485F-9D5D-52C2284E3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71435488"/>
        <c:axId val="171429728"/>
      </c:barChart>
      <c:lineChart>
        <c:grouping val="standard"/>
        <c:varyColors val="0"/>
        <c:ser>
          <c:idx val="0"/>
          <c:order val="0"/>
          <c:tx>
            <c:strRef>
              <c:f>'8. Bioenergy crops'!$A$23</c:f>
              <c:strCache>
                <c:ptCount val="1"/>
                <c:pt idx="0">
                  <c:v>Historic total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'8. Bioenergy crops'!$D$22:$AW$22</c:f>
              <c:numCache>
                <c:formatCode>0%</c:formatCode>
                <c:ptCount val="46"/>
                <c:pt idx="0" formatCode="0">
                  <c:v>2005</c:v>
                </c:pt>
                <c:pt idx="5" formatCode="General">
                  <c:v>2010</c:v>
                </c:pt>
                <c:pt idx="10" formatCode="General">
                  <c:v>2015</c:v>
                </c:pt>
                <c:pt idx="15" formatCode="General">
                  <c:v>2020</c:v>
                </c:pt>
                <c:pt idx="20" formatCode="General">
                  <c:v>2025</c:v>
                </c:pt>
                <c:pt idx="25" formatCode="General">
                  <c:v>2030</c:v>
                </c:pt>
                <c:pt idx="30" formatCode="General">
                  <c:v>2035</c:v>
                </c:pt>
                <c:pt idx="35" formatCode="General">
                  <c:v>2040</c:v>
                </c:pt>
                <c:pt idx="40" formatCode="General">
                  <c:v>2045</c:v>
                </c:pt>
                <c:pt idx="45" formatCode="General">
                  <c:v>2050</c:v>
                </c:pt>
              </c:numCache>
            </c:numRef>
          </c:cat>
          <c:val>
            <c:numRef>
              <c:f>'8. Bioenergy crops'!$D$23:$AW$23</c:f>
              <c:numCache>
                <c:formatCode>0.0</c:formatCode>
                <c:ptCount val="46"/>
                <c:pt idx="0">
                  <c:v>7.0210610720000002</c:v>
                </c:pt>
                <c:pt idx="1">
                  <c:v>9.0116693410000011</c:v>
                </c:pt>
                <c:pt idx="2">
                  <c:v>11.496084939999999</c:v>
                </c:pt>
                <c:pt idx="3">
                  <c:v>13.994250428000001</c:v>
                </c:pt>
                <c:pt idx="4">
                  <c:v>16.884303260999999</c:v>
                </c:pt>
                <c:pt idx="5">
                  <c:v>18.755223547</c:v>
                </c:pt>
                <c:pt idx="6">
                  <c:v>19.867157023000001</c:v>
                </c:pt>
                <c:pt idx="7">
                  <c:v>19.582617406000001</c:v>
                </c:pt>
                <c:pt idx="8">
                  <c:v>20.398416379</c:v>
                </c:pt>
                <c:pt idx="9">
                  <c:v>22.089817789999998</c:v>
                </c:pt>
                <c:pt idx="10">
                  <c:v>20.522129210000003</c:v>
                </c:pt>
                <c:pt idx="11">
                  <c:v>20.357640623999998</c:v>
                </c:pt>
                <c:pt idx="12">
                  <c:v>22.280818589999999</c:v>
                </c:pt>
                <c:pt idx="13">
                  <c:v>22.287828770000001</c:v>
                </c:pt>
                <c:pt idx="14">
                  <c:v>22.140525699999998</c:v>
                </c:pt>
                <c:pt idx="15">
                  <c:v>22.953560169999999</c:v>
                </c:pt>
                <c:pt idx="16">
                  <c:v>23.89101612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1E-485F-9D5D-52C2284E34CF}"/>
            </c:ext>
          </c:extLst>
        </c:ser>
        <c:ser>
          <c:idx val="3"/>
          <c:order val="3"/>
          <c:tx>
            <c:strRef>
              <c:f>'8. Bioenergy crops'!$A$26</c:f>
              <c:strCache>
                <c:ptCount val="1"/>
                <c:pt idx="0">
                  <c:v>2030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26119"/>
              </a:solidFill>
              <a:ln w="9525">
                <a:noFill/>
              </a:ln>
              <a:effectLst/>
            </c:spPr>
          </c:marker>
          <c:cat>
            <c:numRef>
              <c:f>'8. Bioenergy crops'!$D$22:$AW$22</c:f>
              <c:numCache>
                <c:formatCode>0%</c:formatCode>
                <c:ptCount val="46"/>
                <c:pt idx="0" formatCode="0">
                  <c:v>2005</c:v>
                </c:pt>
                <c:pt idx="5" formatCode="General">
                  <c:v>2010</c:v>
                </c:pt>
                <c:pt idx="10" formatCode="General">
                  <c:v>2015</c:v>
                </c:pt>
                <c:pt idx="15" formatCode="General">
                  <c:v>2020</c:v>
                </c:pt>
                <c:pt idx="20" formatCode="General">
                  <c:v>2025</c:v>
                </c:pt>
                <c:pt idx="25" formatCode="General">
                  <c:v>2030</c:v>
                </c:pt>
                <c:pt idx="30" formatCode="General">
                  <c:v>2035</c:v>
                </c:pt>
                <c:pt idx="35" formatCode="General">
                  <c:v>2040</c:v>
                </c:pt>
                <c:pt idx="40" formatCode="General">
                  <c:v>2045</c:v>
                </c:pt>
                <c:pt idx="45" formatCode="General">
                  <c:v>2050</c:v>
                </c:pt>
              </c:numCache>
            </c:numRef>
          </c:cat>
          <c:val>
            <c:numRef>
              <c:f>'8. Bioenergy crops'!$D$26:$AW$26</c:f>
              <c:numCache>
                <c:formatCode>General</c:formatCode>
                <c:ptCount val="46"/>
                <c:pt idx="25" formatCode="0">
                  <c:v>32.249060187142859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1E-485F-9D5D-52C2284E34CF}"/>
            </c:ext>
          </c:extLst>
        </c:ser>
        <c:ser>
          <c:idx val="4"/>
          <c:order val="4"/>
          <c:tx>
            <c:strRef>
              <c:f>'8. Bioenergy crops'!$A$27</c:f>
              <c:strCache>
                <c:ptCount val="1"/>
                <c:pt idx="0">
                  <c:v>2050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3D5584"/>
              </a:solidFill>
              <a:ln w="9525">
                <a:noFill/>
              </a:ln>
              <a:effectLst/>
            </c:spPr>
          </c:marker>
          <c:cat>
            <c:numRef>
              <c:f>'8. Bioenergy crops'!$D$22:$AW$22</c:f>
              <c:numCache>
                <c:formatCode>0%</c:formatCode>
                <c:ptCount val="46"/>
                <c:pt idx="0" formatCode="0">
                  <c:v>2005</c:v>
                </c:pt>
                <c:pt idx="5" formatCode="General">
                  <c:v>2010</c:v>
                </c:pt>
                <c:pt idx="10" formatCode="General">
                  <c:v>2015</c:v>
                </c:pt>
                <c:pt idx="15" formatCode="General">
                  <c:v>2020</c:v>
                </c:pt>
                <c:pt idx="20" formatCode="General">
                  <c:v>2025</c:v>
                </c:pt>
                <c:pt idx="25" formatCode="General">
                  <c:v>2030</c:v>
                </c:pt>
                <c:pt idx="30" formatCode="General">
                  <c:v>2035</c:v>
                </c:pt>
                <c:pt idx="35" formatCode="General">
                  <c:v>2040</c:v>
                </c:pt>
                <c:pt idx="40" formatCode="General">
                  <c:v>2045</c:v>
                </c:pt>
                <c:pt idx="45" formatCode="General">
                  <c:v>2050</c:v>
                </c:pt>
              </c:numCache>
            </c:numRef>
          </c:cat>
          <c:val>
            <c:numRef>
              <c:f>'8. Bioenergy crops'!$D$27:$AW$27</c:f>
              <c:numCache>
                <c:formatCode>General</c:formatCode>
                <c:ptCount val="46"/>
                <c:pt idx="45" formatCode="0">
                  <c:v>8.7951982328571443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E1E-485F-9D5D-52C2284E3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435488"/>
        <c:axId val="171429728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'8. Bioenergy crops'!$A$28</c15:sqref>
                        </c15:formulaRef>
                      </c:ext>
                    </c:extLst>
                    <c:strCache>
                      <c:ptCount val="1"/>
                      <c:pt idx="0">
                        <c:v>linear trajectory</c:v>
                      </c:pt>
                    </c:strCache>
                  </c:strRef>
                </c:tx>
                <c:spPr>
                  <a:ln w="12700" cap="rnd">
                    <a:solidFill>
                      <a:sysClr val="windowText" lastClr="00000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'8. Bioenergy crops'!$D$22:$AW$22</c15:sqref>
                        </c15:formulaRef>
                      </c:ext>
                    </c:extLst>
                    <c:numCache>
                      <c:formatCode>0%</c:formatCode>
                      <c:ptCount val="46"/>
                      <c:pt idx="0" formatCode="0">
                        <c:v>2005</c:v>
                      </c:pt>
                      <c:pt idx="5" formatCode="General">
                        <c:v>2010</c:v>
                      </c:pt>
                      <c:pt idx="10" formatCode="General">
                        <c:v>2015</c:v>
                      </c:pt>
                      <c:pt idx="15" formatCode="General">
                        <c:v>2020</c:v>
                      </c:pt>
                      <c:pt idx="20" formatCode="General">
                        <c:v>2025</c:v>
                      </c:pt>
                      <c:pt idx="25" formatCode="General">
                        <c:v>2030</c:v>
                      </c:pt>
                      <c:pt idx="30" formatCode="General">
                        <c:v>2035</c:v>
                      </c:pt>
                      <c:pt idx="35" formatCode="General">
                        <c:v>2040</c:v>
                      </c:pt>
                      <c:pt idx="40" formatCode="General">
                        <c:v>2045</c:v>
                      </c:pt>
                      <c:pt idx="45" formatCode="General">
                        <c:v>2050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'8. Bioenergy crops'!$D$28:$AW$28</c15:sqref>
                        </c15:formulaRef>
                      </c:ext>
                    </c:extLst>
                    <c:numCache>
                      <c:formatCode>General</c:formatCode>
                      <c:ptCount val="46"/>
                      <c:pt idx="16" formatCode="0.0">
                        <c:v>23.89101612</c:v>
                      </c:pt>
                      <c:pt idx="17" formatCode="0.0">
                        <c:v>24.819687683015875</c:v>
                      </c:pt>
                      <c:pt idx="18" formatCode="0.0">
                        <c:v>25.748359246031747</c:v>
                      </c:pt>
                      <c:pt idx="19" formatCode="0.0">
                        <c:v>26.677030809047622</c:v>
                      </c:pt>
                      <c:pt idx="20" formatCode="0.0">
                        <c:v>27.605702372063494</c:v>
                      </c:pt>
                      <c:pt idx="21" formatCode="0.0">
                        <c:v>28.534373935079365</c:v>
                      </c:pt>
                      <c:pt idx="22" formatCode="0.0">
                        <c:v>29.463045498095241</c:v>
                      </c:pt>
                      <c:pt idx="23" formatCode="0.0">
                        <c:v>30.391717061111116</c:v>
                      </c:pt>
                      <c:pt idx="24" formatCode="0.0">
                        <c:v>31.320388624126988</c:v>
                      </c:pt>
                      <c:pt idx="25" formatCode="0.0">
                        <c:v>32.249060187142859</c:v>
                      </c:pt>
                      <c:pt idx="26" formatCode="0.0">
                        <c:v>31.076367089428576</c:v>
                      </c:pt>
                      <c:pt idx="27" formatCode="0.0">
                        <c:v>29.903673991714289</c:v>
                      </c:pt>
                      <c:pt idx="28" formatCode="0.0">
                        <c:v>28.730980894000005</c:v>
                      </c:pt>
                      <c:pt idx="29" formatCode="0.0">
                        <c:v>27.558287796285718</c:v>
                      </c:pt>
                      <c:pt idx="30" formatCode="0.0">
                        <c:v>26.385594698571431</c:v>
                      </c:pt>
                      <c:pt idx="31" formatCode="0.0">
                        <c:v>25.212901600857144</c:v>
                      </c:pt>
                      <c:pt idx="32" formatCode="0.0">
                        <c:v>24.040208503142861</c:v>
                      </c:pt>
                      <c:pt idx="33" formatCode="0.0">
                        <c:v>22.867515405428577</c:v>
                      </c:pt>
                      <c:pt idx="34" formatCode="0.0">
                        <c:v>21.69482230771429</c:v>
                      </c:pt>
                      <c:pt idx="35" formatCode="0.0">
                        <c:v>20.522129210000003</c:v>
                      </c:pt>
                      <c:pt idx="36" formatCode="0.0">
                        <c:v>19.349436112285716</c:v>
                      </c:pt>
                      <c:pt idx="37" formatCode="0.0">
                        <c:v>18.176743014571432</c:v>
                      </c:pt>
                      <c:pt idx="38" formatCode="0.0">
                        <c:v>17.004049916857145</c:v>
                      </c:pt>
                      <c:pt idx="39" formatCode="0.0">
                        <c:v>15.831356819142862</c:v>
                      </c:pt>
                      <c:pt idx="40" formatCode="0.0">
                        <c:v>14.658663721428574</c:v>
                      </c:pt>
                      <c:pt idx="41" formatCode="0.0">
                        <c:v>13.485970623714287</c:v>
                      </c:pt>
                      <c:pt idx="42" formatCode="0.0">
                        <c:v>12.313277526000004</c:v>
                      </c:pt>
                      <c:pt idx="43" formatCode="0.0">
                        <c:v>11.140584428285717</c:v>
                      </c:pt>
                      <c:pt idx="44" formatCode="0.0">
                        <c:v>9.9678913305714332</c:v>
                      </c:pt>
                      <c:pt idx="45" formatCode="0.0">
                        <c:v>8.7951982328571461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1E1E-485F-9D5D-52C2284E34CF}"/>
                  </c:ext>
                </c:extLst>
              </c15:ser>
            </c15:filteredLineSeries>
          </c:ext>
        </c:extLst>
      </c:lineChart>
      <c:catAx>
        <c:axId val="17143548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171429728"/>
        <c:crosses val="autoZero"/>
        <c:auto val="1"/>
        <c:lblAlgn val="ctr"/>
        <c:lblOffset val="100"/>
        <c:noMultiLvlLbl val="0"/>
      </c:catAx>
      <c:valAx>
        <c:axId val="1714297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DK" b="1"/>
                  <a:t>Mt Fresh material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17143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Segoe UI" panose="020B0502040204020203" pitchFamily="34" charset="0"/>
          <a:cs typeface="Segoe UI" panose="020B0502040204020203" pitchFamily="34" charset="0"/>
        </a:defRPr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5.xml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image" Target="../media/image4.png"/><Relationship Id="rId4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27</xdr:row>
      <xdr:rowOff>0</xdr:rowOff>
    </xdr:from>
    <xdr:to>
      <xdr:col>13</xdr:col>
      <xdr:colOff>323850</xdr:colOff>
      <xdr:row>43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B49B9A-11B1-457B-3B52-77D652919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143500"/>
          <a:ext cx="5810250" cy="3143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8</xdr:col>
      <xdr:colOff>504825</xdr:colOff>
      <xdr:row>21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40EF18-1CE5-7AB5-351B-09925FC8E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52500"/>
          <a:ext cx="2943225" cy="316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389610</xdr:colOff>
      <xdr:row>8</xdr:row>
      <xdr:rowOff>84134</xdr:rowOff>
    </xdr:from>
    <xdr:to>
      <xdr:col>14</xdr:col>
      <xdr:colOff>529253</xdr:colOff>
      <xdr:row>23</xdr:row>
      <xdr:rowOff>10864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5D90EDD-A881-7816-A28E-CB3FEA9803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580370</xdr:colOff>
      <xdr:row>12</xdr:row>
      <xdr:rowOff>0</xdr:rowOff>
    </xdr:from>
    <xdr:to>
      <xdr:col>61</xdr:col>
      <xdr:colOff>280147</xdr:colOff>
      <xdr:row>12</xdr:row>
      <xdr:rowOff>49586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6734F9-89A1-4224-B612-3F93932DA2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198264</xdr:colOff>
      <xdr:row>31</xdr:row>
      <xdr:rowOff>152401</xdr:rowOff>
    </xdr:from>
    <xdr:to>
      <xdr:col>21</xdr:col>
      <xdr:colOff>97577</xdr:colOff>
      <xdr:row>43</xdr:row>
      <xdr:rowOff>9267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668BA0-A510-F6DF-BB44-8E31F311AE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450111</xdr:colOff>
      <xdr:row>31</xdr:row>
      <xdr:rowOff>155041</xdr:rowOff>
    </xdr:from>
    <xdr:to>
      <xdr:col>16</xdr:col>
      <xdr:colOff>169796</xdr:colOff>
      <xdr:row>43</xdr:row>
      <xdr:rowOff>11907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C26694C-B762-4A97-9A2F-1B29E72EA2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242732</xdr:colOff>
      <xdr:row>43</xdr:row>
      <xdr:rowOff>25492</xdr:rowOff>
    </xdr:from>
    <xdr:to>
      <xdr:col>21</xdr:col>
      <xdr:colOff>823</xdr:colOff>
      <xdr:row>44</xdr:row>
      <xdr:rowOff>51456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F2FF79F-753C-0E05-50F6-E3471AE7A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57029" y="6311992"/>
          <a:ext cx="2794185" cy="216464"/>
        </a:xfrm>
        <a:prstGeom prst="rect">
          <a:avLst/>
        </a:prstGeom>
      </xdr:spPr>
    </xdr:pic>
    <xdr:clientData/>
  </xdr:twoCellAnchor>
  <xdr:twoCellAnchor>
    <xdr:from>
      <xdr:col>21</xdr:col>
      <xdr:colOff>115958</xdr:colOff>
      <xdr:row>31</xdr:row>
      <xdr:rowOff>149088</xdr:rowOff>
    </xdr:from>
    <xdr:to>
      <xdr:col>26</xdr:col>
      <xdr:colOff>8282</xdr:colOff>
      <xdr:row>43</xdr:row>
      <xdr:rowOff>5954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4E78200-240E-4A87-AF29-81B8063EE7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310740</xdr:colOff>
      <xdr:row>15</xdr:row>
      <xdr:rowOff>51579</xdr:rowOff>
    </xdr:from>
    <xdr:to>
      <xdr:col>16</xdr:col>
      <xdr:colOff>357865</xdr:colOff>
      <xdr:row>26</xdr:row>
      <xdr:rowOff>65942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E10824-BEA0-7450-B35F-65D90B3B98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50</xdr:col>
      <xdr:colOff>580370</xdr:colOff>
      <xdr:row>9</xdr:row>
      <xdr:rowOff>0</xdr:rowOff>
    </xdr:from>
    <xdr:to>
      <xdr:col>62</xdr:col>
      <xdr:colOff>280147</xdr:colOff>
      <xdr:row>9</xdr:row>
      <xdr:rowOff>49586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B3D86F-7D5A-41CE-A723-01E9099C84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105762</xdr:colOff>
      <xdr:row>24</xdr:row>
      <xdr:rowOff>145074</xdr:rowOff>
    </xdr:from>
    <xdr:to>
      <xdr:col>21</xdr:col>
      <xdr:colOff>8281</xdr:colOff>
      <xdr:row>36</xdr:row>
      <xdr:rowOff>7306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678ED3-8601-41A8-8479-40285EA3F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372397</xdr:colOff>
      <xdr:row>24</xdr:row>
      <xdr:rowOff>149087</xdr:rowOff>
    </xdr:from>
    <xdr:to>
      <xdr:col>16</xdr:col>
      <xdr:colOff>88877</xdr:colOff>
      <xdr:row>36</xdr:row>
      <xdr:rowOff>8284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76AF41-3957-4405-84CF-0CCD08E9BE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24850</xdr:colOff>
      <xdr:row>24</xdr:row>
      <xdr:rowOff>149088</xdr:rowOff>
    </xdr:from>
    <xdr:to>
      <xdr:col>25</xdr:col>
      <xdr:colOff>530087</xdr:colOff>
      <xdr:row>36</xdr:row>
      <xdr:rowOff>11320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8ACABE4-10A1-41CF-A284-602AD05F89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14</xdr:col>
      <xdr:colOff>388327</xdr:colOff>
      <xdr:row>35</xdr:row>
      <xdr:rowOff>176164</xdr:rowOff>
    </xdr:from>
    <xdr:to>
      <xdr:col>22</xdr:col>
      <xdr:colOff>470194</xdr:colOff>
      <xdr:row>37</xdr:row>
      <xdr:rowOff>79801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30847BA-CDB6-8F29-8874-6A98D0B81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34808" y="6081664"/>
          <a:ext cx="4946944" cy="28463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1717784</xdr:colOff>
      <xdr:row>16</xdr:row>
      <xdr:rowOff>175391</xdr:rowOff>
    </xdr:from>
    <xdr:to>
      <xdr:col>11</xdr:col>
      <xdr:colOff>683173</xdr:colOff>
      <xdr:row>27</xdr:row>
      <xdr:rowOff>151086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8BAA33-1205-5F66-93EC-2A2DF9BF22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708423</xdr:colOff>
      <xdr:row>33</xdr:row>
      <xdr:rowOff>3315</xdr:rowOff>
    </xdr:from>
    <xdr:to>
      <xdr:col>8</xdr:col>
      <xdr:colOff>181253</xdr:colOff>
      <xdr:row>44</xdr:row>
      <xdr:rowOff>56047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5A85BC0-B466-4884-9225-6497E26D92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177818</xdr:colOff>
      <xdr:row>33</xdr:row>
      <xdr:rowOff>5952</xdr:rowOff>
    </xdr:from>
    <xdr:to>
      <xdr:col>11</xdr:col>
      <xdr:colOff>365022</xdr:colOff>
      <xdr:row>44</xdr:row>
      <xdr:rowOff>58684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565B809-786F-4B8F-846F-CA454B7AA6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365669</xdr:colOff>
      <xdr:row>33</xdr:row>
      <xdr:rowOff>5776</xdr:rowOff>
    </xdr:from>
    <xdr:to>
      <xdr:col>14</xdr:col>
      <xdr:colOff>539581</xdr:colOff>
      <xdr:row>44</xdr:row>
      <xdr:rowOff>55731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580FA5A-3390-45D6-8751-B07AE37B7A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577779</xdr:colOff>
      <xdr:row>44</xdr:row>
      <xdr:rowOff>23054</xdr:rowOff>
    </xdr:from>
    <xdr:to>
      <xdr:col>11</xdr:col>
      <xdr:colOff>361923</xdr:colOff>
      <xdr:row>45</xdr:row>
      <xdr:rowOff>37767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6425826-1938-563B-BA26-909B4D4DD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82164" y="8383073"/>
          <a:ext cx="1938260" cy="20521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214314</xdr:colOff>
      <xdr:row>11</xdr:row>
      <xdr:rowOff>145912</xdr:rowOff>
    </xdr:from>
    <xdr:to>
      <xdr:col>8</xdr:col>
      <xdr:colOff>432289</xdr:colOff>
      <xdr:row>20</xdr:row>
      <xdr:rowOff>1635736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C8DB5BA-09E9-64AB-912D-2506827334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495481</xdr:colOff>
      <xdr:row>11</xdr:row>
      <xdr:rowOff>148827</xdr:rowOff>
    </xdr:from>
    <xdr:to>
      <xdr:col>12</xdr:col>
      <xdr:colOff>572872</xdr:colOff>
      <xdr:row>20</xdr:row>
      <xdr:rowOff>1643060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0F30826-4C3C-82F1-C3B0-C399EA397B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178075</xdr:colOff>
      <xdr:row>32</xdr:row>
      <xdr:rowOff>36443</xdr:rowOff>
    </xdr:from>
    <xdr:to>
      <xdr:col>17</xdr:col>
      <xdr:colOff>480390</xdr:colOff>
      <xdr:row>48</xdr:row>
      <xdr:rowOff>107674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DEFAF0-7882-B023-0E43-D4733AECF0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ea1.sharepoint.com/teams/EuropeanScientificAdvisoryBoardonClimateChange2/Shared%20Documents/General/Subgroups/1b.%20Consistency%20EU%20measures/Drafts/underlying%20excels%20and%20flowcharts/ESABCC_Energy_Snapshots.xlsx" TargetMode="External"/><Relationship Id="rId1" Type="http://schemas.openxmlformats.org/officeDocument/2006/relationships/externalLinkPath" Target="ESABCC_Energy_Snapsho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erSupplyEmissions"/>
      <sheetName val="Final&amp;Elec"/>
      <sheetName val="Primary"/>
      <sheetName val="PrimaryComposition"/>
      <sheetName val="GridIntensity"/>
      <sheetName val="CDR &amp; Electricity"/>
      <sheetName val="CH4Ener"/>
      <sheetName val="RES%2030"/>
      <sheetName val="RES%2035"/>
      <sheetName val="RES%IP2only"/>
      <sheetName val="ElecMix"/>
      <sheetName val="FinalEnerShares"/>
      <sheetName val="Hydrogen"/>
      <sheetName val="RES_FF55vs2040"/>
      <sheetName val="CapacityWindSolar"/>
      <sheetName val="WindCapacityFactor"/>
      <sheetName val="ResComm&amp;Agri"/>
      <sheetName val="HeatPumps"/>
      <sheetName val="Industry"/>
      <sheetName val="Agriculture"/>
      <sheetName val="LULUCF"/>
      <sheetName val="Sheet2"/>
      <sheetName val="Transport"/>
    </sheetNames>
    <sheetDataSet>
      <sheetData sheetId="0">
        <row r="2">
          <cell r="Z2">
            <v>0.17829999999999999</v>
          </cell>
        </row>
      </sheetData>
      <sheetData sheetId="1">
        <row r="166">
          <cell r="I166">
            <v>1193.282093753824</v>
          </cell>
        </row>
      </sheetData>
      <sheetData sheetId="2">
        <row r="10">
          <cell r="U10">
            <v>1472.5667976399998</v>
          </cell>
        </row>
      </sheetData>
      <sheetData sheetId="3"/>
      <sheetData sheetId="4"/>
      <sheetData sheetId="5"/>
      <sheetData sheetId="6">
        <row r="35">
          <cell r="Z35">
            <v>2.6773000000000002</v>
          </cell>
        </row>
      </sheetData>
      <sheetData sheetId="7"/>
      <sheetData sheetId="8"/>
      <sheetData sheetId="9"/>
      <sheetData sheetId="10">
        <row r="1">
          <cell r="D1" t="str">
            <v>Variable</v>
          </cell>
        </row>
      </sheetData>
      <sheetData sheetId="11"/>
      <sheetData sheetId="12"/>
      <sheetData sheetId="13"/>
      <sheetData sheetId="14">
        <row r="22">
          <cell r="AY22">
            <v>1709.0186000000001</v>
          </cell>
        </row>
      </sheetData>
      <sheetData sheetId="15"/>
      <sheetData sheetId="16">
        <row r="138">
          <cell r="AO138">
            <v>261.24919999999997</v>
          </cell>
        </row>
      </sheetData>
      <sheetData sheetId="17"/>
      <sheetData sheetId="18">
        <row r="24">
          <cell r="AA24">
            <v>760.88289999999995</v>
          </cell>
        </row>
      </sheetData>
      <sheetData sheetId="19">
        <row r="45">
          <cell r="AP45">
            <v>315.89633225</v>
          </cell>
          <cell r="AZ45">
            <v>282.75463450000001</v>
          </cell>
          <cell r="BJ45">
            <v>268.44377425000005</v>
          </cell>
        </row>
      </sheetData>
      <sheetData sheetId="20">
        <row r="2">
          <cell r="AO2">
            <v>-293.89269999999999</v>
          </cell>
        </row>
      </sheetData>
      <sheetData sheetId="21"/>
      <sheetData sheetId="22">
        <row r="2">
          <cell r="U2">
            <v>765.86789999999996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www.wcrf-uk.org/preventing-cancer/what-can-increase-your-risk-of-cancer/red-and-processed-meat-and-cancer-risk/" TargetMode="External"/><Relationship Id="rId1" Type="http://schemas.openxmlformats.org/officeDocument/2006/relationships/hyperlink" Target="https://www.wcrf-uk.org/preventing-cancer/what-can-increase-your-risk-of-cancer/red-and-processed-meat-and-cancer-risk/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9.xml"/><Relationship Id="rId3" Type="http://schemas.openxmlformats.org/officeDocument/2006/relationships/hyperlink" Target="https://datam.jrc.ec.europa.eu/datam/mashup/AGRI_MTO_FLOWS/index.html" TargetMode="External"/><Relationship Id="rId7" Type="http://schemas.openxmlformats.org/officeDocument/2006/relationships/printerSettings" Target="../printerSettings/printerSettings8.bin"/><Relationship Id="rId2" Type="http://schemas.openxmlformats.org/officeDocument/2006/relationships/hyperlink" Target="https://datam.jrc.ec.europa.eu/datam/mashup/AGRI_MTO_FLOWS/index.html" TargetMode="External"/><Relationship Id="rId1" Type="http://schemas.openxmlformats.org/officeDocument/2006/relationships/hyperlink" Target="https://datam.jrc.ec.europa.eu/datam/mashup/AGRI_MTO_FLOWS/index.html" TargetMode="External"/><Relationship Id="rId6" Type="http://schemas.openxmlformats.org/officeDocument/2006/relationships/hyperlink" Target="https://datam.jrc.ec.europa.eu/datam/mashup/AGRI_MTO_FLOWS/index.html" TargetMode="External"/><Relationship Id="rId5" Type="http://schemas.openxmlformats.org/officeDocument/2006/relationships/hyperlink" Target="https://datam.jrc.ec.europa.eu/datam/mashup/AGRI_MTO_FLOWS/index.html" TargetMode="External"/><Relationship Id="rId4" Type="http://schemas.openxmlformats.org/officeDocument/2006/relationships/hyperlink" Target="https://datam.jrc.ec.europa.eu/datam/mashup/AGRI_MTO_FLOWS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BB60B-F8C3-485B-915E-E6FBAFD9E146}">
  <dimension ref="A1:AX52"/>
  <sheetViews>
    <sheetView workbookViewId="0">
      <selection activeCell="B18" sqref="B18"/>
    </sheetView>
  </sheetViews>
  <sheetFormatPr defaultRowHeight="15" x14ac:dyDescent="0.25"/>
  <sheetData>
    <row r="1" spans="1:50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3"/>
      <c r="S1" s="13">
        <v>2020</v>
      </c>
      <c r="T1" s="13">
        <v>2021</v>
      </c>
      <c r="U1" s="13">
        <v>2022</v>
      </c>
      <c r="V1" s="13">
        <v>2023</v>
      </c>
      <c r="W1" s="13">
        <v>2024</v>
      </c>
      <c r="X1" s="13">
        <v>2025</v>
      </c>
      <c r="Y1" s="13">
        <v>2026</v>
      </c>
      <c r="Z1" s="13">
        <v>2027</v>
      </c>
      <c r="AA1" s="13">
        <v>2028</v>
      </c>
      <c r="AB1" s="13">
        <v>2029</v>
      </c>
      <c r="AC1" s="13">
        <v>2030</v>
      </c>
      <c r="AD1" s="13">
        <v>2031</v>
      </c>
      <c r="AE1" s="13">
        <v>2032</v>
      </c>
      <c r="AF1" s="13">
        <v>2033</v>
      </c>
      <c r="AG1" s="13">
        <v>2034</v>
      </c>
      <c r="AH1" s="13">
        <v>2035</v>
      </c>
      <c r="AI1" s="13">
        <v>2036</v>
      </c>
      <c r="AJ1" s="13">
        <v>2037</v>
      </c>
      <c r="AK1" s="13">
        <v>2038</v>
      </c>
      <c r="AL1" s="13">
        <v>2039</v>
      </c>
      <c r="AM1" s="13">
        <v>2040</v>
      </c>
      <c r="AN1" s="13">
        <v>2041</v>
      </c>
      <c r="AO1" s="13">
        <v>2042</v>
      </c>
      <c r="AP1" s="13">
        <v>2043</v>
      </c>
      <c r="AQ1" s="13">
        <v>2044</v>
      </c>
      <c r="AR1" s="13">
        <v>2045</v>
      </c>
      <c r="AS1" s="13">
        <v>2046</v>
      </c>
      <c r="AT1" s="13">
        <v>2047</v>
      </c>
      <c r="AU1" s="13">
        <v>2048</v>
      </c>
      <c r="AV1" s="13">
        <v>2049</v>
      </c>
      <c r="AW1" s="13">
        <v>2050</v>
      </c>
      <c r="AX1" s="12"/>
    </row>
    <row r="2" spans="1:50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4" t="s">
        <v>26</v>
      </c>
      <c r="R2" s="15">
        <v>1</v>
      </c>
      <c r="S2" s="15">
        <v>1</v>
      </c>
      <c r="T2" s="15">
        <v>0.98</v>
      </c>
      <c r="U2" s="15">
        <v>0.96</v>
      </c>
      <c r="V2" s="15">
        <v>0.94</v>
      </c>
      <c r="W2" s="15">
        <v>0.92</v>
      </c>
      <c r="X2" s="15">
        <v>0.9</v>
      </c>
      <c r="Y2" s="15">
        <v>0.88</v>
      </c>
      <c r="Z2" s="15">
        <v>0.86</v>
      </c>
      <c r="AA2" s="15">
        <v>0.85</v>
      </c>
      <c r="AB2" s="15">
        <v>0.83</v>
      </c>
      <c r="AC2" s="15">
        <v>0.81</v>
      </c>
      <c r="AD2" s="15">
        <v>0.79</v>
      </c>
      <c r="AE2" s="15">
        <v>0.77</v>
      </c>
      <c r="AF2" s="15">
        <v>0.75</v>
      </c>
      <c r="AG2" s="15">
        <v>0.73</v>
      </c>
      <c r="AH2" s="15">
        <v>0.71</v>
      </c>
      <c r="AI2" s="15">
        <v>0.69</v>
      </c>
      <c r="AJ2" s="15">
        <v>0.67</v>
      </c>
      <c r="AK2" s="15">
        <v>0.65</v>
      </c>
      <c r="AL2" s="15">
        <v>0.63</v>
      </c>
      <c r="AM2" s="15">
        <v>0.61</v>
      </c>
      <c r="AN2" s="15">
        <v>0.6</v>
      </c>
      <c r="AO2" s="15">
        <v>0.57999999999999996</v>
      </c>
      <c r="AP2" s="15">
        <v>0.56999999999999995</v>
      </c>
      <c r="AQ2" s="15">
        <v>0.56000000000000005</v>
      </c>
      <c r="AR2" s="15">
        <v>0.54</v>
      </c>
      <c r="AS2" s="15">
        <v>0.53</v>
      </c>
      <c r="AT2" s="15">
        <v>0.52</v>
      </c>
      <c r="AU2" s="15">
        <v>0.51</v>
      </c>
      <c r="AV2" s="15">
        <v>0.5</v>
      </c>
      <c r="AW2" s="15">
        <v>0.49</v>
      </c>
      <c r="AX2" s="12"/>
    </row>
    <row r="3" spans="1:5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4" t="s">
        <v>27</v>
      </c>
      <c r="R3" s="15">
        <v>1</v>
      </c>
      <c r="S3" s="15">
        <v>1</v>
      </c>
      <c r="T3" s="15">
        <v>0.99</v>
      </c>
      <c r="U3" s="15">
        <v>0.99</v>
      </c>
      <c r="V3" s="15">
        <v>0.98</v>
      </c>
      <c r="W3" s="15">
        <v>0.97</v>
      </c>
      <c r="X3" s="15">
        <v>0.96</v>
      </c>
      <c r="Y3" s="15">
        <v>0.94</v>
      </c>
      <c r="Z3" s="15">
        <v>0.92</v>
      </c>
      <c r="AA3" s="15">
        <v>0.89</v>
      </c>
      <c r="AB3" s="15">
        <v>0.87</v>
      </c>
      <c r="AC3" s="15">
        <v>0.85</v>
      </c>
      <c r="AD3" s="15">
        <v>0.83</v>
      </c>
      <c r="AE3" s="15">
        <v>0.8</v>
      </c>
      <c r="AF3" s="15">
        <v>0.78</v>
      </c>
      <c r="AG3" s="15">
        <v>0.75</v>
      </c>
      <c r="AH3" s="15">
        <v>0.73</v>
      </c>
      <c r="AI3" s="15">
        <v>0.71</v>
      </c>
      <c r="AJ3" s="15">
        <v>0.69</v>
      </c>
      <c r="AK3" s="15">
        <v>0.67</v>
      </c>
      <c r="AL3" s="15">
        <v>0.64</v>
      </c>
      <c r="AM3" s="15">
        <v>0.62</v>
      </c>
      <c r="AN3" s="15">
        <v>0.61</v>
      </c>
      <c r="AO3" s="15">
        <v>0.6</v>
      </c>
      <c r="AP3" s="15">
        <v>0.59</v>
      </c>
      <c r="AQ3" s="15">
        <v>0.57999999999999996</v>
      </c>
      <c r="AR3" s="15">
        <v>0.56000000000000005</v>
      </c>
      <c r="AS3" s="15">
        <v>0.56000000000000005</v>
      </c>
      <c r="AT3" s="15">
        <v>0.55000000000000004</v>
      </c>
      <c r="AU3" s="15">
        <v>0.55000000000000004</v>
      </c>
      <c r="AV3" s="15">
        <v>0.55000000000000004</v>
      </c>
      <c r="AW3" s="15">
        <v>0.54</v>
      </c>
      <c r="AX3" s="12"/>
    </row>
    <row r="4" spans="1:50" x14ac:dyDescent="0.25">
      <c r="A4" s="12"/>
      <c r="B4" s="16" t="s">
        <v>28</v>
      </c>
      <c r="C4" s="12"/>
      <c r="D4" s="12"/>
      <c r="E4" s="16" t="s">
        <v>29</v>
      </c>
      <c r="F4" s="16"/>
      <c r="G4" s="12"/>
      <c r="H4" s="12"/>
      <c r="I4" s="12"/>
      <c r="J4" s="12"/>
      <c r="K4" s="12"/>
      <c r="L4" s="12"/>
      <c r="M4" s="12"/>
      <c r="N4" s="12"/>
      <c r="O4" s="12"/>
      <c r="P4" s="12"/>
      <c r="Q4" s="14" t="s">
        <v>30</v>
      </c>
      <c r="R4" s="15">
        <v>1</v>
      </c>
      <c r="S4" s="15">
        <v>1.01</v>
      </c>
      <c r="T4" s="15">
        <v>0.99</v>
      </c>
      <c r="U4" s="15">
        <v>0.98</v>
      </c>
      <c r="V4" s="15">
        <v>0.96</v>
      </c>
      <c r="W4" s="15">
        <v>0.95</v>
      </c>
      <c r="X4" s="15">
        <v>0.93</v>
      </c>
      <c r="Y4" s="15">
        <v>0.92</v>
      </c>
      <c r="Z4" s="15">
        <v>0.9</v>
      </c>
      <c r="AA4" s="15">
        <v>0.89</v>
      </c>
      <c r="AB4" s="15">
        <v>0.88</v>
      </c>
      <c r="AC4" s="15">
        <v>0.86</v>
      </c>
      <c r="AD4" s="15">
        <v>0.85</v>
      </c>
      <c r="AE4" s="15">
        <v>0.83</v>
      </c>
      <c r="AF4" s="15">
        <v>0.82</v>
      </c>
      <c r="AG4" s="15">
        <v>0.8</v>
      </c>
      <c r="AH4" s="15">
        <v>0.79</v>
      </c>
      <c r="AI4" s="15">
        <v>0.78</v>
      </c>
      <c r="AJ4" s="15">
        <v>0.77</v>
      </c>
      <c r="AK4" s="15">
        <v>0.77</v>
      </c>
      <c r="AL4" s="15">
        <v>0.76</v>
      </c>
      <c r="AM4" s="15">
        <v>0.76</v>
      </c>
      <c r="AN4" s="15">
        <v>0.76</v>
      </c>
      <c r="AO4" s="15">
        <v>0.76</v>
      </c>
      <c r="AP4" s="15">
        <v>0.76</v>
      </c>
      <c r="AQ4" s="15">
        <v>0.76</v>
      </c>
      <c r="AR4" s="15">
        <v>0.76</v>
      </c>
      <c r="AS4" s="15">
        <v>0.76</v>
      </c>
      <c r="AT4" s="15">
        <v>0.76</v>
      </c>
      <c r="AU4" s="15">
        <v>0.77</v>
      </c>
      <c r="AV4" s="15">
        <v>0.77</v>
      </c>
      <c r="AW4" s="15">
        <v>0.77</v>
      </c>
      <c r="AX4" s="12"/>
    </row>
    <row r="5" spans="1:50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 t="e">
        <v>#REF!</v>
      </c>
      <c r="R5" s="15">
        <v>1</v>
      </c>
      <c r="S5" s="15">
        <v>1</v>
      </c>
      <c r="T5" s="15">
        <v>0.99</v>
      </c>
      <c r="U5" s="15">
        <v>0.97</v>
      </c>
      <c r="V5" s="15">
        <v>0.95</v>
      </c>
      <c r="W5" s="15">
        <v>0.93</v>
      </c>
      <c r="X5" s="15">
        <v>0.91</v>
      </c>
      <c r="Y5" s="15">
        <v>0.9</v>
      </c>
      <c r="Z5" s="15">
        <v>0.88</v>
      </c>
      <c r="AA5" s="15">
        <v>0.86</v>
      </c>
      <c r="AB5" s="15">
        <v>0.84</v>
      </c>
      <c r="AC5" s="15">
        <v>0.83</v>
      </c>
      <c r="AD5" s="15">
        <v>0.81</v>
      </c>
      <c r="AE5" s="15">
        <v>0.79</v>
      </c>
      <c r="AF5" s="15">
        <v>0.77</v>
      </c>
      <c r="AG5" s="15">
        <v>0.76</v>
      </c>
      <c r="AH5" s="15">
        <v>0.74</v>
      </c>
      <c r="AI5" s="15">
        <v>0.73</v>
      </c>
      <c r="AJ5" s="15">
        <v>0.72</v>
      </c>
      <c r="AK5" s="15">
        <v>0.72</v>
      </c>
      <c r="AL5" s="15">
        <v>0.71</v>
      </c>
      <c r="AM5" s="15">
        <v>0.7</v>
      </c>
      <c r="AN5" s="15">
        <v>0.7</v>
      </c>
      <c r="AO5" s="15">
        <v>0.7</v>
      </c>
      <c r="AP5" s="15">
        <v>0.7</v>
      </c>
      <c r="AQ5" s="15">
        <v>0.7</v>
      </c>
      <c r="AR5" s="15">
        <v>0.7</v>
      </c>
      <c r="AS5" s="15">
        <v>0.7</v>
      </c>
      <c r="AT5" s="15">
        <v>0.71</v>
      </c>
      <c r="AU5" s="15">
        <v>0.71</v>
      </c>
      <c r="AV5" s="15">
        <v>0.71</v>
      </c>
      <c r="AW5" s="15">
        <v>0.71</v>
      </c>
      <c r="AX5" s="12"/>
    </row>
    <row r="6" spans="1:50" x14ac:dyDescent="0.25">
      <c r="A6" s="13" t="s">
        <v>31</v>
      </c>
      <c r="B6" s="12" t="s">
        <v>32</v>
      </c>
      <c r="C6" s="12"/>
      <c r="D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 t="e">
        <v>#REF!</v>
      </c>
      <c r="R6" s="15">
        <v>1</v>
      </c>
      <c r="S6" s="15">
        <v>1</v>
      </c>
      <c r="T6" s="15">
        <v>0.99</v>
      </c>
      <c r="U6" s="15">
        <v>0.97</v>
      </c>
      <c r="V6" s="15">
        <v>0.96</v>
      </c>
      <c r="W6" s="15">
        <v>0.95</v>
      </c>
      <c r="X6" s="15">
        <v>0.94</v>
      </c>
      <c r="Y6" s="15">
        <v>0.93</v>
      </c>
      <c r="Z6" s="15">
        <v>0.91</v>
      </c>
      <c r="AA6" s="15">
        <v>0.9</v>
      </c>
      <c r="AB6" s="15">
        <v>0.88</v>
      </c>
      <c r="AC6" s="15">
        <v>0.87</v>
      </c>
      <c r="AD6" s="15">
        <v>0.85</v>
      </c>
      <c r="AE6" s="15">
        <v>0.83</v>
      </c>
      <c r="AF6" s="15">
        <v>0.81</v>
      </c>
      <c r="AG6" s="15">
        <v>0.79</v>
      </c>
      <c r="AH6" s="15">
        <v>0.77</v>
      </c>
      <c r="AI6" s="15">
        <v>0.76</v>
      </c>
      <c r="AJ6" s="15">
        <v>0.74</v>
      </c>
      <c r="AK6" s="15">
        <v>0.72</v>
      </c>
      <c r="AL6" s="15">
        <v>0.71</v>
      </c>
      <c r="AM6" s="15">
        <v>0.69</v>
      </c>
      <c r="AN6" s="15">
        <v>0.69</v>
      </c>
      <c r="AO6" s="15">
        <v>0.68</v>
      </c>
      <c r="AP6" s="15">
        <v>0.68</v>
      </c>
      <c r="AQ6" s="15">
        <v>0.68</v>
      </c>
      <c r="AR6" s="15">
        <v>0.67</v>
      </c>
      <c r="AS6" s="15">
        <v>0.67</v>
      </c>
      <c r="AT6" s="15">
        <v>0.67</v>
      </c>
      <c r="AU6" s="15">
        <v>0.66</v>
      </c>
      <c r="AV6" s="15">
        <v>0.66</v>
      </c>
      <c r="AW6" s="15">
        <v>0.66</v>
      </c>
      <c r="AX6" s="12"/>
    </row>
    <row r="7" spans="1:50" x14ac:dyDescent="0.25">
      <c r="A7" s="12"/>
      <c r="B7" s="17" t="s">
        <v>33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 t="e">
        <v>#REF!</v>
      </c>
      <c r="R7" s="15">
        <v>1</v>
      </c>
      <c r="S7" s="15">
        <v>1</v>
      </c>
      <c r="T7" s="15">
        <v>0.98</v>
      </c>
      <c r="U7" s="15">
        <v>0.96</v>
      </c>
      <c r="V7" s="15">
        <v>0.94</v>
      </c>
      <c r="W7" s="15">
        <v>0.92</v>
      </c>
      <c r="X7" s="15">
        <v>0.9</v>
      </c>
      <c r="Y7" s="15">
        <v>0.88</v>
      </c>
      <c r="Z7" s="15">
        <v>0.86</v>
      </c>
      <c r="AA7" s="15">
        <v>0.84</v>
      </c>
      <c r="AB7" s="15">
        <v>0.83</v>
      </c>
      <c r="AC7" s="15">
        <v>0.81</v>
      </c>
      <c r="AD7" s="15">
        <v>0.79</v>
      </c>
      <c r="AE7" s="15">
        <v>0.77</v>
      </c>
      <c r="AF7" s="15">
        <v>0.75</v>
      </c>
      <c r="AG7" s="15">
        <v>0.73</v>
      </c>
      <c r="AH7" s="15">
        <v>0.71</v>
      </c>
      <c r="AI7" s="15">
        <v>0.7</v>
      </c>
      <c r="AJ7" s="15">
        <v>0.7</v>
      </c>
      <c r="AK7" s="15">
        <v>0.69</v>
      </c>
      <c r="AL7" s="15">
        <v>0.68</v>
      </c>
      <c r="AM7" s="15">
        <v>0.68</v>
      </c>
      <c r="AN7" s="15">
        <v>0.68</v>
      </c>
      <c r="AO7" s="15">
        <v>0.69</v>
      </c>
      <c r="AP7" s="15">
        <v>0.69</v>
      </c>
      <c r="AQ7" s="15">
        <v>0.7</v>
      </c>
      <c r="AR7" s="15">
        <v>0.7</v>
      </c>
      <c r="AS7" s="15">
        <v>0.71</v>
      </c>
      <c r="AT7" s="15">
        <v>0.71</v>
      </c>
      <c r="AU7" s="15">
        <v>0.71</v>
      </c>
      <c r="AV7" s="15">
        <v>0.71</v>
      </c>
      <c r="AW7" s="15">
        <v>0.71</v>
      </c>
      <c r="AX7" s="12"/>
    </row>
    <row r="8" spans="1:50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 t="e">
        <v>#REF!</v>
      </c>
      <c r="R8" s="15">
        <v>1</v>
      </c>
      <c r="S8" s="15">
        <v>1</v>
      </c>
      <c r="T8" s="15">
        <v>0.99</v>
      </c>
      <c r="U8" s="15">
        <v>0.99</v>
      </c>
      <c r="V8" s="15">
        <v>0.98</v>
      </c>
      <c r="W8" s="15">
        <v>0.97</v>
      </c>
      <c r="X8" s="15">
        <v>0.96</v>
      </c>
      <c r="Y8" s="15">
        <v>0.94</v>
      </c>
      <c r="Z8" s="15">
        <v>0.92</v>
      </c>
      <c r="AA8" s="15">
        <v>0.89</v>
      </c>
      <c r="AB8" s="15">
        <v>0.87</v>
      </c>
      <c r="AC8" s="15">
        <v>0.85</v>
      </c>
      <c r="AD8" s="15">
        <v>0.83</v>
      </c>
      <c r="AE8" s="15">
        <v>0.8</v>
      </c>
      <c r="AF8" s="15">
        <v>0.78</v>
      </c>
      <c r="AG8" s="15">
        <v>0.76</v>
      </c>
      <c r="AH8" s="15">
        <v>0.73</v>
      </c>
      <c r="AI8" s="15">
        <v>0.71</v>
      </c>
      <c r="AJ8" s="15">
        <v>0.69</v>
      </c>
      <c r="AK8" s="15">
        <v>0.67</v>
      </c>
      <c r="AL8" s="15">
        <v>0.65</v>
      </c>
      <c r="AM8" s="15">
        <v>0.63</v>
      </c>
      <c r="AN8" s="15">
        <v>0.62</v>
      </c>
      <c r="AO8" s="15">
        <v>0.6</v>
      </c>
      <c r="AP8" s="15">
        <v>0.59</v>
      </c>
      <c r="AQ8" s="15">
        <v>0.57999999999999996</v>
      </c>
      <c r="AR8" s="15">
        <v>0.56999999999999995</v>
      </c>
      <c r="AS8" s="15">
        <v>0.56000000000000005</v>
      </c>
      <c r="AT8" s="15">
        <v>0.56000000000000005</v>
      </c>
      <c r="AU8" s="15">
        <v>0.55000000000000004</v>
      </c>
      <c r="AV8" s="15">
        <v>0.55000000000000004</v>
      </c>
      <c r="AW8" s="15">
        <v>0.54</v>
      </c>
      <c r="AX8" s="12"/>
    </row>
    <row r="9" spans="1:50" x14ac:dyDescent="0.25">
      <c r="A9" s="13" t="s">
        <v>34</v>
      </c>
      <c r="B9" s="17" t="s">
        <v>33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 t="e">
        <v>#REF!</v>
      </c>
      <c r="R9" s="15">
        <v>1</v>
      </c>
      <c r="S9" s="15">
        <v>1</v>
      </c>
      <c r="T9" s="15">
        <v>0.99</v>
      </c>
      <c r="U9" s="15">
        <v>0.99</v>
      </c>
      <c r="V9" s="15">
        <v>0.98</v>
      </c>
      <c r="W9" s="15">
        <v>0.97</v>
      </c>
      <c r="X9" s="15">
        <v>0.96</v>
      </c>
      <c r="Y9" s="15">
        <v>0.94</v>
      </c>
      <c r="Z9" s="15">
        <v>0.92</v>
      </c>
      <c r="AA9" s="15">
        <v>0.89</v>
      </c>
      <c r="AB9" s="15">
        <v>0.87</v>
      </c>
      <c r="AC9" s="15">
        <v>0.85</v>
      </c>
      <c r="AD9" s="15">
        <v>0.83</v>
      </c>
      <c r="AE9" s="15">
        <v>0.8</v>
      </c>
      <c r="AF9" s="15">
        <v>0.78</v>
      </c>
      <c r="AG9" s="15">
        <v>0.76</v>
      </c>
      <c r="AH9" s="15">
        <v>0.73</v>
      </c>
      <c r="AI9" s="15">
        <v>0.71</v>
      </c>
      <c r="AJ9" s="15">
        <v>0.69</v>
      </c>
      <c r="AK9" s="15">
        <v>0.67</v>
      </c>
      <c r="AL9" s="15">
        <v>0.65</v>
      </c>
      <c r="AM9" s="15">
        <v>0.63</v>
      </c>
      <c r="AN9" s="15">
        <v>0.62</v>
      </c>
      <c r="AO9" s="15">
        <v>0.6</v>
      </c>
      <c r="AP9" s="15">
        <v>0.59</v>
      </c>
      <c r="AQ9" s="15">
        <v>0.57999999999999996</v>
      </c>
      <c r="AR9" s="15">
        <v>0.56999999999999995</v>
      </c>
      <c r="AS9" s="15">
        <v>0.56000000000000005</v>
      </c>
      <c r="AT9" s="15">
        <v>0.56000000000000005</v>
      </c>
      <c r="AU9" s="15">
        <v>0.55000000000000004</v>
      </c>
      <c r="AV9" s="15">
        <v>0.55000000000000004</v>
      </c>
      <c r="AW9" s="15">
        <v>0.54</v>
      </c>
      <c r="AX9" s="12"/>
    </row>
    <row r="10" spans="1:50" x14ac:dyDescent="0.25">
      <c r="A10" s="12"/>
      <c r="B10" s="12" t="s">
        <v>35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 t="e">
        <v>#REF!</v>
      </c>
      <c r="R10" s="15">
        <v>1</v>
      </c>
      <c r="S10" s="15">
        <v>1</v>
      </c>
      <c r="T10" s="15">
        <v>0.99</v>
      </c>
      <c r="U10" s="15">
        <v>0.99</v>
      </c>
      <c r="V10" s="15">
        <v>0.98</v>
      </c>
      <c r="W10" s="15">
        <v>0.97</v>
      </c>
      <c r="X10" s="15">
        <v>0.96</v>
      </c>
      <c r="Y10" s="15">
        <v>0.94</v>
      </c>
      <c r="Z10" s="15">
        <v>0.92</v>
      </c>
      <c r="AA10" s="15">
        <v>0.89</v>
      </c>
      <c r="AB10" s="15">
        <v>0.87</v>
      </c>
      <c r="AC10" s="15">
        <v>0.85</v>
      </c>
      <c r="AD10" s="15">
        <v>0.82</v>
      </c>
      <c r="AE10" s="15">
        <v>0.8</v>
      </c>
      <c r="AF10" s="15">
        <v>0.77</v>
      </c>
      <c r="AG10" s="15">
        <v>0.75</v>
      </c>
      <c r="AH10" s="15">
        <v>0.73</v>
      </c>
      <c r="AI10" s="15">
        <v>0.7</v>
      </c>
      <c r="AJ10" s="15">
        <v>0.68</v>
      </c>
      <c r="AK10" s="15">
        <v>0.66</v>
      </c>
      <c r="AL10" s="15">
        <v>0.64</v>
      </c>
      <c r="AM10" s="15">
        <v>0.61</v>
      </c>
      <c r="AN10" s="15">
        <v>0.6</v>
      </c>
      <c r="AO10" s="15">
        <v>0.59</v>
      </c>
      <c r="AP10" s="15">
        <v>0.57999999999999996</v>
      </c>
      <c r="AQ10" s="15">
        <v>0.56999999999999995</v>
      </c>
      <c r="AR10" s="15">
        <v>0.56000000000000005</v>
      </c>
      <c r="AS10" s="15">
        <v>0.56000000000000005</v>
      </c>
      <c r="AT10" s="15">
        <v>0.56000000000000005</v>
      </c>
      <c r="AU10" s="15">
        <v>0.55000000000000004</v>
      </c>
      <c r="AV10" s="15">
        <v>0.55000000000000004</v>
      </c>
      <c r="AW10" s="15">
        <v>0.55000000000000004</v>
      </c>
      <c r="AX10" s="12"/>
    </row>
    <row r="11" spans="1:50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 t="e">
        <v>#REF!</v>
      </c>
      <c r="R11" s="15">
        <v>1</v>
      </c>
      <c r="S11" s="15">
        <v>1</v>
      </c>
      <c r="T11" s="15">
        <v>0.99</v>
      </c>
      <c r="U11" s="15">
        <v>0.99</v>
      </c>
      <c r="V11" s="15">
        <v>0.98</v>
      </c>
      <c r="W11" s="15">
        <v>0.97</v>
      </c>
      <c r="X11" s="15">
        <v>0.96</v>
      </c>
      <c r="Y11" s="15">
        <v>0.94</v>
      </c>
      <c r="Z11" s="15">
        <v>0.92</v>
      </c>
      <c r="AA11" s="15">
        <v>0.89</v>
      </c>
      <c r="AB11" s="15">
        <v>0.87</v>
      </c>
      <c r="AC11" s="15">
        <v>0.85</v>
      </c>
      <c r="AD11" s="15">
        <v>0.82</v>
      </c>
      <c r="AE11" s="15">
        <v>0.8</v>
      </c>
      <c r="AF11" s="15">
        <v>0.77</v>
      </c>
      <c r="AG11" s="15">
        <v>0.75</v>
      </c>
      <c r="AH11" s="15">
        <v>0.73</v>
      </c>
      <c r="AI11" s="15">
        <v>0.7</v>
      </c>
      <c r="AJ11" s="15">
        <v>0.68</v>
      </c>
      <c r="AK11" s="15">
        <v>0.66</v>
      </c>
      <c r="AL11" s="15">
        <v>0.64</v>
      </c>
      <c r="AM11" s="15">
        <v>0.62</v>
      </c>
      <c r="AN11" s="15">
        <v>0.6</v>
      </c>
      <c r="AO11" s="15">
        <v>0.59</v>
      </c>
      <c r="AP11" s="15">
        <v>0.57999999999999996</v>
      </c>
      <c r="AQ11" s="15">
        <v>0.56999999999999995</v>
      </c>
      <c r="AR11" s="15">
        <v>0.56000000000000005</v>
      </c>
      <c r="AS11" s="15">
        <v>0.56000000000000005</v>
      </c>
      <c r="AT11" s="15">
        <v>0.56000000000000005</v>
      </c>
      <c r="AU11" s="15">
        <v>0.55000000000000004</v>
      </c>
      <c r="AV11" s="15">
        <v>0.55000000000000004</v>
      </c>
      <c r="AW11" s="15">
        <v>0.55000000000000004</v>
      </c>
      <c r="AX11" s="12"/>
    </row>
    <row r="12" spans="1:50" x14ac:dyDescent="0.25">
      <c r="A12" s="13" t="s">
        <v>36</v>
      </c>
      <c r="B12" s="12" t="s">
        <v>37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 t="e">
        <v>#REF!</v>
      </c>
      <c r="R12" s="12" t="e">
        <v>#N/A</v>
      </c>
      <c r="S12" s="12" t="e">
        <v>#N/A</v>
      </c>
      <c r="T12" s="12" t="e">
        <v>#N/A</v>
      </c>
      <c r="U12" s="12" t="e">
        <v>#N/A</v>
      </c>
      <c r="V12" s="12" t="e">
        <v>#N/A</v>
      </c>
      <c r="W12" s="12" t="e">
        <v>#N/A</v>
      </c>
      <c r="X12" s="12" t="e">
        <v>#N/A</v>
      </c>
      <c r="Y12" s="12" t="e">
        <v>#N/A</v>
      </c>
      <c r="Z12" s="12" t="e">
        <v>#N/A</v>
      </c>
      <c r="AA12" s="12" t="e">
        <v>#N/A</v>
      </c>
      <c r="AB12" s="12" t="e">
        <v>#N/A</v>
      </c>
      <c r="AC12" s="12" t="e">
        <v>#N/A</v>
      </c>
      <c r="AD12" s="12" t="e">
        <v>#N/A</v>
      </c>
      <c r="AE12" s="12" t="e">
        <v>#N/A</v>
      </c>
      <c r="AF12" s="12" t="e">
        <v>#N/A</v>
      </c>
      <c r="AG12" s="12" t="e">
        <v>#N/A</v>
      </c>
      <c r="AH12" s="12" t="e">
        <v>#N/A</v>
      </c>
      <c r="AI12" s="12" t="e">
        <v>#N/A</v>
      </c>
      <c r="AJ12" s="12" t="e">
        <v>#N/A</v>
      </c>
      <c r="AK12" s="12" t="e">
        <v>#N/A</v>
      </c>
      <c r="AL12" s="12" t="e">
        <v>#N/A</v>
      </c>
      <c r="AM12" s="12" t="e">
        <v>#N/A</v>
      </c>
      <c r="AN12" s="12" t="e">
        <v>#N/A</v>
      </c>
      <c r="AO12" s="12" t="e">
        <v>#N/A</v>
      </c>
      <c r="AP12" s="12" t="e">
        <v>#N/A</v>
      </c>
      <c r="AQ12" s="12" t="e">
        <v>#N/A</v>
      </c>
      <c r="AR12" s="12" t="e">
        <v>#N/A</v>
      </c>
      <c r="AS12" s="12" t="e">
        <v>#N/A</v>
      </c>
      <c r="AT12" s="12" t="e">
        <v>#N/A</v>
      </c>
      <c r="AU12" s="12" t="e">
        <v>#N/A</v>
      </c>
      <c r="AV12" s="12" t="e">
        <v>#N/A</v>
      </c>
      <c r="AW12" s="12" t="e">
        <v>#N/A</v>
      </c>
      <c r="AX12" s="12"/>
    </row>
    <row r="13" spans="1:50" x14ac:dyDescent="0.25">
      <c r="A13" s="12"/>
      <c r="B13" s="12" t="s">
        <v>38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 t="e">
        <v>#REF!</v>
      </c>
      <c r="R13" s="12" t="e">
        <v>#N/A</v>
      </c>
      <c r="S13" s="12" t="e">
        <v>#N/A</v>
      </c>
      <c r="T13" s="12" t="e">
        <v>#N/A</v>
      </c>
      <c r="U13" s="12" t="e">
        <v>#N/A</v>
      </c>
      <c r="V13" s="12" t="e">
        <v>#N/A</v>
      </c>
      <c r="W13" s="12" t="e">
        <v>#N/A</v>
      </c>
      <c r="X13" s="12" t="e">
        <v>#N/A</v>
      </c>
      <c r="Y13" s="12" t="e">
        <v>#N/A</v>
      </c>
      <c r="Z13" s="12" t="e">
        <v>#N/A</v>
      </c>
      <c r="AA13" s="12" t="e">
        <v>#N/A</v>
      </c>
      <c r="AB13" s="12" t="e">
        <v>#N/A</v>
      </c>
      <c r="AC13" s="12" t="e">
        <v>#N/A</v>
      </c>
      <c r="AD13" s="12" t="e">
        <v>#N/A</v>
      </c>
      <c r="AE13" s="12" t="e">
        <v>#N/A</v>
      </c>
      <c r="AF13" s="12" t="e">
        <v>#N/A</v>
      </c>
      <c r="AG13" s="12" t="e">
        <v>#N/A</v>
      </c>
      <c r="AH13" s="12" t="e">
        <v>#N/A</v>
      </c>
      <c r="AI13" s="12" t="e">
        <v>#N/A</v>
      </c>
      <c r="AJ13" s="12" t="e">
        <v>#N/A</v>
      </c>
      <c r="AK13" s="12" t="e">
        <v>#N/A</v>
      </c>
      <c r="AL13" s="12" t="e">
        <v>#N/A</v>
      </c>
      <c r="AM13" s="12" t="e">
        <v>#N/A</v>
      </c>
      <c r="AN13" s="12" t="e">
        <v>#N/A</v>
      </c>
      <c r="AO13" s="12" t="e">
        <v>#N/A</v>
      </c>
      <c r="AP13" s="12" t="e">
        <v>#N/A</v>
      </c>
      <c r="AQ13" s="12" t="e">
        <v>#N/A</v>
      </c>
      <c r="AR13" s="12" t="e">
        <v>#N/A</v>
      </c>
      <c r="AS13" s="12" t="e">
        <v>#N/A</v>
      </c>
      <c r="AT13" s="12" t="e">
        <v>#N/A</v>
      </c>
      <c r="AU13" s="12" t="e">
        <v>#N/A</v>
      </c>
      <c r="AV13" s="12" t="e">
        <v>#N/A</v>
      </c>
      <c r="AW13" s="12" t="e">
        <v>#N/A</v>
      </c>
      <c r="AX13" s="12"/>
    </row>
    <row r="14" spans="1:50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 t="e">
        <v>#REF!</v>
      </c>
      <c r="R14" s="15">
        <v>1</v>
      </c>
      <c r="S14" s="15">
        <v>1</v>
      </c>
      <c r="T14" s="15">
        <v>0.99</v>
      </c>
      <c r="U14" s="15">
        <v>0.99</v>
      </c>
      <c r="V14" s="15">
        <v>0.98</v>
      </c>
      <c r="W14" s="15">
        <v>0.97</v>
      </c>
      <c r="X14" s="15">
        <v>0.96</v>
      </c>
      <c r="Y14" s="15">
        <v>0.94</v>
      </c>
      <c r="Z14" s="15">
        <v>0.92</v>
      </c>
      <c r="AA14" s="15">
        <v>0.89</v>
      </c>
      <c r="AB14" s="15">
        <v>0.87</v>
      </c>
      <c r="AC14" s="15">
        <v>0.85</v>
      </c>
      <c r="AD14" s="15">
        <v>0.82</v>
      </c>
      <c r="AE14" s="15">
        <v>0.8</v>
      </c>
      <c r="AF14" s="15">
        <v>0.78</v>
      </c>
      <c r="AG14" s="15">
        <v>0.75</v>
      </c>
      <c r="AH14" s="15">
        <v>0.73</v>
      </c>
      <c r="AI14" s="15">
        <v>0.71</v>
      </c>
      <c r="AJ14" s="15">
        <v>0.68</v>
      </c>
      <c r="AK14" s="15">
        <v>0.66</v>
      </c>
      <c r="AL14" s="15">
        <v>0.64</v>
      </c>
      <c r="AM14" s="15">
        <v>0.62</v>
      </c>
      <c r="AN14" s="15">
        <v>0.61</v>
      </c>
      <c r="AO14" s="15">
        <v>0.59</v>
      </c>
      <c r="AP14" s="15">
        <v>0.57999999999999996</v>
      </c>
      <c r="AQ14" s="15">
        <v>0.56999999999999995</v>
      </c>
      <c r="AR14" s="15">
        <v>0.56000000000000005</v>
      </c>
      <c r="AS14" s="15">
        <v>0.56000000000000005</v>
      </c>
      <c r="AT14" s="15">
        <v>0.55000000000000004</v>
      </c>
      <c r="AU14" s="15">
        <v>0.55000000000000004</v>
      </c>
      <c r="AV14" s="15">
        <v>0.55000000000000004</v>
      </c>
      <c r="AW14" s="15">
        <v>0.54</v>
      </c>
      <c r="AX14" s="12"/>
    </row>
    <row r="15" spans="1:50" x14ac:dyDescent="0.25">
      <c r="A15" s="13" t="s">
        <v>39</v>
      </c>
      <c r="B15" s="18" t="s">
        <v>40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 t="e">
        <v>#REF!</v>
      </c>
      <c r="R15" s="15">
        <v>1</v>
      </c>
      <c r="S15" s="15">
        <v>1</v>
      </c>
      <c r="T15" s="15">
        <v>0.99</v>
      </c>
      <c r="U15" s="15">
        <v>0.99</v>
      </c>
      <c r="V15" s="15">
        <v>0.98</v>
      </c>
      <c r="W15" s="15">
        <v>0.97</v>
      </c>
      <c r="X15" s="15">
        <v>0.96</v>
      </c>
      <c r="Y15" s="15">
        <v>0.94</v>
      </c>
      <c r="Z15" s="15">
        <v>0.92</v>
      </c>
      <c r="AA15" s="15">
        <v>0.89</v>
      </c>
      <c r="AB15" s="15">
        <v>0.87</v>
      </c>
      <c r="AC15" s="15">
        <v>0.85</v>
      </c>
      <c r="AD15" s="15">
        <v>0.82</v>
      </c>
      <c r="AE15" s="15">
        <v>0.79</v>
      </c>
      <c r="AF15" s="15">
        <v>0.77</v>
      </c>
      <c r="AG15" s="15">
        <v>0.74</v>
      </c>
      <c r="AH15" s="15">
        <v>0.71</v>
      </c>
      <c r="AI15" s="15">
        <v>0.69</v>
      </c>
      <c r="AJ15" s="15">
        <v>0.67</v>
      </c>
      <c r="AK15" s="15">
        <v>0.65</v>
      </c>
      <c r="AL15" s="15">
        <v>0.62</v>
      </c>
      <c r="AM15" s="15">
        <v>0.6</v>
      </c>
      <c r="AN15" s="15">
        <v>0.59</v>
      </c>
      <c r="AO15" s="15">
        <v>0.57999999999999996</v>
      </c>
      <c r="AP15" s="15">
        <v>0.57999999999999996</v>
      </c>
      <c r="AQ15" s="15">
        <v>0.56999999999999995</v>
      </c>
      <c r="AR15" s="15">
        <v>0.56000000000000005</v>
      </c>
      <c r="AS15" s="15">
        <v>0.56000000000000005</v>
      </c>
      <c r="AT15" s="15">
        <v>0.55000000000000004</v>
      </c>
      <c r="AU15" s="15">
        <v>0.55000000000000004</v>
      </c>
      <c r="AV15" s="15">
        <v>0.55000000000000004</v>
      </c>
      <c r="AW15" s="15">
        <v>0.55000000000000004</v>
      </c>
      <c r="AX15" s="12"/>
    </row>
    <row r="16" spans="1:50" x14ac:dyDescent="0.25">
      <c r="A16" s="12"/>
      <c r="B16" s="19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 t="e">
        <v>#REF!</v>
      </c>
      <c r="R16" s="15">
        <v>1</v>
      </c>
      <c r="S16" s="15">
        <v>1.01</v>
      </c>
      <c r="T16" s="15">
        <v>0.99</v>
      </c>
      <c r="U16" s="15">
        <v>0.98</v>
      </c>
      <c r="V16" s="15">
        <v>0.97</v>
      </c>
      <c r="W16" s="15">
        <v>0.95</v>
      </c>
      <c r="X16" s="15">
        <v>0.94</v>
      </c>
      <c r="Y16" s="15">
        <v>0.93</v>
      </c>
      <c r="Z16" s="15">
        <v>0.91</v>
      </c>
      <c r="AA16" s="15">
        <v>0.9</v>
      </c>
      <c r="AB16" s="15">
        <v>0.89</v>
      </c>
      <c r="AC16" s="15">
        <v>0.87</v>
      </c>
      <c r="AD16" s="15">
        <v>0.86</v>
      </c>
      <c r="AE16" s="15">
        <v>0.85</v>
      </c>
      <c r="AF16" s="15">
        <v>0.83</v>
      </c>
      <c r="AG16" s="15">
        <v>0.82</v>
      </c>
      <c r="AH16" s="15">
        <v>0.8</v>
      </c>
      <c r="AI16" s="15">
        <v>0.79</v>
      </c>
      <c r="AJ16" s="15">
        <v>0.78</v>
      </c>
      <c r="AK16" s="15">
        <v>0.77</v>
      </c>
      <c r="AL16" s="15">
        <v>0.76</v>
      </c>
      <c r="AM16" s="15">
        <v>0.75</v>
      </c>
      <c r="AN16" s="15">
        <v>0.75</v>
      </c>
      <c r="AO16" s="15">
        <v>0.75</v>
      </c>
      <c r="AP16" s="15">
        <v>0.75</v>
      </c>
      <c r="AQ16" s="15">
        <v>0.75</v>
      </c>
      <c r="AR16" s="15">
        <v>0.75</v>
      </c>
      <c r="AS16" s="15">
        <v>0.76</v>
      </c>
      <c r="AT16" s="15">
        <v>0.76</v>
      </c>
      <c r="AU16" s="15">
        <v>0.76</v>
      </c>
      <c r="AV16" s="15">
        <v>0.76</v>
      </c>
      <c r="AW16" s="15">
        <v>0.77</v>
      </c>
      <c r="AX16" s="12"/>
    </row>
    <row r="17" spans="1:50" x14ac:dyDescent="0.25">
      <c r="A17" s="12"/>
      <c r="B17" s="20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 t="e">
        <v>#REF!</v>
      </c>
      <c r="R17" s="12" t="e">
        <v>#N/A</v>
      </c>
      <c r="S17" s="12" t="e">
        <v>#N/A</v>
      </c>
      <c r="T17" s="12" t="e">
        <v>#N/A</v>
      </c>
      <c r="U17" s="12" t="e">
        <v>#N/A</v>
      </c>
      <c r="V17" s="12" t="e">
        <v>#N/A</v>
      </c>
      <c r="W17" s="12" t="e">
        <v>#N/A</v>
      </c>
      <c r="X17" s="12" t="e">
        <v>#N/A</v>
      </c>
      <c r="Y17" s="12" t="e">
        <v>#N/A</v>
      </c>
      <c r="Z17" s="12" t="e">
        <v>#N/A</v>
      </c>
      <c r="AA17" s="12" t="e">
        <v>#N/A</v>
      </c>
      <c r="AB17" s="12" t="e">
        <v>#N/A</v>
      </c>
      <c r="AC17" s="12" t="e">
        <v>#N/A</v>
      </c>
      <c r="AD17" s="12" t="e">
        <v>#N/A</v>
      </c>
      <c r="AE17" s="12" t="e">
        <v>#N/A</v>
      </c>
      <c r="AF17" s="12" t="e">
        <v>#N/A</v>
      </c>
      <c r="AG17" s="12" t="e">
        <v>#N/A</v>
      </c>
      <c r="AH17" s="12" t="e">
        <v>#N/A</v>
      </c>
      <c r="AI17" s="12" t="e">
        <v>#N/A</v>
      </c>
      <c r="AJ17" s="12" t="e">
        <v>#N/A</v>
      </c>
      <c r="AK17" s="12" t="e">
        <v>#N/A</v>
      </c>
      <c r="AL17" s="12" t="e">
        <v>#N/A</v>
      </c>
      <c r="AM17" s="12" t="e">
        <v>#N/A</v>
      </c>
      <c r="AN17" s="12" t="e">
        <v>#N/A</v>
      </c>
      <c r="AO17" s="12" t="e">
        <v>#N/A</v>
      </c>
      <c r="AP17" s="12" t="e">
        <v>#N/A</v>
      </c>
      <c r="AQ17" s="12" t="e">
        <v>#N/A</v>
      </c>
      <c r="AR17" s="12" t="e">
        <v>#N/A</v>
      </c>
      <c r="AS17" s="12" t="e">
        <v>#N/A</v>
      </c>
      <c r="AT17" s="12" t="e">
        <v>#N/A</v>
      </c>
      <c r="AU17" s="12" t="e">
        <v>#N/A</v>
      </c>
      <c r="AV17" s="12" t="e">
        <v>#N/A</v>
      </c>
      <c r="AW17" s="12" t="e">
        <v>#N/A</v>
      </c>
      <c r="AX17" s="12"/>
    </row>
    <row r="18" spans="1:50" x14ac:dyDescent="0.25">
      <c r="A18" s="12"/>
      <c r="B18" s="2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 t="e">
        <v>#REF!</v>
      </c>
      <c r="R18" s="15">
        <v>1</v>
      </c>
      <c r="S18" s="15">
        <v>1</v>
      </c>
      <c r="T18" s="15">
        <v>0.99</v>
      </c>
      <c r="U18" s="15">
        <v>0.99</v>
      </c>
      <c r="V18" s="15">
        <v>0.98</v>
      </c>
      <c r="W18" s="15">
        <v>0.97</v>
      </c>
      <c r="X18" s="15">
        <v>0.96</v>
      </c>
      <c r="Y18" s="15">
        <v>0.94</v>
      </c>
      <c r="Z18" s="15">
        <v>0.92</v>
      </c>
      <c r="AA18" s="15">
        <v>0.89</v>
      </c>
      <c r="AB18" s="15">
        <v>0.87</v>
      </c>
      <c r="AC18" s="15">
        <v>0.85</v>
      </c>
      <c r="AD18" s="15">
        <v>0.82</v>
      </c>
      <c r="AE18" s="15">
        <v>0.8</v>
      </c>
      <c r="AF18" s="15">
        <v>0.77</v>
      </c>
      <c r="AG18" s="15">
        <v>0.75</v>
      </c>
      <c r="AH18" s="15">
        <v>0.72</v>
      </c>
      <c r="AI18" s="15">
        <v>0.7</v>
      </c>
      <c r="AJ18" s="15">
        <v>0.68</v>
      </c>
      <c r="AK18" s="15">
        <v>0.66</v>
      </c>
      <c r="AL18" s="15">
        <v>0.64</v>
      </c>
      <c r="AM18" s="15">
        <v>0.61</v>
      </c>
      <c r="AN18" s="15">
        <v>0.6</v>
      </c>
      <c r="AO18" s="15">
        <v>0.59</v>
      </c>
      <c r="AP18" s="15">
        <v>0.57999999999999996</v>
      </c>
      <c r="AQ18" s="15">
        <v>0.56999999999999995</v>
      </c>
      <c r="AR18" s="15">
        <v>0.56000000000000005</v>
      </c>
      <c r="AS18" s="15">
        <v>0.56000000000000005</v>
      </c>
      <c r="AT18" s="15">
        <v>0.55000000000000004</v>
      </c>
      <c r="AU18" s="15">
        <v>0.55000000000000004</v>
      </c>
      <c r="AV18" s="15">
        <v>0.55000000000000004</v>
      </c>
      <c r="AW18" s="15">
        <v>0.54</v>
      </c>
      <c r="AX18" s="12"/>
    </row>
    <row r="19" spans="1:50" x14ac:dyDescent="0.25">
      <c r="A19" s="12"/>
      <c r="B19" s="17" t="s">
        <v>40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 t="e">
        <v>#REF!</v>
      </c>
      <c r="R19" s="15">
        <v>1</v>
      </c>
      <c r="S19" s="15">
        <v>1</v>
      </c>
      <c r="T19" s="15">
        <v>0.99</v>
      </c>
      <c r="U19" s="15">
        <v>0.99</v>
      </c>
      <c r="V19" s="15">
        <v>0.98</v>
      </c>
      <c r="W19" s="15">
        <v>0.97</v>
      </c>
      <c r="X19" s="15">
        <v>0.96</v>
      </c>
      <c r="Y19" s="15">
        <v>0.94</v>
      </c>
      <c r="Z19" s="15">
        <v>0.92</v>
      </c>
      <c r="AA19" s="15">
        <v>0.89</v>
      </c>
      <c r="AB19" s="15">
        <v>0.87</v>
      </c>
      <c r="AC19" s="15">
        <v>0.85</v>
      </c>
      <c r="AD19" s="15">
        <v>0.82</v>
      </c>
      <c r="AE19" s="15">
        <v>0.8</v>
      </c>
      <c r="AF19" s="15">
        <v>0.77</v>
      </c>
      <c r="AG19" s="15">
        <v>0.75</v>
      </c>
      <c r="AH19" s="15">
        <v>0.72</v>
      </c>
      <c r="AI19" s="15">
        <v>0.7</v>
      </c>
      <c r="AJ19" s="15">
        <v>0.68</v>
      </c>
      <c r="AK19" s="15">
        <v>0.66</v>
      </c>
      <c r="AL19" s="15">
        <v>0.64</v>
      </c>
      <c r="AM19" s="15">
        <v>0.61</v>
      </c>
      <c r="AN19" s="15">
        <v>0.6</v>
      </c>
      <c r="AO19" s="15">
        <v>0.59</v>
      </c>
      <c r="AP19" s="15">
        <v>0.57999999999999996</v>
      </c>
      <c r="AQ19" s="15">
        <v>0.56999999999999995</v>
      </c>
      <c r="AR19" s="15">
        <v>0.56000000000000005</v>
      </c>
      <c r="AS19" s="15">
        <v>0.56000000000000005</v>
      </c>
      <c r="AT19" s="15">
        <v>0.56000000000000005</v>
      </c>
      <c r="AU19" s="15">
        <v>0.55000000000000004</v>
      </c>
      <c r="AV19" s="15">
        <v>0.55000000000000004</v>
      </c>
      <c r="AW19" s="15">
        <v>0.54</v>
      </c>
      <c r="AX19" s="12"/>
    </row>
    <row r="20" spans="1:50" x14ac:dyDescent="0.25">
      <c r="A20" s="12"/>
      <c r="B20" s="2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 t="e">
        <v>#REF!</v>
      </c>
      <c r="R20" s="12" t="e">
        <v>#N/A</v>
      </c>
      <c r="S20" s="12" t="e">
        <v>#N/A</v>
      </c>
      <c r="T20" s="12" t="e">
        <v>#N/A</v>
      </c>
      <c r="U20" s="12" t="e">
        <v>#N/A</v>
      </c>
      <c r="V20" s="12" t="e">
        <v>#N/A</v>
      </c>
      <c r="W20" s="12" t="e">
        <v>#N/A</v>
      </c>
      <c r="X20" s="12" t="e">
        <v>#N/A</v>
      </c>
      <c r="Y20" s="12" t="e">
        <v>#N/A</v>
      </c>
      <c r="Z20" s="12" t="e">
        <v>#N/A</v>
      </c>
      <c r="AA20" s="12" t="e">
        <v>#N/A</v>
      </c>
      <c r="AB20" s="12" t="e">
        <v>#N/A</v>
      </c>
      <c r="AC20" s="12" t="e">
        <v>#N/A</v>
      </c>
      <c r="AD20" s="12" t="e">
        <v>#N/A</v>
      </c>
      <c r="AE20" s="12" t="e">
        <v>#N/A</v>
      </c>
      <c r="AF20" s="12" t="e">
        <v>#N/A</v>
      </c>
      <c r="AG20" s="12" t="e">
        <v>#N/A</v>
      </c>
      <c r="AH20" s="12" t="e">
        <v>#N/A</v>
      </c>
      <c r="AI20" s="12" t="e">
        <v>#N/A</v>
      </c>
      <c r="AJ20" s="12" t="e">
        <v>#N/A</v>
      </c>
      <c r="AK20" s="12" t="e">
        <v>#N/A</v>
      </c>
      <c r="AL20" s="12" t="e">
        <v>#N/A</v>
      </c>
      <c r="AM20" s="12" t="e">
        <v>#N/A</v>
      </c>
      <c r="AN20" s="12" t="e">
        <v>#N/A</v>
      </c>
      <c r="AO20" s="12" t="e">
        <v>#N/A</v>
      </c>
      <c r="AP20" s="12" t="e">
        <v>#N/A</v>
      </c>
      <c r="AQ20" s="12" t="e">
        <v>#N/A</v>
      </c>
      <c r="AR20" s="12" t="e">
        <v>#N/A</v>
      </c>
      <c r="AS20" s="12" t="e">
        <v>#N/A</v>
      </c>
      <c r="AT20" s="12" t="e">
        <v>#N/A</v>
      </c>
      <c r="AU20" s="12" t="e">
        <v>#N/A</v>
      </c>
      <c r="AV20" s="12" t="e">
        <v>#N/A</v>
      </c>
      <c r="AW20" s="12" t="e">
        <v>#N/A</v>
      </c>
      <c r="AX20" s="12"/>
    </row>
    <row r="21" spans="1:50" x14ac:dyDescent="0.25">
      <c r="A21" s="12"/>
      <c r="B21" s="23" t="s">
        <v>40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 t="e">
        <v>#REF!</v>
      </c>
      <c r="R21" s="12" t="e">
        <v>#N/A</v>
      </c>
      <c r="S21" s="12" t="e">
        <v>#N/A</v>
      </c>
      <c r="T21" s="12" t="e">
        <v>#N/A</v>
      </c>
      <c r="U21" s="12" t="e">
        <v>#N/A</v>
      </c>
      <c r="V21" s="12" t="e">
        <v>#N/A</v>
      </c>
      <c r="W21" s="12" t="e">
        <v>#N/A</v>
      </c>
      <c r="X21" s="12" t="e">
        <v>#N/A</v>
      </c>
      <c r="Y21" s="12" t="e">
        <v>#N/A</v>
      </c>
      <c r="Z21" s="12" t="e">
        <v>#N/A</v>
      </c>
      <c r="AA21" s="12" t="e">
        <v>#N/A</v>
      </c>
      <c r="AB21" s="12" t="e">
        <v>#N/A</v>
      </c>
      <c r="AC21" s="12" t="e">
        <v>#N/A</v>
      </c>
      <c r="AD21" s="12" t="e">
        <v>#N/A</v>
      </c>
      <c r="AE21" s="12" t="e">
        <v>#N/A</v>
      </c>
      <c r="AF21" s="12" t="e">
        <v>#N/A</v>
      </c>
      <c r="AG21" s="12" t="e">
        <v>#N/A</v>
      </c>
      <c r="AH21" s="12" t="e">
        <v>#N/A</v>
      </c>
      <c r="AI21" s="12" t="e">
        <v>#N/A</v>
      </c>
      <c r="AJ21" s="12" t="e">
        <v>#N/A</v>
      </c>
      <c r="AK21" s="12" t="e">
        <v>#N/A</v>
      </c>
      <c r="AL21" s="12" t="e">
        <v>#N/A</v>
      </c>
      <c r="AM21" s="12" t="e">
        <v>#N/A</v>
      </c>
      <c r="AN21" s="12" t="e">
        <v>#N/A</v>
      </c>
      <c r="AO21" s="12" t="e">
        <v>#N/A</v>
      </c>
      <c r="AP21" s="12" t="e">
        <v>#N/A</v>
      </c>
      <c r="AQ21" s="12" t="e">
        <v>#N/A</v>
      </c>
      <c r="AR21" s="12" t="e">
        <v>#N/A</v>
      </c>
      <c r="AS21" s="12" t="e">
        <v>#N/A</v>
      </c>
      <c r="AT21" s="12" t="e">
        <v>#N/A</v>
      </c>
      <c r="AU21" s="12" t="e">
        <v>#N/A</v>
      </c>
      <c r="AV21" s="12" t="e">
        <v>#N/A</v>
      </c>
      <c r="AW21" s="12" t="e">
        <v>#N/A</v>
      </c>
      <c r="AX21" s="12"/>
    </row>
    <row r="22" spans="1:50" x14ac:dyDescent="0.25">
      <c r="A22" s="12"/>
      <c r="B22" s="2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 t="e">
        <v>#REF!</v>
      </c>
      <c r="R22" s="15">
        <v>1</v>
      </c>
      <c r="S22" s="15">
        <v>1</v>
      </c>
      <c r="T22" s="15">
        <v>0.99</v>
      </c>
      <c r="U22" s="15">
        <v>0.98</v>
      </c>
      <c r="V22" s="15">
        <v>0.98</v>
      </c>
      <c r="W22" s="15">
        <v>0.97</v>
      </c>
      <c r="X22" s="15">
        <v>0.96</v>
      </c>
      <c r="Y22" s="15">
        <v>0.94</v>
      </c>
      <c r="Z22" s="15">
        <v>0.92</v>
      </c>
      <c r="AA22" s="15">
        <v>0.89</v>
      </c>
      <c r="AB22" s="15">
        <v>0.87</v>
      </c>
      <c r="AC22" s="15">
        <v>0.85</v>
      </c>
      <c r="AD22" s="15">
        <v>0.82</v>
      </c>
      <c r="AE22" s="15">
        <v>0.8</v>
      </c>
      <c r="AF22" s="15">
        <v>0.77</v>
      </c>
      <c r="AG22" s="15">
        <v>0.75</v>
      </c>
      <c r="AH22" s="15">
        <v>0.73</v>
      </c>
      <c r="AI22" s="15">
        <v>0.7</v>
      </c>
      <c r="AJ22" s="15">
        <v>0.68</v>
      </c>
      <c r="AK22" s="15">
        <v>0.66</v>
      </c>
      <c r="AL22" s="15">
        <v>0.64</v>
      </c>
      <c r="AM22" s="15">
        <v>0.62</v>
      </c>
      <c r="AN22" s="15">
        <v>0.6</v>
      </c>
      <c r="AO22" s="15">
        <v>0.59</v>
      </c>
      <c r="AP22" s="15">
        <v>0.57999999999999996</v>
      </c>
      <c r="AQ22" s="15">
        <v>0.56999999999999995</v>
      </c>
      <c r="AR22" s="15">
        <v>0.56000000000000005</v>
      </c>
      <c r="AS22" s="15">
        <v>0.56000000000000005</v>
      </c>
      <c r="AT22" s="15">
        <v>0.55000000000000004</v>
      </c>
      <c r="AU22" s="15">
        <v>0.55000000000000004</v>
      </c>
      <c r="AV22" s="15">
        <v>0.54</v>
      </c>
      <c r="AW22" s="15">
        <v>0.54</v>
      </c>
      <c r="AX22" s="12"/>
    </row>
    <row r="23" spans="1:50" x14ac:dyDescent="0.25">
      <c r="A23" s="12"/>
      <c r="B23" s="25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 t="e">
        <v>#REF!</v>
      </c>
      <c r="R23" s="15">
        <v>1</v>
      </c>
      <c r="S23" s="15">
        <v>1</v>
      </c>
      <c r="T23" s="15">
        <v>0.99</v>
      </c>
      <c r="U23" s="15">
        <v>0.99</v>
      </c>
      <c r="V23" s="15">
        <v>0.98</v>
      </c>
      <c r="W23" s="15">
        <v>0.97</v>
      </c>
      <c r="X23" s="15">
        <v>0.96</v>
      </c>
      <c r="Y23" s="15">
        <v>0.94</v>
      </c>
      <c r="Z23" s="15">
        <v>0.92</v>
      </c>
      <c r="AA23" s="15">
        <v>0.89</v>
      </c>
      <c r="AB23" s="15">
        <v>0.87</v>
      </c>
      <c r="AC23" s="15">
        <v>0.84</v>
      </c>
      <c r="AD23" s="15">
        <v>0.82</v>
      </c>
      <c r="AE23" s="15">
        <v>0.79</v>
      </c>
      <c r="AF23" s="15">
        <v>0.77</v>
      </c>
      <c r="AG23" s="15">
        <v>0.74</v>
      </c>
      <c r="AH23" s="15">
        <v>0.71</v>
      </c>
      <c r="AI23" s="15">
        <v>0.69</v>
      </c>
      <c r="AJ23" s="15">
        <v>0.67</v>
      </c>
      <c r="AK23" s="15">
        <v>0.65</v>
      </c>
      <c r="AL23" s="15">
        <v>0.63</v>
      </c>
      <c r="AM23" s="15">
        <v>0.6</v>
      </c>
      <c r="AN23" s="15">
        <v>0.6</v>
      </c>
      <c r="AO23" s="15">
        <v>0.59</v>
      </c>
      <c r="AP23" s="15">
        <v>0.57999999999999996</v>
      </c>
      <c r="AQ23" s="15">
        <v>0.56999999999999995</v>
      </c>
      <c r="AR23" s="15">
        <v>0.56000000000000005</v>
      </c>
      <c r="AS23" s="15">
        <v>0.56000000000000005</v>
      </c>
      <c r="AT23" s="15">
        <v>0.56000000000000005</v>
      </c>
      <c r="AU23" s="15">
        <v>0.55000000000000004</v>
      </c>
      <c r="AV23" s="15">
        <v>0.55000000000000004</v>
      </c>
      <c r="AW23" s="15">
        <v>0.55000000000000004</v>
      </c>
      <c r="AX23" s="12"/>
    </row>
    <row r="24" spans="1:50" x14ac:dyDescent="0.25">
      <c r="A24" s="12"/>
      <c r="B24" s="26" t="s">
        <v>40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 t="e">
        <v>#REF!</v>
      </c>
      <c r="R24" s="12" t="e">
        <v>#N/A</v>
      </c>
      <c r="S24" s="12" t="e">
        <v>#N/A</v>
      </c>
      <c r="T24" s="12" t="e">
        <v>#N/A</v>
      </c>
      <c r="U24" s="12" t="e">
        <v>#N/A</v>
      </c>
      <c r="V24" s="12" t="e">
        <v>#N/A</v>
      </c>
      <c r="W24" s="12" t="e">
        <v>#N/A</v>
      </c>
      <c r="X24" s="12" t="e">
        <v>#N/A</v>
      </c>
      <c r="Y24" s="12" t="e">
        <v>#N/A</v>
      </c>
      <c r="Z24" s="12" t="e">
        <v>#N/A</v>
      </c>
      <c r="AA24" s="12" t="e">
        <v>#N/A</v>
      </c>
      <c r="AB24" s="12" t="e">
        <v>#N/A</v>
      </c>
      <c r="AC24" s="12" t="e">
        <v>#N/A</v>
      </c>
      <c r="AD24" s="12" t="e">
        <v>#N/A</v>
      </c>
      <c r="AE24" s="12" t="e">
        <v>#N/A</v>
      </c>
      <c r="AF24" s="12" t="e">
        <v>#N/A</v>
      </c>
      <c r="AG24" s="12" t="e">
        <v>#N/A</v>
      </c>
      <c r="AH24" s="12" t="e">
        <v>#N/A</v>
      </c>
      <c r="AI24" s="12" t="e">
        <v>#N/A</v>
      </c>
      <c r="AJ24" s="12" t="e">
        <v>#N/A</v>
      </c>
      <c r="AK24" s="12" t="e">
        <v>#N/A</v>
      </c>
      <c r="AL24" s="12" t="e">
        <v>#N/A</v>
      </c>
      <c r="AM24" s="12" t="e">
        <v>#N/A</v>
      </c>
      <c r="AN24" s="12" t="e">
        <v>#N/A</v>
      </c>
      <c r="AO24" s="12" t="e">
        <v>#N/A</v>
      </c>
      <c r="AP24" s="12" t="e">
        <v>#N/A</v>
      </c>
      <c r="AQ24" s="12" t="e">
        <v>#N/A</v>
      </c>
      <c r="AR24" s="12" t="e">
        <v>#N/A</v>
      </c>
      <c r="AS24" s="12" t="e">
        <v>#N/A</v>
      </c>
      <c r="AT24" s="12" t="e">
        <v>#N/A</v>
      </c>
      <c r="AU24" s="12" t="e">
        <v>#N/A</v>
      </c>
      <c r="AV24" s="12" t="e">
        <v>#N/A</v>
      </c>
      <c r="AW24" s="12" t="e">
        <v>#N/A</v>
      </c>
      <c r="AX24" s="12"/>
    </row>
    <row r="25" spans="1:50" x14ac:dyDescent="0.25">
      <c r="A25" s="12"/>
      <c r="B25" s="27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 t="e">
        <v>#REF!</v>
      </c>
      <c r="R25" s="15">
        <v>1</v>
      </c>
      <c r="S25" s="15">
        <v>1</v>
      </c>
      <c r="T25" s="15">
        <v>0.99</v>
      </c>
      <c r="U25" s="15">
        <v>0.99</v>
      </c>
      <c r="V25" s="15">
        <v>0.98</v>
      </c>
      <c r="W25" s="15">
        <v>0.97</v>
      </c>
      <c r="X25" s="15">
        <v>0.96</v>
      </c>
      <c r="Y25" s="15">
        <v>0.94</v>
      </c>
      <c r="Z25" s="15">
        <v>0.92</v>
      </c>
      <c r="AA25" s="15">
        <v>0.89</v>
      </c>
      <c r="AB25" s="15">
        <v>0.87</v>
      </c>
      <c r="AC25" s="15">
        <v>0.85</v>
      </c>
      <c r="AD25" s="15">
        <v>0.83</v>
      </c>
      <c r="AE25" s="15">
        <v>0.81</v>
      </c>
      <c r="AF25" s="15">
        <v>0.8</v>
      </c>
      <c r="AG25" s="15">
        <v>0.78</v>
      </c>
      <c r="AH25" s="15">
        <v>0.76</v>
      </c>
      <c r="AI25" s="15">
        <v>0.74</v>
      </c>
      <c r="AJ25" s="15">
        <v>0.72</v>
      </c>
      <c r="AK25" s="15">
        <v>0.7</v>
      </c>
      <c r="AL25" s="15">
        <v>0.68</v>
      </c>
      <c r="AM25" s="15">
        <v>0.66</v>
      </c>
      <c r="AN25" s="15">
        <v>0.65</v>
      </c>
      <c r="AO25" s="15">
        <v>0.64</v>
      </c>
      <c r="AP25" s="15">
        <v>0.63</v>
      </c>
      <c r="AQ25" s="15">
        <v>0.62</v>
      </c>
      <c r="AR25" s="15">
        <v>0.61</v>
      </c>
      <c r="AS25" s="15">
        <v>0.61</v>
      </c>
      <c r="AT25" s="15">
        <v>0.61</v>
      </c>
      <c r="AU25" s="15">
        <v>0.61</v>
      </c>
      <c r="AV25" s="15">
        <v>0.61</v>
      </c>
      <c r="AW25" s="15">
        <v>0.6</v>
      </c>
      <c r="AX25" s="12"/>
    </row>
    <row r="26" spans="1:50" x14ac:dyDescent="0.25">
      <c r="A26" s="12"/>
      <c r="B26" s="28"/>
      <c r="C26" s="12"/>
      <c r="D26" s="12"/>
      <c r="E26" s="16" t="s">
        <v>41</v>
      </c>
      <c r="F26" s="16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 t="e">
        <v>#REF!</v>
      </c>
      <c r="R26" s="15">
        <v>1</v>
      </c>
      <c r="S26" s="15">
        <v>1</v>
      </c>
      <c r="T26" s="15">
        <v>0.99</v>
      </c>
      <c r="U26" s="15">
        <v>0.99</v>
      </c>
      <c r="V26" s="15">
        <v>0.98</v>
      </c>
      <c r="W26" s="15">
        <v>0.97</v>
      </c>
      <c r="X26" s="15">
        <v>0.96</v>
      </c>
      <c r="Y26" s="15">
        <v>0.94</v>
      </c>
      <c r="Z26" s="15">
        <v>0.92</v>
      </c>
      <c r="AA26" s="15">
        <v>0.89</v>
      </c>
      <c r="AB26" s="15">
        <v>0.87</v>
      </c>
      <c r="AC26" s="15">
        <v>0.85</v>
      </c>
      <c r="AD26" s="15">
        <v>0.83</v>
      </c>
      <c r="AE26" s="15">
        <v>0.81</v>
      </c>
      <c r="AF26" s="15">
        <v>0.8</v>
      </c>
      <c r="AG26" s="15">
        <v>0.78</v>
      </c>
      <c r="AH26" s="15">
        <v>0.76</v>
      </c>
      <c r="AI26" s="15">
        <v>0.74</v>
      </c>
      <c r="AJ26" s="15">
        <v>0.72</v>
      </c>
      <c r="AK26" s="15">
        <v>0.7</v>
      </c>
      <c r="AL26" s="15">
        <v>0.68</v>
      </c>
      <c r="AM26" s="15">
        <v>0.66</v>
      </c>
      <c r="AN26" s="15">
        <v>0.65</v>
      </c>
      <c r="AO26" s="15">
        <v>0.64</v>
      </c>
      <c r="AP26" s="15">
        <v>0.63</v>
      </c>
      <c r="AQ26" s="15">
        <v>0.62</v>
      </c>
      <c r="AR26" s="15">
        <v>0.61</v>
      </c>
      <c r="AS26" s="15">
        <v>0.61</v>
      </c>
      <c r="AT26" s="15">
        <v>0.61</v>
      </c>
      <c r="AU26" s="15">
        <v>0.61</v>
      </c>
      <c r="AV26" s="15">
        <v>0.61</v>
      </c>
      <c r="AW26" s="15">
        <v>0.6</v>
      </c>
      <c r="AX26" s="12"/>
    </row>
    <row r="27" spans="1:50" x14ac:dyDescent="0.25">
      <c r="A27" s="12"/>
      <c r="B27" s="29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 t="e">
        <v>#REF!</v>
      </c>
      <c r="R27" s="15">
        <v>1</v>
      </c>
      <c r="S27" s="15">
        <v>1.01</v>
      </c>
      <c r="T27" s="15">
        <v>0.99</v>
      </c>
      <c r="U27" s="15">
        <v>0.98</v>
      </c>
      <c r="V27" s="15">
        <v>0.96</v>
      </c>
      <c r="W27" s="15">
        <v>0.95</v>
      </c>
      <c r="X27" s="15">
        <v>0.94</v>
      </c>
      <c r="Y27" s="15">
        <v>0.92</v>
      </c>
      <c r="Z27" s="15">
        <v>0.91</v>
      </c>
      <c r="AA27" s="15">
        <v>0.89</v>
      </c>
      <c r="AB27" s="15">
        <v>0.88</v>
      </c>
      <c r="AC27" s="15">
        <v>0.87</v>
      </c>
      <c r="AD27" s="15">
        <v>0.85</v>
      </c>
      <c r="AE27" s="15">
        <v>0.84</v>
      </c>
      <c r="AF27" s="15">
        <v>0.82</v>
      </c>
      <c r="AG27" s="15">
        <v>0.81</v>
      </c>
      <c r="AH27" s="15">
        <v>0.79</v>
      </c>
      <c r="AI27" s="15">
        <v>0.78</v>
      </c>
      <c r="AJ27" s="15">
        <v>0.78</v>
      </c>
      <c r="AK27" s="15">
        <v>0.77</v>
      </c>
      <c r="AL27" s="15">
        <v>0.76</v>
      </c>
      <c r="AM27" s="15">
        <v>0.75</v>
      </c>
      <c r="AN27" s="15">
        <v>0.75</v>
      </c>
      <c r="AO27" s="15">
        <v>0.75</v>
      </c>
      <c r="AP27" s="15">
        <v>0.75</v>
      </c>
      <c r="AQ27" s="15">
        <v>0.75</v>
      </c>
      <c r="AR27" s="15">
        <v>0.75</v>
      </c>
      <c r="AS27" s="15">
        <v>0.75</v>
      </c>
      <c r="AT27" s="15">
        <v>0.75</v>
      </c>
      <c r="AU27" s="15">
        <v>0.76</v>
      </c>
      <c r="AV27" s="15">
        <v>0.76</v>
      </c>
      <c r="AW27" s="15">
        <v>0.76</v>
      </c>
      <c r="AX27" s="12"/>
    </row>
    <row r="28" spans="1:50" x14ac:dyDescent="0.25">
      <c r="A28" s="12"/>
      <c r="B28" s="30"/>
      <c r="C28" s="12"/>
      <c r="D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 t="e">
        <v>#REF!</v>
      </c>
      <c r="R28" s="12" t="e">
        <v>#N/A</v>
      </c>
      <c r="S28" s="12" t="e">
        <v>#N/A</v>
      </c>
      <c r="T28" s="12" t="e">
        <v>#N/A</v>
      </c>
      <c r="U28" s="12" t="e">
        <v>#N/A</v>
      </c>
      <c r="V28" s="12" t="e">
        <v>#N/A</v>
      </c>
      <c r="W28" s="12" t="e">
        <v>#N/A</v>
      </c>
      <c r="X28" s="12" t="e">
        <v>#N/A</v>
      </c>
      <c r="Y28" s="12" t="e">
        <v>#N/A</v>
      </c>
      <c r="Z28" s="12" t="e">
        <v>#N/A</v>
      </c>
      <c r="AA28" s="12" t="e">
        <v>#N/A</v>
      </c>
      <c r="AB28" s="12" t="e">
        <v>#N/A</v>
      </c>
      <c r="AC28" s="12" t="e">
        <v>#N/A</v>
      </c>
      <c r="AD28" s="12" t="e">
        <v>#N/A</v>
      </c>
      <c r="AE28" s="12" t="e">
        <v>#N/A</v>
      </c>
      <c r="AF28" s="12" t="e">
        <v>#N/A</v>
      </c>
      <c r="AG28" s="12" t="e">
        <v>#N/A</v>
      </c>
      <c r="AH28" s="12" t="e">
        <v>#N/A</v>
      </c>
      <c r="AI28" s="12" t="e">
        <v>#N/A</v>
      </c>
      <c r="AJ28" s="12" t="e">
        <v>#N/A</v>
      </c>
      <c r="AK28" s="12" t="e">
        <v>#N/A</v>
      </c>
      <c r="AL28" s="12" t="e">
        <v>#N/A</v>
      </c>
      <c r="AM28" s="12" t="e">
        <v>#N/A</v>
      </c>
      <c r="AN28" s="12" t="e">
        <v>#N/A</v>
      </c>
      <c r="AO28" s="12" t="e">
        <v>#N/A</v>
      </c>
      <c r="AP28" s="12" t="e">
        <v>#N/A</v>
      </c>
      <c r="AQ28" s="12" t="e">
        <v>#N/A</v>
      </c>
      <c r="AR28" s="12" t="e">
        <v>#N/A</v>
      </c>
      <c r="AS28" s="12" t="e">
        <v>#N/A</v>
      </c>
      <c r="AT28" s="12" t="e">
        <v>#N/A</v>
      </c>
      <c r="AU28" s="12" t="e">
        <v>#N/A</v>
      </c>
      <c r="AV28" s="12" t="e">
        <v>#N/A</v>
      </c>
      <c r="AW28" s="12" t="e">
        <v>#N/A</v>
      </c>
      <c r="AX28" s="12"/>
    </row>
    <row r="29" spans="1:50" x14ac:dyDescent="0.25">
      <c r="A29" s="12"/>
      <c r="B29" s="3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 t="e">
        <v>#REF!</v>
      </c>
      <c r="R29" s="12" t="e">
        <v>#N/A</v>
      </c>
      <c r="S29" s="12" t="e">
        <v>#N/A</v>
      </c>
      <c r="T29" s="12" t="e">
        <v>#N/A</v>
      </c>
      <c r="U29" s="12" t="e">
        <v>#N/A</v>
      </c>
      <c r="V29" s="12" t="e">
        <v>#N/A</v>
      </c>
      <c r="W29" s="12" t="e">
        <v>#N/A</v>
      </c>
      <c r="X29" s="12" t="e">
        <v>#N/A</v>
      </c>
      <c r="Y29" s="12" t="e">
        <v>#N/A</v>
      </c>
      <c r="Z29" s="12" t="e">
        <v>#N/A</v>
      </c>
      <c r="AA29" s="12" t="e">
        <v>#N/A</v>
      </c>
      <c r="AB29" s="12" t="e">
        <v>#N/A</v>
      </c>
      <c r="AC29" s="12" t="e">
        <v>#N/A</v>
      </c>
      <c r="AD29" s="12" t="e">
        <v>#N/A</v>
      </c>
      <c r="AE29" s="12" t="e">
        <v>#N/A</v>
      </c>
      <c r="AF29" s="12" t="e">
        <v>#N/A</v>
      </c>
      <c r="AG29" s="12" t="e">
        <v>#N/A</v>
      </c>
      <c r="AH29" s="12" t="e">
        <v>#N/A</v>
      </c>
      <c r="AI29" s="12" t="e">
        <v>#N/A</v>
      </c>
      <c r="AJ29" s="12" t="e">
        <v>#N/A</v>
      </c>
      <c r="AK29" s="12" t="e">
        <v>#N/A</v>
      </c>
      <c r="AL29" s="12" t="e">
        <v>#N/A</v>
      </c>
      <c r="AM29" s="12" t="e">
        <v>#N/A</v>
      </c>
      <c r="AN29" s="12" t="e">
        <v>#N/A</v>
      </c>
      <c r="AO29" s="12" t="e">
        <v>#N/A</v>
      </c>
      <c r="AP29" s="12" t="e">
        <v>#N/A</v>
      </c>
      <c r="AQ29" s="12" t="e">
        <v>#N/A</v>
      </c>
      <c r="AR29" s="12" t="e">
        <v>#N/A</v>
      </c>
      <c r="AS29" s="12" t="e">
        <v>#N/A</v>
      </c>
      <c r="AT29" s="12" t="e">
        <v>#N/A</v>
      </c>
      <c r="AU29" s="12" t="e">
        <v>#N/A</v>
      </c>
      <c r="AV29" s="12" t="e">
        <v>#N/A</v>
      </c>
      <c r="AW29" s="12" t="e">
        <v>#N/A</v>
      </c>
      <c r="AX29" s="12"/>
    </row>
    <row r="30" spans="1:50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 t="e">
        <v>#REF!</v>
      </c>
      <c r="R30" s="15">
        <v>1</v>
      </c>
      <c r="S30" s="15">
        <v>1</v>
      </c>
      <c r="T30" s="15">
        <v>0.99</v>
      </c>
      <c r="U30" s="15">
        <v>0.99</v>
      </c>
      <c r="V30" s="15">
        <v>0.98</v>
      </c>
      <c r="W30" s="15">
        <v>0.97</v>
      </c>
      <c r="X30" s="15">
        <v>0.96</v>
      </c>
      <c r="Y30" s="15">
        <v>0.94</v>
      </c>
      <c r="Z30" s="15">
        <v>0.92</v>
      </c>
      <c r="AA30" s="15">
        <v>0.89</v>
      </c>
      <c r="AB30" s="15">
        <v>0.87</v>
      </c>
      <c r="AC30" s="15">
        <v>0.85</v>
      </c>
      <c r="AD30" s="15">
        <v>0.83</v>
      </c>
      <c r="AE30" s="15">
        <v>0.81</v>
      </c>
      <c r="AF30" s="15">
        <v>0.8</v>
      </c>
      <c r="AG30" s="15">
        <v>0.78</v>
      </c>
      <c r="AH30" s="15">
        <v>0.76</v>
      </c>
      <c r="AI30" s="15">
        <v>0.74</v>
      </c>
      <c r="AJ30" s="15">
        <v>0.72</v>
      </c>
      <c r="AK30" s="15">
        <v>0.7</v>
      </c>
      <c r="AL30" s="15">
        <v>0.68</v>
      </c>
      <c r="AM30" s="15">
        <v>0.65</v>
      </c>
      <c r="AN30" s="15">
        <v>0.65</v>
      </c>
      <c r="AO30" s="15">
        <v>0.64</v>
      </c>
      <c r="AP30" s="15">
        <v>0.63</v>
      </c>
      <c r="AQ30" s="15">
        <v>0.62</v>
      </c>
      <c r="AR30" s="15">
        <v>0.61</v>
      </c>
      <c r="AS30" s="15">
        <v>0.61</v>
      </c>
      <c r="AT30" s="15">
        <v>0.6</v>
      </c>
      <c r="AU30" s="15">
        <v>0.6</v>
      </c>
      <c r="AV30" s="15">
        <v>0.6</v>
      </c>
      <c r="AW30" s="15">
        <v>0.59</v>
      </c>
      <c r="AX30" s="12"/>
    </row>
    <row r="31" spans="1:50" x14ac:dyDescent="0.25">
      <c r="A31" s="13" t="s">
        <v>42</v>
      </c>
      <c r="B31" s="12" t="s">
        <v>43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 t="e">
        <v>#REF!</v>
      </c>
      <c r="R31" s="15">
        <v>1</v>
      </c>
      <c r="S31" s="15">
        <v>1</v>
      </c>
      <c r="T31" s="15">
        <v>0.99</v>
      </c>
      <c r="U31" s="15">
        <v>0.99</v>
      </c>
      <c r="V31" s="15">
        <v>0.98</v>
      </c>
      <c r="W31" s="15">
        <v>0.97</v>
      </c>
      <c r="X31" s="15">
        <v>0.96</v>
      </c>
      <c r="Y31" s="15">
        <v>0.94</v>
      </c>
      <c r="Z31" s="15">
        <v>0.92</v>
      </c>
      <c r="AA31" s="15">
        <v>0.89</v>
      </c>
      <c r="AB31" s="15">
        <v>0.87</v>
      </c>
      <c r="AC31" s="15">
        <v>0.85</v>
      </c>
      <c r="AD31" s="15">
        <v>0.83</v>
      </c>
      <c r="AE31" s="15">
        <v>0.8</v>
      </c>
      <c r="AF31" s="15">
        <v>0.78</v>
      </c>
      <c r="AG31" s="15">
        <v>0.76</v>
      </c>
      <c r="AH31" s="15">
        <v>0.73</v>
      </c>
      <c r="AI31" s="15">
        <v>0.71</v>
      </c>
      <c r="AJ31" s="15">
        <v>0.69</v>
      </c>
      <c r="AK31" s="15">
        <v>0.66</v>
      </c>
      <c r="AL31" s="15">
        <v>0.64</v>
      </c>
      <c r="AM31" s="15">
        <v>0.62</v>
      </c>
      <c r="AN31" s="15">
        <v>0.61</v>
      </c>
      <c r="AO31" s="15">
        <v>0.6</v>
      </c>
      <c r="AP31" s="15">
        <v>0.6</v>
      </c>
      <c r="AQ31" s="15">
        <v>0.59</v>
      </c>
      <c r="AR31" s="15">
        <v>0.59</v>
      </c>
      <c r="AS31" s="15">
        <v>0.57999999999999996</v>
      </c>
      <c r="AT31" s="15">
        <v>0.57999999999999996</v>
      </c>
      <c r="AU31" s="15">
        <v>0.57999999999999996</v>
      </c>
      <c r="AV31" s="15">
        <v>0.57999999999999996</v>
      </c>
      <c r="AW31" s="15">
        <v>0.57999999999999996</v>
      </c>
      <c r="AX31" s="12"/>
    </row>
    <row r="32" spans="1:50" x14ac:dyDescent="0.25">
      <c r="A32" s="13" t="s">
        <v>44</v>
      </c>
      <c r="B32" s="12" t="s">
        <v>45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 t="e">
        <v>#REF!</v>
      </c>
      <c r="R32" s="15">
        <v>1</v>
      </c>
      <c r="S32" s="15">
        <v>1</v>
      </c>
      <c r="T32" s="15">
        <v>0.99</v>
      </c>
      <c r="U32" s="15">
        <v>0.99</v>
      </c>
      <c r="V32" s="15">
        <v>0.98</v>
      </c>
      <c r="W32" s="15">
        <v>0.97</v>
      </c>
      <c r="X32" s="15">
        <v>0.96</v>
      </c>
      <c r="Y32" s="15">
        <v>0.94</v>
      </c>
      <c r="Z32" s="15">
        <v>0.92</v>
      </c>
      <c r="AA32" s="15">
        <v>0.89</v>
      </c>
      <c r="AB32" s="15">
        <v>0.87</v>
      </c>
      <c r="AC32" s="15">
        <v>0.85</v>
      </c>
      <c r="AD32" s="15">
        <v>0.82</v>
      </c>
      <c r="AE32" s="15">
        <v>0.79</v>
      </c>
      <c r="AF32" s="15">
        <v>0.76</v>
      </c>
      <c r="AG32" s="15">
        <v>0.73</v>
      </c>
      <c r="AH32" s="15">
        <v>0.7</v>
      </c>
      <c r="AI32" s="15">
        <v>0.68</v>
      </c>
      <c r="AJ32" s="15">
        <v>0.66</v>
      </c>
      <c r="AK32" s="15">
        <v>0.64</v>
      </c>
      <c r="AL32" s="15">
        <v>0.62</v>
      </c>
      <c r="AM32" s="15">
        <v>0.6</v>
      </c>
      <c r="AN32" s="15">
        <v>0.6</v>
      </c>
      <c r="AO32" s="15">
        <v>0.6</v>
      </c>
      <c r="AP32" s="15">
        <v>0.59</v>
      </c>
      <c r="AQ32" s="15">
        <v>0.59</v>
      </c>
      <c r="AR32" s="15">
        <v>0.59</v>
      </c>
      <c r="AS32" s="15">
        <v>0.59</v>
      </c>
      <c r="AT32" s="15">
        <v>0.59</v>
      </c>
      <c r="AU32" s="15">
        <v>0.6</v>
      </c>
      <c r="AV32" s="15">
        <v>0.6</v>
      </c>
      <c r="AW32" s="15">
        <v>0.6</v>
      </c>
      <c r="AX32" s="12"/>
    </row>
    <row r="33" spans="1:50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 t="e">
        <v>#REF!</v>
      </c>
      <c r="R33" s="15">
        <v>1</v>
      </c>
      <c r="S33" s="15">
        <v>1</v>
      </c>
      <c r="T33" s="15">
        <v>0.99</v>
      </c>
      <c r="U33" s="15">
        <v>0.99</v>
      </c>
      <c r="V33" s="15">
        <v>0.98</v>
      </c>
      <c r="W33" s="15">
        <v>0.97</v>
      </c>
      <c r="X33" s="15">
        <v>0.97</v>
      </c>
      <c r="Y33" s="15">
        <v>0.96</v>
      </c>
      <c r="Z33" s="15">
        <v>0.95</v>
      </c>
      <c r="AA33" s="15">
        <v>0.94</v>
      </c>
      <c r="AB33" s="15">
        <v>0.94</v>
      </c>
      <c r="AC33" s="15">
        <v>0.93</v>
      </c>
      <c r="AD33" s="15">
        <v>0.92</v>
      </c>
      <c r="AE33" s="15">
        <v>0.9</v>
      </c>
      <c r="AF33" s="15">
        <v>0.89</v>
      </c>
      <c r="AG33" s="15">
        <v>0.88</v>
      </c>
      <c r="AH33" s="15">
        <v>0.87</v>
      </c>
      <c r="AI33" s="15">
        <v>0.85</v>
      </c>
      <c r="AJ33" s="15">
        <v>0.83</v>
      </c>
      <c r="AK33" s="15">
        <v>0.81</v>
      </c>
      <c r="AL33" s="15">
        <v>0.8</v>
      </c>
      <c r="AM33" s="15">
        <v>0.78</v>
      </c>
      <c r="AN33" s="15">
        <v>0.77</v>
      </c>
      <c r="AO33" s="15">
        <v>0.76</v>
      </c>
      <c r="AP33" s="15">
        <v>0.76</v>
      </c>
      <c r="AQ33" s="15">
        <v>0.75</v>
      </c>
      <c r="AR33" s="15">
        <v>0.74</v>
      </c>
      <c r="AS33" s="15">
        <v>0.74</v>
      </c>
      <c r="AT33" s="15">
        <v>0.73</v>
      </c>
      <c r="AU33" s="15">
        <v>0.72</v>
      </c>
      <c r="AV33" s="15">
        <v>0.72</v>
      </c>
      <c r="AW33" s="15">
        <v>0.71</v>
      </c>
      <c r="AX33" s="12"/>
    </row>
    <row r="34" spans="1:50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 t="e">
        <v>#REF!</v>
      </c>
      <c r="R34" s="15">
        <v>1</v>
      </c>
      <c r="S34" s="15">
        <v>1</v>
      </c>
      <c r="T34" s="15">
        <v>0.99</v>
      </c>
      <c r="U34" s="15">
        <v>0.99</v>
      </c>
      <c r="V34" s="15">
        <v>0.98</v>
      </c>
      <c r="W34" s="15">
        <v>0.98</v>
      </c>
      <c r="X34" s="15">
        <v>0.97</v>
      </c>
      <c r="Y34" s="15">
        <v>0.96</v>
      </c>
      <c r="Z34" s="15">
        <v>0.95</v>
      </c>
      <c r="AA34" s="15">
        <v>0.95</v>
      </c>
      <c r="AB34" s="15">
        <v>0.94</v>
      </c>
      <c r="AC34" s="15">
        <v>0.93</v>
      </c>
      <c r="AD34" s="15">
        <v>0.92</v>
      </c>
      <c r="AE34" s="15">
        <v>0.91</v>
      </c>
      <c r="AF34" s="15">
        <v>0.9</v>
      </c>
      <c r="AG34" s="15">
        <v>0.89</v>
      </c>
      <c r="AH34" s="15">
        <v>0.87</v>
      </c>
      <c r="AI34" s="15">
        <v>0.86</v>
      </c>
      <c r="AJ34" s="15">
        <v>0.84</v>
      </c>
      <c r="AK34" s="15">
        <v>0.82</v>
      </c>
      <c r="AL34" s="15">
        <v>0.8</v>
      </c>
      <c r="AM34" s="15">
        <v>0.78</v>
      </c>
      <c r="AN34" s="15">
        <v>0.78</v>
      </c>
      <c r="AO34" s="15">
        <v>0.77</v>
      </c>
      <c r="AP34" s="15">
        <v>0.76</v>
      </c>
      <c r="AQ34" s="15">
        <v>0.76</v>
      </c>
      <c r="AR34" s="15">
        <v>0.75</v>
      </c>
      <c r="AS34" s="15">
        <v>0.74</v>
      </c>
      <c r="AT34" s="15">
        <v>0.74</v>
      </c>
      <c r="AU34" s="15">
        <v>0.73</v>
      </c>
      <c r="AV34" s="15">
        <v>0.72</v>
      </c>
      <c r="AW34" s="15">
        <v>0.71</v>
      </c>
      <c r="AX34" s="12"/>
    </row>
    <row r="35" spans="1:50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 t="e">
        <v>#REF!</v>
      </c>
      <c r="R35" s="15">
        <v>1</v>
      </c>
      <c r="S35" s="15">
        <v>1</v>
      </c>
      <c r="T35" s="15">
        <v>0.99</v>
      </c>
      <c r="U35" s="15">
        <v>0.99</v>
      </c>
      <c r="V35" s="15">
        <v>0.98</v>
      </c>
      <c r="W35" s="15">
        <v>0.98</v>
      </c>
      <c r="X35" s="15">
        <v>0.97</v>
      </c>
      <c r="Y35" s="15">
        <v>0.97</v>
      </c>
      <c r="Z35" s="15">
        <v>0.96</v>
      </c>
      <c r="AA35" s="15">
        <v>0.95</v>
      </c>
      <c r="AB35" s="15">
        <v>0.95</v>
      </c>
      <c r="AC35" s="15">
        <v>0.94</v>
      </c>
      <c r="AD35" s="15">
        <v>0.93</v>
      </c>
      <c r="AE35" s="15">
        <v>0.92</v>
      </c>
      <c r="AF35" s="15">
        <v>0.9</v>
      </c>
      <c r="AG35" s="15">
        <v>0.89</v>
      </c>
      <c r="AH35" s="15">
        <v>0.88</v>
      </c>
      <c r="AI35" s="15">
        <v>0.86</v>
      </c>
      <c r="AJ35" s="15">
        <v>0.85</v>
      </c>
      <c r="AK35" s="15">
        <v>0.83</v>
      </c>
      <c r="AL35" s="15">
        <v>0.81</v>
      </c>
      <c r="AM35" s="15">
        <v>0.79</v>
      </c>
      <c r="AN35" s="15">
        <v>0.78</v>
      </c>
      <c r="AO35" s="15">
        <v>0.78</v>
      </c>
      <c r="AP35" s="15">
        <v>0.77</v>
      </c>
      <c r="AQ35" s="15">
        <v>0.76</v>
      </c>
      <c r="AR35" s="15">
        <v>0.75</v>
      </c>
      <c r="AS35" s="15">
        <v>0.75</v>
      </c>
      <c r="AT35" s="15">
        <v>0.74</v>
      </c>
      <c r="AU35" s="15">
        <v>0.73</v>
      </c>
      <c r="AV35" s="15">
        <v>0.72</v>
      </c>
      <c r="AW35" s="15">
        <v>0.71</v>
      </c>
      <c r="AX35" s="12"/>
    </row>
    <row r="36" spans="1:50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 t="e">
        <v>#REF!</v>
      </c>
      <c r="R36" s="15">
        <v>1</v>
      </c>
      <c r="S36" s="15">
        <v>1</v>
      </c>
      <c r="T36" s="15">
        <v>0.99</v>
      </c>
      <c r="U36" s="15">
        <v>0.99</v>
      </c>
      <c r="V36" s="15">
        <v>0.98</v>
      </c>
      <c r="W36" s="15">
        <v>0.97</v>
      </c>
      <c r="X36" s="15">
        <v>0.97</v>
      </c>
      <c r="Y36" s="15">
        <v>0.96</v>
      </c>
      <c r="Z36" s="15">
        <v>0.95</v>
      </c>
      <c r="AA36" s="15">
        <v>0.94</v>
      </c>
      <c r="AB36" s="15">
        <v>0.93</v>
      </c>
      <c r="AC36" s="15">
        <v>0.92</v>
      </c>
      <c r="AD36" s="15">
        <v>0.91</v>
      </c>
      <c r="AE36" s="15">
        <v>0.9</v>
      </c>
      <c r="AF36" s="15">
        <v>0.89</v>
      </c>
      <c r="AG36" s="15">
        <v>0.88</v>
      </c>
      <c r="AH36" s="15">
        <v>0.86</v>
      </c>
      <c r="AI36" s="15">
        <v>0.85</v>
      </c>
      <c r="AJ36" s="15">
        <v>0.83</v>
      </c>
      <c r="AK36" s="15">
        <v>0.81</v>
      </c>
      <c r="AL36" s="15">
        <v>0.79</v>
      </c>
      <c r="AM36" s="15">
        <v>0.77</v>
      </c>
      <c r="AN36" s="15">
        <v>0.77</v>
      </c>
      <c r="AO36" s="15">
        <v>0.76</v>
      </c>
      <c r="AP36" s="15">
        <v>0.75</v>
      </c>
      <c r="AQ36" s="15">
        <v>0.75</v>
      </c>
      <c r="AR36" s="15">
        <v>0.74</v>
      </c>
      <c r="AS36" s="15">
        <v>0.73</v>
      </c>
      <c r="AT36" s="15">
        <v>0.73</v>
      </c>
      <c r="AU36" s="15">
        <v>0.72</v>
      </c>
      <c r="AV36" s="15">
        <v>0.71</v>
      </c>
      <c r="AW36" s="15">
        <v>0.71</v>
      </c>
      <c r="AX36" s="12"/>
    </row>
    <row r="37" spans="1:50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 t="e">
        <v>#REF!</v>
      </c>
      <c r="R37" s="15">
        <v>1</v>
      </c>
      <c r="S37" s="15">
        <v>1</v>
      </c>
      <c r="T37" s="15">
        <v>0.98</v>
      </c>
      <c r="U37" s="15">
        <v>0.96</v>
      </c>
      <c r="V37" s="15">
        <v>0.95</v>
      </c>
      <c r="W37" s="15">
        <v>0.93</v>
      </c>
      <c r="X37" s="15">
        <v>0.91</v>
      </c>
      <c r="Y37" s="15">
        <v>0.9</v>
      </c>
      <c r="Z37" s="15">
        <v>0.89</v>
      </c>
      <c r="AA37" s="15">
        <v>0.88</v>
      </c>
      <c r="AB37" s="15">
        <v>0.87</v>
      </c>
      <c r="AC37" s="15">
        <v>0.86</v>
      </c>
      <c r="AD37" s="15">
        <v>0.84</v>
      </c>
      <c r="AE37" s="15">
        <v>0.83</v>
      </c>
      <c r="AF37" s="15">
        <v>0.82</v>
      </c>
      <c r="AG37" s="15">
        <v>0.8</v>
      </c>
      <c r="AH37" s="15">
        <v>0.79</v>
      </c>
      <c r="AI37" s="15">
        <v>0.77</v>
      </c>
      <c r="AJ37" s="15">
        <v>0.75</v>
      </c>
      <c r="AK37" s="15">
        <v>0.72</v>
      </c>
      <c r="AL37" s="15">
        <v>0.7</v>
      </c>
      <c r="AM37" s="15">
        <v>0.68</v>
      </c>
      <c r="AN37" s="15">
        <v>0.67</v>
      </c>
      <c r="AO37" s="15">
        <v>0.66</v>
      </c>
      <c r="AP37" s="15">
        <v>0.65</v>
      </c>
      <c r="AQ37" s="15">
        <v>0.64</v>
      </c>
      <c r="AR37" s="15">
        <v>0.63</v>
      </c>
      <c r="AS37" s="15">
        <v>0.63</v>
      </c>
      <c r="AT37" s="15">
        <v>0.62</v>
      </c>
      <c r="AU37" s="15">
        <v>0.61</v>
      </c>
      <c r="AV37" s="15">
        <v>0.61</v>
      </c>
      <c r="AW37" s="15">
        <v>0.6</v>
      </c>
      <c r="AX37" s="12"/>
    </row>
    <row r="38" spans="1:50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 t="e">
        <v>#REF!</v>
      </c>
      <c r="R38" s="15">
        <v>1</v>
      </c>
      <c r="S38" s="15">
        <v>1</v>
      </c>
      <c r="T38" s="15">
        <v>0.99</v>
      </c>
      <c r="U38" s="15">
        <v>0.98</v>
      </c>
      <c r="V38" s="15">
        <v>0.96</v>
      </c>
      <c r="W38" s="15">
        <v>0.95</v>
      </c>
      <c r="X38" s="15">
        <v>0.94</v>
      </c>
      <c r="Y38" s="15">
        <v>0.92</v>
      </c>
      <c r="Z38" s="15">
        <v>0.91</v>
      </c>
      <c r="AA38" s="15">
        <v>0.89</v>
      </c>
      <c r="AB38" s="15">
        <v>0.88</v>
      </c>
      <c r="AC38" s="15">
        <v>0.86</v>
      </c>
      <c r="AD38" s="15">
        <v>0.85</v>
      </c>
      <c r="AE38" s="15">
        <v>0.83</v>
      </c>
      <c r="AF38" s="15">
        <v>0.81</v>
      </c>
      <c r="AG38" s="15">
        <v>0.8</v>
      </c>
      <c r="AH38" s="15">
        <v>0.78</v>
      </c>
      <c r="AI38" s="15">
        <v>0.78</v>
      </c>
      <c r="AJ38" s="15">
        <v>0.77</v>
      </c>
      <c r="AK38" s="15">
        <v>0.76</v>
      </c>
      <c r="AL38" s="15">
        <v>0.76</v>
      </c>
      <c r="AM38" s="15">
        <v>0.75</v>
      </c>
      <c r="AN38" s="15">
        <v>0.75</v>
      </c>
      <c r="AO38" s="15">
        <v>0.75</v>
      </c>
      <c r="AP38" s="15">
        <v>0.75</v>
      </c>
      <c r="AQ38" s="15">
        <v>0.75</v>
      </c>
      <c r="AR38" s="15">
        <v>0.75</v>
      </c>
      <c r="AS38" s="15">
        <v>0.75</v>
      </c>
      <c r="AT38" s="15">
        <v>0.75</v>
      </c>
      <c r="AU38" s="15">
        <v>0.75</v>
      </c>
      <c r="AV38" s="15">
        <v>0.75</v>
      </c>
      <c r="AW38" s="15">
        <v>0.76</v>
      </c>
      <c r="AX38" s="12"/>
    </row>
    <row r="39" spans="1:50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 t="e">
        <v>#REF!</v>
      </c>
      <c r="R39" s="15">
        <v>1</v>
      </c>
      <c r="S39" s="15">
        <v>0.99</v>
      </c>
      <c r="T39" s="15">
        <v>0.97</v>
      </c>
      <c r="U39" s="15">
        <v>0.95</v>
      </c>
      <c r="V39" s="15">
        <v>0.93</v>
      </c>
      <c r="W39" s="15">
        <v>0.91</v>
      </c>
      <c r="X39" s="15">
        <v>0.89</v>
      </c>
      <c r="Y39" s="15">
        <v>0.88</v>
      </c>
      <c r="Z39" s="15">
        <v>0.87</v>
      </c>
      <c r="AA39" s="15">
        <v>0.85</v>
      </c>
      <c r="AB39" s="15">
        <v>0.84</v>
      </c>
      <c r="AC39" s="15">
        <v>0.83</v>
      </c>
      <c r="AD39" s="15">
        <v>0.81</v>
      </c>
      <c r="AE39" s="15">
        <v>0.79</v>
      </c>
      <c r="AF39" s="15">
        <v>0.77</v>
      </c>
      <c r="AG39" s="15">
        <v>0.76</v>
      </c>
      <c r="AH39" s="15">
        <v>0.74</v>
      </c>
      <c r="AI39" s="15">
        <v>0.72</v>
      </c>
      <c r="AJ39" s="15">
        <v>0.71</v>
      </c>
      <c r="AK39" s="15">
        <v>0.69</v>
      </c>
      <c r="AL39" s="15">
        <v>0.68</v>
      </c>
      <c r="AM39" s="15">
        <v>0.66</v>
      </c>
      <c r="AN39" s="15">
        <v>0.65</v>
      </c>
      <c r="AO39" s="15">
        <v>0.64</v>
      </c>
      <c r="AP39" s="15">
        <v>0.64</v>
      </c>
      <c r="AQ39" s="15">
        <v>0.63</v>
      </c>
      <c r="AR39" s="15">
        <v>0.62</v>
      </c>
      <c r="AS39" s="15">
        <v>0.62</v>
      </c>
      <c r="AT39" s="15">
        <v>0.61</v>
      </c>
      <c r="AU39" s="15">
        <v>0.61</v>
      </c>
      <c r="AV39" s="15">
        <v>0.6</v>
      </c>
      <c r="AW39" s="15">
        <v>0.6</v>
      </c>
      <c r="AX39" s="12"/>
    </row>
    <row r="40" spans="1:50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 t="e">
        <v>#REF!</v>
      </c>
      <c r="R40" s="15">
        <v>1</v>
      </c>
      <c r="S40" s="15">
        <v>1</v>
      </c>
      <c r="T40" s="15">
        <v>0.99</v>
      </c>
      <c r="U40" s="15">
        <v>0.97</v>
      </c>
      <c r="V40" s="15">
        <v>0.96</v>
      </c>
      <c r="W40" s="15">
        <v>0.95</v>
      </c>
      <c r="X40" s="15">
        <v>0.94</v>
      </c>
      <c r="Y40" s="15">
        <v>0.93</v>
      </c>
      <c r="Z40" s="15">
        <v>0.91</v>
      </c>
      <c r="AA40" s="15">
        <v>0.9</v>
      </c>
      <c r="AB40" s="15">
        <v>0.88</v>
      </c>
      <c r="AC40" s="15">
        <v>0.87</v>
      </c>
      <c r="AD40" s="15">
        <v>0.85</v>
      </c>
      <c r="AE40" s="15">
        <v>0.83</v>
      </c>
      <c r="AF40" s="15">
        <v>0.81</v>
      </c>
      <c r="AG40" s="15">
        <v>0.79</v>
      </c>
      <c r="AH40" s="15">
        <v>0.77</v>
      </c>
      <c r="AI40" s="15">
        <v>0.76</v>
      </c>
      <c r="AJ40" s="15">
        <v>0.74</v>
      </c>
      <c r="AK40" s="15">
        <v>0.73</v>
      </c>
      <c r="AL40" s="15">
        <v>0.71</v>
      </c>
      <c r="AM40" s="15">
        <v>0.69</v>
      </c>
      <c r="AN40" s="15">
        <v>0.69</v>
      </c>
      <c r="AO40" s="15">
        <v>0.68</v>
      </c>
      <c r="AP40" s="15">
        <v>0.68</v>
      </c>
      <c r="AQ40" s="15">
        <v>0.68</v>
      </c>
      <c r="AR40" s="15">
        <v>0.67</v>
      </c>
      <c r="AS40" s="15">
        <v>0.67</v>
      </c>
      <c r="AT40" s="15">
        <v>0.67</v>
      </c>
      <c r="AU40" s="15">
        <v>0.66</v>
      </c>
      <c r="AV40" s="15">
        <v>0.66</v>
      </c>
      <c r="AW40" s="15">
        <v>0.66</v>
      </c>
      <c r="AX40" s="12"/>
    </row>
    <row r="41" spans="1:50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 t="e">
        <v>#REF!</v>
      </c>
      <c r="R41" s="15">
        <v>1</v>
      </c>
      <c r="S41" s="15">
        <v>1</v>
      </c>
      <c r="T41" s="15">
        <v>0.98</v>
      </c>
      <c r="U41" s="15">
        <v>0.97</v>
      </c>
      <c r="V41" s="15">
        <v>0.95</v>
      </c>
      <c r="W41" s="15">
        <v>0.94</v>
      </c>
      <c r="X41" s="15">
        <v>0.93</v>
      </c>
      <c r="Y41" s="15">
        <v>0.91</v>
      </c>
      <c r="Z41" s="15">
        <v>0.88</v>
      </c>
      <c r="AA41" s="15">
        <v>0.86</v>
      </c>
      <c r="AB41" s="15">
        <v>0.84</v>
      </c>
      <c r="AC41" s="15">
        <v>0.82</v>
      </c>
      <c r="AD41" s="15">
        <v>0.8</v>
      </c>
      <c r="AE41" s="15">
        <v>0.78</v>
      </c>
      <c r="AF41" s="15">
        <v>0.75</v>
      </c>
      <c r="AG41" s="15">
        <v>0.73</v>
      </c>
      <c r="AH41" s="15">
        <v>0.7</v>
      </c>
      <c r="AI41" s="15">
        <v>0.68</v>
      </c>
      <c r="AJ41" s="15">
        <v>0.65</v>
      </c>
      <c r="AK41" s="15">
        <v>0.63</v>
      </c>
      <c r="AL41" s="15">
        <v>0.61</v>
      </c>
      <c r="AM41" s="15">
        <v>0.57999999999999996</v>
      </c>
      <c r="AN41" s="15">
        <v>0.56999999999999995</v>
      </c>
      <c r="AO41" s="15">
        <v>0.56000000000000005</v>
      </c>
      <c r="AP41" s="15">
        <v>0.55000000000000004</v>
      </c>
      <c r="AQ41" s="15">
        <v>0.54</v>
      </c>
      <c r="AR41" s="15">
        <v>0.52</v>
      </c>
      <c r="AS41" s="15">
        <v>0.52</v>
      </c>
      <c r="AT41" s="15">
        <v>0.51</v>
      </c>
      <c r="AU41" s="15">
        <v>0.5</v>
      </c>
      <c r="AV41" s="15">
        <v>0.49</v>
      </c>
      <c r="AW41" s="15">
        <v>0.48</v>
      </c>
      <c r="AX41" s="12"/>
    </row>
    <row r="42" spans="1:50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 t="e">
        <v>#REF!</v>
      </c>
      <c r="R42" s="15">
        <v>1</v>
      </c>
      <c r="S42" s="15">
        <v>1</v>
      </c>
      <c r="T42" s="15">
        <v>0.99</v>
      </c>
      <c r="U42" s="15">
        <v>0.98</v>
      </c>
      <c r="V42" s="15">
        <v>0.96</v>
      </c>
      <c r="W42" s="15">
        <v>0.95</v>
      </c>
      <c r="X42" s="15">
        <v>0.94</v>
      </c>
      <c r="Y42" s="15">
        <v>0.93</v>
      </c>
      <c r="Z42" s="15">
        <v>0.91</v>
      </c>
      <c r="AA42" s="15">
        <v>0.9</v>
      </c>
      <c r="AB42" s="15">
        <v>0.88</v>
      </c>
      <c r="AC42" s="15">
        <v>0.87</v>
      </c>
      <c r="AD42" s="15">
        <v>0.85</v>
      </c>
      <c r="AE42" s="15">
        <v>0.83</v>
      </c>
      <c r="AF42" s="15">
        <v>0.82</v>
      </c>
      <c r="AG42" s="15">
        <v>0.8</v>
      </c>
      <c r="AH42" s="15">
        <v>0.78</v>
      </c>
      <c r="AI42" s="15">
        <v>0.76</v>
      </c>
      <c r="AJ42" s="15">
        <v>0.75</v>
      </c>
      <c r="AK42" s="15">
        <v>0.73</v>
      </c>
      <c r="AL42" s="15">
        <v>0.72</v>
      </c>
      <c r="AM42" s="15">
        <v>0.7</v>
      </c>
      <c r="AN42" s="15">
        <v>0.7</v>
      </c>
      <c r="AO42" s="15">
        <v>0.7</v>
      </c>
      <c r="AP42" s="15">
        <v>0.69</v>
      </c>
      <c r="AQ42" s="15">
        <v>0.69</v>
      </c>
      <c r="AR42" s="15">
        <v>0.68</v>
      </c>
      <c r="AS42" s="15">
        <v>0.68</v>
      </c>
      <c r="AT42" s="15">
        <v>0.68</v>
      </c>
      <c r="AU42" s="15">
        <v>0.68</v>
      </c>
      <c r="AV42" s="15">
        <v>0.67</v>
      </c>
      <c r="AW42" s="15">
        <v>0.67</v>
      </c>
      <c r="AX42" s="12"/>
    </row>
    <row r="43" spans="1:50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 t="e">
        <v>#REF!</v>
      </c>
      <c r="R43" s="15">
        <v>1</v>
      </c>
      <c r="S43" s="15">
        <v>1</v>
      </c>
      <c r="T43" s="15">
        <v>0.99</v>
      </c>
      <c r="U43" s="15">
        <v>0.97</v>
      </c>
      <c r="V43" s="15">
        <v>0.96</v>
      </c>
      <c r="W43" s="15">
        <v>0.95</v>
      </c>
      <c r="X43" s="15">
        <v>0.94</v>
      </c>
      <c r="Y43" s="15">
        <v>0.93</v>
      </c>
      <c r="Z43" s="15">
        <v>0.91</v>
      </c>
      <c r="AA43" s="15">
        <v>0.9</v>
      </c>
      <c r="AB43" s="15">
        <v>0.88</v>
      </c>
      <c r="AC43" s="15">
        <v>0.87</v>
      </c>
      <c r="AD43" s="15">
        <v>0.85</v>
      </c>
      <c r="AE43" s="15">
        <v>0.83</v>
      </c>
      <c r="AF43" s="15">
        <v>0.81</v>
      </c>
      <c r="AG43" s="15">
        <v>0.8</v>
      </c>
      <c r="AH43" s="15">
        <v>0.78</v>
      </c>
      <c r="AI43" s="15">
        <v>0.76</v>
      </c>
      <c r="AJ43" s="15">
        <v>0.75</v>
      </c>
      <c r="AK43" s="15">
        <v>0.74</v>
      </c>
      <c r="AL43" s="15">
        <v>0.73</v>
      </c>
      <c r="AM43" s="15">
        <v>0.71</v>
      </c>
      <c r="AN43" s="15">
        <v>0.72</v>
      </c>
      <c r="AO43" s="15">
        <v>0.72</v>
      </c>
      <c r="AP43" s="15">
        <v>0.72</v>
      </c>
      <c r="AQ43" s="15">
        <v>0.72</v>
      </c>
      <c r="AR43" s="15">
        <v>0.72</v>
      </c>
      <c r="AS43" s="15">
        <v>0.72</v>
      </c>
      <c r="AT43" s="15">
        <v>0.72</v>
      </c>
      <c r="AU43" s="15">
        <v>0.72</v>
      </c>
      <c r="AV43" s="15">
        <v>0.72</v>
      </c>
      <c r="AW43" s="15">
        <v>0.72</v>
      </c>
      <c r="AX43" s="12"/>
    </row>
    <row r="44" spans="1:50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 t="e">
        <v>#REF!</v>
      </c>
      <c r="R44" s="15">
        <v>1</v>
      </c>
      <c r="S44" s="15">
        <v>1</v>
      </c>
      <c r="T44" s="15">
        <v>0.99</v>
      </c>
      <c r="U44" s="15">
        <v>0.97</v>
      </c>
      <c r="V44" s="15">
        <v>0.96</v>
      </c>
      <c r="W44" s="15">
        <v>0.95</v>
      </c>
      <c r="X44" s="15">
        <v>0.94</v>
      </c>
      <c r="Y44" s="15">
        <v>0.93</v>
      </c>
      <c r="Z44" s="15">
        <v>0.91</v>
      </c>
      <c r="AA44" s="15">
        <v>0.9</v>
      </c>
      <c r="AB44" s="15">
        <v>0.88</v>
      </c>
      <c r="AC44" s="15">
        <v>0.87</v>
      </c>
      <c r="AD44" s="15">
        <v>0.85</v>
      </c>
      <c r="AE44" s="15">
        <v>0.83</v>
      </c>
      <c r="AF44" s="15">
        <v>0.81</v>
      </c>
      <c r="AG44" s="15">
        <v>0.79</v>
      </c>
      <c r="AH44" s="15">
        <v>0.78</v>
      </c>
      <c r="AI44" s="15">
        <v>0.76</v>
      </c>
      <c r="AJ44" s="15">
        <v>0.75</v>
      </c>
      <c r="AK44" s="15">
        <v>0.73</v>
      </c>
      <c r="AL44" s="15">
        <v>0.72</v>
      </c>
      <c r="AM44" s="15">
        <v>0.7</v>
      </c>
      <c r="AN44" s="15">
        <v>0.7</v>
      </c>
      <c r="AO44" s="15">
        <v>0.69</v>
      </c>
      <c r="AP44" s="15">
        <v>0.69</v>
      </c>
      <c r="AQ44" s="15">
        <v>0.69</v>
      </c>
      <c r="AR44" s="15">
        <v>0.68</v>
      </c>
      <c r="AS44" s="15">
        <v>0.68</v>
      </c>
      <c r="AT44" s="15">
        <v>0.68</v>
      </c>
      <c r="AU44" s="15">
        <v>0.68</v>
      </c>
      <c r="AV44" s="15">
        <v>0.68</v>
      </c>
      <c r="AW44" s="15">
        <v>0.68</v>
      </c>
      <c r="AX44" s="12"/>
    </row>
    <row r="45" spans="1:50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</row>
    <row r="46" spans="1:50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</row>
    <row r="47" spans="1:50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</row>
    <row r="48" spans="1:50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</row>
    <row r="49" spans="1:50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</row>
    <row r="50" spans="1:50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</row>
    <row r="51" spans="1:50" x14ac:dyDescent="0.25">
      <c r="A51" s="12"/>
      <c r="B51" s="12"/>
      <c r="C51" s="12"/>
      <c r="D51" s="12"/>
      <c r="E51" s="12"/>
      <c r="F51" s="12"/>
      <c r="G51" s="12"/>
      <c r="H51" s="12" t="s">
        <v>46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</row>
    <row r="52" spans="1:50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4A2BA-CC43-4D0B-A532-24EECDC35A91}">
  <sheetPr>
    <outlinePr summaryBelow="0"/>
  </sheetPr>
  <dimension ref="A1:AZ67"/>
  <sheetViews>
    <sheetView showGridLines="0" zoomScale="98" zoomScaleNormal="98" workbookViewId="0">
      <pane xSplit="2" ySplit="2" topLeftCell="F3" activePane="bottomRight" state="frozen"/>
      <selection pane="topRight" activeCell="C1" sqref="C1"/>
      <selection pane="bottomLeft" activeCell="A3" sqref="A3"/>
      <selection pane="bottomRight" activeCell="Q21" sqref="Q21"/>
    </sheetView>
  </sheetViews>
  <sheetFormatPr defaultRowHeight="15" x14ac:dyDescent="0.25"/>
  <cols>
    <col min="1" max="1" width="43.5703125" customWidth="1"/>
    <col min="2" max="2" width="20.42578125" style="7" bestFit="1" customWidth="1"/>
    <col min="3" max="3" width="8.5703125" style="7" bestFit="1" customWidth="1"/>
    <col min="4" max="13" width="10.5703125" bestFit="1" customWidth="1"/>
    <col min="14" max="14" width="11.85546875" bestFit="1" customWidth="1"/>
    <col min="15" max="20" width="10.5703125" bestFit="1" customWidth="1"/>
    <col min="21" max="21" width="9.5703125" bestFit="1" customWidth="1"/>
  </cols>
  <sheetData>
    <row r="1" spans="1:52" x14ac:dyDescent="0.25">
      <c r="A1" s="4" t="s">
        <v>19</v>
      </c>
      <c r="B1" s="6"/>
      <c r="C1" s="6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52" x14ac:dyDescent="0.25">
      <c r="B2" s="7" t="s">
        <v>8</v>
      </c>
      <c r="C2" s="7" t="s">
        <v>12</v>
      </c>
      <c r="D2" t="s">
        <v>0</v>
      </c>
      <c r="I2" t="s">
        <v>1</v>
      </c>
      <c r="N2" t="s">
        <v>2</v>
      </c>
      <c r="S2" t="s">
        <v>3</v>
      </c>
      <c r="X2">
        <v>2025</v>
      </c>
      <c r="AC2">
        <v>2030</v>
      </c>
      <c r="AH2">
        <v>2035</v>
      </c>
      <c r="AM2">
        <v>2040</v>
      </c>
      <c r="AR2">
        <v>2045</v>
      </c>
      <c r="AW2">
        <v>2050</v>
      </c>
    </row>
    <row r="3" spans="1:52" x14ac:dyDescent="0.25">
      <c r="A3" t="s">
        <v>4</v>
      </c>
      <c r="B3" s="7" t="s">
        <v>9</v>
      </c>
      <c r="C3" s="7" t="s">
        <v>13</v>
      </c>
      <c r="D3" s="1">
        <v>380.0561707229802</v>
      </c>
      <c r="E3" s="1">
        <v>377.29450206580276</v>
      </c>
      <c r="F3" s="1">
        <v>380.21218954036402</v>
      </c>
      <c r="G3" s="1">
        <v>377.76148815108473</v>
      </c>
      <c r="H3" s="1">
        <v>372.74538282140571</v>
      </c>
      <c r="I3" s="1">
        <v>367.48312125781717</v>
      </c>
      <c r="J3" s="1">
        <v>366.72673300779644</v>
      </c>
      <c r="K3" s="1">
        <v>366.27471057822106</v>
      </c>
      <c r="L3" s="1">
        <v>367.90328157272398</v>
      </c>
      <c r="M3" s="1">
        <v>372.86435312571177</v>
      </c>
      <c r="N3" s="1">
        <v>374.48107329054807</v>
      </c>
      <c r="O3" s="1">
        <v>375.92520023727593</v>
      </c>
      <c r="P3" s="1">
        <v>378.15635685812799</v>
      </c>
      <c r="Q3" s="1">
        <v>374.9891321948632</v>
      </c>
      <c r="R3" s="1">
        <v>370.86908458744256</v>
      </c>
      <c r="S3" s="1">
        <v>371.90062070912302</v>
      </c>
      <c r="T3" s="1">
        <v>368.61190024216489</v>
      </c>
      <c r="U3" s="1">
        <v>360.87142892999998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Z3" s="2"/>
    </row>
    <row r="4" spans="1:52" x14ac:dyDescent="0.25">
      <c r="A4" t="s">
        <v>17</v>
      </c>
      <c r="B4" s="7" t="s">
        <v>9</v>
      </c>
      <c r="C4" s="7" t="s">
        <v>13</v>
      </c>
      <c r="D4" s="1">
        <v>189.01042749141558</v>
      </c>
      <c r="E4" s="1">
        <v>187.98271151369175</v>
      </c>
      <c r="F4" s="1">
        <v>188.920788936153</v>
      </c>
      <c r="G4" s="1">
        <v>188.12321184793373</v>
      </c>
      <c r="H4" s="1">
        <v>186.40297925605577</v>
      </c>
      <c r="I4" s="1">
        <v>184.31825473661073</v>
      </c>
      <c r="J4" s="1">
        <v>182.10599462061421</v>
      </c>
      <c r="K4" s="1">
        <v>182.09599302227707</v>
      </c>
      <c r="L4" s="1">
        <v>182.87487670228046</v>
      </c>
      <c r="M4" s="1">
        <v>184.16848885163995</v>
      </c>
      <c r="N4" s="1">
        <v>185.88127709948819</v>
      </c>
      <c r="O4" s="1">
        <v>186.47718707241401</v>
      </c>
      <c r="P4" s="1">
        <v>186.64579374586103</v>
      </c>
      <c r="Q4" s="1">
        <v>185.63822192731556</v>
      </c>
      <c r="R4" s="1">
        <v>183.81563989541507</v>
      </c>
      <c r="S4" s="1">
        <v>183.7484125647313</v>
      </c>
      <c r="T4" s="3">
        <v>182.5454973719479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Z4" s="2"/>
    </row>
    <row r="5" spans="1:52" x14ac:dyDescent="0.25">
      <c r="A5" t="s">
        <v>18</v>
      </c>
      <c r="B5" s="7" t="s">
        <v>9</v>
      </c>
      <c r="C5" s="7" t="s">
        <v>13</v>
      </c>
      <c r="D5" s="1">
        <v>69.088234676698775</v>
      </c>
      <c r="E5" s="1">
        <v>68.598819169127239</v>
      </c>
      <c r="F5" s="1">
        <v>68.898851607129714</v>
      </c>
      <c r="G5" s="1">
        <v>67.314391875458981</v>
      </c>
      <c r="H5" s="1">
        <v>66.943394927444018</v>
      </c>
      <c r="I5" s="1">
        <v>64.598333558888626</v>
      </c>
      <c r="J5" s="1">
        <v>64.685387258508015</v>
      </c>
      <c r="K5" s="1">
        <v>63.783446353228946</v>
      </c>
      <c r="L5" s="1">
        <v>63.011644586561651</v>
      </c>
      <c r="M5" s="1">
        <v>63.612131897409682</v>
      </c>
      <c r="N5" s="1">
        <v>64.258187526517361</v>
      </c>
      <c r="O5" s="1">
        <v>64.247368037516253</v>
      </c>
      <c r="P5" s="1">
        <v>64.513165524237579</v>
      </c>
      <c r="Q5" s="1">
        <v>64.26715709564823</v>
      </c>
      <c r="R5" s="1">
        <v>63.777673732175806</v>
      </c>
      <c r="S5" s="1">
        <v>64.090868994502955</v>
      </c>
      <c r="T5" s="3">
        <v>62.90260958350251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Z5" s="2"/>
    </row>
    <row r="6" spans="1:52" x14ac:dyDescent="0.25">
      <c r="A6" t="s">
        <v>21</v>
      </c>
      <c r="B6" s="7" t="s">
        <v>9</v>
      </c>
      <c r="C6" s="7" t="s">
        <v>13</v>
      </c>
      <c r="D6" s="1">
        <v>117.67972448941138</v>
      </c>
      <c r="E6" s="1">
        <v>116.36457053575248</v>
      </c>
      <c r="F6" s="1">
        <v>117.15944851505891</v>
      </c>
      <c r="G6" s="1">
        <v>117.87195232306489</v>
      </c>
      <c r="H6" s="1">
        <v>114.33474252775099</v>
      </c>
      <c r="I6" s="1">
        <v>113.44434151611263</v>
      </c>
      <c r="J6" s="1">
        <v>114.55726510845247</v>
      </c>
      <c r="K6" s="1">
        <v>114.62183694491189</v>
      </c>
      <c r="L6" s="1">
        <v>116.62336387978179</v>
      </c>
      <c r="M6" s="1">
        <v>119.73776822400438</v>
      </c>
      <c r="N6" s="1">
        <v>118.73613715732535</v>
      </c>
      <c r="O6" s="1">
        <v>119.61501939897151</v>
      </c>
      <c r="P6" s="1">
        <v>121.73857484733233</v>
      </c>
      <c r="Q6" s="1">
        <v>119.99454321579562</v>
      </c>
      <c r="R6" s="1">
        <v>118.13703229908408</v>
      </c>
      <c r="S6" s="1">
        <v>118.62947452869902</v>
      </c>
      <c r="T6" s="3">
        <v>117.99412784629206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Z6" s="2"/>
    </row>
    <row r="7" spans="1:52" x14ac:dyDescent="0.25">
      <c r="A7" t="s">
        <v>20</v>
      </c>
      <c r="B7" s="7" t="s">
        <v>9</v>
      </c>
      <c r="C7" s="7" t="s">
        <v>13</v>
      </c>
      <c r="D7" s="1">
        <f>D3-D4-D5-D6</f>
        <v>4.2777840654544548</v>
      </c>
      <c r="E7" s="1">
        <f t="shared" ref="E7:T7" si="0">E3-E4-E5-E6</f>
        <v>4.3484008472312894</v>
      </c>
      <c r="F7" s="1">
        <f t="shared" si="0"/>
        <v>5.2331004820223939</v>
      </c>
      <c r="G7" s="1">
        <f t="shared" si="0"/>
        <v>4.451932104627133</v>
      </c>
      <c r="H7" s="1">
        <f t="shared" si="0"/>
        <v>5.0642661101549322</v>
      </c>
      <c r="I7" s="1">
        <f t="shared" si="0"/>
        <v>5.1221914462051927</v>
      </c>
      <c r="J7" s="1">
        <f t="shared" si="0"/>
        <v>5.378086020221744</v>
      </c>
      <c r="K7" s="1">
        <f t="shared" si="0"/>
        <v>5.7734342578031459</v>
      </c>
      <c r="L7" s="1">
        <f t="shared" si="0"/>
        <v>5.3933964041000735</v>
      </c>
      <c r="M7" s="1">
        <f t="shared" si="0"/>
        <v>5.345964152657757</v>
      </c>
      <c r="N7" s="1">
        <f t="shared" si="0"/>
        <v>5.6054715072171746</v>
      </c>
      <c r="O7" s="1">
        <f t="shared" si="0"/>
        <v>5.5856257283741542</v>
      </c>
      <c r="P7" s="1">
        <f t="shared" si="0"/>
        <v>5.258822740697056</v>
      </c>
      <c r="Q7" s="1">
        <f t="shared" si="0"/>
        <v>5.0892099561038009</v>
      </c>
      <c r="R7" s="1">
        <f t="shared" si="0"/>
        <v>5.1387386607676007</v>
      </c>
      <c r="S7" s="1">
        <f t="shared" si="0"/>
        <v>5.4318646211897459</v>
      </c>
      <c r="T7" s="1">
        <f t="shared" si="0"/>
        <v>5.1696654404224205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Y7" s="2">
        <f>AC8/D3-1</f>
        <v>-0.12328048612553577</v>
      </c>
      <c r="AZ7" s="2"/>
    </row>
    <row r="8" spans="1:52" x14ac:dyDescent="0.25">
      <c r="A8" t="s">
        <v>16</v>
      </c>
      <c r="B8" s="7" t="s">
        <v>10</v>
      </c>
      <c r="C8" s="7" t="s">
        <v>13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360.87142892999998</v>
      </c>
      <c r="V8" s="3">
        <v>357.41283296890515</v>
      </c>
      <c r="W8" s="3">
        <v>353.95423700781038</v>
      </c>
      <c r="X8" s="3">
        <v>350.49564104671555</v>
      </c>
      <c r="Y8" s="3">
        <v>347.03704508562078</v>
      </c>
      <c r="Z8" s="3">
        <v>343.578449124526</v>
      </c>
      <c r="AA8" s="3">
        <v>340.11985316343117</v>
      </c>
      <c r="AB8" s="3">
        <v>336.6612572023364</v>
      </c>
      <c r="AC8" s="3">
        <v>333.20266124124157</v>
      </c>
      <c r="AD8" s="3">
        <f>($AW8-$AC8)/(2050-2030)+AC8</f>
        <v>328.87200058134977</v>
      </c>
      <c r="AE8" s="3">
        <f t="shared" ref="AE8:AV8" si="1">($AW8-$AC8)/(2050-2030)+AD8</f>
        <v>324.54133992145796</v>
      </c>
      <c r="AF8" s="3">
        <f t="shared" si="1"/>
        <v>320.21067926156616</v>
      </c>
      <c r="AG8" s="3">
        <f t="shared" si="1"/>
        <v>315.88001860167435</v>
      </c>
      <c r="AH8" s="3">
        <f t="shared" si="1"/>
        <v>311.54935794178255</v>
      </c>
      <c r="AI8" s="3">
        <f t="shared" si="1"/>
        <v>307.21869728189074</v>
      </c>
      <c r="AJ8" s="3">
        <f t="shared" si="1"/>
        <v>302.88803662199894</v>
      </c>
      <c r="AK8" s="3">
        <f t="shared" si="1"/>
        <v>298.55737596210713</v>
      </c>
      <c r="AL8" s="3">
        <f t="shared" si="1"/>
        <v>294.22671530221533</v>
      </c>
      <c r="AM8" s="3">
        <f t="shared" si="1"/>
        <v>289.89605464232352</v>
      </c>
      <c r="AN8" s="3">
        <f t="shared" si="1"/>
        <v>285.56539398243171</v>
      </c>
      <c r="AO8" s="3">
        <f t="shared" si="1"/>
        <v>281.23473332253991</v>
      </c>
      <c r="AP8" s="3">
        <f t="shared" si="1"/>
        <v>276.9040726626481</v>
      </c>
      <c r="AQ8" s="3">
        <f t="shared" si="1"/>
        <v>272.5734120027563</v>
      </c>
      <c r="AR8" s="3">
        <f t="shared" si="1"/>
        <v>268.24275134286449</v>
      </c>
      <c r="AS8" s="3">
        <f t="shared" si="1"/>
        <v>263.91209068297269</v>
      </c>
      <c r="AT8" s="3">
        <f t="shared" si="1"/>
        <v>259.58143002308088</v>
      </c>
      <c r="AU8" s="3">
        <f t="shared" si="1"/>
        <v>255.25076936318905</v>
      </c>
      <c r="AV8" s="3">
        <f t="shared" si="1"/>
        <v>250.92010870329722</v>
      </c>
      <c r="AW8" s="3">
        <f>AW11</f>
        <v>246.5894480434051</v>
      </c>
      <c r="AY8" s="2">
        <f>AW8/D3-1</f>
        <v>-0.35117630750654982</v>
      </c>
    </row>
    <row r="9" spans="1:52" x14ac:dyDescent="0.25"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Y9" s="2"/>
    </row>
    <row r="10" spans="1:52" x14ac:dyDescent="0.25">
      <c r="A10" t="s">
        <v>7</v>
      </c>
      <c r="B10" s="7" t="s">
        <v>230</v>
      </c>
      <c r="C10" s="7" t="s">
        <v>13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f>(AC33/$D33*$D3)</f>
        <v>333.20266124124134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</row>
    <row r="11" spans="1:52" x14ac:dyDescent="0.25">
      <c r="A11" t="s">
        <v>109</v>
      </c>
      <c r="B11" s="7" t="s">
        <v>232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>
        <f>(267/$D33*$D3)</f>
        <v>246.5894480434051</v>
      </c>
    </row>
    <row r="12" spans="1:52" x14ac:dyDescent="0.25">
      <c r="A12" t="s">
        <v>15</v>
      </c>
      <c r="B12" s="8" t="s">
        <v>5</v>
      </c>
      <c r="C12" s="7" t="s">
        <v>13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>
        <f>276.9*O28</f>
        <v>248.81995247286363</v>
      </c>
    </row>
    <row r="13" spans="1:52" x14ac:dyDescent="0.25">
      <c r="A13" t="s">
        <v>14</v>
      </c>
      <c r="B13" s="8" t="s">
        <v>6</v>
      </c>
      <c r="C13" s="7" t="s">
        <v>13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>
        <f>230.4*O28</f>
        <v>207.03545341187356</v>
      </c>
    </row>
    <row r="14" spans="1:52" x14ac:dyDescent="0.25">
      <c r="A14" t="s">
        <v>47</v>
      </c>
      <c r="B14" s="7" t="s">
        <v>205</v>
      </c>
      <c r="C14" s="7" t="s">
        <v>13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2"/>
      <c r="V14" s="2"/>
      <c r="W14" s="3"/>
      <c r="X14" s="3"/>
      <c r="Y14" s="3"/>
      <c r="Z14" s="3"/>
      <c r="AA14" s="3"/>
      <c r="AB14" s="3"/>
      <c r="AC14" s="3">
        <f>AC37</f>
        <v>315.89633225</v>
      </c>
      <c r="AD14" s="3"/>
      <c r="AE14" s="3"/>
      <c r="AF14" s="3"/>
      <c r="AG14" s="3"/>
      <c r="AH14" s="3"/>
      <c r="AI14" s="3"/>
      <c r="AJ14" s="3"/>
      <c r="AK14" s="3"/>
      <c r="AL14" s="3"/>
      <c r="AM14" s="3">
        <f>AM37</f>
        <v>282.75463450000001</v>
      </c>
      <c r="AN14" s="3"/>
      <c r="AO14" s="3"/>
      <c r="AP14" s="3"/>
      <c r="AQ14" s="3"/>
      <c r="AR14" s="3"/>
      <c r="AS14" s="3"/>
      <c r="AT14" s="3"/>
      <c r="AU14" s="3"/>
      <c r="AV14" s="3"/>
      <c r="AW14" s="3">
        <f>AW37</f>
        <v>268.44377425000005</v>
      </c>
      <c r="AZ14" s="3"/>
    </row>
    <row r="15" spans="1:52" x14ac:dyDescent="0.25"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2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Z15" s="3"/>
    </row>
    <row r="16" spans="1:52" x14ac:dyDescent="0.25">
      <c r="O16" s="3"/>
      <c r="P16" s="3"/>
      <c r="Q16" s="3"/>
      <c r="R16" s="3"/>
      <c r="V16" s="2"/>
    </row>
    <row r="17" spans="1:49" x14ac:dyDescent="0.25">
      <c r="A17" t="s">
        <v>224</v>
      </c>
      <c r="B17" s="7" t="s">
        <v>11</v>
      </c>
      <c r="C17" s="7" t="s">
        <v>13</v>
      </c>
      <c r="D17">
        <f>(U3-D3)/17</f>
        <v>-1.1285142231164835</v>
      </c>
      <c r="O17" s="3"/>
      <c r="P17" s="3"/>
      <c r="Q17" s="3"/>
      <c r="R17" s="3"/>
      <c r="V17" s="2"/>
    </row>
    <row r="18" spans="1:49" x14ac:dyDescent="0.25">
      <c r="A18" t="s">
        <v>177</v>
      </c>
      <c r="B18" s="7" t="s">
        <v>11</v>
      </c>
      <c r="C18" s="7" t="s">
        <v>13</v>
      </c>
      <c r="D18" s="9">
        <f>AVERAGE(T3-S3,S3-R3,R3-Q3,Q3-P3)</f>
        <v>-2.3861141539907749</v>
      </c>
      <c r="O18" s="3"/>
      <c r="P18" s="3"/>
      <c r="Q18" s="3"/>
      <c r="R18" s="3"/>
      <c r="V18" s="2"/>
    </row>
    <row r="19" spans="1:49" x14ac:dyDescent="0.25">
      <c r="A19" t="s">
        <v>225</v>
      </c>
      <c r="B19" s="7" t="s">
        <v>11</v>
      </c>
      <c r="C19" s="7" t="s">
        <v>13</v>
      </c>
      <c r="D19" s="9">
        <f>(U3-Q3)/4</f>
        <v>-3.5294258162158059</v>
      </c>
      <c r="O19" s="3"/>
      <c r="P19" s="3"/>
      <c r="Q19" s="3"/>
      <c r="R19" s="3"/>
      <c r="V19" s="2"/>
    </row>
    <row r="20" spans="1:49" x14ac:dyDescent="0.25">
      <c r="A20" t="s">
        <v>226</v>
      </c>
      <c r="B20" s="7" t="s">
        <v>11</v>
      </c>
      <c r="C20" s="7" t="s">
        <v>13</v>
      </c>
      <c r="D20" s="9">
        <f>(AC8-T3)/9</f>
        <v>-3.9343598889914801</v>
      </c>
      <c r="O20" s="3"/>
      <c r="P20" s="3"/>
      <c r="Q20" s="3"/>
      <c r="R20" s="3"/>
      <c r="V20" s="2"/>
    </row>
    <row r="21" spans="1:49" x14ac:dyDescent="0.25">
      <c r="A21" t="s">
        <v>227</v>
      </c>
      <c r="B21" s="7" t="s">
        <v>11</v>
      </c>
      <c r="C21" s="7" t="s">
        <v>13</v>
      </c>
      <c r="D21" s="9">
        <f>(AC8-U3)/8</f>
        <v>-3.4585959610948009</v>
      </c>
      <c r="O21" s="3"/>
      <c r="P21" s="3"/>
      <c r="Q21" s="3"/>
      <c r="R21" s="3"/>
      <c r="V21" s="2"/>
    </row>
    <row r="22" spans="1:49" x14ac:dyDescent="0.25">
      <c r="A22" t="s">
        <v>48</v>
      </c>
      <c r="B22" s="7" t="s">
        <v>11</v>
      </c>
      <c r="C22" s="7" t="s">
        <v>13</v>
      </c>
      <c r="D22" s="9">
        <f>AD8-AC8</f>
        <v>-4.3306606598918052</v>
      </c>
      <c r="O22" s="3"/>
      <c r="P22" s="3"/>
      <c r="Q22" s="3"/>
      <c r="R22" s="3"/>
      <c r="AV22" s="3"/>
    </row>
    <row r="23" spans="1:49" x14ac:dyDescent="0.25">
      <c r="A23" t="s">
        <v>48</v>
      </c>
      <c r="B23" s="7" t="s">
        <v>11</v>
      </c>
      <c r="C23" s="7" t="s">
        <v>13</v>
      </c>
      <c r="D23" s="3">
        <f>AD9-AC9</f>
        <v>0</v>
      </c>
      <c r="O23" s="3"/>
      <c r="P23" s="3"/>
      <c r="Q23" s="3"/>
      <c r="R23" s="3"/>
    </row>
    <row r="25" spans="1:49" x14ac:dyDescent="0.25">
      <c r="A25" s="4" t="s">
        <v>228</v>
      </c>
      <c r="B25" s="6"/>
      <c r="C25" s="6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 spans="1:49" s="10" customFormat="1" x14ac:dyDescent="0.25">
      <c r="A26" s="10" t="s">
        <v>24</v>
      </c>
      <c r="B26" s="11"/>
      <c r="C26" s="11"/>
      <c r="AH26" s="10">
        <v>0</v>
      </c>
    </row>
    <row r="27" spans="1:49" x14ac:dyDescent="0.25">
      <c r="B27" s="7" t="s">
        <v>8</v>
      </c>
      <c r="C27" s="7" t="s">
        <v>12</v>
      </c>
      <c r="D27" t="s">
        <v>0</v>
      </c>
      <c r="I27" t="s">
        <v>1</v>
      </c>
      <c r="N27" t="s">
        <v>2</v>
      </c>
      <c r="S27" t="s">
        <v>3</v>
      </c>
      <c r="X27">
        <v>2025</v>
      </c>
      <c r="AC27">
        <v>2030</v>
      </c>
      <c r="AH27">
        <v>2035</v>
      </c>
      <c r="AM27">
        <v>2040</v>
      </c>
      <c r="AR27">
        <v>2045</v>
      </c>
      <c r="AW27">
        <v>2050</v>
      </c>
    </row>
    <row r="28" spans="1:49" x14ac:dyDescent="0.25">
      <c r="A28" t="s">
        <v>22</v>
      </c>
      <c r="B28" s="7" t="s">
        <v>9</v>
      </c>
      <c r="N28" s="3">
        <f>N3</f>
        <v>374.48107329054807</v>
      </c>
      <c r="O28">
        <f>N28/(N28+N29)</f>
        <v>0.89859137765570118</v>
      </c>
    </row>
    <row r="29" spans="1:49" x14ac:dyDescent="0.25">
      <c r="A29" t="s">
        <v>23</v>
      </c>
      <c r="B29" s="7" t="s">
        <v>25</v>
      </c>
      <c r="N29" s="1">
        <v>42.261266556420701</v>
      </c>
    </row>
    <row r="31" spans="1:49" s="10" customFormat="1" x14ac:dyDescent="0.25">
      <c r="A31" s="10" t="s">
        <v>7</v>
      </c>
      <c r="B31" s="11"/>
      <c r="C31" s="11"/>
      <c r="AH31" s="10">
        <v>0</v>
      </c>
    </row>
    <row r="32" spans="1:49" x14ac:dyDescent="0.25">
      <c r="B32" s="7" t="s">
        <v>8</v>
      </c>
      <c r="C32" s="7" t="s">
        <v>12</v>
      </c>
      <c r="D32" t="s">
        <v>0</v>
      </c>
      <c r="I32" t="s">
        <v>1</v>
      </c>
      <c r="N32" t="s">
        <v>2</v>
      </c>
      <c r="S32" t="s">
        <v>3</v>
      </c>
      <c r="X32">
        <v>2025</v>
      </c>
      <c r="AC32">
        <v>2030</v>
      </c>
      <c r="AH32">
        <v>2035</v>
      </c>
      <c r="AM32">
        <v>2040</v>
      </c>
      <c r="AR32">
        <v>2045</v>
      </c>
      <c r="AW32">
        <v>2050</v>
      </c>
    </row>
    <row r="33" spans="1:49" x14ac:dyDescent="0.25">
      <c r="A33" t="s">
        <v>229</v>
      </c>
      <c r="B33" s="7" t="s">
        <v>203</v>
      </c>
      <c r="C33" s="7" t="s">
        <v>13</v>
      </c>
      <c r="D33" s="1">
        <v>411.51394914989999</v>
      </c>
      <c r="E33" s="1"/>
      <c r="F33" s="1"/>
      <c r="G33" s="1"/>
      <c r="H33" s="1"/>
      <c r="I33" s="1">
        <v>394.50204005131997</v>
      </c>
      <c r="J33" s="1"/>
      <c r="K33" s="1"/>
      <c r="L33" s="1"/>
      <c r="M33" s="1"/>
      <c r="N33" s="1">
        <v>400.61528931234005</v>
      </c>
      <c r="O33" s="1"/>
      <c r="P33" s="1"/>
      <c r="Q33" s="1"/>
      <c r="R33" s="1"/>
      <c r="S33" s="1">
        <v>391.7865860988</v>
      </c>
      <c r="X33">
        <v>378.76049487914963</v>
      </c>
      <c r="AC33">
        <v>360.78230945126103</v>
      </c>
    </row>
    <row r="36" spans="1:49" s="10" customFormat="1" x14ac:dyDescent="0.25">
      <c r="A36" s="10" t="s">
        <v>199</v>
      </c>
      <c r="B36" s="11"/>
      <c r="C36" s="11"/>
      <c r="AH36" s="10">
        <v>0</v>
      </c>
    </row>
    <row r="37" spans="1:49" x14ac:dyDescent="0.25">
      <c r="A37" t="s">
        <v>204</v>
      </c>
      <c r="B37" s="7" t="s">
        <v>200</v>
      </c>
      <c r="C37" s="7" t="s">
        <v>13</v>
      </c>
      <c r="AC37" s="1">
        <f>[1]Agriculture!AP45</f>
        <v>315.89633225</v>
      </c>
      <c r="AM37" s="1">
        <f>[1]Agriculture!AZ45</f>
        <v>282.75463450000001</v>
      </c>
      <c r="AW37" s="1">
        <f>[1]Agriculture!BJ45</f>
        <v>268.44377425000005</v>
      </c>
    </row>
    <row r="38" spans="1:49" x14ac:dyDescent="0.25">
      <c r="A38" s="49" t="s">
        <v>201</v>
      </c>
      <c r="C38" s="7" t="s">
        <v>13</v>
      </c>
      <c r="AC38" s="1"/>
      <c r="AM38" s="1"/>
      <c r="AW38" s="1"/>
    </row>
    <row r="41" spans="1:49" x14ac:dyDescent="0.25">
      <c r="U41">
        <f>U3/D3-1</f>
        <v>-5.0478700968030865E-2</v>
      </c>
      <c r="AM41" s="2">
        <f>AM14/D3-1</f>
        <v>-0.25601883015840432</v>
      </c>
      <c r="AN41" s="46" t="s">
        <v>202</v>
      </c>
    </row>
    <row r="45" spans="1:49" x14ac:dyDescent="0.25">
      <c r="A45" t="s">
        <v>212</v>
      </c>
      <c r="B45" s="50">
        <f>D3</f>
        <v>380.0561707229802</v>
      </c>
    </row>
    <row r="46" spans="1:49" x14ac:dyDescent="0.25">
      <c r="A46" t="s">
        <v>216</v>
      </c>
      <c r="B46" s="39">
        <f>AW11/B45-1</f>
        <v>-0.35117630750654982</v>
      </c>
    </row>
    <row r="47" spans="1:49" x14ac:dyDescent="0.25">
      <c r="A47" t="s">
        <v>217</v>
      </c>
      <c r="B47" s="39">
        <f>AW12/B45-1</f>
        <v>-0.34530742653241531</v>
      </c>
    </row>
    <row r="48" spans="1:49" x14ac:dyDescent="0.25">
      <c r="A48" t="s">
        <v>218</v>
      </c>
      <c r="B48" s="39">
        <f>AW13/B45-1</f>
        <v>-0.45525038307355892</v>
      </c>
    </row>
    <row r="49" spans="1:20" x14ac:dyDescent="0.25">
      <c r="A49" t="s">
        <v>219</v>
      </c>
      <c r="B49" s="39">
        <f>AM14/B45-1</f>
        <v>-0.25601883015840432</v>
      </c>
      <c r="T49">
        <f>T4/T$3</f>
        <v>0.49522410223875574</v>
      </c>
    </row>
    <row r="50" spans="1:20" x14ac:dyDescent="0.25">
      <c r="A50" t="s">
        <v>220</v>
      </c>
      <c r="B50" s="39">
        <f>AC14/B45-1</f>
        <v>-0.16881672609322207</v>
      </c>
      <c r="T50">
        <f>T5/T$3</f>
        <v>0.17064725675480835</v>
      </c>
    </row>
    <row r="51" spans="1:20" x14ac:dyDescent="0.25">
      <c r="A51" t="s">
        <v>231</v>
      </c>
      <c r="B51" s="39">
        <f>AW37/D3-1</f>
        <v>-0.29367342269607166</v>
      </c>
      <c r="T51">
        <f>T6/T$3</f>
        <v>0.32010395694977323</v>
      </c>
    </row>
    <row r="52" spans="1:20" x14ac:dyDescent="0.25">
      <c r="A52" t="s">
        <v>221</v>
      </c>
      <c r="B52" s="39">
        <f>140.79/B45-1</f>
        <v>-0.62955475836065122</v>
      </c>
    </row>
    <row r="54" spans="1:20" x14ac:dyDescent="0.25">
      <c r="A54" t="s">
        <v>206</v>
      </c>
      <c r="B54" s="39">
        <f>AC10/U3-1</f>
        <v>-7.6672092802685388E-2</v>
      </c>
      <c r="C54" s="39"/>
    </row>
    <row r="55" spans="1:20" x14ac:dyDescent="0.25">
      <c r="A55" t="s">
        <v>207</v>
      </c>
      <c r="B55" s="39">
        <f>AC14/U3-1</f>
        <v>-0.12462914233291666</v>
      </c>
    </row>
    <row r="57" spans="1:20" x14ac:dyDescent="0.25">
      <c r="A57" t="s">
        <v>208</v>
      </c>
      <c r="B57" s="51">
        <f>(T3-P3)/5</f>
        <v>-1.9088913231926199</v>
      </c>
    </row>
    <row r="58" spans="1:20" x14ac:dyDescent="0.25">
      <c r="A58" t="s">
        <v>209</v>
      </c>
      <c r="B58" s="51">
        <f>(U3-Q3)/5</f>
        <v>-2.8235406529726448</v>
      </c>
    </row>
    <row r="59" spans="1:20" x14ac:dyDescent="0.25">
      <c r="A59" t="s">
        <v>211</v>
      </c>
      <c r="B59" s="34">
        <f>T3+(B57*(2030-2021))</f>
        <v>351.43187833343131</v>
      </c>
    </row>
    <row r="60" spans="1:20" x14ac:dyDescent="0.25">
      <c r="A60" t="s">
        <v>210</v>
      </c>
      <c r="B60" s="34">
        <f>U3+(B58*(2030-2022))</f>
        <v>338.28310370621881</v>
      </c>
    </row>
    <row r="61" spans="1:20" x14ac:dyDescent="0.25">
      <c r="P61" s="3"/>
      <c r="Q61" s="3"/>
      <c r="R61" s="3"/>
      <c r="S61" s="3"/>
      <c r="T61" s="3"/>
    </row>
    <row r="62" spans="1:20" x14ac:dyDescent="0.25">
      <c r="A62" t="s">
        <v>214</v>
      </c>
      <c r="B62" s="9">
        <f>(AW12-AC$10)/(2050-2030)</f>
        <v>-4.2191354384188857</v>
      </c>
      <c r="P62" s="9"/>
    </row>
    <row r="63" spans="1:20" x14ac:dyDescent="0.25">
      <c r="A63" t="s">
        <v>213</v>
      </c>
      <c r="B63" s="9">
        <f>(AW13-AC$10)/(2050-2030)</f>
        <v>-6.3083603914683888</v>
      </c>
    </row>
    <row r="64" spans="1:20" x14ac:dyDescent="0.25">
      <c r="A64" t="s">
        <v>215</v>
      </c>
      <c r="B64" s="9">
        <f>(AW11-AC$10)/(2050-2030)</f>
        <v>-4.3306606598918123</v>
      </c>
    </row>
    <row r="66" spans="1:2" x14ac:dyDescent="0.25">
      <c r="A66" t="s">
        <v>222</v>
      </c>
      <c r="B66" s="39">
        <f>(T4+T5)/T3</f>
        <v>0.66587135899356409</v>
      </c>
    </row>
    <row r="67" spans="1:2" x14ac:dyDescent="0.25">
      <c r="A67" t="s">
        <v>223</v>
      </c>
      <c r="B67" s="39">
        <f>(T6)/T3</f>
        <v>0.32010395694977323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CEED6-B0E5-436E-A9A9-8EE3668D18FF}">
  <sheetPr>
    <outlinePr summaryBelow="0"/>
  </sheetPr>
  <dimension ref="A1:AZ32"/>
  <sheetViews>
    <sheetView showGridLines="0" tabSelected="1" zoomScale="145" zoomScaleNormal="145" workbookViewId="0">
      <selection activeCell="G36" sqref="G36"/>
    </sheetView>
  </sheetViews>
  <sheetFormatPr defaultRowHeight="15" x14ac:dyDescent="0.25"/>
  <cols>
    <col min="1" max="1" width="25.85546875" bestFit="1" customWidth="1"/>
    <col min="2" max="2" width="20.42578125" style="7" hidden="1" customWidth="1"/>
    <col min="3" max="3" width="8.5703125" style="7" hidden="1" customWidth="1"/>
    <col min="4" max="8" width="8.5703125" style="7" customWidth="1"/>
    <col min="14" max="14" width="11.7109375" bestFit="1" customWidth="1"/>
  </cols>
  <sheetData>
    <row r="1" spans="1:52" x14ac:dyDescent="0.25">
      <c r="A1" s="4" t="s">
        <v>49</v>
      </c>
      <c r="B1" s="6"/>
      <c r="C1" s="6"/>
      <c r="D1" s="6"/>
      <c r="E1" s="6"/>
      <c r="F1" s="6"/>
      <c r="G1" s="6"/>
      <c r="H1" s="6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52" x14ac:dyDescent="0.25">
      <c r="B2" s="7" t="s">
        <v>8</v>
      </c>
      <c r="C2" s="7" t="s">
        <v>12</v>
      </c>
      <c r="D2" s="7">
        <v>2005</v>
      </c>
      <c r="I2" t="s">
        <v>1</v>
      </c>
      <c r="N2" t="s">
        <v>2</v>
      </c>
      <c r="S2" t="s">
        <v>3</v>
      </c>
      <c r="U2" t="s">
        <v>62</v>
      </c>
      <c r="V2" t="s">
        <v>62</v>
      </c>
      <c r="AW2">
        <v>2050</v>
      </c>
    </row>
    <row r="3" spans="1:52" x14ac:dyDescent="0.25">
      <c r="A3" s="32" t="s">
        <v>60</v>
      </c>
      <c r="B3" s="7" t="s">
        <v>54</v>
      </c>
      <c r="C3" s="7" t="s">
        <v>55</v>
      </c>
      <c r="I3" s="1">
        <v>80.572999999999993</v>
      </c>
      <c r="J3" s="1">
        <v>82.019000000000005</v>
      </c>
      <c r="K3" s="1">
        <v>80.759</v>
      </c>
      <c r="L3" s="1">
        <v>82.016000000000005</v>
      </c>
      <c r="M3" s="1">
        <v>79.043999999999997</v>
      </c>
      <c r="N3" s="1">
        <v>80.784999999999997</v>
      </c>
      <c r="O3" s="1">
        <v>81.823999999999998</v>
      </c>
      <c r="P3" s="1">
        <v>82.567999999999998</v>
      </c>
      <c r="Q3" s="1">
        <v>85.248999999999995</v>
      </c>
      <c r="R3" s="1">
        <v>86.293999999999997</v>
      </c>
      <c r="S3" s="1">
        <v>86.631</v>
      </c>
      <c r="T3" s="3"/>
      <c r="U3" s="2">
        <f>S3/I3-1</f>
        <v>7.5186476859493867E-2</v>
      </c>
      <c r="V3" s="3">
        <f>S3-I3</f>
        <v>6.0580000000000069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Z3" s="2"/>
    </row>
    <row r="4" spans="1:52" x14ac:dyDescent="0.25">
      <c r="A4" s="32" t="s">
        <v>59</v>
      </c>
      <c r="B4" s="7" t="s">
        <v>54</v>
      </c>
      <c r="C4" s="7" t="s">
        <v>55</v>
      </c>
      <c r="I4" s="1">
        <v>141.06899999999999</v>
      </c>
      <c r="J4" s="1">
        <v>143.44399999999999</v>
      </c>
      <c r="K4" s="1">
        <v>143.756</v>
      </c>
      <c r="L4" s="1">
        <v>145.262</v>
      </c>
      <c r="M4" s="1">
        <v>150.148</v>
      </c>
      <c r="N4" s="1">
        <v>153.161</v>
      </c>
      <c r="O4" s="1">
        <v>154.834</v>
      </c>
      <c r="P4" s="1">
        <v>155.97</v>
      </c>
      <c r="Q4" s="1">
        <v>158.30199999999999</v>
      </c>
      <c r="R4" s="1">
        <v>161.245</v>
      </c>
      <c r="S4" s="1">
        <v>163.065</v>
      </c>
      <c r="T4" s="3"/>
      <c r="U4" s="2">
        <f>S4/I4-1</f>
        <v>0.1559236969142761</v>
      </c>
      <c r="V4" s="3">
        <f>S4-I4</f>
        <v>21.996000000000009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Z4" s="2"/>
    </row>
    <row r="5" spans="1:52" x14ac:dyDescent="0.25">
      <c r="A5" t="s">
        <v>61</v>
      </c>
      <c r="B5" s="7" t="s">
        <v>52</v>
      </c>
      <c r="C5" s="7" t="s">
        <v>51</v>
      </c>
      <c r="D5" s="34">
        <v>23.169958449999999</v>
      </c>
      <c r="E5" s="34">
        <v>22.724646710000002</v>
      </c>
      <c r="F5" s="34">
        <v>22.471953799999998</v>
      </c>
      <c r="G5" s="34">
        <v>22.454052600000001</v>
      </c>
      <c r="H5" s="34">
        <v>22.09077667</v>
      </c>
      <c r="I5" s="1">
        <v>21.54676581</v>
      </c>
      <c r="J5" s="1">
        <v>21.357888849999998</v>
      </c>
      <c r="K5" s="1">
        <v>21.446461060000001</v>
      </c>
      <c r="L5" s="1">
        <v>21.594929520000001</v>
      </c>
      <c r="M5" s="1">
        <v>21.641769580000002</v>
      </c>
      <c r="N5" s="1">
        <v>21.637552289999999</v>
      </c>
      <c r="O5" s="1">
        <v>21.582380799999999</v>
      </c>
      <c r="P5" s="1">
        <v>21.389741539999999</v>
      </c>
      <c r="Q5" s="1">
        <v>21.081265139999999</v>
      </c>
      <c r="R5" s="1">
        <v>20.816969629999999</v>
      </c>
      <c r="S5" s="1">
        <v>20.632262320000002</v>
      </c>
      <c r="T5" s="3">
        <v>20.327267459999998</v>
      </c>
      <c r="U5" s="2">
        <f>S5/I5-1</f>
        <v>-4.2442726581989887E-2</v>
      </c>
      <c r="V5" s="3">
        <f>S5-I5</f>
        <v>-0.91450348999999775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Z5" s="2"/>
    </row>
    <row r="6" spans="1:52" x14ac:dyDescent="0.25">
      <c r="D6" s="34"/>
      <c r="E6" s="34"/>
      <c r="F6" s="34"/>
      <c r="G6" s="34"/>
      <c r="H6" s="3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3"/>
      <c r="U6" s="2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Z6" s="2"/>
    </row>
    <row r="7" spans="1:52" x14ac:dyDescent="0.25">
      <c r="D7" s="34" t="s">
        <v>238</v>
      </c>
      <c r="E7" s="34" t="s">
        <v>104</v>
      </c>
      <c r="F7" s="34"/>
      <c r="G7" s="34"/>
      <c r="H7" s="3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3"/>
      <c r="U7" s="2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Z7" s="2"/>
    </row>
    <row r="8" spans="1:52" x14ac:dyDescent="0.25">
      <c r="A8" t="s">
        <v>235</v>
      </c>
      <c r="D8" s="34"/>
      <c r="E8" s="34"/>
      <c r="F8" s="34"/>
      <c r="G8" s="34"/>
      <c r="H8" s="34"/>
      <c r="I8" s="38"/>
      <c r="J8" s="1"/>
      <c r="K8" s="1"/>
      <c r="L8" s="1"/>
      <c r="M8" s="1"/>
      <c r="N8" s="1"/>
      <c r="O8" s="1"/>
      <c r="P8" s="1"/>
      <c r="Q8" s="1"/>
      <c r="R8" s="1"/>
      <c r="S8" s="1"/>
      <c r="T8" s="3"/>
      <c r="U8" s="2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Z8" s="2"/>
    </row>
    <row r="9" spans="1:52" x14ac:dyDescent="0.25">
      <c r="A9" t="s">
        <v>236</v>
      </c>
      <c r="D9" s="34"/>
      <c r="E9" s="34"/>
      <c r="F9" s="34"/>
      <c r="G9" s="34"/>
      <c r="H9" s="34"/>
      <c r="I9" s="38"/>
      <c r="J9" s="1"/>
      <c r="K9" s="1"/>
      <c r="L9" s="1"/>
      <c r="M9" s="1"/>
      <c r="N9" s="1"/>
      <c r="O9" s="1"/>
      <c r="P9" s="1"/>
      <c r="Q9" s="1"/>
      <c r="R9" s="1"/>
      <c r="S9" s="1"/>
      <c r="T9" s="3"/>
      <c r="U9" s="2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Z9" s="2"/>
    </row>
    <row r="10" spans="1:52" x14ac:dyDescent="0.25">
      <c r="A10" t="s">
        <v>237</v>
      </c>
      <c r="D10" s="34"/>
      <c r="E10" s="34">
        <f>(T5-P5)/4*1000</f>
        <v>-265.61852000000033</v>
      </c>
      <c r="F10" s="34"/>
      <c r="G10" s="34"/>
      <c r="H10" s="34"/>
      <c r="I10" s="38"/>
      <c r="J10" s="1"/>
      <c r="K10" s="1"/>
      <c r="L10" s="1"/>
      <c r="M10" s="1"/>
      <c r="N10" s="1"/>
      <c r="O10" s="1"/>
      <c r="P10" s="1"/>
      <c r="Q10" s="1"/>
      <c r="R10" s="1"/>
      <c r="S10" s="1"/>
      <c r="T10" s="3"/>
      <c r="U10" s="2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Z10" s="2"/>
    </row>
    <row r="11" spans="1:52" x14ac:dyDescent="0.25"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Y11" s="2"/>
      <c r="AZ11" s="2"/>
    </row>
    <row r="12" spans="1:52" x14ac:dyDescent="0.25">
      <c r="A12" s="4" t="s">
        <v>50</v>
      </c>
      <c r="B12" s="6"/>
      <c r="C12" s="6"/>
      <c r="D12" s="6"/>
      <c r="E12" s="6"/>
      <c r="F12" s="6"/>
      <c r="G12" s="6"/>
      <c r="H12" s="6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spans="1:52" x14ac:dyDescent="0.25">
      <c r="B13" s="7" t="s">
        <v>8</v>
      </c>
      <c r="C13" s="7" t="s">
        <v>12</v>
      </c>
      <c r="I13" t="s">
        <v>1</v>
      </c>
      <c r="N13" t="s">
        <v>2</v>
      </c>
      <c r="S13" t="s">
        <v>3</v>
      </c>
      <c r="AW13">
        <v>2050</v>
      </c>
    </row>
    <row r="14" spans="1:52" x14ac:dyDescent="0.25">
      <c r="A14" s="32" t="s">
        <v>56</v>
      </c>
      <c r="B14" s="7" t="s">
        <v>54</v>
      </c>
      <c r="C14" s="7" t="s">
        <v>55</v>
      </c>
      <c r="I14" s="1">
        <v>6.9530000000000003</v>
      </c>
      <c r="J14" s="1">
        <v>6.7409999999999997</v>
      </c>
      <c r="K14" s="1">
        <v>6.6429999999999998</v>
      </c>
      <c r="L14" s="1">
        <v>6.4219999999999997</v>
      </c>
      <c r="M14" s="1">
        <v>6.1120000000000001</v>
      </c>
      <c r="N14" s="1">
        <v>6.0510000000000002</v>
      </c>
      <c r="O14" s="1">
        <v>6.1159999999999997</v>
      </c>
      <c r="P14" s="1">
        <v>6.0220000000000002</v>
      </c>
      <c r="Q14" s="1">
        <v>6.2370000000000001</v>
      </c>
      <c r="R14" s="1">
        <v>6.2460000000000004</v>
      </c>
      <c r="S14" s="1">
        <v>6.1150000000000002</v>
      </c>
      <c r="T14" s="3"/>
      <c r="U14" s="2">
        <f>S14/I14-1</f>
        <v>-0.12052351502948366</v>
      </c>
      <c r="V14" s="3">
        <f>S14-I14</f>
        <v>-0.83800000000000008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Z14" s="2"/>
    </row>
    <row r="15" spans="1:52" x14ac:dyDescent="0.25">
      <c r="A15" s="32" t="s">
        <v>57</v>
      </c>
      <c r="B15" s="7" t="s">
        <v>54</v>
      </c>
      <c r="C15" s="7" t="s">
        <v>55</v>
      </c>
      <c r="I15" s="1">
        <v>7.2569999999999997</v>
      </c>
      <c r="J15" s="1">
        <v>7.1260000000000003</v>
      </c>
      <c r="K15" s="1">
        <v>6.8570000000000002</v>
      </c>
      <c r="L15" s="1">
        <v>6.5670000000000002</v>
      </c>
      <c r="M15" s="1">
        <v>6.5970000000000004</v>
      </c>
      <c r="N15" s="1">
        <v>6.827</v>
      </c>
      <c r="O15" s="1">
        <v>6.9989999999999997</v>
      </c>
      <c r="P15" s="1">
        <v>6.9930000000000003</v>
      </c>
      <c r="Q15" s="1">
        <v>7.1120000000000001</v>
      </c>
      <c r="R15" s="1">
        <v>6.9989999999999997</v>
      </c>
      <c r="S15" s="1">
        <v>6.9359999999999999</v>
      </c>
      <c r="T15" s="3"/>
      <c r="U15" s="2">
        <f>S15/I15-1</f>
        <v>-4.4233154195948754E-2</v>
      </c>
      <c r="V15" s="3">
        <f>S15-I15</f>
        <v>-0.32099999999999973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Z15" s="2"/>
    </row>
    <row r="16" spans="1:52" x14ac:dyDescent="0.25">
      <c r="A16" t="s">
        <v>58</v>
      </c>
      <c r="B16" s="7" t="s">
        <v>52</v>
      </c>
      <c r="C16" s="7" t="s">
        <v>51</v>
      </c>
      <c r="D16" s="7">
        <v>60.724760549999999</v>
      </c>
      <c r="E16" s="7">
        <v>60.839168780000001</v>
      </c>
      <c r="F16" s="7">
        <v>61.637469469999999</v>
      </c>
      <c r="G16" s="7">
        <v>61.571172410000003</v>
      </c>
      <c r="H16" s="7">
        <v>61.218664770000004</v>
      </c>
      <c r="I16" s="1">
        <v>60.587279080000002</v>
      </c>
      <c r="J16" s="1">
        <v>59.664191339999995</v>
      </c>
      <c r="K16" s="1">
        <v>59.606499580000005</v>
      </c>
      <c r="L16" s="1">
        <v>60.168643300000006</v>
      </c>
      <c r="M16" s="1">
        <v>60.893261019999997</v>
      </c>
      <c r="N16" s="1">
        <v>61.356187169999998</v>
      </c>
      <c r="O16" s="1">
        <v>62.007257019999997</v>
      </c>
      <c r="P16" s="1">
        <v>61.873208149999996</v>
      </c>
      <c r="Q16" s="1">
        <v>61.283197540000003</v>
      </c>
      <c r="R16" s="1">
        <v>60.588897920000001</v>
      </c>
      <c r="S16" s="1">
        <v>60.163155240000002</v>
      </c>
      <c r="T16" s="3">
        <v>59.9061065</v>
      </c>
      <c r="U16" s="2">
        <f>S16/I16-1</f>
        <v>-7.0002126921723251E-3</v>
      </c>
      <c r="V16" s="3">
        <f>S16-I16</f>
        <v>-0.42412384000000003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Z16" s="2"/>
    </row>
    <row r="17" spans="1:52" x14ac:dyDescent="0.25">
      <c r="D17" s="34"/>
      <c r="E17" s="34"/>
      <c r="F17" s="34"/>
      <c r="G17" s="34"/>
      <c r="H17" s="3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3"/>
      <c r="U17" s="2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Z17" s="2"/>
    </row>
    <row r="18" spans="1:52" x14ac:dyDescent="0.25">
      <c r="D18" s="34" t="s">
        <v>238</v>
      </c>
      <c r="E18" s="34" t="s">
        <v>104</v>
      </c>
      <c r="F18" s="34"/>
      <c r="G18" s="34"/>
      <c r="H18" s="34"/>
      <c r="I18" s="38">
        <f>AVERAGE(S14-R14,R14-Q14,Q14-P14,P14-O14)</f>
        <v>-2.4999999999986144E-4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3"/>
      <c r="U18" s="2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Z18" s="2"/>
    </row>
    <row r="19" spans="1:52" x14ac:dyDescent="0.25">
      <c r="A19" t="s">
        <v>235</v>
      </c>
      <c r="D19" s="34"/>
      <c r="E19" s="34"/>
      <c r="F19" s="34"/>
      <c r="G19" s="34"/>
      <c r="H19" s="34"/>
      <c r="I19" s="38"/>
      <c r="J19" s="1"/>
      <c r="K19" s="1"/>
      <c r="L19" s="1"/>
      <c r="M19" s="1"/>
      <c r="N19" s="1"/>
      <c r="O19" s="1"/>
      <c r="P19" s="1"/>
      <c r="Q19" s="1"/>
      <c r="R19" s="1"/>
      <c r="S19" s="1"/>
      <c r="T19" s="3"/>
      <c r="U19" s="2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Z19" s="2"/>
    </row>
    <row r="20" spans="1:52" x14ac:dyDescent="0.25">
      <c r="A20" t="s">
        <v>236</v>
      </c>
      <c r="D20" s="34"/>
      <c r="E20" s="34"/>
      <c r="F20" s="34"/>
      <c r="G20" s="34"/>
      <c r="H20" s="34"/>
      <c r="I20" s="38"/>
      <c r="J20" s="1"/>
      <c r="K20" s="1"/>
      <c r="L20" s="1"/>
      <c r="M20" s="1"/>
      <c r="N20" s="1"/>
      <c r="O20" s="1"/>
      <c r="P20" s="1"/>
      <c r="Q20" s="1"/>
      <c r="R20" s="1"/>
      <c r="S20" s="1"/>
      <c r="T20" s="3"/>
      <c r="U20" s="2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Z20" s="2"/>
    </row>
    <row r="21" spans="1:52" x14ac:dyDescent="0.25">
      <c r="A21" t="s">
        <v>237</v>
      </c>
      <c r="D21" s="34"/>
      <c r="E21" s="34">
        <f>(T16-P16)/4*1000</f>
        <v>-491.77541249999911</v>
      </c>
      <c r="F21"/>
      <c r="G21"/>
      <c r="H21"/>
    </row>
    <row r="22" spans="1:52" x14ac:dyDescent="0.25">
      <c r="D22" s="34"/>
      <c r="E22" s="34"/>
      <c r="F22"/>
      <c r="G22"/>
      <c r="H22"/>
    </row>
    <row r="23" spans="1:52" x14ac:dyDescent="0.25">
      <c r="A23" s="4" t="s">
        <v>53</v>
      </c>
      <c r="B23" s="6"/>
      <c r="C23" s="6"/>
      <c r="D23" s="6"/>
      <c r="E23" s="6"/>
      <c r="F23" s="6"/>
      <c r="G23" s="6"/>
      <c r="H23" s="6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</row>
    <row r="24" spans="1:52" x14ac:dyDescent="0.25">
      <c r="B24" s="7" t="s">
        <v>8</v>
      </c>
      <c r="C24" s="7" t="s">
        <v>12</v>
      </c>
      <c r="I24" t="s">
        <v>1</v>
      </c>
      <c r="N24" t="s">
        <v>2</v>
      </c>
      <c r="S24" t="s">
        <v>3</v>
      </c>
      <c r="AW24">
        <v>2050</v>
      </c>
    </row>
    <row r="25" spans="1:52" x14ac:dyDescent="0.25">
      <c r="A25" s="32" t="s">
        <v>56</v>
      </c>
      <c r="B25" s="7" t="s">
        <v>54</v>
      </c>
      <c r="C25" s="7" t="s">
        <v>55</v>
      </c>
      <c r="I25" s="1">
        <v>19.178000000000001</v>
      </c>
      <c r="J25" s="1">
        <v>18.882999999999999</v>
      </c>
      <c r="K25" s="1">
        <v>18.523</v>
      </c>
      <c r="L25" s="1">
        <v>18.242999999999999</v>
      </c>
      <c r="M25" s="1">
        <v>17.812000000000001</v>
      </c>
      <c r="N25" s="1">
        <v>18.361000000000001</v>
      </c>
      <c r="O25" s="1">
        <v>17.991</v>
      </c>
      <c r="P25" s="1">
        <v>18.218</v>
      </c>
      <c r="Q25" s="1">
        <v>18.670999999999999</v>
      </c>
      <c r="R25" s="1">
        <v>18.189</v>
      </c>
      <c r="S25" s="1">
        <v>17.457000000000001</v>
      </c>
      <c r="T25" s="3"/>
      <c r="U25" s="2">
        <f>S25/I25-1</f>
        <v>-8.9738241735321744E-2</v>
      </c>
      <c r="V25" s="3">
        <f>S25-I25</f>
        <v>-1.7210000000000001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Z25" s="2"/>
    </row>
    <row r="26" spans="1:52" x14ac:dyDescent="0.25">
      <c r="A26" s="32" t="s">
        <v>57</v>
      </c>
      <c r="B26" s="7" t="s">
        <v>54</v>
      </c>
      <c r="C26" s="7" t="s">
        <v>55</v>
      </c>
      <c r="I26" s="1">
        <v>22.224</v>
      </c>
      <c r="J26" s="1">
        <v>22.457000000000001</v>
      </c>
      <c r="K26" s="1">
        <v>22.001999999999999</v>
      </c>
      <c r="L26" s="1">
        <v>21.686</v>
      </c>
      <c r="M26" s="1">
        <v>21.745999999999999</v>
      </c>
      <c r="N26" s="1">
        <v>22.568999999999999</v>
      </c>
      <c r="O26" s="1">
        <v>22.946000000000002</v>
      </c>
      <c r="P26" s="1">
        <v>22.824000000000002</v>
      </c>
      <c r="Q26" s="1">
        <v>23.222999999999999</v>
      </c>
      <c r="R26" s="1">
        <v>22.995999999999999</v>
      </c>
      <c r="S26" s="1">
        <v>23.219000000000001</v>
      </c>
      <c r="T26" s="3"/>
      <c r="U26" s="2">
        <f>S26/I26-1</f>
        <v>4.4771418286537079E-2</v>
      </c>
      <c r="V26" s="3">
        <f>S26-I26</f>
        <v>0.99500000000000099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Z26" s="2"/>
    </row>
    <row r="27" spans="1:52" x14ac:dyDescent="0.25">
      <c r="A27" t="s">
        <v>58</v>
      </c>
      <c r="B27" s="7" t="s">
        <v>52</v>
      </c>
      <c r="C27" s="7" t="s">
        <v>51</v>
      </c>
      <c r="D27" s="7">
        <v>151.65401903660427</v>
      </c>
      <c r="E27" s="7">
        <v>152.80495867356069</v>
      </c>
      <c r="F27" s="7">
        <v>153.54326530458573</v>
      </c>
      <c r="G27" s="7">
        <v>146.36727173766434</v>
      </c>
      <c r="H27" s="7">
        <v>143.99195572195291</v>
      </c>
      <c r="I27" s="1">
        <v>144.06174610551599</v>
      </c>
      <c r="J27" s="1">
        <v>142.26143097776134</v>
      </c>
      <c r="K27" s="1">
        <v>138.2683928370011</v>
      </c>
      <c r="L27" s="1">
        <v>136.46508511145046</v>
      </c>
      <c r="M27" s="1">
        <v>138.4113957799471</v>
      </c>
      <c r="N27" s="1">
        <v>139.35306096061805</v>
      </c>
      <c r="O27" s="1">
        <v>137.69743263293503</v>
      </c>
      <c r="P27" s="1">
        <v>138.80286082472298</v>
      </c>
      <c r="Q27" s="1">
        <v>139.68197808299175</v>
      </c>
      <c r="R27" s="1">
        <v>137.37960332018301</v>
      </c>
      <c r="S27" s="1">
        <v>139.98062003276567</v>
      </c>
      <c r="T27" s="3">
        <v>137.82915007342763</v>
      </c>
      <c r="U27" s="2">
        <f>S27/I27-1</f>
        <v>-2.8329006020523684E-2</v>
      </c>
      <c r="V27" s="3">
        <f>S27-I27</f>
        <v>-4.0811260727503225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Z27" s="2"/>
    </row>
    <row r="29" spans="1:52" x14ac:dyDescent="0.25">
      <c r="D29" s="34" t="s">
        <v>238</v>
      </c>
      <c r="E29" s="34" t="s">
        <v>104</v>
      </c>
      <c r="I29" s="38">
        <f>AVERAGE(S25-R25,R25-Q25,Q25-P25,P25-O25)</f>
        <v>-0.13349999999999973</v>
      </c>
    </row>
    <row r="30" spans="1:52" x14ac:dyDescent="0.25">
      <c r="A30" t="s">
        <v>235</v>
      </c>
      <c r="D30" s="34"/>
      <c r="E30" s="34"/>
    </row>
    <row r="31" spans="1:52" x14ac:dyDescent="0.25">
      <c r="A31" t="s">
        <v>236</v>
      </c>
      <c r="D31" s="34"/>
      <c r="E31" s="34"/>
    </row>
    <row r="32" spans="1:52" x14ac:dyDescent="0.25">
      <c r="A32" t="s">
        <v>237</v>
      </c>
      <c r="D32" s="34"/>
      <c r="E32" s="34">
        <f>(T27-P27)/4*1000</f>
        <v>-243.42768782383928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B42E0-95ED-4EBC-A80E-E2218D822032}">
  <sheetPr>
    <outlinePr summaryBelow="0"/>
  </sheetPr>
  <dimension ref="A1:AR18"/>
  <sheetViews>
    <sheetView showGridLines="0" zoomScale="130" zoomScaleNormal="130" workbookViewId="0">
      <selection activeCell="D29" sqref="D29"/>
    </sheetView>
  </sheetViews>
  <sheetFormatPr defaultRowHeight="15" x14ac:dyDescent="0.25"/>
  <cols>
    <col min="1" max="1" width="25.85546875" bestFit="1" customWidth="1"/>
    <col min="2" max="2" width="20.42578125" style="7" hidden="1" customWidth="1"/>
    <col min="3" max="3" width="8.5703125" style="7" hidden="1" customWidth="1"/>
    <col min="4" max="8" width="8.5703125" style="7" customWidth="1"/>
    <col min="9" max="9" width="11.85546875" bestFit="1" customWidth="1"/>
    <col min="10" max="19" width="10.5703125" bestFit="1" customWidth="1"/>
  </cols>
  <sheetData>
    <row r="1" spans="1:44" x14ac:dyDescent="0.25">
      <c r="A1" s="4" t="s">
        <v>86</v>
      </c>
      <c r="B1" s="6"/>
      <c r="C1" s="6"/>
      <c r="D1" s="6"/>
      <c r="E1" s="6"/>
      <c r="F1" s="6"/>
      <c r="G1" s="6"/>
      <c r="H1" s="6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</row>
    <row r="2" spans="1:44" x14ac:dyDescent="0.25">
      <c r="B2" s="7" t="s">
        <v>8</v>
      </c>
      <c r="C2" s="7" t="s">
        <v>12</v>
      </c>
      <c r="D2" s="7">
        <v>2005</v>
      </c>
      <c r="I2">
        <v>2010</v>
      </c>
      <c r="N2">
        <v>2015</v>
      </c>
      <c r="S2">
        <v>2020</v>
      </c>
      <c r="V2" t="s">
        <v>68</v>
      </c>
      <c r="AR2">
        <v>2050</v>
      </c>
    </row>
    <row r="3" spans="1:44" x14ac:dyDescent="0.25">
      <c r="A3" t="s">
        <v>63</v>
      </c>
      <c r="B3" s="7" t="s">
        <v>52</v>
      </c>
      <c r="C3" s="7" t="s">
        <v>64</v>
      </c>
      <c r="D3" s="1">
        <v>126.86262244061166</v>
      </c>
      <c r="E3" s="1">
        <v>126.48798657998493</v>
      </c>
      <c r="F3" s="1">
        <v>126.04920620619343</v>
      </c>
      <c r="G3" s="1">
        <v>125.70023702358969</v>
      </c>
      <c r="H3" s="1">
        <v>125.23158928210957</v>
      </c>
      <c r="I3" s="1">
        <v>124.5782291946466</v>
      </c>
      <c r="J3" s="1">
        <v>124.21329826126735</v>
      </c>
      <c r="K3" s="1">
        <v>123.91356998676018</v>
      </c>
      <c r="L3" s="1">
        <v>123.71572950982853</v>
      </c>
      <c r="M3" s="1">
        <v>123.27482106948364</v>
      </c>
      <c r="N3" s="1">
        <v>123.05076552138235</v>
      </c>
      <c r="O3" s="1">
        <v>122.74794796302361</v>
      </c>
      <c r="P3" s="1">
        <v>120.93348280864146</v>
      </c>
      <c r="Q3" s="1">
        <v>121.71411545932203</v>
      </c>
      <c r="R3" s="1">
        <v>121.34088989287876</v>
      </c>
      <c r="S3" s="1">
        <v>121.29976178154683</v>
      </c>
      <c r="T3" s="1">
        <v>120.93348280864146</v>
      </c>
      <c r="V3" s="2">
        <f>S3/I3-1</f>
        <v>-2.6316535676368713E-2</v>
      </c>
    </row>
    <row r="4" spans="1:44" x14ac:dyDescent="0.25">
      <c r="A4" t="s">
        <v>66</v>
      </c>
      <c r="B4" s="7" t="s">
        <v>54</v>
      </c>
      <c r="C4" s="7" t="s">
        <v>55</v>
      </c>
      <c r="I4" s="1">
        <v>263.46300000000002</v>
      </c>
      <c r="J4" s="1">
        <v>273.97399999999999</v>
      </c>
      <c r="K4" s="1">
        <v>268.65499999999997</v>
      </c>
      <c r="L4" s="1">
        <v>290.06599999999997</v>
      </c>
      <c r="M4" s="1">
        <v>309.57600000000002</v>
      </c>
      <c r="N4" s="1">
        <v>294.14100000000002</v>
      </c>
      <c r="O4" s="1">
        <v>280.96199999999999</v>
      </c>
      <c r="P4" s="1">
        <v>289.274</v>
      </c>
      <c r="Q4" s="1">
        <v>274.45999999999998</v>
      </c>
      <c r="R4" s="1">
        <v>300.23700000000002</v>
      </c>
      <c r="S4" s="1">
        <v>287.38400000000001</v>
      </c>
      <c r="V4" s="2">
        <f>S4/I4-1</f>
        <v>9.0794532818650131E-2</v>
      </c>
    </row>
    <row r="5" spans="1:44" x14ac:dyDescent="0.25">
      <c r="A5" t="s">
        <v>67</v>
      </c>
      <c r="B5" s="7" t="s">
        <v>54</v>
      </c>
      <c r="C5" s="7" t="s">
        <v>55</v>
      </c>
      <c r="I5" s="1">
        <v>98.591999999999999</v>
      </c>
      <c r="J5" s="1">
        <v>116.64700000000001</v>
      </c>
      <c r="K5" s="1">
        <v>108.26600000000001</v>
      </c>
      <c r="L5" s="1">
        <v>100.858</v>
      </c>
      <c r="M5" s="1">
        <v>123.761</v>
      </c>
      <c r="N5" s="1">
        <v>97.784999999999997</v>
      </c>
      <c r="O5" s="1">
        <v>110.932</v>
      </c>
      <c r="P5" s="1">
        <v>137.06200000000001</v>
      </c>
      <c r="Q5" s="1">
        <v>113.958</v>
      </c>
      <c r="R5" s="1">
        <v>113.128</v>
      </c>
      <c r="S5" s="1">
        <v>100.145</v>
      </c>
      <c r="V5" s="2">
        <f>S5/I5-1</f>
        <v>1.5751785134696439E-2</v>
      </c>
    </row>
    <row r="6" spans="1:44" x14ac:dyDescent="0.25">
      <c r="A6" t="s">
        <v>65</v>
      </c>
      <c r="B6" s="7" t="s">
        <v>54</v>
      </c>
      <c r="C6" s="7" t="s">
        <v>55</v>
      </c>
      <c r="I6" s="1">
        <v>40.441000000000003</v>
      </c>
      <c r="J6" s="1">
        <v>41.215000000000003</v>
      </c>
      <c r="K6" s="1">
        <v>35.640999999999998</v>
      </c>
      <c r="L6" s="1">
        <v>45.572000000000003</v>
      </c>
      <c r="M6" s="1">
        <v>44.064999999999998</v>
      </c>
      <c r="N6" s="1">
        <v>43.408000000000001</v>
      </c>
      <c r="O6" s="1">
        <v>43.173999999999999</v>
      </c>
      <c r="P6" s="1">
        <v>47.069000000000003</v>
      </c>
      <c r="Q6" s="1">
        <v>47.374000000000002</v>
      </c>
      <c r="R6" s="1">
        <v>42.265999999999998</v>
      </c>
      <c r="S6" s="1">
        <v>43.912999999999997</v>
      </c>
      <c r="V6" s="2">
        <f>S6/I6-1</f>
        <v>8.5853465542395035E-2</v>
      </c>
    </row>
    <row r="8" spans="1:44" x14ac:dyDescent="0.25">
      <c r="A8" s="4" t="s">
        <v>87</v>
      </c>
      <c r="B8" s="6"/>
      <c r="C8" s="6"/>
      <c r="D8" s="6"/>
      <c r="E8" s="6"/>
      <c r="F8" s="6"/>
      <c r="G8" s="6"/>
      <c r="H8" s="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</row>
    <row r="9" spans="1:44" x14ac:dyDescent="0.25">
      <c r="A9" s="35" t="s">
        <v>69</v>
      </c>
      <c r="B9" s="7" t="s">
        <v>8</v>
      </c>
      <c r="C9" s="7" t="s">
        <v>12</v>
      </c>
      <c r="D9" s="35" t="s">
        <v>0</v>
      </c>
      <c r="E9" s="36" t="s">
        <v>70</v>
      </c>
      <c r="F9" s="36" t="s">
        <v>71</v>
      </c>
      <c r="G9" s="36" t="s">
        <v>72</v>
      </c>
      <c r="H9" s="36" t="s">
        <v>73</v>
      </c>
      <c r="I9" s="36" t="s">
        <v>1</v>
      </c>
      <c r="J9" s="36" t="s">
        <v>74</v>
      </c>
      <c r="K9" s="36" t="s">
        <v>75</v>
      </c>
      <c r="L9" s="36" t="s">
        <v>76</v>
      </c>
      <c r="M9" s="36" t="s">
        <v>77</v>
      </c>
      <c r="N9" s="36" t="s">
        <v>2</v>
      </c>
      <c r="O9" s="36" t="s">
        <v>78</v>
      </c>
      <c r="P9" s="36" t="s">
        <v>79</v>
      </c>
      <c r="Q9" s="36" t="s">
        <v>80</v>
      </c>
      <c r="R9" s="36" t="s">
        <v>81</v>
      </c>
      <c r="S9" s="36" t="s">
        <v>3</v>
      </c>
      <c r="T9" s="36" t="s">
        <v>82</v>
      </c>
      <c r="V9" t="s">
        <v>89</v>
      </c>
    </row>
    <row r="10" spans="1:44" x14ac:dyDescent="0.25">
      <c r="A10" s="35" t="s">
        <v>83</v>
      </c>
      <c r="B10" s="7" t="s">
        <v>54</v>
      </c>
      <c r="C10" s="7" t="s">
        <v>88</v>
      </c>
      <c r="D10" s="35">
        <v>4.7115</v>
      </c>
      <c r="E10" s="36">
        <v>4.5620000000000003</v>
      </c>
      <c r="F10" s="36">
        <v>4.4911000000000003</v>
      </c>
      <c r="G10" s="36">
        <v>5.1059999999999999</v>
      </c>
      <c r="H10" s="36">
        <v>4.9690000000000003</v>
      </c>
      <c r="I10" s="36">
        <v>4.9160000000000004</v>
      </c>
      <c r="J10" s="36">
        <v>5.0609999999999999</v>
      </c>
      <c r="K10" s="36">
        <v>4.8212999999999999</v>
      </c>
      <c r="L10" s="36">
        <v>5.2534000000000001</v>
      </c>
      <c r="M10" s="36">
        <v>5.6121999999999996</v>
      </c>
      <c r="N10" s="36">
        <v>5.3777999999999997</v>
      </c>
      <c r="O10" s="36">
        <v>5.1938000000000004</v>
      </c>
      <c r="P10" s="36">
        <v>5.4995000000000003</v>
      </c>
      <c r="Q10" s="36">
        <v>5.2343999999999999</v>
      </c>
      <c r="R10" s="36">
        <v>5.5770999999999997</v>
      </c>
      <c r="S10" s="36">
        <v>5.4626999999999999</v>
      </c>
      <c r="T10" s="36">
        <v>5.6662999999999997</v>
      </c>
      <c r="V10" s="2">
        <f>T10/D10-1</f>
        <v>0.20265308288230921</v>
      </c>
    </row>
    <row r="11" spans="1:44" x14ac:dyDescent="0.25">
      <c r="A11" s="37" t="s">
        <v>84</v>
      </c>
      <c r="B11" s="7" t="s">
        <v>54</v>
      </c>
      <c r="C11" s="7" t="s">
        <v>88</v>
      </c>
      <c r="D11" s="37">
        <v>1.3957999999999999</v>
      </c>
      <c r="E11">
        <v>1.3202</v>
      </c>
      <c r="F11">
        <v>1.2914000000000001</v>
      </c>
      <c r="G11">
        <v>1.4316</v>
      </c>
      <c r="H11">
        <v>1.5011000000000001</v>
      </c>
      <c r="I11">
        <v>1.3851</v>
      </c>
      <c r="J11">
        <v>1.3321000000000001</v>
      </c>
      <c r="K11">
        <v>1.3482000000000001</v>
      </c>
      <c r="L11">
        <v>1.4622999999999999</v>
      </c>
      <c r="M11">
        <v>1.6800999999999999</v>
      </c>
      <c r="N11">
        <v>1.5219</v>
      </c>
      <c r="O11">
        <v>1.5106999999999999</v>
      </c>
      <c r="P11">
        <v>1.599</v>
      </c>
      <c r="Q11">
        <v>1.5336000000000001</v>
      </c>
      <c r="R11">
        <v>1.5235000000000001</v>
      </c>
      <c r="S11">
        <v>1.4901</v>
      </c>
      <c r="T11">
        <v>1.5689</v>
      </c>
      <c r="V11" s="2">
        <f>T11/D11-1</f>
        <v>0.12401490184840247</v>
      </c>
    </row>
    <row r="12" spans="1:44" x14ac:dyDescent="0.25">
      <c r="A12" s="37" t="s">
        <v>85</v>
      </c>
      <c r="B12" s="7" t="s">
        <v>54</v>
      </c>
      <c r="C12" s="7" t="s">
        <v>88</v>
      </c>
      <c r="D12" s="37">
        <v>60.188400000000001</v>
      </c>
      <c r="E12">
        <v>59.209200000000003</v>
      </c>
      <c r="F12">
        <v>63.624899999999997</v>
      </c>
      <c r="G12">
        <v>66.4542</v>
      </c>
      <c r="H12">
        <v>71.296099999999996</v>
      </c>
      <c r="I12">
        <v>66.185299999999998</v>
      </c>
      <c r="J12">
        <v>75.997900000000001</v>
      </c>
      <c r="K12">
        <v>69.678299999999993</v>
      </c>
      <c r="L12">
        <v>68.936899999999994</v>
      </c>
      <c r="M12">
        <v>79.848399999999998</v>
      </c>
      <c r="N12">
        <v>72.031999999999996</v>
      </c>
      <c r="O12">
        <v>75.056399999999996</v>
      </c>
      <c r="P12">
        <v>81.633300000000006</v>
      </c>
      <c r="Q12">
        <v>69.031599999999997</v>
      </c>
      <c r="R12">
        <v>73.805099999999996</v>
      </c>
      <c r="S12">
        <v>67.815899999999999</v>
      </c>
      <c r="T12">
        <v>76.182599999999994</v>
      </c>
      <c r="V12" s="2">
        <f>T12/D12-1</f>
        <v>0.26573559024662541</v>
      </c>
    </row>
    <row r="14" spans="1:44" x14ac:dyDescent="0.25">
      <c r="A14" t="s">
        <v>177</v>
      </c>
      <c r="D14" s="34">
        <f>AVERAGE(T3-S3,S3-R3,R3-Q3,Q3-P3)</f>
        <v>0</v>
      </c>
    </row>
    <row r="16" spans="1:44" x14ac:dyDescent="0.25"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9:20" x14ac:dyDescent="0.25"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9:20" x14ac:dyDescent="0.25"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</sheetData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BC015-464D-4108-B9C5-F144B61DC07B}">
  <sheetPr>
    <outlinePr summaryBelow="0"/>
  </sheetPr>
  <dimension ref="A1:BA45"/>
  <sheetViews>
    <sheetView showGridLines="0" zoomScale="68" zoomScaleNormal="130" workbookViewId="0">
      <selection activeCell="L80" sqref="L80"/>
    </sheetView>
  </sheetViews>
  <sheetFormatPr defaultRowHeight="15" x14ac:dyDescent="0.25"/>
  <cols>
    <col min="1" max="1" width="25.85546875" bestFit="1" customWidth="1"/>
    <col min="2" max="2" width="20.42578125" style="7" customWidth="1"/>
    <col min="3" max="8" width="8.5703125" style="7" customWidth="1"/>
    <col min="14" max="14" width="11.7109375" bestFit="1" customWidth="1"/>
  </cols>
  <sheetData>
    <row r="1" spans="1:53" x14ac:dyDescent="0.25">
      <c r="A1" s="4" t="s">
        <v>49</v>
      </c>
      <c r="B1" s="6"/>
      <c r="C1" s="6"/>
      <c r="D1" s="6"/>
      <c r="E1" s="6"/>
      <c r="F1" s="6"/>
      <c r="G1" s="6"/>
      <c r="H1" s="6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</row>
    <row r="2" spans="1:53" x14ac:dyDescent="0.25">
      <c r="B2" s="7" t="s">
        <v>8</v>
      </c>
      <c r="C2" s="7" t="s">
        <v>12</v>
      </c>
      <c r="D2" s="7">
        <v>2005</v>
      </c>
      <c r="I2" t="s">
        <v>1</v>
      </c>
      <c r="N2" t="s">
        <v>2</v>
      </c>
      <c r="S2" t="s">
        <v>3</v>
      </c>
      <c r="V2" t="s">
        <v>62</v>
      </c>
      <c r="W2" t="s">
        <v>62</v>
      </c>
      <c r="AX2">
        <v>2050</v>
      </c>
    </row>
    <row r="3" spans="1:53" x14ac:dyDescent="0.25">
      <c r="A3" s="32" t="s">
        <v>90</v>
      </c>
      <c r="B3" s="7" t="s">
        <v>52</v>
      </c>
      <c r="C3" s="7" t="s">
        <v>55</v>
      </c>
      <c r="D3" s="1">
        <v>99.998262174819999</v>
      </c>
      <c r="E3" s="1">
        <v>98.65336789669999</v>
      </c>
      <c r="F3" s="1">
        <v>98.105362793379996</v>
      </c>
      <c r="G3" s="1">
        <v>98.305981334720002</v>
      </c>
      <c r="H3" s="1">
        <v>96.860706310499992</v>
      </c>
      <c r="I3" s="1">
        <v>95.722197024539994</v>
      </c>
      <c r="J3" s="1">
        <v>95.978298355859991</v>
      </c>
      <c r="K3" s="1">
        <v>96.460344008500002</v>
      </c>
      <c r="L3" s="1">
        <v>96.995255085920007</v>
      </c>
      <c r="M3" s="1">
        <v>98.379592432719988</v>
      </c>
      <c r="N3" s="1">
        <v>99.228927192979995</v>
      </c>
      <c r="O3" s="1">
        <v>99.404097683160003</v>
      </c>
      <c r="P3" s="1">
        <v>99.36820924896</v>
      </c>
      <c r="Q3" s="1">
        <v>98.62744358642</v>
      </c>
      <c r="R3" s="1">
        <v>98.201803469559991</v>
      </c>
      <c r="S3" s="1">
        <v>98.634543090839998</v>
      </c>
      <c r="T3" s="1">
        <v>97.789543043960009</v>
      </c>
      <c r="U3" s="3"/>
      <c r="V3" s="2">
        <f>S3/I3-1</f>
        <v>3.0424981423622821E-2</v>
      </c>
      <c r="W3" s="3">
        <f>S3-I3</f>
        <v>2.9123460663000031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BA3" s="2"/>
    </row>
    <row r="4" spans="1:53" x14ac:dyDescent="0.25">
      <c r="A4" s="32" t="s">
        <v>91</v>
      </c>
      <c r="B4" s="7" t="s">
        <v>54</v>
      </c>
      <c r="C4" s="7" t="s">
        <v>55</v>
      </c>
      <c r="I4" s="1">
        <v>141.06899999999999</v>
      </c>
      <c r="J4" s="1">
        <v>143.44399999999999</v>
      </c>
      <c r="K4" s="1">
        <v>143.756</v>
      </c>
      <c r="L4" s="1">
        <v>145.262</v>
      </c>
      <c r="M4" s="1">
        <v>150.148</v>
      </c>
      <c r="N4" s="1">
        <v>153.161</v>
      </c>
      <c r="O4" s="1">
        <v>154.834</v>
      </c>
      <c r="P4" s="1">
        <v>155.97</v>
      </c>
      <c r="Q4" s="1">
        <v>158.30199999999999</v>
      </c>
      <c r="R4" s="1">
        <v>161.245</v>
      </c>
      <c r="S4" s="1">
        <v>163.065</v>
      </c>
      <c r="T4" s="1"/>
      <c r="U4" s="3"/>
      <c r="V4" s="2">
        <f>S4/I4-1</f>
        <v>0.1559236969142761</v>
      </c>
      <c r="W4" s="3">
        <f>S4-I4</f>
        <v>21.996000000000009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BA4" s="2"/>
    </row>
    <row r="5" spans="1:53" x14ac:dyDescent="0.25">
      <c r="A5" t="s">
        <v>92</v>
      </c>
      <c r="I5" s="38">
        <f>I3/I4</f>
        <v>0.67854877417816817</v>
      </c>
      <c r="J5" s="38">
        <f t="shared" ref="J5:S5" si="0">J3/J4</f>
        <v>0.66909942804062905</v>
      </c>
      <c r="K5" s="38">
        <f t="shared" si="0"/>
        <v>0.67100047308286259</v>
      </c>
      <c r="L5" s="38">
        <f t="shared" si="0"/>
        <v>0.66772628138067769</v>
      </c>
      <c r="M5" s="38">
        <f t="shared" si="0"/>
        <v>0.65521746831606142</v>
      </c>
      <c r="N5" s="38">
        <f t="shared" si="0"/>
        <v>0.64787333063234109</v>
      </c>
      <c r="O5" s="38">
        <f t="shared" si="0"/>
        <v>0.64200432516863226</v>
      </c>
      <c r="P5" s="38">
        <f t="shared" si="0"/>
        <v>0.63709821920215426</v>
      </c>
      <c r="Q5" s="38">
        <f t="shared" si="0"/>
        <v>0.62303346506310731</v>
      </c>
      <c r="R5" s="38">
        <f t="shared" si="0"/>
        <v>0.6090223167822878</v>
      </c>
      <c r="S5" s="38">
        <f t="shared" si="0"/>
        <v>0.60487868697047187</v>
      </c>
      <c r="T5" s="1"/>
      <c r="U5" s="3"/>
      <c r="V5" s="2">
        <f>S5/I5-1</f>
        <v>-0.10857006896360932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BA5" s="2"/>
    </row>
    <row r="6" spans="1:53" x14ac:dyDescent="0.25">
      <c r="I6" s="1"/>
      <c r="J6" s="38"/>
      <c r="K6" s="38"/>
      <c r="L6" s="38"/>
      <c r="M6" s="38"/>
      <c r="N6" s="38"/>
      <c r="O6" s="38"/>
      <c r="P6" s="38"/>
      <c r="Q6" s="38"/>
      <c r="R6" s="38"/>
      <c r="S6" s="38"/>
      <c r="T6" s="1"/>
      <c r="U6" s="3"/>
      <c r="V6" s="2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BA6" s="2"/>
    </row>
    <row r="7" spans="1:53" x14ac:dyDescent="0.25">
      <c r="A7" t="s">
        <v>120</v>
      </c>
      <c r="I7" s="1">
        <f>AVERAGE(S5-R5,R5-Q5,Q5-P5,P5-O5)*1000</f>
        <v>-9.2814095495400988</v>
      </c>
      <c r="J7" s="38"/>
      <c r="K7" s="38"/>
      <c r="L7" s="38"/>
      <c r="M7" s="38"/>
      <c r="N7" s="38"/>
      <c r="O7" s="38"/>
      <c r="P7" s="38"/>
      <c r="Q7" s="38"/>
      <c r="R7" s="38"/>
      <c r="S7" s="38"/>
      <c r="T7" s="1"/>
      <c r="U7" s="3"/>
      <c r="V7" s="2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BA7" s="2"/>
    </row>
    <row r="8" spans="1:53" x14ac:dyDescent="0.25"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Z8" s="2"/>
      <c r="BA8" s="2"/>
    </row>
    <row r="9" spans="1:53" x14ac:dyDescent="0.25">
      <c r="A9" s="4" t="s">
        <v>50</v>
      </c>
      <c r="B9" s="6"/>
      <c r="C9" s="6"/>
      <c r="D9" s="6"/>
      <c r="E9" s="6"/>
      <c r="F9" s="6"/>
      <c r="G9" s="6"/>
      <c r="H9" s="6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</row>
    <row r="10" spans="1:53" x14ac:dyDescent="0.25">
      <c r="B10" s="7" t="s">
        <v>8</v>
      </c>
      <c r="C10" s="7" t="s">
        <v>12</v>
      </c>
      <c r="I10" t="s">
        <v>1</v>
      </c>
      <c r="N10" t="s">
        <v>2</v>
      </c>
      <c r="S10" t="s">
        <v>3</v>
      </c>
      <c r="AX10">
        <v>2050</v>
      </c>
    </row>
    <row r="11" spans="1:53" x14ac:dyDescent="0.25">
      <c r="A11" s="32" t="s">
        <v>90</v>
      </c>
      <c r="B11" s="7" t="s">
        <v>52</v>
      </c>
      <c r="C11" s="7" t="s">
        <v>55</v>
      </c>
      <c r="I11" s="1">
        <v>102.54706336877999</v>
      </c>
      <c r="J11" s="1">
        <v>100.86609832608001</v>
      </c>
      <c r="K11" s="1">
        <v>101.0875467795</v>
      </c>
      <c r="L11" s="1">
        <v>101.55799577214</v>
      </c>
      <c r="M11" s="1">
        <v>102.10482552912002</v>
      </c>
      <c r="N11" s="1">
        <v>103.13450938555999</v>
      </c>
      <c r="O11" s="1">
        <v>103.76937428156</v>
      </c>
      <c r="P11" s="1">
        <v>103.84929777522001</v>
      </c>
      <c r="Q11" s="1">
        <v>103.26174816984</v>
      </c>
      <c r="R11" s="1">
        <v>101.69848759764001</v>
      </c>
      <c r="S11" s="1">
        <v>100.80836368928</v>
      </c>
      <c r="T11" s="1">
        <v>100.33957007719998</v>
      </c>
      <c r="U11" s="3"/>
      <c r="V11" s="2">
        <f>S11/I11-1</f>
        <v>-1.695513866884002E-2</v>
      </c>
      <c r="W11" s="3">
        <f>S11-I11</f>
        <v>-1.7386996794999874</v>
      </c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BA11" s="2"/>
    </row>
    <row r="12" spans="1:53" x14ac:dyDescent="0.25">
      <c r="A12" s="32" t="s">
        <v>91</v>
      </c>
      <c r="B12" s="7" t="s">
        <v>54</v>
      </c>
      <c r="C12" s="7" t="s">
        <v>55</v>
      </c>
      <c r="I12" s="1">
        <v>7.2569999999999997</v>
      </c>
      <c r="J12" s="1">
        <v>7.1260000000000003</v>
      </c>
      <c r="K12" s="1">
        <v>6.8570000000000002</v>
      </c>
      <c r="L12" s="1">
        <v>6.5670000000000002</v>
      </c>
      <c r="M12" s="1">
        <v>6.5970000000000004</v>
      </c>
      <c r="N12" s="1">
        <v>6.827</v>
      </c>
      <c r="O12" s="1">
        <v>6.9989999999999997</v>
      </c>
      <c r="P12" s="1">
        <v>6.9930000000000003</v>
      </c>
      <c r="Q12" s="1">
        <v>7.1120000000000001</v>
      </c>
      <c r="R12" s="1">
        <v>6.9989999999999997</v>
      </c>
      <c r="S12" s="1">
        <v>6.9359999999999999</v>
      </c>
      <c r="T12" s="1"/>
      <c r="U12" s="3"/>
      <c r="V12" s="2">
        <f>S12/I12-1</f>
        <v>-4.4233154195948754E-2</v>
      </c>
      <c r="W12" s="3">
        <f>S12-I12</f>
        <v>-0.32099999999999973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BA12" s="2"/>
    </row>
    <row r="13" spans="1:53" x14ac:dyDescent="0.25">
      <c r="A13" t="s">
        <v>92</v>
      </c>
      <c r="I13" s="1">
        <f>I11/I12</f>
        <v>14.13077902284415</v>
      </c>
      <c r="J13" s="1">
        <f t="shared" ref="J13:S13" si="1">J11/J12</f>
        <v>14.154658760325569</v>
      </c>
      <c r="K13" s="1">
        <f t="shared" si="1"/>
        <v>14.742241035365319</v>
      </c>
      <c r="L13" s="1">
        <f t="shared" si="1"/>
        <v>15.464899615066241</v>
      </c>
      <c r="M13" s="1">
        <f t="shared" si="1"/>
        <v>15.477463321073218</v>
      </c>
      <c r="N13" s="1">
        <f t="shared" si="1"/>
        <v>15.106856508797421</v>
      </c>
      <c r="O13" s="1">
        <f t="shared" si="1"/>
        <v>14.826314370847266</v>
      </c>
      <c r="P13" s="1">
        <f t="shared" si="1"/>
        <v>14.850464432320893</v>
      </c>
      <c r="Q13" s="1">
        <f t="shared" si="1"/>
        <v>14.519368415331835</v>
      </c>
      <c r="R13" s="1">
        <f t="shared" si="1"/>
        <v>14.530431146969569</v>
      </c>
      <c r="S13" s="1">
        <f t="shared" si="1"/>
        <v>14.534077809873127</v>
      </c>
      <c r="T13" s="1"/>
      <c r="U13" s="3"/>
      <c r="V13" s="2">
        <f>S13/I13-1</f>
        <v>2.8540449636710985E-2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BA13" s="2"/>
    </row>
    <row r="14" spans="1:53" x14ac:dyDescent="0.25">
      <c r="I14" s="1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1"/>
      <c r="U14" s="3"/>
      <c r="V14" s="2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BA14" s="2"/>
    </row>
    <row r="15" spans="1:53" x14ac:dyDescent="0.25">
      <c r="A15" t="s">
        <v>120</v>
      </c>
      <c r="I15" s="1">
        <f>AVERAGE(S13-R13,R13-Q13,Q13-P13,P13-O13)*1000</f>
        <v>-73.05914024353477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Z15" s="2"/>
      <c r="BA15" s="2"/>
    </row>
    <row r="16" spans="1:53" x14ac:dyDescent="0.25">
      <c r="B16"/>
      <c r="C16"/>
      <c r="D16"/>
      <c r="E16"/>
      <c r="F16"/>
      <c r="G16"/>
      <c r="H16"/>
    </row>
    <row r="17" spans="1:53" x14ac:dyDescent="0.25">
      <c r="A17" s="4" t="s">
        <v>53</v>
      </c>
      <c r="B17" s="6"/>
      <c r="C17" s="6"/>
      <c r="D17" s="6"/>
      <c r="E17" s="6"/>
      <c r="F17" s="6"/>
      <c r="G17" s="6"/>
      <c r="H17" s="6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</row>
    <row r="18" spans="1:53" x14ac:dyDescent="0.25">
      <c r="B18" s="7" t="s">
        <v>8</v>
      </c>
      <c r="C18" s="7" t="s">
        <v>12</v>
      </c>
      <c r="I18" t="s">
        <v>1</v>
      </c>
      <c r="N18" t="s">
        <v>2</v>
      </c>
      <c r="S18" t="s">
        <v>3</v>
      </c>
      <c r="AX18">
        <v>2050</v>
      </c>
    </row>
    <row r="19" spans="1:53" x14ac:dyDescent="0.25">
      <c r="A19" s="32" t="s">
        <v>90</v>
      </c>
      <c r="B19" s="7" t="s">
        <v>52</v>
      </c>
      <c r="C19" s="7" t="s">
        <v>55</v>
      </c>
      <c r="I19" s="1">
        <v>30.015658451371763</v>
      </c>
      <c r="J19" s="1">
        <v>30.069211987833313</v>
      </c>
      <c r="K19" s="1">
        <v>29.046903074402564</v>
      </c>
      <c r="L19" s="1">
        <v>28.23512302549743</v>
      </c>
      <c r="M19" s="1">
        <v>28.725671877967937</v>
      </c>
      <c r="N19" s="1">
        <v>29.003392201070348</v>
      </c>
      <c r="O19" s="1">
        <v>28.761486402795164</v>
      </c>
      <c r="P19" s="1">
        <v>29.033235553166339</v>
      </c>
      <c r="Q19" s="1">
        <v>28.991728545910767</v>
      </c>
      <c r="R19" s="1">
        <v>28.77776821153828</v>
      </c>
      <c r="S19" s="1">
        <v>29.34313577185593</v>
      </c>
      <c r="T19" s="1">
        <v>28.575035409388253</v>
      </c>
      <c r="U19" s="3"/>
      <c r="V19" s="2">
        <f>S19/I19-1</f>
        <v>-2.2405728017107607E-2</v>
      </c>
      <c r="W19" s="3">
        <f>S19-I19</f>
        <v>-0.67252267951583278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BA19" s="2"/>
    </row>
    <row r="20" spans="1:53" x14ac:dyDescent="0.25">
      <c r="A20" s="32" t="s">
        <v>57</v>
      </c>
      <c r="B20" s="7" t="s">
        <v>54</v>
      </c>
      <c r="C20" s="7" t="s">
        <v>55</v>
      </c>
      <c r="I20" s="1">
        <v>22.224</v>
      </c>
      <c r="J20" s="1">
        <v>22.457000000000001</v>
      </c>
      <c r="K20" s="1">
        <v>22.001999999999999</v>
      </c>
      <c r="L20" s="1">
        <v>21.686</v>
      </c>
      <c r="M20" s="1">
        <v>21.745999999999999</v>
      </c>
      <c r="N20" s="1">
        <v>22.568999999999999</v>
      </c>
      <c r="O20" s="1">
        <v>22.946000000000002</v>
      </c>
      <c r="P20" s="1">
        <v>22.824000000000002</v>
      </c>
      <c r="Q20" s="1">
        <v>23.222999999999999</v>
      </c>
      <c r="R20" s="1">
        <v>22.995999999999999</v>
      </c>
      <c r="S20" s="1">
        <v>23.219000000000001</v>
      </c>
      <c r="T20" s="1"/>
      <c r="U20" s="3"/>
      <c r="V20" s="2">
        <f>S20/I20-1</f>
        <v>4.4771418286537079E-2</v>
      </c>
      <c r="W20" s="3">
        <f>S20-I20</f>
        <v>0.99500000000000099</v>
      </c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BA20" s="2"/>
    </row>
    <row r="21" spans="1:53" x14ac:dyDescent="0.25">
      <c r="A21" t="s">
        <v>92</v>
      </c>
      <c r="I21" s="38">
        <f t="shared" ref="I21:S21" si="2">I19/I20</f>
        <v>1.3505965825851225</v>
      </c>
      <c r="J21" s="38">
        <f t="shared" si="2"/>
        <v>1.3389683389514766</v>
      </c>
      <c r="K21" s="38">
        <f t="shared" si="2"/>
        <v>1.3201937584947989</v>
      </c>
      <c r="L21" s="38">
        <f t="shared" si="2"/>
        <v>1.3019977416534829</v>
      </c>
      <c r="M21" s="38">
        <f t="shared" si="2"/>
        <v>1.3209634819262366</v>
      </c>
      <c r="N21" s="38">
        <f t="shared" si="2"/>
        <v>1.2850986840830496</v>
      </c>
      <c r="O21" s="38">
        <f t="shared" si="2"/>
        <v>1.2534422732848933</v>
      </c>
      <c r="P21" s="38">
        <f t="shared" si="2"/>
        <v>1.2720485258134568</v>
      </c>
      <c r="Q21" s="38">
        <f t="shared" si="2"/>
        <v>1.2484058280976087</v>
      </c>
      <c r="R21" s="38">
        <f t="shared" si="2"/>
        <v>1.2514249526673458</v>
      </c>
      <c r="S21" s="38">
        <f t="shared" si="2"/>
        <v>1.2637553629293221</v>
      </c>
      <c r="T21" s="1"/>
      <c r="V21" s="2">
        <f>S21/I21-1</f>
        <v>-6.4298415067496451E-2</v>
      </c>
    </row>
    <row r="23" spans="1:53" x14ac:dyDescent="0.25">
      <c r="A23" t="s">
        <v>120</v>
      </c>
      <c r="I23" s="1">
        <f>AVERAGE(S21-R21,R21-Q21,Q21-P21,P21-O21)*1000</f>
        <v>2.5782724111071964</v>
      </c>
    </row>
    <row r="43" spans="1:9" x14ac:dyDescent="0.25">
      <c r="A43" t="s">
        <v>106</v>
      </c>
      <c r="I43" s="38">
        <f>(S5-O5)/4*1000</f>
        <v>-9.2814095495400988</v>
      </c>
    </row>
    <row r="44" spans="1:9" x14ac:dyDescent="0.25">
      <c r="A44" t="s">
        <v>233</v>
      </c>
      <c r="I44" s="38">
        <f>(S13-O13)/4*1000</f>
        <v>-73.05914024353477</v>
      </c>
    </row>
    <row r="45" spans="1:9" x14ac:dyDescent="0.25">
      <c r="A45" t="s">
        <v>234</v>
      </c>
      <c r="I45" s="38">
        <f>(S21-O21)/4*1000</f>
        <v>2.5782724111071964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6D2B5-D39E-47D8-A45C-26BBB9BE9097}">
  <sheetPr>
    <outlinePr summaryBelow="0"/>
  </sheetPr>
  <dimension ref="A1:AR16"/>
  <sheetViews>
    <sheetView showGridLines="0" zoomScale="145" zoomScaleNormal="145" workbookViewId="0">
      <selection activeCell="D33" sqref="D33"/>
    </sheetView>
  </sheetViews>
  <sheetFormatPr defaultRowHeight="15" x14ac:dyDescent="0.25"/>
  <cols>
    <col min="1" max="1" width="25.85546875" bestFit="1" customWidth="1"/>
    <col min="2" max="2" width="20.42578125" style="7" customWidth="1"/>
    <col min="3" max="8" width="8.5703125" style="7" customWidth="1"/>
    <col min="9" max="9" width="12" bestFit="1" customWidth="1"/>
    <col min="10" max="19" width="10.7109375" bestFit="1" customWidth="1"/>
    <col min="20" max="20" width="10.140625" bestFit="1" customWidth="1"/>
  </cols>
  <sheetData>
    <row r="1" spans="1:44" x14ac:dyDescent="0.25">
      <c r="A1" s="4" t="s">
        <v>86</v>
      </c>
      <c r="B1" s="6"/>
      <c r="C1" s="6"/>
      <c r="D1" s="6"/>
      <c r="E1" s="6"/>
      <c r="F1" s="6"/>
      <c r="G1" s="6"/>
      <c r="H1" s="6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</row>
    <row r="2" spans="1:44" x14ac:dyDescent="0.25">
      <c r="B2" s="7" t="s">
        <v>8</v>
      </c>
      <c r="C2" s="7" t="s">
        <v>12</v>
      </c>
      <c r="D2" s="7">
        <v>2005</v>
      </c>
      <c r="I2">
        <v>2010</v>
      </c>
      <c r="N2">
        <v>2015</v>
      </c>
      <c r="S2">
        <v>2020</v>
      </c>
      <c r="X2">
        <v>2025</v>
      </c>
      <c r="AC2">
        <v>2030</v>
      </c>
      <c r="AE2" t="s">
        <v>103</v>
      </c>
      <c r="AF2" t="s">
        <v>104</v>
      </c>
      <c r="AR2">
        <v>2050</v>
      </c>
    </row>
    <row r="3" spans="1:44" x14ac:dyDescent="0.25">
      <c r="A3" t="s">
        <v>4</v>
      </c>
      <c r="B3" s="7" t="s">
        <v>52</v>
      </c>
      <c r="C3" s="7" t="s">
        <v>97</v>
      </c>
      <c r="D3" s="1">
        <f>D4+D5</f>
        <v>14.900540568726257</v>
      </c>
      <c r="E3" s="1">
        <f t="shared" ref="E3:T3" si="0">E4+E5</f>
        <v>14.807648426782457</v>
      </c>
      <c r="F3" s="1">
        <f t="shared" si="0"/>
        <v>15.009521238639991</v>
      </c>
      <c r="G3" s="1">
        <f t="shared" si="0"/>
        <v>14.783450700814338</v>
      </c>
      <c r="H3" s="1">
        <f t="shared" si="0"/>
        <v>14.304165762178826</v>
      </c>
      <c r="I3" s="1">
        <f t="shared" si="0"/>
        <v>14.367613177575858</v>
      </c>
      <c r="J3" s="1">
        <f t="shared" si="0"/>
        <v>14.59843905954939</v>
      </c>
      <c r="K3" s="1">
        <f t="shared" si="0"/>
        <v>14.720364920842464</v>
      </c>
      <c r="L3" s="1">
        <f t="shared" si="0"/>
        <v>14.899956503688335</v>
      </c>
      <c r="M3" s="1">
        <f t="shared" si="0"/>
        <v>15.196473858068817</v>
      </c>
      <c r="N3" s="1">
        <f t="shared" si="0"/>
        <v>15.411741270080917</v>
      </c>
      <c r="O3" s="1">
        <f t="shared" si="0"/>
        <v>15.513608025099554</v>
      </c>
      <c r="P3" s="1">
        <f t="shared" si="0"/>
        <v>15.724607247554154</v>
      </c>
      <c r="Q3" s="1">
        <f t="shared" si="0"/>
        <v>15.569135833396725</v>
      </c>
      <c r="R3" s="1">
        <f t="shared" si="0"/>
        <v>15.053402931932506</v>
      </c>
      <c r="S3" s="1">
        <f t="shared" si="0"/>
        <v>15.238611094478252</v>
      </c>
      <c r="T3" s="1">
        <f t="shared" si="0"/>
        <v>15.009539692089181</v>
      </c>
      <c r="V3" s="2"/>
      <c r="AE3" s="2">
        <f>P3/H3-1</f>
        <v>9.9302644347919244E-2</v>
      </c>
      <c r="AF3" s="2">
        <f>T3/P3-1</f>
        <v>-4.5474430248564457E-2</v>
      </c>
    </row>
    <row r="4" spans="1:44" x14ac:dyDescent="0.25">
      <c r="A4" t="s">
        <v>93</v>
      </c>
      <c r="B4" s="7" t="s">
        <v>52</v>
      </c>
      <c r="C4" s="7" t="s">
        <v>97</v>
      </c>
      <c r="D4" s="1">
        <v>9.972314315540503</v>
      </c>
      <c r="E4" s="1">
        <v>9.8864533936740138</v>
      </c>
      <c r="F4" s="1">
        <v>10.015004471145598</v>
      </c>
      <c r="G4" s="1">
        <v>9.8337052097925337</v>
      </c>
      <c r="H4" s="1">
        <v>9.3564788551271949</v>
      </c>
      <c r="I4" s="1">
        <v>9.4495828476846739</v>
      </c>
      <c r="J4" s="1">
        <v>9.6150922497303739</v>
      </c>
      <c r="K4" s="1">
        <v>9.7296805559994581</v>
      </c>
      <c r="L4" s="1">
        <v>9.8513727146858425</v>
      </c>
      <c r="M4" s="1">
        <v>10.06780302304376</v>
      </c>
      <c r="N4" s="1">
        <v>10.243902261147205</v>
      </c>
      <c r="O4" s="1">
        <v>10.344739177168147</v>
      </c>
      <c r="P4" s="1">
        <v>10.500076044018597</v>
      </c>
      <c r="Q4" s="1">
        <v>10.354157828782753</v>
      </c>
      <c r="R4" s="1">
        <v>9.8697320529513259</v>
      </c>
      <c r="S4" s="1">
        <v>9.9890406282045188</v>
      </c>
      <c r="T4" s="1">
        <v>9.8448345997613629</v>
      </c>
      <c r="V4" s="2"/>
      <c r="AE4" s="2">
        <f>P4/H4-1</f>
        <v>0.12222516681740059</v>
      </c>
      <c r="AF4" s="2">
        <f>T4/P4-1</f>
        <v>-6.2403495128065645E-2</v>
      </c>
    </row>
    <row r="5" spans="1:44" x14ac:dyDescent="0.25">
      <c r="A5" t="s">
        <v>94</v>
      </c>
      <c r="B5" s="7" t="s">
        <v>52</v>
      </c>
      <c r="C5" s="7" t="s">
        <v>97</v>
      </c>
      <c r="D5" s="1">
        <v>4.9282262531857537</v>
      </c>
      <c r="E5" s="1">
        <v>4.9211950331084431</v>
      </c>
      <c r="F5" s="1">
        <v>4.9945167674943916</v>
      </c>
      <c r="G5" s="1">
        <v>4.9497454910218037</v>
      </c>
      <c r="H5" s="1">
        <v>4.9476869070516303</v>
      </c>
      <c r="I5" s="1">
        <v>4.9180303298911836</v>
      </c>
      <c r="J5" s="1">
        <v>4.9833468098190163</v>
      </c>
      <c r="K5" s="1">
        <v>4.9906843648430064</v>
      </c>
      <c r="L5" s="1">
        <v>5.0485837890024925</v>
      </c>
      <c r="M5" s="1">
        <v>5.1286708350250558</v>
      </c>
      <c r="N5" s="1">
        <v>5.1678390089337114</v>
      </c>
      <c r="O5" s="1">
        <v>5.1688688479314058</v>
      </c>
      <c r="P5" s="1">
        <v>5.2245312035355571</v>
      </c>
      <c r="Q5" s="1">
        <v>5.2149780046139727</v>
      </c>
      <c r="R5" s="1">
        <v>5.1836708789811796</v>
      </c>
      <c r="S5" s="1">
        <v>5.2495704662737328</v>
      </c>
      <c r="T5" s="1">
        <v>5.164705092327817</v>
      </c>
      <c r="V5" s="2"/>
      <c r="AE5" s="2">
        <f>P5/H5-1</f>
        <v>5.5954287667103086E-2</v>
      </c>
      <c r="AF5" s="2">
        <f>T5/P5-1</f>
        <v>-1.1451000841425585E-2</v>
      </c>
    </row>
    <row r="6" spans="1:44" x14ac:dyDescent="0.25">
      <c r="A6" t="s">
        <v>95</v>
      </c>
      <c r="B6" s="7" t="s">
        <v>11</v>
      </c>
      <c r="C6" s="7" t="s">
        <v>98</v>
      </c>
      <c r="D6" s="34">
        <f>D3/'3. crop area and production'!D3*1000</f>
        <v>117.45414277323222</v>
      </c>
      <c r="E6" s="34">
        <f>E3/'3. crop area and production'!E3*1000</f>
        <v>117.06762695142443</v>
      </c>
      <c r="F6" s="34">
        <f>F3/'3. crop area and production'!F3*1000</f>
        <v>119.07668195932278</v>
      </c>
      <c r="G6" s="34">
        <f>G3/'3. crop area and production'!G3*1000</f>
        <v>117.60877346667201</v>
      </c>
      <c r="H6" s="34">
        <f>H3/'3. crop area and production'!H3*1000</f>
        <v>114.22170591443818</v>
      </c>
      <c r="I6" s="34">
        <f>I3/'3. crop area and production'!I3*1000</f>
        <v>115.33004819908989</v>
      </c>
      <c r="J6" s="34">
        <f>J3/'3. crop area and production'!J3*1000</f>
        <v>117.52718319131478</v>
      </c>
      <c r="K6" s="34">
        <f>K3/'3. crop area and production'!K3*1000</f>
        <v>118.79542266771342</v>
      </c>
      <c r="L6" s="34">
        <f>L3/'3. crop area and production'!L3*1000</f>
        <v>120.43704194060963</v>
      </c>
      <c r="M6" s="34">
        <f>M3/'3. crop area and production'!M3*1000</f>
        <v>123.27313660835372</v>
      </c>
      <c r="N6" s="34">
        <f>N3/'3. crop area and production'!N3*1000</f>
        <v>125.24701658522264</v>
      </c>
      <c r="O6" s="34">
        <f>O3/'3. crop area and production'!O3*1000</f>
        <v>126.38588491738248</v>
      </c>
      <c r="P6" s="34">
        <f>P3/'3. crop area and production'!P3*1000</f>
        <v>130.02691134295631</v>
      </c>
      <c r="Q6" s="34">
        <f>Q3/'3. crop area and production'!Q3*1000</f>
        <v>127.91561418034603</v>
      </c>
      <c r="R6" s="34">
        <f>R3/'3. crop area and production'!R3*1000</f>
        <v>124.05878138211972</v>
      </c>
      <c r="S6" s="34">
        <f>S3/'3. crop area and production'!S3*1000</f>
        <v>125.62770833731746</v>
      </c>
      <c r="T6" s="34">
        <f>T3/'3. crop area and production'!T3*1000</f>
        <v>124.11401163265475</v>
      </c>
      <c r="V6" s="2"/>
      <c r="AE6" s="2">
        <f>P6/H6-1</f>
        <v>0.13837304654123783</v>
      </c>
      <c r="AF6" s="2">
        <f>T6/P6-1</f>
        <v>-4.5474430248564568E-2</v>
      </c>
    </row>
    <row r="7" spans="1:44" x14ac:dyDescent="0.25">
      <c r="A7" t="s">
        <v>7</v>
      </c>
      <c r="B7" s="7" t="s">
        <v>96</v>
      </c>
      <c r="C7" s="7" t="s">
        <v>97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2"/>
      <c r="AC7">
        <f>0.8*S3</f>
        <v>12.190888875582601</v>
      </c>
    </row>
    <row r="8" spans="1:44" x14ac:dyDescent="0.25">
      <c r="A8" t="s">
        <v>10</v>
      </c>
      <c r="B8" s="7" t="s">
        <v>11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>
        <v>15.009539692089181</v>
      </c>
      <c r="U8" s="1">
        <v>14.696356268032893</v>
      </c>
      <c r="V8" s="1">
        <v>14.383172843976606</v>
      </c>
      <c r="W8" s="1">
        <v>14.06998941992032</v>
      </c>
      <c r="X8" s="1">
        <v>13.756805995864035</v>
      </c>
      <c r="Y8" s="1">
        <v>13.443622571807747</v>
      </c>
      <c r="Z8" s="1">
        <v>13.13043914775146</v>
      </c>
      <c r="AA8" s="1">
        <v>12.817255723695174</v>
      </c>
      <c r="AB8" s="1">
        <v>12.504072299638889</v>
      </c>
      <c r="AC8" s="1">
        <v>12.190888875582601</v>
      </c>
    </row>
    <row r="11" spans="1:44" x14ac:dyDescent="0.25">
      <c r="A11" t="s">
        <v>99</v>
      </c>
      <c r="D11" s="39">
        <f>D4/D3</f>
        <v>0.66925855941567136</v>
      </c>
      <c r="E11" s="39">
        <f t="shared" ref="E11:T11" si="1">E4/E3</f>
        <v>0.66765857134968687</v>
      </c>
      <c r="F11" s="39">
        <f t="shared" si="1"/>
        <v>0.66724343247959961</v>
      </c>
      <c r="G11" s="39">
        <f t="shared" si="1"/>
        <v>0.66518334648695043</v>
      </c>
      <c r="H11" s="39">
        <f t="shared" si="1"/>
        <v>0.65410867090664959</v>
      </c>
      <c r="I11" s="39">
        <f t="shared" si="1"/>
        <v>0.65770025479479344</v>
      </c>
      <c r="J11" s="39">
        <f t="shared" si="1"/>
        <v>0.65863837979587136</v>
      </c>
      <c r="K11" s="39">
        <f t="shared" si="1"/>
        <v>0.66096734750259278</v>
      </c>
      <c r="L11" s="39">
        <f t="shared" si="1"/>
        <v>0.6611678840973283</v>
      </c>
      <c r="M11" s="39">
        <f t="shared" si="1"/>
        <v>0.66250915291760892</v>
      </c>
      <c r="N11" s="39">
        <f t="shared" si="1"/>
        <v>0.66468169181076719</v>
      </c>
      <c r="O11" s="39">
        <f t="shared" si="1"/>
        <v>0.66681710408251482</v>
      </c>
      <c r="P11" s="39">
        <f t="shared" si="1"/>
        <v>0.66774806382854524</v>
      </c>
      <c r="Q11" s="39">
        <f t="shared" si="1"/>
        <v>0.66504383670238565</v>
      </c>
      <c r="R11" s="39">
        <f t="shared" si="1"/>
        <v>0.65564790217731073</v>
      </c>
      <c r="S11" s="39">
        <f t="shared" si="1"/>
        <v>0.65550860024402569</v>
      </c>
      <c r="T11" s="39">
        <f t="shared" si="1"/>
        <v>0.65590516443019964</v>
      </c>
    </row>
    <row r="12" spans="1:44" x14ac:dyDescent="0.25">
      <c r="A12" t="s">
        <v>100</v>
      </c>
      <c r="D12" s="39">
        <f>D5/D3</f>
        <v>0.33074144058432864</v>
      </c>
      <c r="E12" s="39">
        <f t="shared" ref="E12:T12" si="2">E5/E3</f>
        <v>0.33234142865031313</v>
      </c>
      <c r="F12" s="39">
        <f t="shared" si="2"/>
        <v>0.33275656752040039</v>
      </c>
      <c r="G12" s="39">
        <f t="shared" si="2"/>
        <v>0.33481665351304957</v>
      </c>
      <c r="H12" s="39">
        <f t="shared" si="2"/>
        <v>0.3458913290933503</v>
      </c>
      <c r="I12" s="39">
        <f t="shared" si="2"/>
        <v>0.34229974520520651</v>
      </c>
      <c r="J12" s="39">
        <f t="shared" si="2"/>
        <v>0.34136162020412869</v>
      </c>
      <c r="K12" s="39">
        <f t="shared" si="2"/>
        <v>0.33903265249740722</v>
      </c>
      <c r="L12" s="39">
        <f t="shared" si="2"/>
        <v>0.33883211590267165</v>
      </c>
      <c r="M12" s="39">
        <f t="shared" si="2"/>
        <v>0.33749084708239102</v>
      </c>
      <c r="N12" s="39">
        <f t="shared" si="2"/>
        <v>0.33531830818923281</v>
      </c>
      <c r="O12" s="39">
        <f t="shared" si="2"/>
        <v>0.33318289591748507</v>
      </c>
      <c r="P12" s="39">
        <f t="shared" si="2"/>
        <v>0.33225193617145471</v>
      </c>
      <c r="Q12" s="39">
        <f t="shared" si="2"/>
        <v>0.33495616329761435</v>
      </c>
      <c r="R12" s="39">
        <f t="shared" si="2"/>
        <v>0.34435209782268927</v>
      </c>
      <c r="S12" s="39">
        <f t="shared" si="2"/>
        <v>0.34449139975597431</v>
      </c>
      <c r="T12" s="39">
        <f t="shared" si="2"/>
        <v>0.34409483556980025</v>
      </c>
    </row>
    <row r="13" spans="1:44" x14ac:dyDescent="0.25"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44" x14ac:dyDescent="0.25">
      <c r="A14" t="s">
        <v>101</v>
      </c>
      <c r="D14" s="33">
        <f>AVERAGE(T3-S3,S3-R3,R3-Q3,Q3-P3)*1000</f>
        <v>-178.76688886624325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44" x14ac:dyDescent="0.25">
      <c r="A15" t="s">
        <v>102</v>
      </c>
      <c r="D15" s="33">
        <f>(U8-T8)*1000</f>
        <v>-313.18342405628744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44" x14ac:dyDescent="0.25">
      <c r="D16" s="7">
        <f>D15/D14</f>
        <v>1.7519095736493864</v>
      </c>
      <c r="F16" s="52"/>
    </row>
  </sheetData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7AD06-7040-419A-A5CC-7A4791D74F97}">
  <sheetPr>
    <outlinePr summaryBelow="0"/>
  </sheetPr>
  <dimension ref="A1:AR61"/>
  <sheetViews>
    <sheetView showGridLines="0" zoomScale="66" zoomScaleNormal="66" workbookViewId="0">
      <selection activeCell="D18" sqref="D18"/>
    </sheetView>
  </sheetViews>
  <sheetFormatPr defaultRowHeight="15" x14ac:dyDescent="0.25"/>
  <cols>
    <col min="1" max="1" width="25.85546875" customWidth="1"/>
    <col min="2" max="2" width="41.140625" style="7" customWidth="1"/>
    <col min="3" max="3" width="8.5703125" style="7" customWidth="1"/>
    <col min="4" max="4" width="12" bestFit="1" customWidth="1"/>
    <col min="5" max="14" width="10.7109375" bestFit="1" customWidth="1"/>
    <col min="15" max="15" width="10.140625" bestFit="1" customWidth="1"/>
  </cols>
  <sheetData>
    <row r="1" spans="1:44" s="5" customFormat="1" x14ac:dyDescent="0.25">
      <c r="A1" s="4" t="s">
        <v>112</v>
      </c>
      <c r="B1" s="6"/>
      <c r="C1" s="6"/>
    </row>
    <row r="2" spans="1:44" s="42" customFormat="1" x14ac:dyDescent="0.25">
      <c r="A2" s="40" t="s">
        <v>105</v>
      </c>
      <c r="B2" s="41"/>
      <c r="C2" s="41"/>
    </row>
    <row r="3" spans="1:44" ht="14.25" customHeight="1" x14ac:dyDescent="0.25">
      <c r="B3" s="7" t="s">
        <v>8</v>
      </c>
      <c r="C3" s="7" t="s">
        <v>12</v>
      </c>
      <c r="D3" s="32" t="s">
        <v>179</v>
      </c>
      <c r="N3" s="32" t="s">
        <v>180</v>
      </c>
      <c r="X3" t="s">
        <v>181</v>
      </c>
      <c r="AH3" t="s">
        <v>182</v>
      </c>
      <c r="AR3" t="s">
        <v>183</v>
      </c>
    </row>
    <row r="4" spans="1:44" x14ac:dyDescent="0.25">
      <c r="A4" t="s">
        <v>108</v>
      </c>
      <c r="B4" s="7" t="s">
        <v>54</v>
      </c>
      <c r="C4" s="7" t="s">
        <v>118</v>
      </c>
      <c r="D4" s="1">
        <v>61.35</v>
      </c>
      <c r="E4" s="1">
        <v>58.61</v>
      </c>
      <c r="F4" s="1">
        <v>57.58</v>
      </c>
      <c r="G4" s="1">
        <v>55.36</v>
      </c>
      <c r="H4" s="1">
        <v>52.58</v>
      </c>
      <c r="I4" s="1">
        <v>51.75</v>
      </c>
      <c r="J4" s="1">
        <v>52.15</v>
      </c>
      <c r="K4" s="1">
        <v>51.15</v>
      </c>
      <c r="L4" s="1">
        <v>52.93</v>
      </c>
      <c r="M4" s="1">
        <v>53.35</v>
      </c>
      <c r="N4" s="1">
        <v>52.12</v>
      </c>
      <c r="O4" s="1"/>
      <c r="Q4" s="2"/>
      <c r="Z4" s="2"/>
      <c r="AA4" s="2"/>
    </row>
    <row r="5" spans="1:44" x14ac:dyDescent="0.25">
      <c r="A5" t="s">
        <v>109</v>
      </c>
      <c r="B5" s="7" t="s">
        <v>119</v>
      </c>
      <c r="C5" s="7" t="s">
        <v>118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Q5" s="2"/>
      <c r="Z5" s="2"/>
      <c r="AA5" s="2"/>
      <c r="AR5">
        <v>48</v>
      </c>
    </row>
    <row r="6" spans="1:44" x14ac:dyDescent="0.25">
      <c r="A6" t="s">
        <v>10</v>
      </c>
      <c r="C6" s="7" t="s">
        <v>118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>
        <v>52.120000000000005</v>
      </c>
      <c r="O6" s="34">
        <v>51.982666666666667</v>
      </c>
      <c r="P6" s="34">
        <v>51.845333333333336</v>
      </c>
      <c r="Q6" s="34">
        <v>51.708000000000006</v>
      </c>
      <c r="R6" s="34">
        <v>51.570666666666668</v>
      </c>
      <c r="S6" s="34">
        <v>51.433333333333337</v>
      </c>
      <c r="T6" s="34">
        <v>51.295999999999999</v>
      </c>
      <c r="U6" s="34">
        <v>51.158666666666669</v>
      </c>
      <c r="V6" s="34">
        <v>51.021333333333338</v>
      </c>
      <c r="W6" s="34">
        <v>50.884</v>
      </c>
      <c r="X6" s="34">
        <v>50.74666666666667</v>
      </c>
      <c r="Y6" s="34">
        <v>50.609333333333339</v>
      </c>
      <c r="Z6" s="34">
        <v>50.472000000000001</v>
      </c>
      <c r="AA6" s="34">
        <v>50.334666666666671</v>
      </c>
      <c r="AB6" s="34">
        <v>50.197333333333333</v>
      </c>
      <c r="AC6" s="34">
        <v>50.06</v>
      </c>
      <c r="AD6" s="34">
        <v>49.922666666666672</v>
      </c>
      <c r="AE6" s="34">
        <v>49.785333333333334</v>
      </c>
      <c r="AF6" s="34">
        <v>49.648000000000003</v>
      </c>
      <c r="AG6" s="34">
        <v>49.510666666666673</v>
      </c>
      <c r="AH6" s="34">
        <v>49.373333333333335</v>
      </c>
      <c r="AI6" s="34">
        <v>49.236000000000004</v>
      </c>
      <c r="AJ6" s="34">
        <v>49.098666666666674</v>
      </c>
      <c r="AK6" s="34">
        <v>48.961333333333336</v>
      </c>
      <c r="AL6" s="34">
        <v>48.824000000000005</v>
      </c>
      <c r="AM6" s="34">
        <v>48.686666666666667</v>
      </c>
      <c r="AN6" s="34">
        <v>48.549333333333337</v>
      </c>
      <c r="AO6" s="34">
        <v>48.412000000000006</v>
      </c>
      <c r="AP6" s="34">
        <v>48.274666666666668</v>
      </c>
      <c r="AQ6" s="34">
        <v>48.137333333333338</v>
      </c>
      <c r="AR6" s="34">
        <v>48.000000000000007</v>
      </c>
    </row>
    <row r="7" spans="1:44" x14ac:dyDescent="0.25">
      <c r="D7" s="1"/>
      <c r="E7" s="1"/>
      <c r="F7" s="1"/>
      <c r="G7" s="1"/>
      <c r="H7" s="1"/>
      <c r="I7" s="1"/>
      <c r="J7" s="1"/>
      <c r="K7" s="1"/>
      <c r="L7" s="1"/>
      <c r="M7" s="1"/>
      <c r="N7" s="1"/>
      <c r="Q7" s="2"/>
    </row>
    <row r="8" spans="1:44" x14ac:dyDescent="0.25">
      <c r="A8" t="s">
        <v>120</v>
      </c>
      <c r="D8" s="44">
        <f>AVERAGE(N4-M4,M4-L4,L4-K4,K4-J4)*365</f>
        <v>-2.7375000000001037</v>
      </c>
      <c r="E8" s="1"/>
      <c r="F8" s="1"/>
      <c r="G8" s="1"/>
      <c r="H8" s="1"/>
      <c r="I8" s="1"/>
      <c r="J8" s="1"/>
      <c r="K8" s="1"/>
      <c r="L8" s="1"/>
      <c r="M8" s="1"/>
      <c r="N8" s="1"/>
      <c r="Q8" s="2"/>
    </row>
    <row r="9" spans="1:44" x14ac:dyDescent="0.25">
      <c r="A9" t="s">
        <v>121</v>
      </c>
      <c r="D9" s="44">
        <f>(P6-O6)*365</f>
        <v>-50.126666666665685</v>
      </c>
      <c r="E9" s="1"/>
      <c r="F9" s="1"/>
      <c r="G9" s="1"/>
      <c r="H9" s="1"/>
      <c r="I9" s="1"/>
      <c r="J9" s="1"/>
      <c r="K9" s="1"/>
      <c r="L9" s="1"/>
      <c r="M9" s="1"/>
      <c r="N9" s="45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44" x14ac:dyDescent="0.25">
      <c r="A10" t="s">
        <v>122</v>
      </c>
      <c r="D10" s="44">
        <f>D9/D8</f>
        <v>18.311111111110058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2" spans="1:44" s="42" customFormat="1" x14ac:dyDescent="0.25">
      <c r="A12" s="40" t="s">
        <v>106</v>
      </c>
      <c r="B12" s="41"/>
      <c r="C12" s="41"/>
    </row>
    <row r="13" spans="1:44" ht="14.25" customHeight="1" x14ac:dyDescent="0.25">
      <c r="B13" s="7" t="s">
        <v>8</v>
      </c>
      <c r="C13" s="7" t="s">
        <v>12</v>
      </c>
      <c r="D13" s="32" t="s">
        <v>179</v>
      </c>
      <c r="N13" s="32" t="s">
        <v>180</v>
      </c>
      <c r="X13" t="s">
        <v>181</v>
      </c>
      <c r="AH13" t="s">
        <v>182</v>
      </c>
      <c r="AR13" t="s">
        <v>183</v>
      </c>
    </row>
    <row r="14" spans="1:44" x14ac:dyDescent="0.25">
      <c r="A14" t="s">
        <v>108</v>
      </c>
      <c r="B14" s="7" t="s">
        <v>54</v>
      </c>
      <c r="C14" s="7" t="s">
        <v>118</v>
      </c>
      <c r="D14" s="1">
        <v>445.86</v>
      </c>
      <c r="E14" s="1">
        <v>449.11</v>
      </c>
      <c r="F14" s="1">
        <v>445.83</v>
      </c>
      <c r="G14" s="1">
        <v>446.01</v>
      </c>
      <c r="H14" s="1">
        <v>448.15</v>
      </c>
      <c r="I14" s="1">
        <v>454.4</v>
      </c>
      <c r="J14" s="1">
        <v>459.88</v>
      </c>
      <c r="K14" s="1">
        <v>464.47999999999996</v>
      </c>
      <c r="L14" s="1">
        <v>475.64</v>
      </c>
      <c r="M14" s="1">
        <v>535.85</v>
      </c>
      <c r="N14" s="1">
        <v>545.11</v>
      </c>
      <c r="O14" s="1">
        <v>550.38</v>
      </c>
      <c r="Q14" s="2"/>
      <c r="Z14" s="2"/>
      <c r="AA14" s="2"/>
    </row>
    <row r="15" spans="1:44" x14ac:dyDescent="0.25">
      <c r="A15" t="s">
        <v>109</v>
      </c>
      <c r="B15" s="7" t="s">
        <v>119</v>
      </c>
      <c r="C15" s="7" t="s">
        <v>118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Q15" s="2"/>
      <c r="Z15" s="2"/>
      <c r="AA15" s="2"/>
      <c r="AR15">
        <v>301</v>
      </c>
    </row>
    <row r="16" spans="1:44" x14ac:dyDescent="0.25">
      <c r="A16" t="s">
        <v>10</v>
      </c>
      <c r="C16" s="7" t="s">
        <v>118</v>
      </c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>
        <v>472.94</v>
      </c>
      <c r="O16" s="34">
        <v>467.20866666666666</v>
      </c>
      <c r="P16" s="34">
        <v>461.47733333333332</v>
      </c>
      <c r="Q16" s="34">
        <v>455.74599999999998</v>
      </c>
      <c r="R16" s="34">
        <v>450.0146666666667</v>
      </c>
      <c r="S16" s="34">
        <v>444.28333333333336</v>
      </c>
      <c r="T16" s="34">
        <v>438.55200000000002</v>
      </c>
      <c r="U16" s="34">
        <v>432.82066666666668</v>
      </c>
      <c r="V16" s="34">
        <v>427.08933333333334</v>
      </c>
      <c r="W16" s="34">
        <v>421.358</v>
      </c>
      <c r="X16" s="34">
        <v>415.62666666666667</v>
      </c>
      <c r="Y16" s="34">
        <v>409.89533333333333</v>
      </c>
      <c r="Z16" s="34">
        <v>404.16399999999999</v>
      </c>
      <c r="AA16" s="34">
        <v>398.43266666666671</v>
      </c>
      <c r="AB16" s="34">
        <v>392.70133333333337</v>
      </c>
      <c r="AC16" s="34">
        <v>386.97</v>
      </c>
      <c r="AD16" s="34">
        <v>381.23866666666669</v>
      </c>
      <c r="AE16" s="34">
        <v>375.50733333333335</v>
      </c>
      <c r="AF16" s="34">
        <v>369.77600000000001</v>
      </c>
      <c r="AG16" s="34">
        <v>364.04466666666667</v>
      </c>
      <c r="AH16" s="34">
        <v>358.31333333333333</v>
      </c>
      <c r="AI16" s="34">
        <v>352.58199999999999</v>
      </c>
      <c r="AJ16" s="34">
        <v>346.85066666666671</v>
      </c>
      <c r="AK16" s="34">
        <v>341.11933333333332</v>
      </c>
      <c r="AL16" s="34">
        <v>335.38800000000003</v>
      </c>
      <c r="AM16" s="34">
        <v>329.65666666666669</v>
      </c>
      <c r="AN16" s="34">
        <v>323.92533333333336</v>
      </c>
      <c r="AO16" s="34">
        <v>318.19400000000002</v>
      </c>
      <c r="AP16" s="34">
        <v>312.46266666666668</v>
      </c>
      <c r="AQ16" s="34">
        <v>306.7313333333334</v>
      </c>
      <c r="AR16" s="34">
        <v>301</v>
      </c>
    </row>
    <row r="18" spans="1:44" x14ac:dyDescent="0.25">
      <c r="A18" t="s">
        <v>120</v>
      </c>
      <c r="D18" s="44">
        <f>AVERAGE(N14-M14,M14-L14,L14-K14,K14-J14)*365</f>
        <v>7777.237500000002</v>
      </c>
    </row>
    <row r="19" spans="1:44" x14ac:dyDescent="0.25">
      <c r="A19" t="s">
        <v>121</v>
      </c>
      <c r="D19" s="44">
        <f>(P16-O16)*365</f>
        <v>-2091.9366666666688</v>
      </c>
    </row>
    <row r="20" spans="1:44" x14ac:dyDescent="0.25">
      <c r="A20" t="s">
        <v>122</v>
      </c>
      <c r="D20" s="44">
        <f>D19/D18</f>
        <v>-0.26898197035472665</v>
      </c>
    </row>
    <row r="22" spans="1:44" s="42" customFormat="1" x14ac:dyDescent="0.25">
      <c r="A22" s="40" t="s">
        <v>107</v>
      </c>
      <c r="B22" s="41"/>
      <c r="C22" s="41"/>
    </row>
    <row r="23" spans="1:44" ht="14.25" customHeight="1" x14ac:dyDescent="0.25">
      <c r="B23" s="7" t="s">
        <v>8</v>
      </c>
      <c r="C23" s="7" t="s">
        <v>12</v>
      </c>
      <c r="D23" s="32" t="s">
        <v>179</v>
      </c>
      <c r="N23" s="32" t="s">
        <v>180</v>
      </c>
      <c r="X23" t="s">
        <v>181</v>
      </c>
      <c r="AH23" t="s">
        <v>182</v>
      </c>
      <c r="AR23" t="s">
        <v>183</v>
      </c>
    </row>
    <row r="24" spans="1:44" x14ac:dyDescent="0.25">
      <c r="A24" t="s">
        <v>108</v>
      </c>
      <c r="B24" s="7" t="s">
        <v>54</v>
      </c>
      <c r="C24" s="7" t="s">
        <v>118</v>
      </c>
      <c r="D24" s="1">
        <v>222.45</v>
      </c>
      <c r="E24" s="1">
        <v>219.28</v>
      </c>
      <c r="F24" s="1">
        <v>214.18</v>
      </c>
      <c r="G24" s="1">
        <v>209.97</v>
      </c>
      <c r="H24" s="1">
        <v>207.18</v>
      </c>
      <c r="I24" s="1">
        <v>212.86</v>
      </c>
      <c r="J24" s="1">
        <v>208.92</v>
      </c>
      <c r="K24" s="1">
        <v>211.2</v>
      </c>
      <c r="L24" s="1">
        <v>215.94</v>
      </c>
      <c r="M24" s="1">
        <v>211.64</v>
      </c>
      <c r="N24" s="1">
        <v>203.79</v>
      </c>
      <c r="O24" s="1"/>
      <c r="Q24" s="2"/>
      <c r="Z24" s="2"/>
      <c r="AA24" s="2"/>
    </row>
    <row r="25" spans="1:44" x14ac:dyDescent="0.25">
      <c r="A25" t="s">
        <v>109</v>
      </c>
      <c r="B25" s="7" t="s">
        <v>119</v>
      </c>
      <c r="C25" s="7" t="s">
        <v>118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Q25" s="2"/>
      <c r="Z25" s="2"/>
      <c r="AA25" s="2"/>
      <c r="AR25">
        <v>187</v>
      </c>
    </row>
    <row r="26" spans="1:44" x14ac:dyDescent="0.25">
      <c r="A26" t="s">
        <v>10</v>
      </c>
      <c r="C26" s="7" t="s">
        <v>118</v>
      </c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>
        <v>203.79</v>
      </c>
      <c r="O26" s="34">
        <v>203.23033333333331</v>
      </c>
      <c r="P26" s="34">
        <v>202.67066666666665</v>
      </c>
      <c r="Q26" s="34">
        <v>202.11099999999999</v>
      </c>
      <c r="R26" s="34">
        <v>201.55133333333333</v>
      </c>
      <c r="S26" s="34">
        <v>200.99166666666665</v>
      </c>
      <c r="T26" s="34">
        <v>200.43199999999999</v>
      </c>
      <c r="U26" s="34">
        <v>199.87233333333333</v>
      </c>
      <c r="V26" s="34">
        <v>199.31266666666664</v>
      </c>
      <c r="W26" s="34">
        <v>198.75299999999999</v>
      </c>
      <c r="X26" s="34">
        <v>198.19333333333333</v>
      </c>
      <c r="Y26" s="34">
        <v>197.63366666666664</v>
      </c>
      <c r="Z26" s="34">
        <v>197.07399999999998</v>
      </c>
      <c r="AA26" s="34">
        <v>196.51433333333333</v>
      </c>
      <c r="AB26" s="34">
        <v>195.95466666666667</v>
      </c>
      <c r="AC26" s="34">
        <v>195.39499999999998</v>
      </c>
      <c r="AD26" s="34">
        <v>194.83533333333332</v>
      </c>
      <c r="AE26" s="34">
        <v>194.27566666666667</v>
      </c>
      <c r="AF26" s="34">
        <v>193.71599999999998</v>
      </c>
      <c r="AG26" s="34">
        <v>193.15633333333332</v>
      </c>
      <c r="AH26" s="34">
        <v>192.59666666666666</v>
      </c>
      <c r="AI26" s="34">
        <v>192.03699999999998</v>
      </c>
      <c r="AJ26" s="34">
        <v>191.47733333333332</v>
      </c>
      <c r="AK26" s="34">
        <v>190.91766666666666</v>
      </c>
      <c r="AL26" s="34">
        <v>190.358</v>
      </c>
      <c r="AM26" s="34">
        <v>189.79833333333332</v>
      </c>
      <c r="AN26" s="34">
        <v>189.23866666666666</v>
      </c>
      <c r="AO26" s="34">
        <v>188.679</v>
      </c>
      <c r="AP26" s="34">
        <v>188.11933333333332</v>
      </c>
      <c r="AQ26" s="34">
        <v>187.55966666666666</v>
      </c>
      <c r="AR26" s="34">
        <v>187</v>
      </c>
    </row>
    <row r="28" spans="1:44" x14ac:dyDescent="0.25">
      <c r="A28" t="s">
        <v>120</v>
      </c>
      <c r="D28" s="44">
        <f>(N24-J24)/4*365</f>
        <v>-468.11249999999961</v>
      </c>
    </row>
    <row r="29" spans="1:44" x14ac:dyDescent="0.25">
      <c r="A29" t="s">
        <v>121</v>
      </c>
      <c r="D29" s="44">
        <f>(R26-Q26)*365</f>
        <v>-204.27833333333012</v>
      </c>
    </row>
    <row r="30" spans="1:44" x14ac:dyDescent="0.25">
      <c r="A30" t="s">
        <v>122</v>
      </c>
      <c r="D30" s="44">
        <f>D29/D28</f>
        <v>0.43638726445743342</v>
      </c>
    </row>
    <row r="52" spans="1:44" s="5" customFormat="1" x14ac:dyDescent="0.25">
      <c r="A52" s="4" t="s">
        <v>111</v>
      </c>
      <c r="B52" s="6"/>
      <c r="C52" s="6"/>
    </row>
    <row r="53" spans="1:44" s="42" customFormat="1" x14ac:dyDescent="0.25">
      <c r="A53" s="40" t="s">
        <v>113</v>
      </c>
      <c r="B53" s="41"/>
      <c r="C53" s="41"/>
    </row>
    <row r="54" spans="1:44" ht="14.25" customHeight="1" x14ac:dyDescent="0.25">
      <c r="B54" s="7" t="s">
        <v>8</v>
      </c>
      <c r="C54" s="7" t="s">
        <v>12</v>
      </c>
      <c r="D54">
        <v>2010</v>
      </c>
      <c r="I54">
        <v>2015</v>
      </c>
      <c r="N54">
        <v>2020</v>
      </c>
      <c r="S54">
        <v>2025</v>
      </c>
      <c r="X54">
        <v>2030</v>
      </c>
      <c r="AC54">
        <v>2035</v>
      </c>
      <c r="AH54">
        <v>2040</v>
      </c>
      <c r="AM54">
        <v>2045</v>
      </c>
      <c r="AR54">
        <v>2050</v>
      </c>
    </row>
    <row r="55" spans="1:44" x14ac:dyDescent="0.25">
      <c r="A55" t="s">
        <v>108</v>
      </c>
      <c r="B55" s="7" t="s">
        <v>54</v>
      </c>
      <c r="C55" s="7" t="s">
        <v>110</v>
      </c>
      <c r="D55" s="1">
        <v>63.3</v>
      </c>
      <c r="E55" s="1">
        <v>61.990000000000009</v>
      </c>
      <c r="F55" s="1">
        <v>60.86</v>
      </c>
      <c r="G55" s="1">
        <v>59.650000000000006</v>
      </c>
      <c r="H55" s="1">
        <v>57.519999999999996</v>
      </c>
      <c r="I55" s="1">
        <v>58.199999999999996</v>
      </c>
      <c r="J55" s="1">
        <v>57.449999999999996</v>
      </c>
      <c r="K55" s="1">
        <v>57.379999999999995</v>
      </c>
      <c r="L55" s="1">
        <v>58.72</v>
      </c>
      <c r="M55" s="1">
        <v>57.419999999999995</v>
      </c>
      <c r="N55" s="1">
        <v>55.34</v>
      </c>
      <c r="O55" s="1"/>
      <c r="Q55" s="2"/>
      <c r="Z55" s="2"/>
      <c r="AA55" s="2"/>
    </row>
    <row r="56" spans="1:44" x14ac:dyDescent="0.25">
      <c r="A56" t="s">
        <v>108</v>
      </c>
      <c r="B56" s="7" t="s">
        <v>11</v>
      </c>
      <c r="C56" s="7" t="s">
        <v>114</v>
      </c>
      <c r="D56" s="38">
        <f>D55/52</f>
        <v>1.2173076923076922</v>
      </c>
      <c r="E56" s="38">
        <f t="shared" ref="E56:N56" si="0">E55/52</f>
        <v>1.1921153846153847</v>
      </c>
      <c r="F56" s="38">
        <f t="shared" si="0"/>
        <v>1.1703846153846154</v>
      </c>
      <c r="G56" s="38">
        <f t="shared" si="0"/>
        <v>1.1471153846153848</v>
      </c>
      <c r="H56" s="38">
        <f t="shared" si="0"/>
        <v>1.106153846153846</v>
      </c>
      <c r="I56" s="38">
        <f t="shared" si="0"/>
        <v>1.1192307692307693</v>
      </c>
      <c r="J56" s="38">
        <f t="shared" si="0"/>
        <v>1.1048076923076922</v>
      </c>
      <c r="K56" s="38">
        <f t="shared" si="0"/>
        <v>1.1034615384615383</v>
      </c>
      <c r="L56" s="38">
        <f t="shared" si="0"/>
        <v>1.1292307692307693</v>
      </c>
      <c r="M56" s="38">
        <f t="shared" si="0"/>
        <v>1.1042307692307691</v>
      </c>
      <c r="N56" s="38">
        <f t="shared" si="0"/>
        <v>1.0642307692307693</v>
      </c>
      <c r="O56" s="1"/>
      <c r="Q56" s="2"/>
      <c r="Z56" s="2"/>
      <c r="AA56" s="2"/>
    </row>
    <row r="57" spans="1:44" x14ac:dyDescent="0.25">
      <c r="A57" t="s">
        <v>116</v>
      </c>
      <c r="B57" s="43" t="s">
        <v>115</v>
      </c>
      <c r="C57" s="7" t="s">
        <v>114</v>
      </c>
      <c r="D57" s="38">
        <v>0.52500000000000002</v>
      </c>
      <c r="E57" s="38">
        <v>0.52500000000000002</v>
      </c>
      <c r="F57" s="38">
        <v>0.52500000000000002</v>
      </c>
      <c r="G57" s="38">
        <v>0.52500000000000002</v>
      </c>
      <c r="H57" s="38">
        <v>0.52500000000000002</v>
      </c>
      <c r="I57" s="38">
        <v>0.52500000000000002</v>
      </c>
      <c r="J57" s="38">
        <v>0.52500000000000002</v>
      </c>
      <c r="K57" s="38">
        <v>0.52500000000000002</v>
      </c>
      <c r="L57" s="38">
        <v>0.52500000000000002</v>
      </c>
      <c r="M57" s="38">
        <v>0.52500000000000002</v>
      </c>
      <c r="N57" s="38">
        <v>0.52500000000000002</v>
      </c>
      <c r="O57" s="1"/>
      <c r="Q57" s="2"/>
      <c r="Z57" s="2"/>
      <c r="AA57" s="2"/>
    </row>
    <row r="58" spans="1:44" x14ac:dyDescent="0.25">
      <c r="A58" t="s">
        <v>117</v>
      </c>
      <c r="B58" s="43" t="s">
        <v>115</v>
      </c>
      <c r="C58" s="7" t="s">
        <v>114</v>
      </c>
      <c r="D58" s="38">
        <v>0.75</v>
      </c>
      <c r="E58" s="38">
        <v>0.75</v>
      </c>
      <c r="F58" s="38">
        <v>0.75</v>
      </c>
      <c r="G58" s="38">
        <v>0.75</v>
      </c>
      <c r="H58" s="38">
        <v>0.75</v>
      </c>
      <c r="I58" s="38">
        <v>0.75</v>
      </c>
      <c r="J58" s="38">
        <v>0.75</v>
      </c>
      <c r="K58" s="38">
        <v>0.75</v>
      </c>
      <c r="L58" s="38">
        <v>0.75</v>
      </c>
      <c r="M58" s="38">
        <v>0.75</v>
      </c>
      <c r="N58" s="38">
        <v>0.75</v>
      </c>
      <c r="O58" s="1"/>
      <c r="Q58" s="2"/>
      <c r="Z58" s="2"/>
      <c r="AA58" s="2"/>
    </row>
    <row r="59" spans="1:44" x14ac:dyDescent="0.25"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Q59" s="2"/>
      <c r="Z59" s="2"/>
      <c r="AA59" s="2"/>
    </row>
    <row r="60" spans="1:44" x14ac:dyDescent="0.25">
      <c r="D60" s="1"/>
      <c r="E60" s="1"/>
      <c r="F60" s="1"/>
      <c r="G60" s="1"/>
      <c r="H60" s="1"/>
      <c r="I60" s="1"/>
      <c r="J60" s="1"/>
      <c r="K60" s="1"/>
      <c r="L60" s="1"/>
      <c r="M60" s="1"/>
      <c r="N60" s="2"/>
      <c r="Q60" s="2"/>
    </row>
    <row r="61" spans="1:44" x14ac:dyDescent="0.25">
      <c r="D61" s="1"/>
      <c r="E61" s="1"/>
      <c r="F61" s="1"/>
      <c r="G61" s="1"/>
      <c r="H61" s="1"/>
      <c r="I61" s="1"/>
      <c r="J61" s="1"/>
      <c r="K61" s="1"/>
      <c r="L61" s="1"/>
      <c r="M61" s="1"/>
      <c r="N61" s="2"/>
      <c r="O61" s="1"/>
      <c r="P61" s="1"/>
      <c r="Q61" s="1"/>
      <c r="R61" s="1"/>
      <c r="S61" s="1"/>
      <c r="T61" s="1"/>
      <c r="U61" s="1"/>
      <c r="V61" s="1"/>
      <c r="W61" s="1"/>
      <c r="X61" s="1"/>
    </row>
  </sheetData>
  <hyperlinks>
    <hyperlink ref="B57" r:id="rId1" location=":~:text=This%20includes%20foods%20like%20steak,750g%20raw%20weight)%20a%20week." xr:uid="{3C4BC1DC-F68B-460A-B25B-3B5FB16B8F1F}"/>
    <hyperlink ref="B58" r:id="rId2" location=":~:text=This%20includes%20foods%20like%20steak,750g%20raw%20weight)%20a%20week." xr:uid="{8F55F0B4-5628-49A7-983F-732CCB7B26B3}"/>
  </hyperlinks>
  <pageMargins left="0.7" right="0.7" top="0.75" bottom="0.75" header="0.3" footer="0.3"/>
  <pageSetup paperSize="9" orientation="portrait" verticalDpi="0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78B64-6BEC-4387-9C7F-108CD8ED5193}">
  <sheetPr>
    <outlinePr summaryBelow="0"/>
  </sheetPr>
  <dimension ref="A1:AR51"/>
  <sheetViews>
    <sheetView showGridLines="0" zoomScale="130" zoomScaleNormal="130" workbookViewId="0">
      <selection activeCell="B16" sqref="B16"/>
    </sheetView>
  </sheetViews>
  <sheetFormatPr defaultRowHeight="15" x14ac:dyDescent="0.25"/>
  <cols>
    <col min="1" max="1" width="25.85546875" bestFit="1" customWidth="1"/>
    <col min="2" max="2" width="41.140625" style="7" customWidth="1"/>
    <col min="3" max="3" width="8.5703125" style="7" customWidth="1"/>
    <col min="4" max="4" width="12" bestFit="1" customWidth="1"/>
    <col min="5" max="14" width="10.7109375" bestFit="1" customWidth="1"/>
    <col min="15" max="15" width="10.140625" bestFit="1" customWidth="1"/>
  </cols>
  <sheetData>
    <row r="1" spans="1:44" s="5" customFormat="1" x14ac:dyDescent="0.25">
      <c r="A1" s="4" t="s">
        <v>123</v>
      </c>
      <c r="B1" s="6"/>
      <c r="C1" s="6"/>
    </row>
    <row r="2" spans="1:44" ht="14.25" customHeight="1" x14ac:dyDescent="0.25">
      <c r="B2" s="7" t="s">
        <v>8</v>
      </c>
      <c r="C2" s="7" t="s">
        <v>12</v>
      </c>
      <c r="D2">
        <v>2020</v>
      </c>
      <c r="I2">
        <v>2025</v>
      </c>
      <c r="N2">
        <v>2030</v>
      </c>
    </row>
    <row r="3" spans="1:44" x14ac:dyDescent="0.25">
      <c r="A3" t="s">
        <v>161</v>
      </c>
      <c r="B3" s="7" t="s">
        <v>124</v>
      </c>
      <c r="C3" s="7" t="s">
        <v>110</v>
      </c>
      <c r="D3" s="1">
        <v>70</v>
      </c>
      <c r="E3" s="2"/>
    </row>
    <row r="4" spans="1:44" x14ac:dyDescent="0.25">
      <c r="A4" t="s">
        <v>162</v>
      </c>
      <c r="B4" s="7" t="s">
        <v>124</v>
      </c>
      <c r="C4" s="7" t="s">
        <v>110</v>
      </c>
      <c r="D4" s="1">
        <v>12</v>
      </c>
      <c r="E4" s="2"/>
    </row>
    <row r="5" spans="1:44" x14ac:dyDescent="0.25">
      <c r="A5" t="s">
        <v>126</v>
      </c>
      <c r="B5" s="7" t="s">
        <v>124</v>
      </c>
      <c r="C5" s="7" t="s">
        <v>110</v>
      </c>
      <c r="D5" s="1">
        <v>9</v>
      </c>
      <c r="E5" s="2"/>
      <c r="F5" s="1"/>
      <c r="G5" s="1"/>
      <c r="H5" s="1"/>
      <c r="I5" s="1"/>
      <c r="J5" s="1"/>
      <c r="K5" s="1"/>
      <c r="L5" s="1"/>
      <c r="M5" s="1"/>
      <c r="N5" s="1"/>
      <c r="Q5" s="2"/>
    </row>
    <row r="6" spans="1:44" x14ac:dyDescent="0.25">
      <c r="A6" t="s">
        <v>125</v>
      </c>
      <c r="B6" s="7" t="s">
        <v>124</v>
      </c>
      <c r="C6" s="7" t="s">
        <v>110</v>
      </c>
      <c r="D6" s="34">
        <v>26</v>
      </c>
      <c r="E6" s="2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</row>
    <row r="7" spans="1:44" x14ac:dyDescent="0.25">
      <c r="A7" t="s">
        <v>198</v>
      </c>
      <c r="B7" s="7" t="s">
        <v>124</v>
      </c>
      <c r="C7" s="7" t="s">
        <v>110</v>
      </c>
      <c r="D7" s="1">
        <v>14</v>
      </c>
      <c r="E7" s="2"/>
      <c r="F7" s="1"/>
      <c r="G7" s="1"/>
      <c r="H7" s="1"/>
      <c r="I7" s="1"/>
      <c r="J7" s="1"/>
      <c r="K7" s="1"/>
      <c r="L7" s="1"/>
      <c r="M7" s="1"/>
      <c r="N7" s="1"/>
      <c r="O7" s="1"/>
      <c r="Q7" s="2"/>
      <c r="Z7" s="2"/>
      <c r="AA7" s="2"/>
    </row>
    <row r="8" spans="1:44" x14ac:dyDescent="0.25">
      <c r="A8" t="s">
        <v>163</v>
      </c>
      <c r="D8" s="1">
        <f>SUM(D3:D7)</f>
        <v>131</v>
      </c>
    </row>
    <row r="9" spans="1:44" x14ac:dyDescent="0.25">
      <c r="A9" t="s">
        <v>7</v>
      </c>
      <c r="N9">
        <f>0.5*D8</f>
        <v>65.5</v>
      </c>
    </row>
    <row r="10" spans="1:44" x14ac:dyDescent="0.25">
      <c r="A10" t="s">
        <v>10</v>
      </c>
      <c r="D10" s="1">
        <v>131</v>
      </c>
      <c r="E10" s="1">
        <v>124.45000000000002</v>
      </c>
      <c r="F10" s="1">
        <v>117.9</v>
      </c>
      <c r="G10" s="1">
        <v>111.35000000000001</v>
      </c>
      <c r="H10" s="1">
        <v>104.80000000000001</v>
      </c>
      <c r="I10" s="1">
        <v>98.250000000000014</v>
      </c>
      <c r="J10" s="1">
        <v>91.700000000000017</v>
      </c>
      <c r="K10" s="1">
        <v>85.15</v>
      </c>
      <c r="L10" s="1">
        <v>78.600000000000023</v>
      </c>
      <c r="M10" s="1">
        <v>72.050000000000011</v>
      </c>
      <c r="N10" s="1">
        <v>65.500000000000014</v>
      </c>
    </row>
    <row r="11" spans="1:44" x14ac:dyDescent="0.25">
      <c r="G11" s="1"/>
    </row>
    <row r="16" spans="1:44" x14ac:dyDescent="0.25">
      <c r="B16" s="34"/>
    </row>
    <row r="17" spans="1:24" x14ac:dyDescent="0.25">
      <c r="A17" s="46"/>
    </row>
    <row r="21" spans="1:24" ht="156" customHeight="1" x14ac:dyDescent="0.25"/>
    <row r="23" spans="1:24" s="5" customFormat="1" x14ac:dyDescent="0.25">
      <c r="A23" s="4" t="s">
        <v>160</v>
      </c>
      <c r="B23" s="6"/>
      <c r="C23" s="6"/>
    </row>
    <row r="24" spans="1:24" x14ac:dyDescent="0.25">
      <c r="A24" t="s">
        <v>127</v>
      </c>
      <c r="B24" s="7" t="s">
        <v>128</v>
      </c>
      <c r="C24" s="7" t="s">
        <v>129</v>
      </c>
      <c r="D24" t="s">
        <v>130</v>
      </c>
      <c r="E24" t="s">
        <v>131</v>
      </c>
      <c r="F24" t="s">
        <v>132</v>
      </c>
      <c r="G24" t="s">
        <v>133</v>
      </c>
    </row>
    <row r="25" spans="1:24" x14ac:dyDescent="0.25">
      <c r="A25" t="s">
        <v>134</v>
      </c>
      <c r="B25" s="7">
        <v>397</v>
      </c>
      <c r="C25" s="7">
        <v>49</v>
      </c>
      <c r="D25">
        <v>190</v>
      </c>
      <c r="E25">
        <v>56</v>
      </c>
      <c r="F25">
        <v>30</v>
      </c>
      <c r="G25">
        <v>71</v>
      </c>
    </row>
    <row r="26" spans="1:24" x14ac:dyDescent="0.25">
      <c r="A26" t="s">
        <v>135</v>
      </c>
      <c r="B26" s="7">
        <v>250</v>
      </c>
      <c r="C26" s="7">
        <v>3</v>
      </c>
      <c r="D26">
        <v>161</v>
      </c>
      <c r="E26">
        <v>6</v>
      </c>
      <c r="F26">
        <v>8</v>
      </c>
      <c r="G26">
        <v>71</v>
      </c>
    </row>
    <row r="27" spans="1:24" x14ac:dyDescent="0.25">
      <c r="A27" t="s">
        <v>136</v>
      </c>
      <c r="B27" s="7">
        <v>221</v>
      </c>
      <c r="C27" s="7">
        <v>11</v>
      </c>
      <c r="D27">
        <v>102</v>
      </c>
      <c r="E27">
        <v>17</v>
      </c>
      <c r="F27">
        <v>11</v>
      </c>
      <c r="G27">
        <v>79</v>
      </c>
    </row>
    <row r="28" spans="1:24" x14ac:dyDescent="0.25">
      <c r="A28" t="s">
        <v>137</v>
      </c>
      <c r="B28" s="7">
        <v>191</v>
      </c>
      <c r="C28" s="7">
        <v>35</v>
      </c>
      <c r="D28">
        <v>35</v>
      </c>
      <c r="E28">
        <v>14</v>
      </c>
      <c r="F28">
        <v>21</v>
      </c>
      <c r="G28">
        <v>87</v>
      </c>
    </row>
    <row r="29" spans="1:24" x14ac:dyDescent="0.25">
      <c r="A29" t="s">
        <v>138</v>
      </c>
      <c r="B29" s="7">
        <v>184</v>
      </c>
      <c r="C29" s="7">
        <v>10</v>
      </c>
      <c r="D29" s="1">
        <v>6</v>
      </c>
      <c r="E29" s="1">
        <v>21</v>
      </c>
      <c r="F29" s="1">
        <v>23</v>
      </c>
      <c r="G29" s="1">
        <v>124</v>
      </c>
      <c r="H29" s="1"/>
      <c r="I29" s="1"/>
      <c r="J29" s="1"/>
      <c r="K29" s="1"/>
      <c r="L29" s="1"/>
      <c r="M29" s="1"/>
      <c r="N29" s="2"/>
      <c r="Q29" s="2"/>
    </row>
    <row r="30" spans="1:24" x14ac:dyDescent="0.25">
      <c r="A30" t="s">
        <v>139</v>
      </c>
      <c r="B30" s="7">
        <v>161</v>
      </c>
      <c r="C30" s="7">
        <v>27</v>
      </c>
      <c r="D30" s="1">
        <v>59</v>
      </c>
      <c r="E30" s="1">
        <v>12</v>
      </c>
      <c r="F30" s="1">
        <v>5</v>
      </c>
      <c r="G30" s="1">
        <v>59</v>
      </c>
      <c r="H30" s="1"/>
      <c r="I30" s="1"/>
      <c r="J30" s="1"/>
      <c r="K30" s="1"/>
      <c r="L30" s="1"/>
      <c r="M30" s="1"/>
      <c r="N30" s="2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25">
      <c r="A31" t="s">
        <v>140</v>
      </c>
      <c r="B31" s="7">
        <v>155</v>
      </c>
      <c r="C31" s="7">
        <v>14</v>
      </c>
      <c r="D31">
        <v>44</v>
      </c>
      <c r="E31">
        <v>12</v>
      </c>
      <c r="F31">
        <v>36</v>
      </c>
      <c r="G31">
        <v>48</v>
      </c>
    </row>
    <row r="32" spans="1:24" x14ac:dyDescent="0.25">
      <c r="A32" t="s">
        <v>141</v>
      </c>
      <c r="B32" s="7">
        <v>154</v>
      </c>
      <c r="C32" s="7">
        <v>1</v>
      </c>
      <c r="D32">
        <v>9</v>
      </c>
      <c r="E32">
        <v>8</v>
      </c>
      <c r="F32">
        <v>45</v>
      </c>
      <c r="G32">
        <v>92</v>
      </c>
    </row>
    <row r="33" spans="1:7" x14ac:dyDescent="0.25">
      <c r="A33" t="s">
        <v>142</v>
      </c>
      <c r="B33" s="7">
        <v>147</v>
      </c>
      <c r="C33" s="7">
        <v>12</v>
      </c>
      <c r="D33">
        <v>17</v>
      </c>
      <c r="E33">
        <v>14</v>
      </c>
      <c r="F33">
        <v>14</v>
      </c>
      <c r="G33">
        <v>91</v>
      </c>
    </row>
    <row r="34" spans="1:7" x14ac:dyDescent="0.25">
      <c r="A34" t="s">
        <v>143</v>
      </c>
      <c r="B34" s="7">
        <v>146</v>
      </c>
      <c r="C34" s="7">
        <v>21</v>
      </c>
      <c r="D34">
        <v>9</v>
      </c>
      <c r="E34">
        <v>6</v>
      </c>
      <c r="F34">
        <v>3</v>
      </c>
      <c r="G34">
        <v>107</v>
      </c>
    </row>
    <row r="35" spans="1:7" x14ac:dyDescent="0.25">
      <c r="A35" t="s">
        <v>144</v>
      </c>
      <c r="B35" s="7">
        <v>145</v>
      </c>
      <c r="C35" s="7">
        <v>17</v>
      </c>
      <c r="D35">
        <v>19</v>
      </c>
      <c r="E35">
        <v>8</v>
      </c>
      <c r="F35">
        <v>19</v>
      </c>
      <c r="G35">
        <v>82</v>
      </c>
    </row>
    <row r="36" spans="1:7" x14ac:dyDescent="0.25">
      <c r="A36" t="s">
        <v>145</v>
      </c>
      <c r="B36" s="7">
        <v>137</v>
      </c>
      <c r="C36" s="7">
        <v>29</v>
      </c>
      <c r="D36">
        <v>10</v>
      </c>
      <c r="E36">
        <v>10</v>
      </c>
      <c r="F36">
        <v>2</v>
      </c>
      <c r="G36">
        <v>86</v>
      </c>
    </row>
    <row r="37" spans="1:7" x14ac:dyDescent="0.25">
      <c r="A37" t="s">
        <v>146</v>
      </c>
      <c r="B37" s="7">
        <v>136</v>
      </c>
      <c r="C37" s="7">
        <v>2</v>
      </c>
      <c r="D37">
        <v>19</v>
      </c>
      <c r="E37">
        <v>9</v>
      </c>
      <c r="F37">
        <v>23</v>
      </c>
      <c r="G37">
        <v>83</v>
      </c>
    </row>
    <row r="38" spans="1:7" x14ac:dyDescent="0.25">
      <c r="A38" t="s">
        <v>147</v>
      </c>
      <c r="B38" s="7">
        <v>133</v>
      </c>
      <c r="C38" s="7">
        <v>16</v>
      </c>
      <c r="D38">
        <v>29</v>
      </c>
      <c r="E38">
        <v>12</v>
      </c>
      <c r="F38">
        <v>16</v>
      </c>
      <c r="G38">
        <v>61</v>
      </c>
    </row>
    <row r="39" spans="1:7" x14ac:dyDescent="0.25">
      <c r="A39" t="s">
        <v>22</v>
      </c>
      <c r="B39" s="7">
        <v>131</v>
      </c>
      <c r="C39" s="7">
        <v>14</v>
      </c>
      <c r="D39">
        <v>26</v>
      </c>
      <c r="E39">
        <v>9</v>
      </c>
      <c r="F39">
        <v>12</v>
      </c>
      <c r="G39">
        <v>70</v>
      </c>
    </row>
    <row r="40" spans="1:7" x14ac:dyDescent="0.25">
      <c r="A40" t="s">
        <v>148</v>
      </c>
      <c r="B40" s="7">
        <v>131</v>
      </c>
      <c r="C40" s="7">
        <v>2</v>
      </c>
      <c r="D40">
        <v>19</v>
      </c>
      <c r="E40">
        <v>9</v>
      </c>
      <c r="F40">
        <v>22</v>
      </c>
      <c r="G40">
        <v>78</v>
      </c>
    </row>
    <row r="41" spans="1:7" x14ac:dyDescent="0.25">
      <c r="A41" t="s">
        <v>149</v>
      </c>
      <c r="B41" s="7">
        <v>125</v>
      </c>
      <c r="C41" s="7">
        <v>18</v>
      </c>
      <c r="D41">
        <v>24</v>
      </c>
      <c r="E41">
        <v>15</v>
      </c>
      <c r="F41">
        <v>8</v>
      </c>
      <c r="G41">
        <v>61</v>
      </c>
    </row>
    <row r="42" spans="1:7" x14ac:dyDescent="0.25">
      <c r="A42" t="s">
        <v>150</v>
      </c>
      <c r="B42" s="7">
        <v>116</v>
      </c>
      <c r="C42" s="7">
        <v>9</v>
      </c>
      <c r="D42">
        <v>29</v>
      </c>
      <c r="E42">
        <v>10</v>
      </c>
      <c r="F42">
        <v>14</v>
      </c>
      <c r="G42">
        <v>53</v>
      </c>
    </row>
    <row r="43" spans="1:7" x14ac:dyDescent="0.25">
      <c r="A43" t="s">
        <v>151</v>
      </c>
      <c r="B43" s="7">
        <v>106</v>
      </c>
      <c r="C43" s="7">
        <v>18</v>
      </c>
      <c r="D43">
        <v>14</v>
      </c>
      <c r="E43">
        <v>8</v>
      </c>
      <c r="F43">
        <v>5</v>
      </c>
      <c r="G43">
        <v>60</v>
      </c>
    </row>
    <row r="44" spans="1:7" x14ac:dyDescent="0.25">
      <c r="A44" t="s">
        <v>152</v>
      </c>
      <c r="B44" s="7">
        <v>93</v>
      </c>
      <c r="C44" s="7">
        <v>2</v>
      </c>
      <c r="D44">
        <v>19</v>
      </c>
      <c r="E44">
        <v>4</v>
      </c>
      <c r="F44">
        <v>2</v>
      </c>
      <c r="G44">
        <v>66</v>
      </c>
    </row>
    <row r="45" spans="1:7" x14ac:dyDescent="0.25">
      <c r="A45" t="s">
        <v>153</v>
      </c>
      <c r="B45" s="7">
        <v>91</v>
      </c>
      <c r="C45" s="7">
        <v>3</v>
      </c>
      <c r="D45">
        <v>9</v>
      </c>
      <c r="E45">
        <v>6</v>
      </c>
      <c r="F45">
        <v>4</v>
      </c>
      <c r="G45">
        <v>69</v>
      </c>
    </row>
    <row r="46" spans="1:7" x14ac:dyDescent="0.25">
      <c r="A46" t="s">
        <v>154</v>
      </c>
      <c r="B46" s="7">
        <v>90</v>
      </c>
      <c r="C46" s="7">
        <v>18</v>
      </c>
      <c r="D46">
        <v>30</v>
      </c>
      <c r="E46">
        <v>7</v>
      </c>
      <c r="F46">
        <v>4</v>
      </c>
      <c r="G46">
        <v>30</v>
      </c>
    </row>
    <row r="47" spans="1:7" x14ac:dyDescent="0.25">
      <c r="A47" t="s">
        <v>155</v>
      </c>
      <c r="B47" s="7">
        <v>87</v>
      </c>
      <c r="C47" s="7">
        <v>2</v>
      </c>
      <c r="D47">
        <v>5</v>
      </c>
      <c r="E47">
        <v>9</v>
      </c>
      <c r="F47">
        <v>9</v>
      </c>
      <c r="G47">
        <v>61</v>
      </c>
    </row>
    <row r="48" spans="1:7" x14ac:dyDescent="0.25">
      <c r="A48" t="s">
        <v>156</v>
      </c>
      <c r="B48" s="7">
        <v>86</v>
      </c>
      <c r="C48" s="7">
        <v>33</v>
      </c>
      <c r="D48">
        <v>23</v>
      </c>
      <c r="E48">
        <v>2</v>
      </c>
      <c r="F48">
        <v>2</v>
      </c>
      <c r="G48">
        <v>26</v>
      </c>
    </row>
    <row r="49" spans="1:7" x14ac:dyDescent="0.25">
      <c r="A49" t="s">
        <v>157</v>
      </c>
      <c r="B49" s="7">
        <v>83</v>
      </c>
      <c r="C49" s="7">
        <v>13</v>
      </c>
      <c r="D49">
        <v>1</v>
      </c>
      <c r="E49">
        <v>3</v>
      </c>
      <c r="F49">
        <v>1</v>
      </c>
      <c r="G49">
        <v>65</v>
      </c>
    </row>
    <row r="50" spans="1:7" x14ac:dyDescent="0.25">
      <c r="A50" t="s">
        <v>158</v>
      </c>
      <c r="B50" s="7">
        <v>71</v>
      </c>
      <c r="C50" s="7">
        <v>10</v>
      </c>
      <c r="D50">
        <v>2</v>
      </c>
      <c r="E50">
        <v>1</v>
      </c>
      <c r="F50">
        <v>4</v>
      </c>
      <c r="G50">
        <v>53</v>
      </c>
    </row>
    <row r="51" spans="1:7" x14ac:dyDescent="0.25">
      <c r="A51" t="s">
        <v>159</v>
      </c>
      <c r="B51" s="7">
        <v>68</v>
      </c>
      <c r="C51" s="7">
        <v>0</v>
      </c>
      <c r="D51">
        <v>5</v>
      </c>
      <c r="E51">
        <v>7</v>
      </c>
      <c r="F51">
        <v>20</v>
      </c>
      <c r="G51">
        <v>36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2E2B0-1CA5-4C93-9363-17570C5252AC}">
  <sheetPr>
    <outlinePr summaryBelow="0"/>
  </sheetPr>
  <dimension ref="A1:AW37"/>
  <sheetViews>
    <sheetView showGridLines="0" topLeftCell="A21" zoomScale="115" zoomScaleNormal="115" workbookViewId="0">
      <selection activeCell="D32" sqref="D32"/>
    </sheetView>
  </sheetViews>
  <sheetFormatPr defaultRowHeight="15" outlineLevelRow="1" x14ac:dyDescent="0.25"/>
  <cols>
    <col min="1" max="1" width="25.85546875" bestFit="1" customWidth="1"/>
    <col min="2" max="2" width="41.140625" style="7" customWidth="1"/>
    <col min="3" max="3" width="8.5703125" style="7" customWidth="1"/>
    <col min="4" max="4" width="12" bestFit="1" customWidth="1"/>
    <col min="5" max="14" width="10.7109375" bestFit="1" customWidth="1"/>
    <col min="15" max="15" width="10.140625" bestFit="1" customWidth="1"/>
    <col min="29" max="47" width="22.85546875" bestFit="1" customWidth="1"/>
    <col min="48" max="48" width="22.5703125" bestFit="1" customWidth="1"/>
    <col min="49" max="49" width="22.85546875" bestFit="1" customWidth="1"/>
  </cols>
  <sheetData>
    <row r="1" spans="1:49" s="5" customFormat="1" x14ac:dyDescent="0.25">
      <c r="A1" s="4" t="s">
        <v>184</v>
      </c>
      <c r="B1" s="6"/>
      <c r="C1" s="6"/>
    </row>
    <row r="2" spans="1:49" s="10" customFormat="1" ht="14.25" customHeight="1" x14ac:dyDescent="0.25">
      <c r="A2" s="10" t="s">
        <v>164</v>
      </c>
      <c r="B2" s="11"/>
      <c r="C2" s="11"/>
    </row>
    <row r="3" spans="1:49" x14ac:dyDescent="0.25">
      <c r="B3" s="7" t="s">
        <v>8</v>
      </c>
      <c r="C3" s="7" t="s">
        <v>12</v>
      </c>
      <c r="D3" s="1">
        <v>2005</v>
      </c>
      <c r="E3" s="2"/>
      <c r="I3">
        <v>2010</v>
      </c>
      <c r="N3">
        <v>2015</v>
      </c>
      <c r="S3">
        <v>2020</v>
      </c>
      <c r="X3">
        <v>2025</v>
      </c>
      <c r="AC3">
        <v>2030</v>
      </c>
      <c r="AH3">
        <v>2035</v>
      </c>
      <c r="AM3">
        <v>2040</v>
      </c>
      <c r="AR3">
        <v>2045</v>
      </c>
      <c r="AW3">
        <v>2050</v>
      </c>
    </row>
    <row r="4" spans="1:49" hidden="1" collapsed="1" x14ac:dyDescent="0.25">
      <c r="A4" t="s">
        <v>170</v>
      </c>
      <c r="B4" s="7" t="s">
        <v>11</v>
      </c>
      <c r="C4" s="7" t="s">
        <v>171</v>
      </c>
      <c r="D4" s="1">
        <f>SUM(D5:D7)</f>
        <v>279.5</v>
      </c>
      <c r="E4" s="1">
        <f t="shared" ref="E4:T4" si="0">SUM(E5:E7)</f>
        <v>267.39999999999998</v>
      </c>
      <c r="F4" s="1">
        <f t="shared" si="0"/>
        <v>276.3</v>
      </c>
      <c r="G4" s="1">
        <f t="shared" si="0"/>
        <v>299.5</v>
      </c>
      <c r="H4" s="1">
        <f t="shared" si="0"/>
        <v>283</v>
      </c>
      <c r="I4" s="1">
        <f t="shared" si="0"/>
        <v>270</v>
      </c>
      <c r="J4" s="1">
        <f t="shared" si="0"/>
        <v>287.8</v>
      </c>
      <c r="K4" s="1">
        <f t="shared" si="0"/>
        <v>270.5</v>
      </c>
      <c r="L4" s="1">
        <f t="shared" si="0"/>
        <v>285.90000000000003</v>
      </c>
      <c r="M4" s="1">
        <f t="shared" si="0"/>
        <v>295.5</v>
      </c>
      <c r="N4" s="1">
        <f t="shared" si="0"/>
        <v>287.79999999999995</v>
      </c>
      <c r="O4" s="1">
        <f t="shared" si="0"/>
        <v>286</v>
      </c>
      <c r="P4" s="1">
        <f t="shared" si="0"/>
        <v>301</v>
      </c>
      <c r="Q4" s="1">
        <f t="shared" si="0"/>
        <v>294.2</v>
      </c>
      <c r="R4" s="1">
        <f t="shared" si="0"/>
        <v>295.09999999999997</v>
      </c>
      <c r="S4" s="1">
        <f t="shared" si="0"/>
        <v>287.30000000000007</v>
      </c>
      <c r="T4" s="1">
        <f t="shared" si="0"/>
        <v>297.2</v>
      </c>
    </row>
    <row r="5" spans="1:49" hidden="1" outlineLevel="1" x14ac:dyDescent="0.25">
      <c r="A5" t="s">
        <v>166</v>
      </c>
      <c r="B5" s="43" t="s">
        <v>169</v>
      </c>
      <c r="C5" s="7" t="s">
        <v>171</v>
      </c>
      <c r="D5">
        <v>291.7</v>
      </c>
      <c r="E5">
        <v>275.7</v>
      </c>
      <c r="F5">
        <v>267.89999999999998</v>
      </c>
      <c r="G5">
        <v>318.3</v>
      </c>
      <c r="H5">
        <v>300.60000000000002</v>
      </c>
      <c r="I5">
        <v>286.39999999999998</v>
      </c>
      <c r="J5">
        <v>297</v>
      </c>
      <c r="K5">
        <v>287.7</v>
      </c>
      <c r="L5">
        <v>311.60000000000002</v>
      </c>
      <c r="M5">
        <v>329.8</v>
      </c>
      <c r="N5">
        <v>314.39999999999998</v>
      </c>
      <c r="O5">
        <v>303.39999999999998</v>
      </c>
      <c r="P5">
        <v>310</v>
      </c>
      <c r="Q5">
        <v>298</v>
      </c>
      <c r="R5">
        <v>322.39999999999998</v>
      </c>
      <c r="S5">
        <v>307.60000000000002</v>
      </c>
      <c r="T5">
        <v>320.10000000000002</v>
      </c>
    </row>
    <row r="6" spans="1:49" hidden="1" outlineLevel="1" x14ac:dyDescent="0.25">
      <c r="A6" t="s">
        <v>167</v>
      </c>
      <c r="B6" s="43" t="s">
        <v>169</v>
      </c>
      <c r="C6" s="7" t="s">
        <v>171</v>
      </c>
      <c r="D6">
        <v>12.6</v>
      </c>
      <c r="E6">
        <v>14.4</v>
      </c>
      <c r="F6">
        <v>29.6</v>
      </c>
      <c r="G6">
        <v>16</v>
      </c>
      <c r="H6">
        <v>11.4</v>
      </c>
      <c r="I6">
        <v>16.5</v>
      </c>
      <c r="J6">
        <v>17.600000000000001</v>
      </c>
      <c r="K6">
        <v>18.2</v>
      </c>
      <c r="L6">
        <v>20.7</v>
      </c>
      <c r="M6">
        <v>18.7</v>
      </c>
      <c r="N6">
        <v>25.2</v>
      </c>
      <c r="O6">
        <v>22.5</v>
      </c>
      <c r="P6">
        <v>27.2</v>
      </c>
      <c r="Q6">
        <v>32.5</v>
      </c>
      <c r="R6">
        <v>28.3</v>
      </c>
      <c r="S6">
        <v>23.1</v>
      </c>
      <c r="T6">
        <v>25.4</v>
      </c>
    </row>
    <row r="7" spans="1:49" hidden="1" outlineLevel="1" x14ac:dyDescent="0.25">
      <c r="A7" t="s">
        <v>168</v>
      </c>
      <c r="B7" s="43" t="s">
        <v>169</v>
      </c>
      <c r="C7" s="7" t="s">
        <v>171</v>
      </c>
      <c r="D7">
        <v>-24.8</v>
      </c>
      <c r="E7">
        <v>-22.7</v>
      </c>
      <c r="F7">
        <v>-21.2</v>
      </c>
      <c r="G7">
        <v>-34.799999999999997</v>
      </c>
      <c r="H7">
        <v>-29</v>
      </c>
      <c r="I7">
        <v>-32.9</v>
      </c>
      <c r="J7">
        <v>-26.8</v>
      </c>
      <c r="K7">
        <v>-35.4</v>
      </c>
      <c r="L7">
        <v>-46.4</v>
      </c>
      <c r="M7">
        <v>-53</v>
      </c>
      <c r="N7">
        <v>-51.8</v>
      </c>
      <c r="O7">
        <v>-39.9</v>
      </c>
      <c r="P7">
        <v>-36.200000000000003</v>
      </c>
      <c r="Q7">
        <v>-36.299999999999997</v>
      </c>
      <c r="R7">
        <v>-55.6</v>
      </c>
      <c r="S7">
        <v>-43.4</v>
      </c>
      <c r="T7">
        <v>-48.3</v>
      </c>
      <c r="Z7" s="2"/>
      <c r="AA7" s="2"/>
    </row>
    <row r="8" spans="1:49" x14ac:dyDescent="0.25">
      <c r="A8" t="s">
        <v>175</v>
      </c>
      <c r="B8" s="43" t="s">
        <v>169</v>
      </c>
      <c r="C8" s="7" t="s">
        <v>171</v>
      </c>
      <c r="D8">
        <v>4.2</v>
      </c>
      <c r="E8">
        <v>5</v>
      </c>
      <c r="F8">
        <v>5.8</v>
      </c>
      <c r="G8">
        <v>6.9</v>
      </c>
      <c r="H8">
        <v>8.1999999999999993</v>
      </c>
      <c r="I8">
        <v>8.9</v>
      </c>
      <c r="J8">
        <v>10.4</v>
      </c>
      <c r="K8">
        <v>9.8000000000000007</v>
      </c>
      <c r="L8">
        <v>10.4</v>
      </c>
      <c r="M8">
        <v>11</v>
      </c>
      <c r="N8">
        <v>9.9</v>
      </c>
      <c r="O8">
        <v>10.5</v>
      </c>
      <c r="P8">
        <v>11.2</v>
      </c>
      <c r="Q8">
        <v>11.3</v>
      </c>
      <c r="R8">
        <v>11.5</v>
      </c>
      <c r="S8">
        <v>12.1</v>
      </c>
      <c r="T8">
        <v>13.4</v>
      </c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</row>
    <row r="9" spans="1:49" x14ac:dyDescent="0.25">
      <c r="A9" t="s">
        <v>172</v>
      </c>
      <c r="B9" s="7" t="s">
        <v>11</v>
      </c>
      <c r="C9" s="7" t="s">
        <v>173</v>
      </c>
      <c r="D9" s="2">
        <f>D8/D4</f>
        <v>1.5026833631484795E-2</v>
      </c>
      <c r="E9" s="2">
        <f t="shared" ref="E9:T9" si="1">E8/E4</f>
        <v>1.8698578908002993E-2</v>
      </c>
      <c r="F9" s="2">
        <f t="shared" si="1"/>
        <v>2.099167571480275E-2</v>
      </c>
      <c r="G9" s="2">
        <f t="shared" si="1"/>
        <v>2.3038397328881469E-2</v>
      </c>
      <c r="H9" s="2">
        <f t="shared" si="1"/>
        <v>2.8975265017667843E-2</v>
      </c>
      <c r="I9" s="2">
        <f t="shared" si="1"/>
        <v>3.2962962962962965E-2</v>
      </c>
      <c r="J9" s="2">
        <f t="shared" si="1"/>
        <v>3.6136205698401667E-2</v>
      </c>
      <c r="K9" s="2">
        <f t="shared" si="1"/>
        <v>3.6229205175600743E-2</v>
      </c>
      <c r="L9" s="2">
        <f t="shared" si="1"/>
        <v>3.6376355369010141E-2</v>
      </c>
      <c r="M9" s="2">
        <f t="shared" si="1"/>
        <v>3.7225042301184431E-2</v>
      </c>
      <c r="N9" s="2">
        <f t="shared" si="1"/>
        <v>3.4398888116747746E-2</v>
      </c>
      <c r="O9" s="2">
        <f t="shared" si="1"/>
        <v>3.6713286713286712E-2</v>
      </c>
      <c r="P9" s="2">
        <f t="shared" si="1"/>
        <v>3.7209302325581395E-2</v>
      </c>
      <c r="Q9" s="2">
        <f t="shared" si="1"/>
        <v>3.8409245411284841E-2</v>
      </c>
      <c r="R9" s="2">
        <f t="shared" si="1"/>
        <v>3.8969840731955273E-2</v>
      </c>
      <c r="S9" s="2">
        <f t="shared" si="1"/>
        <v>4.2116254785938036E-2</v>
      </c>
      <c r="T9" s="2">
        <f t="shared" si="1"/>
        <v>4.5087483176312247E-2</v>
      </c>
    </row>
    <row r="11" spans="1:49" s="10" customFormat="1" ht="14.25" customHeight="1" x14ac:dyDescent="0.25">
      <c r="A11" s="10" t="s">
        <v>165</v>
      </c>
      <c r="B11" s="11"/>
      <c r="C11" s="11"/>
    </row>
    <row r="12" spans="1:49" x14ac:dyDescent="0.25">
      <c r="B12" s="7" t="s">
        <v>8</v>
      </c>
      <c r="C12" s="7" t="s">
        <v>12</v>
      </c>
      <c r="D12" s="1">
        <v>2005</v>
      </c>
      <c r="E12" s="2"/>
      <c r="I12">
        <v>2010</v>
      </c>
      <c r="N12">
        <v>2015</v>
      </c>
      <c r="S12">
        <v>2020</v>
      </c>
      <c r="X12">
        <v>2025</v>
      </c>
      <c r="AC12">
        <v>2030</v>
      </c>
      <c r="AH12">
        <v>2035</v>
      </c>
      <c r="AM12">
        <v>2040</v>
      </c>
      <c r="AR12">
        <v>2045</v>
      </c>
      <c r="AW12">
        <v>2050</v>
      </c>
    </row>
    <row r="13" spans="1:49" hidden="1" x14ac:dyDescent="0.25">
      <c r="A13" t="s">
        <v>174</v>
      </c>
      <c r="B13" s="43" t="s">
        <v>169</v>
      </c>
      <c r="C13" s="7" t="s">
        <v>171</v>
      </c>
      <c r="D13" s="38">
        <v>18.406877727000001</v>
      </c>
      <c r="E13" s="38">
        <v>20.057494611000003</v>
      </c>
      <c r="F13" s="38">
        <v>20.543321267</v>
      </c>
      <c r="G13" s="38">
        <v>22.641502387000003</v>
      </c>
      <c r="H13" s="38">
        <v>23.165086325000004</v>
      </c>
      <c r="I13" s="38">
        <v>22.751516893999998</v>
      </c>
      <c r="J13" s="38">
        <v>22.997128188000001</v>
      </c>
      <c r="K13" s="38">
        <v>23.299924596</v>
      </c>
      <c r="L13" s="38">
        <v>25.611763683</v>
      </c>
      <c r="M13" s="38">
        <v>26.338100291000003</v>
      </c>
      <c r="N13" s="38">
        <v>26.608689817999998</v>
      </c>
      <c r="O13" s="38">
        <v>26.220009824999998</v>
      </c>
      <c r="P13" s="38">
        <v>27.721953087999999</v>
      </c>
      <c r="Q13" s="38">
        <v>27.870534135</v>
      </c>
      <c r="R13" s="38">
        <v>28.247351073999997</v>
      </c>
      <c r="S13" s="38">
        <v>27.389565824999998</v>
      </c>
      <c r="T13" s="38">
        <v>26.344100658999999</v>
      </c>
    </row>
    <row r="14" spans="1:49" x14ac:dyDescent="0.25">
      <c r="A14" t="s">
        <v>176</v>
      </c>
      <c r="B14" s="43" t="s">
        <v>169</v>
      </c>
      <c r="C14" s="7" t="s">
        <v>171</v>
      </c>
      <c r="D14" s="38">
        <v>2.821061072</v>
      </c>
      <c r="E14" s="38">
        <v>4.0116693410000002</v>
      </c>
      <c r="F14" s="38">
        <v>5.6960849400000004</v>
      </c>
      <c r="G14" s="38">
        <v>7.0942504279999996</v>
      </c>
      <c r="H14" s="38">
        <v>8.6843032610000002</v>
      </c>
      <c r="I14" s="38">
        <v>9.8552235469999996</v>
      </c>
      <c r="J14" s="38">
        <v>9.4671570230000004</v>
      </c>
      <c r="K14" s="38">
        <v>9.782617406</v>
      </c>
      <c r="L14" s="38">
        <v>9.998416379</v>
      </c>
      <c r="M14" s="38">
        <v>11.08981779</v>
      </c>
      <c r="N14" s="38">
        <v>10.622129210000001</v>
      </c>
      <c r="O14" s="38">
        <v>9.8576406240000001</v>
      </c>
      <c r="P14" s="38">
        <v>11.08081859</v>
      </c>
      <c r="Q14" s="38">
        <v>10.98782877</v>
      </c>
      <c r="R14" s="38">
        <v>10.6405257</v>
      </c>
      <c r="S14">
        <v>10.85356017</v>
      </c>
      <c r="T14">
        <v>10.491016119999999</v>
      </c>
    </row>
    <row r="15" spans="1:49" x14ac:dyDescent="0.25">
      <c r="A15" t="s">
        <v>172</v>
      </c>
      <c r="B15" s="7" t="s">
        <v>11</v>
      </c>
      <c r="C15" s="7" t="s">
        <v>173</v>
      </c>
      <c r="D15" s="2">
        <f>D14/D13</f>
        <v>0.15326124907441233</v>
      </c>
      <c r="E15" s="2">
        <f t="shared" ref="E15:T15" si="2">E14/E13</f>
        <v>0.20000849651480929</v>
      </c>
      <c r="F15" s="2">
        <f t="shared" si="2"/>
        <v>0.27727186203089627</v>
      </c>
      <c r="G15" s="2">
        <f t="shared" si="2"/>
        <v>0.31332949142426531</v>
      </c>
      <c r="H15" s="2">
        <f t="shared" si="2"/>
        <v>0.37488758466778555</v>
      </c>
      <c r="I15" s="2">
        <f t="shared" si="2"/>
        <v>0.43316775724958395</v>
      </c>
      <c r="J15" s="2">
        <f t="shared" si="2"/>
        <v>0.41166692404402055</v>
      </c>
      <c r="K15" s="2">
        <f t="shared" si="2"/>
        <v>0.41985618304015559</v>
      </c>
      <c r="L15" s="2">
        <f t="shared" si="2"/>
        <v>0.39038375110561108</v>
      </c>
      <c r="M15" s="2">
        <f t="shared" si="2"/>
        <v>0.42105610000237959</v>
      </c>
      <c r="N15" s="2">
        <f t="shared" si="2"/>
        <v>0.39919775391625789</v>
      </c>
      <c r="O15" s="2">
        <f t="shared" si="2"/>
        <v>0.37595869299030671</v>
      </c>
      <c r="P15" s="2">
        <f t="shared" si="2"/>
        <v>0.39971276752490259</v>
      </c>
      <c r="Q15" s="2">
        <f t="shared" si="2"/>
        <v>0.39424536023518159</v>
      </c>
      <c r="R15" s="2">
        <f t="shared" si="2"/>
        <v>0.37669109829537145</v>
      </c>
      <c r="S15" s="2">
        <f t="shared" si="2"/>
        <v>0.39626623654228738</v>
      </c>
      <c r="T15" s="2">
        <f t="shared" si="2"/>
        <v>0.39823018655282616</v>
      </c>
    </row>
    <row r="17" spans="1:49" s="10" customFormat="1" ht="14.25" customHeight="1" x14ac:dyDescent="0.25">
      <c r="A17" s="10" t="s">
        <v>193</v>
      </c>
      <c r="B17" s="11"/>
      <c r="C17" s="11"/>
    </row>
    <row r="18" spans="1:49" x14ac:dyDescent="0.25">
      <c r="B18" s="7" t="s">
        <v>8</v>
      </c>
      <c r="C18" s="7" t="s">
        <v>12</v>
      </c>
      <c r="D18" s="1">
        <v>2005</v>
      </c>
      <c r="E18" s="2"/>
      <c r="I18">
        <v>2010</v>
      </c>
      <c r="N18">
        <v>2015</v>
      </c>
      <c r="S18">
        <v>2020</v>
      </c>
      <c r="X18">
        <v>2025</v>
      </c>
      <c r="AC18">
        <v>2030</v>
      </c>
      <c r="AH18">
        <v>2035</v>
      </c>
      <c r="AM18">
        <v>2040</v>
      </c>
      <c r="AR18">
        <v>2045</v>
      </c>
      <c r="AW18">
        <v>2050</v>
      </c>
    </row>
    <row r="19" spans="1:49" x14ac:dyDescent="0.25">
      <c r="A19" t="s">
        <v>194</v>
      </c>
      <c r="B19" s="7" t="s">
        <v>188</v>
      </c>
      <c r="C19" s="7" t="s">
        <v>185</v>
      </c>
      <c r="N19">
        <v>14</v>
      </c>
      <c r="AC19">
        <v>22</v>
      </c>
      <c r="AW19">
        <v>6</v>
      </c>
    </row>
    <row r="21" spans="1:49" s="5" customFormat="1" x14ac:dyDescent="0.25">
      <c r="A21" s="4" t="s">
        <v>192</v>
      </c>
      <c r="B21" s="6"/>
      <c r="C21" s="6"/>
    </row>
    <row r="22" spans="1:49" x14ac:dyDescent="0.25">
      <c r="B22" s="7" t="s">
        <v>8</v>
      </c>
      <c r="C22" s="7" t="s">
        <v>12</v>
      </c>
      <c r="D22" s="1">
        <v>2005</v>
      </c>
      <c r="E22" s="2"/>
      <c r="I22">
        <v>2010</v>
      </c>
      <c r="N22">
        <v>2015</v>
      </c>
      <c r="S22">
        <v>2020</v>
      </c>
      <c r="X22">
        <v>2025</v>
      </c>
      <c r="AC22">
        <v>2030</v>
      </c>
      <c r="AH22">
        <v>2035</v>
      </c>
      <c r="AM22">
        <v>2040</v>
      </c>
      <c r="AR22">
        <v>2045</v>
      </c>
      <c r="AW22">
        <v>2050</v>
      </c>
    </row>
    <row r="23" spans="1:49" x14ac:dyDescent="0.25">
      <c r="A23" t="s">
        <v>190</v>
      </c>
      <c r="B23" s="7" t="s">
        <v>196</v>
      </c>
      <c r="C23" s="7" t="s">
        <v>197</v>
      </c>
      <c r="D23" s="38">
        <f>D24+D25</f>
        <v>7.0210610720000002</v>
      </c>
      <c r="E23" s="38">
        <f t="shared" ref="E23:T23" si="3">E24+E25</f>
        <v>9.0116693410000011</v>
      </c>
      <c r="F23" s="38">
        <f t="shared" si="3"/>
        <v>11.496084939999999</v>
      </c>
      <c r="G23" s="38">
        <f t="shared" si="3"/>
        <v>13.994250428000001</v>
      </c>
      <c r="H23" s="38">
        <f t="shared" si="3"/>
        <v>16.884303260999999</v>
      </c>
      <c r="I23" s="38">
        <f t="shared" si="3"/>
        <v>18.755223547</v>
      </c>
      <c r="J23" s="38">
        <f t="shared" si="3"/>
        <v>19.867157023000001</v>
      </c>
      <c r="K23" s="38">
        <f t="shared" si="3"/>
        <v>19.582617406000001</v>
      </c>
      <c r="L23" s="38">
        <f t="shared" si="3"/>
        <v>20.398416379</v>
      </c>
      <c r="M23" s="38">
        <f t="shared" si="3"/>
        <v>22.089817789999998</v>
      </c>
      <c r="N23" s="38">
        <f t="shared" si="3"/>
        <v>20.522129210000003</v>
      </c>
      <c r="O23" s="38">
        <f t="shared" si="3"/>
        <v>20.357640623999998</v>
      </c>
      <c r="P23" s="38">
        <f t="shared" si="3"/>
        <v>22.280818589999999</v>
      </c>
      <c r="Q23" s="38">
        <f t="shared" si="3"/>
        <v>22.287828770000001</v>
      </c>
      <c r="R23" s="38">
        <f t="shared" si="3"/>
        <v>22.140525699999998</v>
      </c>
      <c r="S23" s="38">
        <f t="shared" si="3"/>
        <v>22.953560169999999</v>
      </c>
      <c r="T23" s="38">
        <f t="shared" si="3"/>
        <v>23.89101612</v>
      </c>
    </row>
    <row r="24" spans="1:49" x14ac:dyDescent="0.25">
      <c r="A24" t="s">
        <v>164</v>
      </c>
      <c r="B24" s="7" t="s">
        <v>196</v>
      </c>
      <c r="C24" s="7" t="s">
        <v>197</v>
      </c>
      <c r="D24">
        <f>D8</f>
        <v>4.2</v>
      </c>
      <c r="E24">
        <f t="shared" ref="E24:T24" si="4">E8</f>
        <v>5</v>
      </c>
      <c r="F24">
        <f t="shared" si="4"/>
        <v>5.8</v>
      </c>
      <c r="G24">
        <f t="shared" si="4"/>
        <v>6.9</v>
      </c>
      <c r="H24">
        <f t="shared" si="4"/>
        <v>8.1999999999999993</v>
      </c>
      <c r="I24">
        <f t="shared" si="4"/>
        <v>8.9</v>
      </c>
      <c r="J24">
        <f t="shared" si="4"/>
        <v>10.4</v>
      </c>
      <c r="K24">
        <f t="shared" si="4"/>
        <v>9.8000000000000007</v>
      </c>
      <c r="L24">
        <f t="shared" si="4"/>
        <v>10.4</v>
      </c>
      <c r="M24">
        <f t="shared" si="4"/>
        <v>11</v>
      </c>
      <c r="N24">
        <f t="shared" si="4"/>
        <v>9.9</v>
      </c>
      <c r="O24">
        <f t="shared" si="4"/>
        <v>10.5</v>
      </c>
      <c r="P24">
        <f t="shared" si="4"/>
        <v>11.2</v>
      </c>
      <c r="Q24">
        <f t="shared" si="4"/>
        <v>11.3</v>
      </c>
      <c r="R24">
        <f t="shared" si="4"/>
        <v>11.5</v>
      </c>
      <c r="S24">
        <f t="shared" si="4"/>
        <v>12.1</v>
      </c>
      <c r="T24">
        <f t="shared" si="4"/>
        <v>13.4</v>
      </c>
    </row>
    <row r="25" spans="1:49" x14ac:dyDescent="0.25">
      <c r="A25" t="s">
        <v>191</v>
      </c>
      <c r="B25" s="7" t="s">
        <v>196</v>
      </c>
      <c r="C25" s="7" t="s">
        <v>197</v>
      </c>
      <c r="D25" s="38">
        <f>D14</f>
        <v>2.821061072</v>
      </c>
      <c r="E25" s="38">
        <f t="shared" ref="E25:T25" si="5">E14</f>
        <v>4.0116693410000002</v>
      </c>
      <c r="F25" s="38">
        <f t="shared" si="5"/>
        <v>5.6960849400000004</v>
      </c>
      <c r="G25" s="38">
        <f t="shared" si="5"/>
        <v>7.0942504279999996</v>
      </c>
      <c r="H25" s="38">
        <f t="shared" si="5"/>
        <v>8.6843032610000002</v>
      </c>
      <c r="I25" s="38">
        <f t="shared" si="5"/>
        <v>9.8552235469999996</v>
      </c>
      <c r="J25" s="38">
        <f t="shared" si="5"/>
        <v>9.4671570230000004</v>
      </c>
      <c r="K25" s="38">
        <f t="shared" si="5"/>
        <v>9.782617406</v>
      </c>
      <c r="L25" s="38">
        <f t="shared" si="5"/>
        <v>9.998416379</v>
      </c>
      <c r="M25" s="38">
        <f t="shared" si="5"/>
        <v>11.08981779</v>
      </c>
      <c r="N25" s="38">
        <f t="shared" si="5"/>
        <v>10.622129210000001</v>
      </c>
      <c r="O25" s="38">
        <f t="shared" si="5"/>
        <v>9.8576406240000001</v>
      </c>
      <c r="P25" s="38">
        <f t="shared" si="5"/>
        <v>11.08081859</v>
      </c>
      <c r="Q25" s="38">
        <f t="shared" si="5"/>
        <v>10.98782877</v>
      </c>
      <c r="R25" s="38">
        <f t="shared" si="5"/>
        <v>10.6405257</v>
      </c>
      <c r="S25" s="38">
        <f t="shared" si="5"/>
        <v>10.85356017</v>
      </c>
      <c r="T25" s="38">
        <f t="shared" si="5"/>
        <v>10.491016119999999</v>
      </c>
    </row>
    <row r="26" spans="1:49" x14ac:dyDescent="0.25">
      <c r="A26" t="s">
        <v>7</v>
      </c>
      <c r="B26" s="7" t="s">
        <v>196</v>
      </c>
      <c r="C26" s="7" t="s">
        <v>197</v>
      </c>
      <c r="AC26" s="1">
        <f>AC19/N19*N23</f>
        <v>32.249060187142859</v>
      </c>
    </row>
    <row r="27" spans="1:49" ht="18" customHeight="1" x14ac:dyDescent="0.25">
      <c r="A27" t="s">
        <v>109</v>
      </c>
      <c r="B27" s="7" t="s">
        <v>196</v>
      </c>
      <c r="C27" s="7" t="s">
        <v>197</v>
      </c>
      <c r="AW27" s="1">
        <f>AW19/N19*N23</f>
        <v>8.7951982328571443</v>
      </c>
    </row>
    <row r="28" spans="1:49" x14ac:dyDescent="0.25">
      <c r="A28" t="s">
        <v>10</v>
      </c>
      <c r="T28" s="38">
        <v>23.89101612</v>
      </c>
      <c r="U28" s="38">
        <v>24.819687683015875</v>
      </c>
      <c r="V28" s="38">
        <v>25.748359246031747</v>
      </c>
      <c r="W28" s="38">
        <v>26.677030809047622</v>
      </c>
      <c r="X28" s="38">
        <v>27.605702372063494</v>
      </c>
      <c r="Y28" s="38">
        <v>28.534373935079365</v>
      </c>
      <c r="Z28" s="38">
        <v>29.463045498095241</v>
      </c>
      <c r="AA28" s="38">
        <v>30.391717061111116</v>
      </c>
      <c r="AB28" s="38">
        <v>31.320388624126988</v>
      </c>
      <c r="AC28" s="38">
        <v>32.249060187142859</v>
      </c>
      <c r="AD28" s="38">
        <v>31.076367089428576</v>
      </c>
      <c r="AE28" s="38">
        <v>29.903673991714289</v>
      </c>
      <c r="AF28" s="38">
        <v>28.730980894000005</v>
      </c>
      <c r="AG28" s="38">
        <v>27.558287796285718</v>
      </c>
      <c r="AH28" s="38">
        <v>26.385594698571431</v>
      </c>
      <c r="AI28" s="38">
        <v>25.212901600857144</v>
      </c>
      <c r="AJ28" s="38">
        <v>24.040208503142861</v>
      </c>
      <c r="AK28" s="38">
        <v>22.867515405428577</v>
      </c>
      <c r="AL28" s="38">
        <v>21.69482230771429</v>
      </c>
      <c r="AM28" s="38">
        <v>20.522129210000003</v>
      </c>
      <c r="AN28" s="38">
        <v>19.349436112285716</v>
      </c>
      <c r="AO28" s="38">
        <v>18.176743014571432</v>
      </c>
      <c r="AP28" s="38">
        <v>17.004049916857145</v>
      </c>
      <c r="AQ28" s="38">
        <v>15.831356819142862</v>
      </c>
      <c r="AR28" s="38">
        <v>14.658663721428574</v>
      </c>
      <c r="AS28" s="38">
        <v>13.485970623714287</v>
      </c>
      <c r="AT28" s="38">
        <v>12.313277526000004</v>
      </c>
      <c r="AU28" s="38">
        <v>11.140584428285717</v>
      </c>
      <c r="AV28" s="38">
        <v>9.9678913305714332</v>
      </c>
      <c r="AW28" s="38">
        <v>8.7951982328571461</v>
      </c>
    </row>
    <row r="30" spans="1:49" x14ac:dyDescent="0.25">
      <c r="A30" t="s">
        <v>177</v>
      </c>
      <c r="D30" s="48">
        <f>AVERAGE(T23-S23,S23-R23,R23-Q23,Q23-P23)*1000</f>
        <v>402.54938250000015</v>
      </c>
    </row>
    <row r="31" spans="1:49" x14ac:dyDescent="0.25">
      <c r="A31" t="s">
        <v>178</v>
      </c>
      <c r="D31" s="48">
        <f>(U28-T28)*1000</f>
        <v>928.67156301587534</v>
      </c>
    </row>
    <row r="32" spans="1:49" x14ac:dyDescent="0.25">
      <c r="A32" t="s">
        <v>195</v>
      </c>
      <c r="D32" s="48">
        <f>AN28-AM28</f>
        <v>-1.1726930977142871</v>
      </c>
    </row>
    <row r="34" spans="1:4" x14ac:dyDescent="0.25">
      <c r="A34" t="s">
        <v>187</v>
      </c>
      <c r="B34" s="7" t="s">
        <v>189</v>
      </c>
      <c r="C34" s="7" t="s">
        <v>185</v>
      </c>
      <c r="D34" s="47">
        <v>14</v>
      </c>
    </row>
    <row r="35" spans="1:4" x14ac:dyDescent="0.25">
      <c r="A35" t="s">
        <v>7</v>
      </c>
      <c r="B35" s="7" t="s">
        <v>189</v>
      </c>
      <c r="C35" s="7" t="s">
        <v>185</v>
      </c>
      <c r="D35">
        <v>22</v>
      </c>
    </row>
    <row r="36" spans="1:4" x14ac:dyDescent="0.25">
      <c r="A36" t="s">
        <v>109</v>
      </c>
      <c r="B36" s="7" t="s">
        <v>189</v>
      </c>
      <c r="C36" s="7" t="s">
        <v>185</v>
      </c>
      <c r="D36">
        <v>6</v>
      </c>
    </row>
    <row r="37" spans="1:4" x14ac:dyDescent="0.25">
      <c r="A37" t="s">
        <v>186</v>
      </c>
    </row>
  </sheetData>
  <hyperlinks>
    <hyperlink ref="B5" r:id="rId1" xr:uid="{6E878942-6065-423A-92A2-B590DEC00928}"/>
    <hyperlink ref="B6" r:id="rId2" xr:uid="{6FC931B0-6284-4FFF-839A-64939B804981}"/>
    <hyperlink ref="B8" r:id="rId3" xr:uid="{165BB33C-4497-4E1C-B6B8-42AC31F197E8}"/>
    <hyperlink ref="B7" r:id="rId4" xr:uid="{503FA682-CE05-4927-A404-6D6C4B3ED154}"/>
    <hyperlink ref="B14" r:id="rId5" xr:uid="{E05F33D4-5286-4FAC-8AFD-C0740AE3B221}"/>
    <hyperlink ref="B13" r:id="rId6" xr:uid="{31D02FFD-C405-4F22-98DD-8CD5535ECB93}"/>
  </hyperlinks>
  <pageMargins left="0.7" right="0.7" top="0.75" bottom="0.75" header="0.3" footer="0.3"/>
  <pageSetup paperSize="9" orientation="portrait" verticalDpi="0" r:id="rId7"/>
  <drawing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462A1B62F2C54A89815A910B5DA9DF" ma:contentTypeVersion="16" ma:contentTypeDescription="Create a new document." ma:contentTypeScope="" ma:versionID="43a3ad87b04958c91f7313fb39e06f27">
  <xsd:schema xmlns:xsd="http://www.w3.org/2001/XMLSchema" xmlns:xs="http://www.w3.org/2001/XMLSchema" xmlns:p="http://schemas.microsoft.com/office/2006/metadata/properties" xmlns:ns2="a9d963ac-f1ca-452e-b18b-8cbbecb7290e" xmlns:ns3="a8fcedee-7f03-4257-8c59-ae56f55c4b1e" targetNamespace="http://schemas.microsoft.com/office/2006/metadata/properties" ma:root="true" ma:fieldsID="d00b033298dd0215310f833e8991d3df" ns2:_="" ns3:_="">
    <xsd:import namespace="a9d963ac-f1ca-452e-b18b-8cbbecb7290e"/>
    <xsd:import namespace="a8fcedee-7f03-4257-8c59-ae56f55c4b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d963ac-f1ca-452e-b18b-8cbbecb729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de42cbc-566b-46c9-aea5-a71cdcd36d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fcedee-7f03-4257-8c59-ae56f55c4b1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e1f8554-d6c4-460b-bca5-2ae6d8f9a2f4}" ma:internalName="TaxCatchAll" ma:showField="CatchAllData" ma:web="a8fcedee-7f03-4257-8c59-ae56f55c4b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a9d963ac-f1ca-452e-b18b-8cbbecb7290e" xsi:nil="true"/>
    <SharedWithUsers xmlns="a8fcedee-7f03-4257-8c59-ae56f55c4b1e">
      <UserInfo>
        <DisplayName/>
        <AccountId xsi:nil="true"/>
        <AccountType/>
      </UserInfo>
    </SharedWithUsers>
    <lcf76f155ced4ddcb4097134ff3c332f xmlns="a9d963ac-f1ca-452e-b18b-8cbbecb7290e">
      <Terms xmlns="http://schemas.microsoft.com/office/infopath/2007/PartnerControls"/>
    </lcf76f155ced4ddcb4097134ff3c332f>
    <TaxCatchAll xmlns="a8fcedee-7f03-4257-8c59-ae56f55c4b1e" xsi:nil="true"/>
  </documentManagement>
</p:properties>
</file>

<file path=customXml/itemProps1.xml><?xml version="1.0" encoding="utf-8"?>
<ds:datastoreItem xmlns:ds="http://schemas.openxmlformats.org/officeDocument/2006/customXml" ds:itemID="{6DF2426F-7829-4C54-AD0D-0104F971E5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E97133-CE60-4B48-B2BA-87512A2D9223}"/>
</file>

<file path=customXml/itemProps3.xml><?xml version="1.0" encoding="utf-8"?>
<ds:datastoreItem xmlns:ds="http://schemas.openxmlformats.org/officeDocument/2006/customXml" ds:itemID="{B799FCFB-117B-4431-A314-50C95F0CF013}">
  <ds:schemaRefs>
    <ds:schemaRef ds:uri="http://purl.org/dc/dcmitype/"/>
    <ds:schemaRef ds:uri="http://purl.org/dc/elements/1.1/"/>
    <ds:schemaRef ds:uri="http://schemas.microsoft.com/office/2006/metadata/properties"/>
    <ds:schemaRef ds:uri="a8fcedee-7f03-4257-8c59-ae56f55c4b1e"/>
    <ds:schemaRef ds:uri="http://schemas.microsoft.com/office/2006/documentManagement/types"/>
    <ds:schemaRef ds:uri="a9d963ac-f1ca-452e-b18b-8cbbecb7290e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Colour palette</vt:lpstr>
      <vt:lpstr>1. GHG emissions</vt:lpstr>
      <vt:lpstr>2. animal production and consum</vt:lpstr>
      <vt:lpstr>3. crop area and production</vt:lpstr>
      <vt:lpstr>4. GHG intensity</vt:lpstr>
      <vt:lpstr>5. Fertilizer use</vt:lpstr>
      <vt:lpstr>6. animal product consumption</vt:lpstr>
      <vt:lpstr>7. food waste</vt:lpstr>
      <vt:lpstr>8. Bioenergy crops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Pieter Lemmens</dc:creator>
  <cp:keywords/>
  <dc:description/>
  <cp:lastModifiedBy>Pieter Lemmens</cp:lastModifiedBy>
  <cp:revision/>
  <dcterms:created xsi:type="dcterms:W3CDTF">2015-06-05T18:17:20Z</dcterms:created>
  <dcterms:modified xsi:type="dcterms:W3CDTF">2023-10-27T12:45:45Z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ProgID">
    <vt:lpwstr/>
  </property>
  <property fmtid="{D5CDD505-2E9C-101B-9397-08002B2CF9AE}" pid="3" name="MediaServiceImageTags">
    <vt:lpwstr/>
  </property>
  <property fmtid="{D5CDD505-2E9C-101B-9397-08002B2CF9AE}" pid="4" name="ContentTypeId">
    <vt:lpwstr>0x01010003462A1B62F2C54A89815A910B5DA9DF</vt:lpwstr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