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xml" ContentType="application/vnd.openxmlformats-officedocument.spreadsheetml.pivotTable+xml"/>
  <Override PartName="/xl/drawings/drawing9.xml" ContentType="application/vnd.openxmlformats-officedocument.drawing+xml"/>
  <Override PartName="/xl/comments1.xml" ContentType="application/vnd.openxmlformats-officedocument.spreadsheetml.comment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https://eea1.sharepoint.com/teams/EuropeanScientificAdvisoryBoardonClimateChange2/Shared Documents/General/Subgroups/1b. Consistency EU measures/Drafts/underlying excels and flowcharts/Final Figures and Graphs/"/>
    </mc:Choice>
  </mc:AlternateContent>
  <xr:revisionPtr revIDLastSave="2056" documentId="13_ncr:1_{3D12F872-95DC-4FA7-AAA2-ACC16F0C9CD1}" xr6:coauthVersionLast="47" xr6:coauthVersionMax="47" xr10:uidLastSave="{882E50FF-086A-4D5D-8535-99D7FCC96EB1}"/>
  <bookViews>
    <workbookView xWindow="-96" yWindow="-96" windowWidth="41472" windowHeight="16872" activeTab="5" xr2:uid="{00000000-000D-0000-FFFF-FFFF00000000}"/>
  </bookViews>
  <sheets>
    <sheet name="conversion factor" sheetId="29" r:id="rId1"/>
    <sheet name="Colour palette" sheetId="18" r:id="rId2"/>
    <sheet name="I1. GHG emissions" sheetId="17" r:id="rId3"/>
    <sheet name="Figure 21. emissions profile" sheetId="19" r:id="rId4"/>
    <sheet name="I2. Production and consumption" sheetId="20" r:id="rId5"/>
    <sheet name="I3. CMUR" sheetId="23" r:id="rId6"/>
    <sheet name="I4. GHG intensity products" sheetId="22" r:id="rId7"/>
    <sheet name="I5. Energy use" sheetId="24" r:id="rId8"/>
    <sheet name="I6. Energy mix" sheetId="26" r:id="rId9"/>
    <sheet name="I7a,b&amp;c. Low carbon projects" sheetId="27" r:id="rId10"/>
    <sheet name="3. Material footprint" sheetId="21" r:id="rId11"/>
    <sheet name="8. GHG intensity energy use" sheetId="25" r:id="rId12"/>
    <sheet name="GVA" sheetId="28" r:id="rId13"/>
  </sheets>
  <externalReferences>
    <externalReference r:id="rId14"/>
    <externalReference r:id="rId15"/>
    <externalReference r:id="rId16"/>
  </externalReferences>
  <definedNames>
    <definedName name="_xlnm._FilterDatabase" localSheetId="3" hidden="1">'Figure 21. emissions profile'!$A$1:$H$55</definedName>
    <definedName name="_xlnm._FilterDatabase" localSheetId="9" hidden="1">'I7a,b&amp;c. Low carbon projects'!$A$84:$D$84</definedName>
    <definedName name="Mtoe_to_TWh">'conversion factor'!$B$10</definedName>
  </definedNames>
  <calcPr calcId="191028"/>
  <pivotCaches>
    <pivotCache cacheId="0" r:id="rId17"/>
    <pivotCache cacheId="1"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3" l="1"/>
  <c r="K5" i="22"/>
  <c r="D23" i="24"/>
  <c r="E6" i="29"/>
  <c r="AE27" i="26"/>
  <c r="AM43" i="26"/>
  <c r="AW46" i="26"/>
  <c r="AW45" i="26"/>
  <c r="AW44" i="26"/>
  <c r="AW43" i="26"/>
  <c r="AM46" i="26"/>
  <c r="AM45" i="26"/>
  <c r="AM44" i="26"/>
  <c r="AC44" i="26"/>
  <c r="AC45" i="26"/>
  <c r="AC46" i="26"/>
  <c r="AC43" i="26"/>
  <c r="AW48" i="24"/>
  <c r="AW47" i="24"/>
  <c r="AW46" i="24"/>
  <c r="AR48" i="24"/>
  <c r="AR47" i="24"/>
  <c r="AR46" i="24"/>
  <c r="AM48" i="24"/>
  <c r="AM47" i="24"/>
  <c r="AM46" i="24"/>
  <c r="AH48" i="24"/>
  <c r="AH47" i="24"/>
  <c r="AH46" i="24"/>
  <c r="AC48" i="24"/>
  <c r="AC47" i="24"/>
  <c r="AC46" i="24"/>
  <c r="X48" i="24"/>
  <c r="X47" i="24"/>
  <c r="X46" i="24"/>
  <c r="S48" i="24"/>
  <c r="S47" i="24"/>
  <c r="S46" i="24"/>
  <c r="N48" i="24"/>
  <c r="N47" i="24"/>
  <c r="N46" i="24"/>
  <c r="I48" i="24"/>
  <c r="I47" i="24"/>
  <c r="I46" i="24"/>
  <c r="AW138" i="17"/>
  <c r="AW137" i="17"/>
  <c r="AR138" i="17"/>
  <c r="AR137" i="17"/>
  <c r="AM138" i="17"/>
  <c r="AM137" i="17"/>
  <c r="AH138" i="17"/>
  <c r="AH137" i="17"/>
  <c r="AC138" i="17"/>
  <c r="AC137" i="17"/>
  <c r="X138" i="17"/>
  <c r="X137" i="17"/>
  <c r="S138" i="17"/>
  <c r="S137" i="17"/>
  <c r="N138" i="17"/>
  <c r="N137" i="17"/>
  <c r="D23" i="17"/>
  <c r="D19" i="17"/>
  <c r="C6" i="29" l="1"/>
  <c r="F23" i="24"/>
  <c r="D7" i="17"/>
  <c r="D37" i="24" l="1"/>
  <c r="D39" i="24"/>
  <c r="V35" i="24"/>
  <c r="W35" i="24" s="1"/>
  <c r="X35" i="24" s="1"/>
  <c r="Y35" i="24" s="1"/>
  <c r="Z35" i="24" s="1"/>
  <c r="AA35" i="24" s="1"/>
  <c r="AB35" i="24" s="1"/>
  <c r="AC35" i="24" s="1"/>
  <c r="U35" i="24"/>
  <c r="U34" i="24"/>
  <c r="T35" i="24"/>
  <c r="D38" i="24"/>
  <c r="AC34" i="24"/>
  <c r="T34" i="24"/>
  <c r="AV35" i="24"/>
  <c r="AU35" i="24"/>
  <c r="AT35" i="24"/>
  <c r="AS35" i="24"/>
  <c r="AR35" i="24"/>
  <c r="AQ35" i="24"/>
  <c r="AP35" i="24"/>
  <c r="AO35" i="24"/>
  <c r="AN35" i="24"/>
  <c r="AM35" i="24"/>
  <c r="AL35" i="24"/>
  <c r="AK35" i="24"/>
  <c r="AJ35" i="24"/>
  <c r="AI35" i="24"/>
  <c r="AH35" i="24"/>
  <c r="AG35" i="24"/>
  <c r="AF35" i="24"/>
  <c r="AE35" i="24"/>
  <c r="AD35" i="24"/>
  <c r="AV34" i="24"/>
  <c r="AU34" i="24"/>
  <c r="AT34" i="24"/>
  <c r="AS34" i="24"/>
  <c r="AR34" i="24"/>
  <c r="AQ34" i="24"/>
  <c r="AP34" i="24"/>
  <c r="AO34" i="24"/>
  <c r="AN34" i="24"/>
  <c r="AM34" i="24"/>
  <c r="AL34" i="24"/>
  <c r="AK34" i="24"/>
  <c r="AJ34" i="24"/>
  <c r="AI34" i="24"/>
  <c r="AH34" i="24"/>
  <c r="AG34" i="24"/>
  <c r="AF34" i="24"/>
  <c r="AE34" i="24"/>
  <c r="AD34" i="24"/>
  <c r="AB34" i="24"/>
  <c r="AA34" i="24"/>
  <c r="Z34" i="24"/>
  <c r="Y34" i="24"/>
  <c r="X34" i="24"/>
  <c r="W34" i="24"/>
  <c r="V34" i="24"/>
  <c r="AW35" i="24"/>
  <c r="AW34" i="24"/>
  <c r="AW33" i="24"/>
  <c r="AW30" i="24"/>
  <c r="AW29" i="24"/>
  <c r="AM30" i="24"/>
  <c r="AM29" i="24"/>
  <c r="AC30" i="24"/>
  <c r="AC31" i="24"/>
  <c r="AC32" i="24"/>
  <c r="AC29" i="24"/>
  <c r="D24" i="24"/>
  <c r="E24" i="24"/>
  <c r="F24" i="24"/>
  <c r="G24" i="24"/>
  <c r="H24" i="24"/>
  <c r="I24" i="24"/>
  <c r="J24" i="24"/>
  <c r="K24" i="24"/>
  <c r="L24" i="24"/>
  <c r="M24" i="24"/>
  <c r="N24" i="24"/>
  <c r="O24" i="24"/>
  <c r="P24" i="24"/>
  <c r="Q24" i="24"/>
  <c r="R24" i="24"/>
  <c r="S24" i="24"/>
  <c r="T24" i="24"/>
  <c r="D25" i="24"/>
  <c r="E25" i="24"/>
  <c r="F25" i="24"/>
  <c r="G25" i="24"/>
  <c r="H25" i="24"/>
  <c r="I25" i="24"/>
  <c r="J25" i="24"/>
  <c r="K25" i="24"/>
  <c r="L25" i="24"/>
  <c r="M25" i="24"/>
  <c r="N25" i="24"/>
  <c r="O25" i="24"/>
  <c r="P25" i="24"/>
  <c r="Q25" i="24"/>
  <c r="R25" i="24"/>
  <c r="S25" i="24"/>
  <c r="T25" i="24"/>
  <c r="D26" i="24"/>
  <c r="E26" i="24"/>
  <c r="F26" i="24"/>
  <c r="G26" i="24"/>
  <c r="H26" i="24"/>
  <c r="I26" i="24"/>
  <c r="J26" i="24"/>
  <c r="K26" i="24"/>
  <c r="L26" i="24"/>
  <c r="M26" i="24"/>
  <c r="N26" i="24"/>
  <c r="O26" i="24"/>
  <c r="P26" i="24"/>
  <c r="Q26" i="24"/>
  <c r="R26" i="24"/>
  <c r="S26" i="24"/>
  <c r="T26" i="24"/>
  <c r="D27" i="24"/>
  <c r="E27" i="24"/>
  <c r="F27" i="24"/>
  <c r="G27" i="24"/>
  <c r="H27" i="24"/>
  <c r="I27" i="24"/>
  <c r="J27" i="24"/>
  <c r="K27" i="24"/>
  <c r="L27" i="24"/>
  <c r="M27" i="24"/>
  <c r="N27" i="24"/>
  <c r="O27" i="24"/>
  <c r="P27" i="24"/>
  <c r="Q27" i="24"/>
  <c r="R27" i="24"/>
  <c r="S27" i="24"/>
  <c r="T27" i="24"/>
  <c r="D28" i="24"/>
  <c r="E28" i="24"/>
  <c r="F28" i="24"/>
  <c r="G28" i="24"/>
  <c r="H28" i="24"/>
  <c r="I28" i="24"/>
  <c r="J28" i="24"/>
  <c r="K28" i="24"/>
  <c r="L28" i="24"/>
  <c r="M28" i="24"/>
  <c r="N28" i="24"/>
  <c r="O28" i="24"/>
  <c r="P28" i="24"/>
  <c r="Q28" i="24"/>
  <c r="R28" i="24"/>
  <c r="S28" i="24"/>
  <c r="T28" i="24"/>
  <c r="E23" i="24"/>
  <c r="G23" i="24"/>
  <c r="H23" i="24"/>
  <c r="I23" i="24"/>
  <c r="J23" i="24"/>
  <c r="K23" i="24"/>
  <c r="L23" i="24"/>
  <c r="M23" i="24"/>
  <c r="N23" i="24"/>
  <c r="O23" i="24"/>
  <c r="P23" i="24"/>
  <c r="Q23" i="24"/>
  <c r="R23" i="24"/>
  <c r="S23" i="24"/>
  <c r="T23" i="24"/>
  <c r="C5" i="29"/>
  <c r="B5" i="29"/>
  <c r="D4" i="29"/>
  <c r="E4" i="29" s="1"/>
  <c r="B4" i="29"/>
  <c r="B6" i="29" s="1"/>
  <c r="L62" i="24"/>
  <c r="L60" i="24"/>
  <c r="L59" i="24"/>
  <c r="L58" i="24"/>
  <c r="L57" i="24"/>
  <c r="L56" i="24"/>
  <c r="L55" i="24"/>
  <c r="L54" i="24"/>
  <c r="L53" i="24"/>
  <c r="L52" i="24"/>
  <c r="L61" i="24"/>
  <c r="E5" i="29" l="1"/>
  <c r="D5" i="29"/>
  <c r="D6" i="29"/>
  <c r="F51" i="26"/>
  <c r="F50" i="26"/>
  <c r="F49" i="26"/>
  <c r="E51" i="26"/>
  <c r="E50" i="26"/>
  <c r="D50" i="26"/>
  <c r="E49" i="26"/>
  <c r="D51" i="26"/>
  <c r="D49" i="26"/>
  <c r="D7" i="22"/>
  <c r="E121" i="17"/>
  <c r="AW13" i="17"/>
  <c r="AC11" i="17" l="1"/>
  <c r="L5" i="17"/>
  <c r="S11" i="20"/>
  <c r="R11" i="20"/>
  <c r="Q11" i="20"/>
  <c r="P11" i="20"/>
  <c r="O11" i="20"/>
  <c r="N11" i="20"/>
  <c r="M11" i="20"/>
  <c r="T11" i="20"/>
  <c r="K6" i="20"/>
  <c r="L6" i="20"/>
  <c r="M6" i="20"/>
  <c r="N6" i="20"/>
  <c r="O6" i="20"/>
  <c r="P6" i="20"/>
  <c r="Q6" i="20"/>
  <c r="R6" i="20"/>
  <c r="S6" i="20"/>
  <c r="T6" i="20"/>
  <c r="F121" i="17" l="1"/>
  <c r="D121" i="17"/>
  <c r="F125" i="17" l="1"/>
  <c r="F126" i="17" s="1"/>
  <c r="E125" i="17"/>
  <c r="E126" i="17" s="1"/>
  <c r="S3" i="17"/>
  <c r="T3" i="17"/>
  <c r="U3" i="17"/>
  <c r="V3" i="28"/>
  <c r="V2" i="28"/>
  <c r="M120" i="17"/>
  <c r="D3" i="17"/>
  <c r="M118" i="17"/>
  <c r="M121" i="17" s="1"/>
  <c r="M119" i="17"/>
  <c r="L121" i="17"/>
  <c r="K121" i="17"/>
  <c r="D122" i="17" l="1"/>
  <c r="F122" i="17"/>
  <c r="E122" i="17"/>
  <c r="AW14" i="17"/>
  <c r="D24" i="17" l="1"/>
  <c r="U40" i="22"/>
  <c r="U25" i="22"/>
  <c r="U20" i="22"/>
  <c r="L25" i="22"/>
  <c r="T20" i="22"/>
  <c r="S20" i="22"/>
  <c r="R20" i="22"/>
  <c r="Q20" i="22"/>
  <c r="P20" i="22"/>
  <c r="O20" i="22"/>
  <c r="N20" i="22"/>
  <c r="M20" i="22"/>
  <c r="L20" i="22"/>
  <c r="AC12" i="17"/>
  <c r="U4" i="17" l="1"/>
  <c r="T4" i="17" l="1"/>
  <c r="S4" i="17"/>
  <c r="R4" i="17"/>
  <c r="Q4" i="17"/>
  <c r="P4" i="17"/>
  <c r="O4" i="17"/>
  <c r="N4" i="17"/>
  <c r="M4" i="17"/>
  <c r="L4" i="17"/>
  <c r="K4" i="17"/>
  <c r="J4" i="17"/>
  <c r="I4" i="17"/>
  <c r="H4" i="17"/>
  <c r="G4" i="17"/>
  <c r="F4" i="17"/>
  <c r="E4" i="17"/>
  <c r="D4" i="17"/>
  <c r="D26" i="17" s="1"/>
  <c r="V42" i="26"/>
  <c r="W42" i="26" s="1"/>
  <c r="X42" i="26" s="1"/>
  <c r="Y42" i="26" s="1"/>
  <c r="Z42" i="26" s="1"/>
  <c r="AA42" i="26" s="1"/>
  <c r="AB42" i="26" s="1"/>
  <c r="U42" i="26"/>
  <c r="T42" i="26"/>
  <c r="AE42" i="26"/>
  <c r="AF42" i="26"/>
  <c r="AG42" i="26" s="1"/>
  <c r="AH42" i="26" s="1"/>
  <c r="AI42" i="26" s="1"/>
  <c r="AJ42" i="26" s="1"/>
  <c r="AK42" i="26" s="1"/>
  <c r="AL42" i="26" s="1"/>
  <c r="AM42" i="26" s="1"/>
  <c r="AN42" i="26" s="1"/>
  <c r="AO42" i="26" s="1"/>
  <c r="AP42" i="26" s="1"/>
  <c r="AQ42" i="26" s="1"/>
  <c r="AR42" i="26" s="1"/>
  <c r="AS42" i="26" s="1"/>
  <c r="AT42" i="26" s="1"/>
  <c r="AU42" i="26" s="1"/>
  <c r="AV42" i="26" s="1"/>
  <c r="AD42" i="26"/>
  <c r="AW42" i="26"/>
  <c r="AC42" i="26"/>
  <c r="AC168" i="26" l="1"/>
  <c r="AW15" i="17" l="1"/>
  <c r="AW16" i="17"/>
  <c r="F26" i="21" l="1"/>
  <c r="S3" i="21"/>
  <c r="R3" i="21"/>
  <c r="Q3" i="21"/>
  <c r="P3" i="21"/>
  <c r="O3" i="21"/>
  <c r="N3" i="21"/>
  <c r="M3" i="21"/>
  <c r="L3" i="21"/>
  <c r="K3" i="21"/>
  <c r="J3" i="21"/>
  <c r="I3" i="21"/>
  <c r="H3" i="21"/>
  <c r="G3" i="21"/>
  <c r="F3" i="21"/>
  <c r="E3" i="21"/>
  <c r="D3" i="21"/>
  <c r="D22" i="20"/>
  <c r="D11" i="20"/>
  <c r="D85" i="27"/>
  <c r="D86" i="27"/>
  <c r="D91" i="27"/>
  <c r="D87" i="27"/>
  <c r="D89" i="27"/>
  <c r="D92" i="27"/>
  <c r="D88" i="27"/>
  <c r="D90" i="27"/>
  <c r="P4" i="19" l="1"/>
  <c r="F12" i="25"/>
  <c r="F11" i="25"/>
  <c r="AC4" i="25"/>
  <c r="P5" i="19"/>
  <c r="T22" i="25" l="1"/>
  <c r="S22" i="25"/>
  <c r="R22" i="25"/>
  <c r="Q22" i="25"/>
  <c r="P22" i="25"/>
  <c r="O22" i="25"/>
  <c r="N22" i="25"/>
  <c r="M22" i="25"/>
  <c r="L22" i="25"/>
  <c r="K22" i="25"/>
  <c r="J22" i="25"/>
  <c r="I22" i="25"/>
  <c r="H22" i="25"/>
  <c r="G22" i="25"/>
  <c r="F22" i="25"/>
  <c r="E22" i="25"/>
  <c r="D22" i="25"/>
  <c r="T21" i="25"/>
  <c r="S21" i="25"/>
  <c r="R21" i="25"/>
  <c r="Q21" i="25"/>
  <c r="P21" i="25"/>
  <c r="O21" i="25"/>
  <c r="N21" i="25"/>
  <c r="M21" i="25"/>
  <c r="L21" i="25"/>
  <c r="K21" i="25"/>
  <c r="J21" i="25"/>
  <c r="I21" i="25"/>
  <c r="H21" i="25"/>
  <c r="G21" i="25"/>
  <c r="F21" i="25"/>
  <c r="E21" i="25"/>
  <c r="D21" i="25"/>
  <c r="K23" i="25" l="1"/>
  <c r="R23" i="25"/>
  <c r="I23" i="25"/>
  <c r="J23" i="25"/>
  <c r="Q23" i="25"/>
  <c r="D23" i="25"/>
  <c r="D3" i="25" s="1"/>
  <c r="E23" i="25"/>
  <c r="M23" i="25"/>
  <c r="N23" i="25"/>
  <c r="T23" i="25"/>
  <c r="G23" i="25"/>
  <c r="O23" i="25"/>
  <c r="L23" i="25"/>
  <c r="H23" i="25"/>
  <c r="P23" i="25"/>
  <c r="F23" i="25"/>
  <c r="S23" i="25"/>
  <c r="S55" i="26"/>
  <c r="S54" i="26"/>
  <c r="S53" i="26"/>
  <c r="R55" i="26"/>
  <c r="R54" i="26"/>
  <c r="R53" i="26"/>
  <c r="AW177" i="26"/>
  <c r="AW176" i="26"/>
  <c r="AW174" i="26" s="1"/>
  <c r="AW175" i="26"/>
  <c r="AW173" i="26"/>
  <c r="AW172" i="26"/>
  <c r="AW171" i="26"/>
  <c r="AW169" i="26"/>
  <c r="AW168" i="26"/>
  <c r="AW167" i="26"/>
  <c r="AW166" i="26" s="1"/>
  <c r="T8" i="26"/>
  <c r="S8" i="26"/>
  <c r="R8" i="26"/>
  <c r="Q8" i="26"/>
  <c r="P8" i="26"/>
  <c r="O8" i="26"/>
  <c r="N8" i="26"/>
  <c r="M8" i="26"/>
  <c r="L8" i="26"/>
  <c r="K8" i="26"/>
  <c r="J8" i="26"/>
  <c r="I8" i="26"/>
  <c r="H8" i="26"/>
  <c r="G8" i="26"/>
  <c r="F8" i="26"/>
  <c r="E8" i="26"/>
  <c r="D8" i="26"/>
  <c r="T7" i="26"/>
  <c r="S7" i="26"/>
  <c r="R7" i="26"/>
  <c r="Q7" i="26"/>
  <c r="P7" i="26"/>
  <c r="O7" i="26"/>
  <c r="N7" i="26"/>
  <c r="M7" i="26"/>
  <c r="L7" i="26"/>
  <c r="K7" i="26"/>
  <c r="J7" i="26"/>
  <c r="I7" i="26"/>
  <c r="H7" i="26"/>
  <c r="G7" i="26"/>
  <c r="F7" i="26"/>
  <c r="E7" i="26"/>
  <c r="D7" i="26"/>
  <c r="T5" i="26"/>
  <c r="S5" i="26"/>
  <c r="R5" i="26"/>
  <c r="Q5" i="26"/>
  <c r="P5" i="26"/>
  <c r="O5" i="26"/>
  <c r="N5" i="26"/>
  <c r="M5" i="26"/>
  <c r="L5" i="26"/>
  <c r="K5" i="26"/>
  <c r="J5" i="26"/>
  <c r="I5" i="26"/>
  <c r="H5" i="26"/>
  <c r="G5" i="26"/>
  <c r="F5" i="26"/>
  <c r="E5" i="26"/>
  <c r="T6" i="26"/>
  <c r="S6" i="26"/>
  <c r="R6" i="26"/>
  <c r="Q6" i="26"/>
  <c r="P6" i="26"/>
  <c r="O6" i="26"/>
  <c r="N6" i="26"/>
  <c r="M6" i="26"/>
  <c r="L6" i="26"/>
  <c r="K6" i="26"/>
  <c r="J6" i="26"/>
  <c r="I6" i="26"/>
  <c r="H6" i="26"/>
  <c r="G6" i="26"/>
  <c r="F6" i="26"/>
  <c r="E6" i="26"/>
  <c r="D6" i="26"/>
  <c r="D5" i="26"/>
  <c r="T3" i="26"/>
  <c r="S3" i="26"/>
  <c r="R3" i="26"/>
  <c r="Q3" i="26"/>
  <c r="P3" i="26"/>
  <c r="O3" i="26"/>
  <c r="N3" i="26"/>
  <c r="M3" i="26"/>
  <c r="L3" i="26"/>
  <c r="K3" i="26"/>
  <c r="J3" i="26"/>
  <c r="I3" i="26"/>
  <c r="H3" i="26"/>
  <c r="G3" i="26"/>
  <c r="F3" i="26"/>
  <c r="E3" i="26"/>
  <c r="D3" i="26"/>
  <c r="T4" i="26"/>
  <c r="S4" i="26"/>
  <c r="R4" i="26"/>
  <c r="Q4" i="26"/>
  <c r="P4" i="26"/>
  <c r="O4" i="26"/>
  <c r="N4" i="26"/>
  <c r="M4" i="26"/>
  <c r="L4" i="26"/>
  <c r="K4" i="26"/>
  <c r="J4" i="26"/>
  <c r="I4" i="26"/>
  <c r="H4" i="26"/>
  <c r="G4" i="26"/>
  <c r="F4" i="26"/>
  <c r="E4" i="26"/>
  <c r="D4" i="26"/>
  <c r="AC177" i="26"/>
  <c r="AC176" i="26"/>
  <c r="AC175" i="26"/>
  <c r="AC174" i="26" s="1"/>
  <c r="AC173" i="26"/>
  <c r="AC172" i="26"/>
  <c r="AC171" i="26"/>
  <c r="AC169" i="26"/>
  <c r="AC167" i="26"/>
  <c r="AW152" i="26"/>
  <c r="AC152" i="26"/>
  <c r="AW139" i="26"/>
  <c r="AW165" i="26" s="1"/>
  <c r="AC139" i="26"/>
  <c r="P3" i="25" l="1"/>
  <c r="AW38" i="26"/>
  <c r="AC170" i="26"/>
  <c r="J34" i="26"/>
  <c r="R34" i="26"/>
  <c r="O34" i="26"/>
  <c r="H34" i="26"/>
  <c r="P34" i="26"/>
  <c r="AW37" i="26"/>
  <c r="G34" i="26"/>
  <c r="I34" i="26"/>
  <c r="Q34" i="26"/>
  <c r="K34" i="26"/>
  <c r="S34" i="26"/>
  <c r="F32" i="26"/>
  <c r="D34" i="26"/>
  <c r="L34" i="26"/>
  <c r="T34" i="26"/>
  <c r="E34" i="26"/>
  <c r="M34" i="26"/>
  <c r="H32" i="26"/>
  <c r="P32" i="26"/>
  <c r="H31" i="26"/>
  <c r="P31" i="26"/>
  <c r="G33" i="26"/>
  <c r="F34" i="26"/>
  <c r="N34" i="26"/>
  <c r="AW35" i="26"/>
  <c r="AW36" i="26"/>
  <c r="AC166" i="26"/>
  <c r="AW170" i="26"/>
  <c r="F3" i="25"/>
  <c r="M3" i="25"/>
  <c r="E3" i="25"/>
  <c r="Q3" i="25"/>
  <c r="J3" i="25"/>
  <c r="H3" i="25"/>
  <c r="I3" i="25"/>
  <c r="D28" i="25" s="1"/>
  <c r="L3" i="25"/>
  <c r="G3" i="25"/>
  <c r="T3" i="25"/>
  <c r="R3" i="25"/>
  <c r="O3" i="25"/>
  <c r="S3" i="25"/>
  <c r="N3" i="25"/>
  <c r="K3" i="25"/>
  <c r="O33" i="26"/>
  <c r="H33" i="26"/>
  <c r="S31" i="26"/>
  <c r="L32" i="26"/>
  <c r="L31" i="26"/>
  <c r="K33" i="26"/>
  <c r="S33" i="26"/>
  <c r="E32" i="26"/>
  <c r="M32" i="26"/>
  <c r="E31" i="26"/>
  <c r="M31" i="26"/>
  <c r="L33" i="26"/>
  <c r="T33" i="26"/>
  <c r="N32" i="26"/>
  <c r="F31" i="26"/>
  <c r="N31" i="26"/>
  <c r="E33" i="26"/>
  <c r="M33" i="26"/>
  <c r="G32" i="26"/>
  <c r="O32" i="26"/>
  <c r="G31" i="26"/>
  <c r="O31" i="26"/>
  <c r="F33" i="26"/>
  <c r="N33" i="26"/>
  <c r="I32" i="26"/>
  <c r="Q32" i="26"/>
  <c r="I31" i="26"/>
  <c r="Q31" i="26"/>
  <c r="P33" i="26"/>
  <c r="J32" i="26"/>
  <c r="R32" i="26"/>
  <c r="J31" i="26"/>
  <c r="R31" i="26"/>
  <c r="I33" i="26"/>
  <c r="Q33" i="26"/>
  <c r="K32" i="26"/>
  <c r="S32" i="26"/>
  <c r="K31" i="26"/>
  <c r="J33" i="26"/>
  <c r="R33" i="26"/>
  <c r="D31" i="26"/>
  <c r="D32" i="26"/>
  <c r="H14" i="26"/>
  <c r="H13" i="26"/>
  <c r="H11" i="26"/>
  <c r="AC165" i="26"/>
  <c r="AC37" i="26" s="1"/>
  <c r="D33" i="26"/>
  <c r="T31" i="26"/>
  <c r="T32" i="26"/>
  <c r="H15" i="26"/>
  <c r="H12" i="26"/>
  <c r="H16" i="26"/>
  <c r="AC38" i="26" l="1"/>
  <c r="Q54" i="26"/>
  <c r="AC35" i="26"/>
  <c r="Q53" i="26"/>
  <c r="Q55" i="26"/>
  <c r="F10" i="25"/>
  <c r="AW5" i="25"/>
  <c r="D29" i="25"/>
  <c r="AC36" i="26"/>
  <c r="D41" i="24" l="1"/>
  <c r="D40" i="24"/>
  <c r="D8" i="23"/>
  <c r="X4" i="23"/>
  <c r="T25" i="22"/>
  <c r="S25" i="22"/>
  <c r="S40" i="22" s="1"/>
  <c r="R25" i="22"/>
  <c r="R40" i="22" s="1"/>
  <c r="Q25" i="22"/>
  <c r="Q40" i="22" s="1"/>
  <c r="P25" i="22"/>
  <c r="P40" i="22" s="1"/>
  <c r="O25" i="22"/>
  <c r="O40" i="22" s="1"/>
  <c r="N25" i="22"/>
  <c r="N40" i="22" s="1"/>
  <c r="M25" i="22"/>
  <c r="M40" i="22" s="1"/>
  <c r="L40" i="22"/>
  <c r="T40" i="22" l="1"/>
  <c r="T12" i="22"/>
  <c r="S12" i="22"/>
  <c r="R12" i="22"/>
  <c r="Q12" i="22"/>
  <c r="P12" i="22"/>
  <c r="O12" i="22"/>
  <c r="N12" i="22"/>
  <c r="M12" i="22"/>
  <c r="L12" i="22"/>
  <c r="K12" i="22"/>
  <c r="J12" i="22"/>
  <c r="I12" i="22"/>
  <c r="H12" i="22"/>
  <c r="G12" i="22"/>
  <c r="F12" i="22"/>
  <c r="E12" i="22"/>
  <c r="D12" i="22"/>
  <c r="T3" i="22"/>
  <c r="S3" i="22"/>
  <c r="R3" i="22"/>
  <c r="Q3" i="22"/>
  <c r="P3" i="22"/>
  <c r="O3" i="22"/>
  <c r="N3" i="22"/>
  <c r="M3" i="22"/>
  <c r="L3" i="22"/>
  <c r="K3" i="22"/>
  <c r="J3" i="22"/>
  <c r="I3" i="22"/>
  <c r="H3" i="22"/>
  <c r="G3" i="22"/>
  <c r="U44" i="20"/>
  <c r="T44" i="20"/>
  <c r="S44" i="20"/>
  <c r="R44" i="20"/>
  <c r="Q44" i="20"/>
  <c r="P44" i="20"/>
  <c r="O44" i="20"/>
  <c r="N44" i="20"/>
  <c r="M44" i="20"/>
  <c r="L44" i="20"/>
  <c r="K44" i="20"/>
  <c r="J44" i="20"/>
  <c r="I44" i="20"/>
  <c r="H44" i="20"/>
  <c r="G44" i="20"/>
  <c r="F44" i="20"/>
  <c r="E44" i="20"/>
  <c r="U36" i="20"/>
  <c r="T36" i="20"/>
  <c r="T35" i="20" s="1"/>
  <c r="S36" i="20"/>
  <c r="R36" i="20"/>
  <c r="Q36" i="20"/>
  <c r="P36" i="20"/>
  <c r="O36" i="20"/>
  <c r="N36" i="20"/>
  <c r="M36" i="20"/>
  <c r="L36" i="20"/>
  <c r="L35" i="20" s="1"/>
  <c r="K36" i="20"/>
  <c r="J36" i="20"/>
  <c r="I36" i="20"/>
  <c r="H36" i="20"/>
  <c r="G36" i="20"/>
  <c r="F36" i="20"/>
  <c r="E36" i="20"/>
  <c r="U26" i="20"/>
  <c r="T26" i="20"/>
  <c r="S26" i="20"/>
  <c r="R26" i="20"/>
  <c r="Q26" i="20"/>
  <c r="P26" i="20"/>
  <c r="O26" i="20"/>
  <c r="N26" i="20"/>
  <c r="M26" i="20"/>
  <c r="L26" i="20"/>
  <c r="K26" i="20"/>
  <c r="J26" i="20"/>
  <c r="I26" i="20"/>
  <c r="H26" i="20"/>
  <c r="G26" i="20"/>
  <c r="F26" i="20"/>
  <c r="E26" i="20"/>
  <c r="F20" i="20"/>
  <c r="E20" i="20"/>
  <c r="D20" i="20"/>
  <c r="T17" i="20"/>
  <c r="S17" i="20"/>
  <c r="R17" i="20"/>
  <c r="Q17" i="20"/>
  <c r="P17" i="20"/>
  <c r="O17" i="20"/>
  <c r="N17" i="20"/>
  <c r="M17" i="20"/>
  <c r="L17" i="20"/>
  <c r="K17" i="20"/>
  <c r="J17" i="20"/>
  <c r="I17" i="20"/>
  <c r="H17" i="20"/>
  <c r="G17" i="20"/>
  <c r="F17" i="20"/>
  <c r="E17" i="20"/>
  <c r="D17" i="20"/>
  <c r="G9" i="20"/>
  <c r="H9" i="20"/>
  <c r="I9" i="20"/>
  <c r="J9" i="20"/>
  <c r="K9" i="20"/>
  <c r="L9" i="20"/>
  <c r="M9" i="20"/>
  <c r="N9" i="20"/>
  <c r="O9" i="20"/>
  <c r="P9" i="20"/>
  <c r="Q9" i="20"/>
  <c r="R9" i="20"/>
  <c r="S9" i="20"/>
  <c r="T9" i="20"/>
  <c r="T20" i="20"/>
  <c r="S20" i="20"/>
  <c r="R20" i="20"/>
  <c r="Q20" i="20"/>
  <c r="P20" i="20"/>
  <c r="O20" i="20"/>
  <c r="N20" i="20"/>
  <c r="M20" i="20"/>
  <c r="L20" i="20"/>
  <c r="K20" i="20"/>
  <c r="J20" i="20"/>
  <c r="I20" i="20"/>
  <c r="H20" i="20"/>
  <c r="G20" i="20"/>
  <c r="R35" i="20" l="1"/>
  <c r="J35" i="20"/>
  <c r="J34" i="20" s="1"/>
  <c r="Q35" i="20"/>
  <c r="Q34" i="20" s="1"/>
  <c r="I35" i="20"/>
  <c r="I34" i="20" s="1"/>
  <c r="F35" i="20"/>
  <c r="F34" i="20" s="1"/>
  <c r="N35" i="20"/>
  <c r="N34" i="20" s="1"/>
  <c r="K35" i="20"/>
  <c r="K34" i="20" s="1"/>
  <c r="S35" i="20"/>
  <c r="S34" i="20" s="1"/>
  <c r="M35" i="20"/>
  <c r="M34" i="20" s="1"/>
  <c r="U35" i="20"/>
  <c r="U34" i="20" s="1"/>
  <c r="G35" i="20"/>
  <c r="O35" i="20"/>
  <c r="O34" i="20" s="1"/>
  <c r="E35" i="20"/>
  <c r="E34" i="20" s="1"/>
  <c r="R34" i="20"/>
  <c r="H35" i="20"/>
  <c r="H34" i="20" s="1"/>
  <c r="P35" i="20"/>
  <c r="P34" i="20" s="1"/>
  <c r="L34" i="20"/>
  <c r="T34" i="20"/>
  <c r="G34" i="20"/>
  <c r="D54" i="20" l="1"/>
  <c r="D100" i="17" l="1"/>
  <c r="E100" i="17"/>
  <c r="F100" i="17"/>
  <c r="G100" i="17"/>
  <c r="H100" i="17"/>
  <c r="I100" i="17"/>
  <c r="J100" i="17"/>
  <c r="K100" i="17"/>
  <c r="L100" i="17"/>
  <c r="M100" i="17"/>
  <c r="N100" i="17"/>
  <c r="O100" i="17"/>
  <c r="P100" i="17"/>
  <c r="Q100" i="17"/>
  <c r="R100" i="17"/>
  <c r="S100" i="17"/>
  <c r="T100" i="17"/>
  <c r="U100" i="17"/>
  <c r="D99" i="17"/>
  <c r="E99" i="17"/>
  <c r="F99" i="17"/>
  <c r="G99" i="17"/>
  <c r="H99" i="17"/>
  <c r="I99" i="17"/>
  <c r="J99" i="17"/>
  <c r="K99" i="17"/>
  <c r="L99" i="17"/>
  <c r="M99" i="17"/>
  <c r="N99" i="17"/>
  <c r="O99" i="17"/>
  <c r="O7" i="17" s="1"/>
  <c r="P99" i="17"/>
  <c r="Q99" i="17"/>
  <c r="R99" i="17"/>
  <c r="S99" i="17"/>
  <c r="T99" i="17"/>
  <c r="U99" i="17"/>
  <c r="T6" i="17"/>
  <c r="S6" i="17"/>
  <c r="R6" i="17"/>
  <c r="Q6" i="17"/>
  <c r="P6" i="17"/>
  <c r="O6" i="17"/>
  <c r="N6" i="17"/>
  <c r="M6" i="17"/>
  <c r="L6" i="17"/>
  <c r="K6" i="17"/>
  <c r="J6" i="17"/>
  <c r="I6" i="17"/>
  <c r="H6" i="17"/>
  <c r="G6" i="17"/>
  <c r="F6" i="17"/>
  <c r="E6" i="17"/>
  <c r="D6" i="17"/>
  <c r="T5" i="17"/>
  <c r="S5" i="17"/>
  <c r="S4" i="22" s="1"/>
  <c r="S5" i="22" s="1"/>
  <c r="S38" i="22" s="1"/>
  <c r="R5" i="17"/>
  <c r="R4" i="22" s="1"/>
  <c r="R5" i="22" s="1"/>
  <c r="R38" i="22" s="1"/>
  <c r="Q5" i="17"/>
  <c r="Q4" i="22" s="1"/>
  <c r="Q5" i="22" s="1"/>
  <c r="Q38" i="22" s="1"/>
  <c r="P5" i="17"/>
  <c r="P4" i="22" s="1"/>
  <c r="P5" i="22" s="1"/>
  <c r="P38" i="22" s="1"/>
  <c r="O5" i="17"/>
  <c r="O4" i="22" s="1"/>
  <c r="O5" i="22" s="1"/>
  <c r="O38" i="22" s="1"/>
  <c r="N5" i="17"/>
  <c r="N4" i="22" s="1"/>
  <c r="N5" i="22" s="1"/>
  <c r="N38" i="22" s="1"/>
  <c r="M5" i="17"/>
  <c r="M4" i="22" s="1"/>
  <c r="M5" i="22" s="1"/>
  <c r="M38" i="22" s="1"/>
  <c r="L4" i="22"/>
  <c r="L5" i="22" s="1"/>
  <c r="L38" i="22" s="1"/>
  <c r="K5" i="17"/>
  <c r="K4" i="22" s="1"/>
  <c r="K38" i="22" s="1"/>
  <c r="J5" i="17"/>
  <c r="J4" i="22" s="1"/>
  <c r="J5" i="22" s="1"/>
  <c r="J38" i="22" s="1"/>
  <c r="I5" i="17"/>
  <c r="I4" i="22" s="1"/>
  <c r="I5" i="22" s="1"/>
  <c r="I38" i="22" s="1"/>
  <c r="H5" i="17"/>
  <c r="H4" i="22" s="1"/>
  <c r="H5" i="22" s="1"/>
  <c r="H38" i="22" s="1"/>
  <c r="G5" i="17"/>
  <c r="G4" i="22" s="1"/>
  <c r="G5" i="22" s="1"/>
  <c r="G38" i="22" s="1"/>
  <c r="F5" i="17"/>
  <c r="F4" i="22" s="1"/>
  <c r="E5" i="17"/>
  <c r="E4" i="22" s="1"/>
  <c r="D5" i="17"/>
  <c r="D4" i="22" s="1"/>
  <c r="R3" i="17"/>
  <c r="Q3" i="17"/>
  <c r="D21" i="17" s="1"/>
  <c r="P3" i="17"/>
  <c r="O3" i="17"/>
  <c r="N3" i="17"/>
  <c r="N130" i="17" s="1"/>
  <c r="M3" i="17"/>
  <c r="L3" i="17"/>
  <c r="K3" i="17"/>
  <c r="J3" i="17"/>
  <c r="I3" i="17"/>
  <c r="H3" i="17"/>
  <c r="G3" i="17"/>
  <c r="F3" i="17"/>
  <c r="E3" i="17"/>
  <c r="D22" i="17" l="1"/>
  <c r="D20" i="17"/>
  <c r="T4" i="22"/>
  <c r="T5" i="22" s="1"/>
  <c r="T38" i="22" s="1"/>
  <c r="D28" i="17"/>
  <c r="D29" i="17"/>
  <c r="G13" i="22"/>
  <c r="G14" i="22" s="1"/>
  <c r="G39" i="22" s="1"/>
  <c r="G7" i="17"/>
  <c r="G8" i="17" s="1"/>
  <c r="P13" i="22"/>
  <c r="P14" i="22" s="1"/>
  <c r="P39" i="22" s="1"/>
  <c r="P7" i="17"/>
  <c r="P8" i="17" s="1"/>
  <c r="N13" i="22"/>
  <c r="N14" i="22" s="1"/>
  <c r="N39" i="22" s="1"/>
  <c r="N7" i="17"/>
  <c r="N8" i="17" s="1"/>
  <c r="F13" i="22"/>
  <c r="F14" i="22" s="1"/>
  <c r="F39" i="22" s="1"/>
  <c r="F7" i="17"/>
  <c r="F8" i="17" s="1"/>
  <c r="M13" i="22"/>
  <c r="M14" i="22" s="1"/>
  <c r="M39" i="22" s="1"/>
  <c r="M7" i="17"/>
  <c r="M8" i="17" s="1"/>
  <c r="E13" i="22"/>
  <c r="E14" i="22" s="1"/>
  <c r="E39" i="22" s="1"/>
  <c r="E7" i="17"/>
  <c r="E8" i="17" s="1"/>
  <c r="I13" i="22"/>
  <c r="I14" i="22" s="1"/>
  <c r="I39" i="22" s="1"/>
  <c r="I7" i="17"/>
  <c r="I8" i="17" s="1"/>
  <c r="H13" i="22"/>
  <c r="H14" i="22" s="1"/>
  <c r="H39" i="22" s="1"/>
  <c r="H7" i="17"/>
  <c r="H8" i="17" s="1"/>
  <c r="T13" i="22"/>
  <c r="T7" i="17"/>
  <c r="L13" i="22"/>
  <c r="L14" i="22" s="1"/>
  <c r="L39" i="22" s="1"/>
  <c r="L7" i="17"/>
  <c r="L8" i="17" s="1"/>
  <c r="D13" i="22"/>
  <c r="D14" i="22" s="1"/>
  <c r="D39" i="22" s="1"/>
  <c r="D8" i="17"/>
  <c r="Q13" i="22"/>
  <c r="Q14" i="22" s="1"/>
  <c r="Q39" i="22" s="1"/>
  <c r="Q7" i="17"/>
  <c r="Q8" i="17" s="1"/>
  <c r="S13" i="22"/>
  <c r="S14" i="22" s="1"/>
  <c r="S39" i="22" s="1"/>
  <c r="S7" i="17"/>
  <c r="S8" i="17" s="1"/>
  <c r="K13" i="22"/>
  <c r="K14" i="22" s="1"/>
  <c r="K39" i="22" s="1"/>
  <c r="K7" i="17"/>
  <c r="K8" i="17" s="1"/>
  <c r="R13" i="22"/>
  <c r="R14" i="22" s="1"/>
  <c r="R39" i="22" s="1"/>
  <c r="R7" i="17"/>
  <c r="R8" i="17" s="1"/>
  <c r="J13" i="22"/>
  <c r="J14" i="22" s="1"/>
  <c r="J39" i="22" s="1"/>
  <c r="J7" i="17"/>
  <c r="J8" i="17" s="1"/>
  <c r="O8" i="17"/>
  <c r="O13" i="22"/>
  <c r="O14" i="22" s="1"/>
  <c r="O39" i="22" s="1"/>
  <c r="N132" i="17"/>
  <c r="N133" i="17" s="1"/>
  <c r="T14" i="22" l="1"/>
  <c r="D16" i="22" s="1"/>
  <c r="U13" i="22"/>
  <c r="T8" i="17"/>
  <c r="D31" i="17" s="1"/>
  <c r="D30" i="17"/>
  <c r="U14" i="22" l="1"/>
  <c r="T39" i="22"/>
  <c r="C9" i="19"/>
  <c r="D9" i="19" s="1"/>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8" i="19"/>
  <c r="D7" i="19"/>
  <c r="D6" i="19"/>
  <c r="D5" i="19"/>
  <c r="D4" i="19"/>
  <c r="D3" i="19"/>
  <c r="D2" i="19"/>
  <c r="F62" i="19"/>
  <c r="F61" i="19"/>
  <c r="F60" i="19"/>
  <c r="F59" i="19"/>
  <c r="F58" i="19"/>
  <c r="F57" i="19"/>
  <c r="D62" i="19"/>
  <c r="D61" i="19"/>
  <c r="D60" i="19"/>
  <c r="D59" i="19"/>
  <c r="D58" i="19"/>
  <c r="D57" i="19"/>
  <c r="E9" i="19"/>
  <c r="E10" i="19" s="1"/>
  <c r="F10" i="19" s="1"/>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8" i="19"/>
  <c r="F7" i="19"/>
  <c r="F6" i="19"/>
  <c r="F5" i="19"/>
  <c r="F4" i="19"/>
  <c r="F3" i="19"/>
  <c r="F2" i="19"/>
  <c r="C10" i="19" l="1"/>
  <c r="D10" i="19" s="1"/>
  <c r="F9"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SEI / CS</author>
    <author>Eileen Torres Morales</author>
  </authors>
  <commentList>
    <comment ref="Y15" authorId="0" shapeId="0" xr:uid="{76C668AC-0BCB-45D5-B27E-E9F34D488649}">
      <text>
        <r>
          <rPr>
            <sz val="10"/>
            <color rgb="FF000000"/>
            <rFont val="Arial"/>
            <family val="2"/>
          </rPr>
          <t xml:space="preserve">EUR 1,1 billion
</t>
        </r>
      </text>
    </comment>
    <comment ref="AE17" authorId="0" shapeId="0" xr:uid="{0708529B-29E8-4C0F-99D6-CBFC9548375E}">
      <text>
        <r>
          <rPr>
            <sz val="10"/>
            <color rgb="FF000000"/>
            <rFont val="Arial"/>
            <family val="2"/>
          </rPr>
          <t xml:space="preserve">Air Liquide will supply hydrogen
</t>
        </r>
      </text>
    </comment>
    <comment ref="AG17" authorId="0" shapeId="0" xr:uid="{B67355D8-B0A7-4CB6-8ECD-C7819F3DCE92}">
      <text>
        <r>
          <rPr>
            <sz val="10"/>
            <color rgb="FF000000"/>
            <rFont val="Arial"/>
            <family val="2"/>
          </rPr>
          <t xml:space="preserve">0.5 tonnes/hour
</t>
        </r>
      </text>
    </comment>
    <comment ref="Y18" authorId="0" shapeId="0" xr:uid="{0F2EEBAD-3B10-415D-8868-B9B3BC3E7F55}">
      <text>
        <r>
          <rPr>
            <sz val="10"/>
            <color rgb="FF000000"/>
            <rFont val="Arial"/>
            <family val="2"/>
          </rPr>
          <t xml:space="preserve">6,8 million EUR budget 
(2,2 million EUR allocated for pilot)
</t>
        </r>
      </text>
    </comment>
    <comment ref="AA18" authorId="0" shapeId="0" xr:uid="{2BB48346-E43A-4511-8C24-B3B186F61559}">
      <text>
        <r>
          <rPr>
            <sz val="10"/>
            <color rgb="FF000000"/>
            <rFont val="Arial"/>
            <family val="2"/>
          </rPr>
          <t xml:space="preserve">50 kg/day * 365 day = 18,25 tonne/year ~ 0,000018 Mtonne/year 
</t>
        </r>
      </text>
    </comment>
    <comment ref="Y20" authorId="1" shapeId="0" xr:uid="{A23272E8-669E-4476-881B-CDF268285E05}">
      <text>
        <r>
          <rPr>
            <sz val="10"/>
            <color rgb="FF000000"/>
            <rFont val="Tahoma"/>
            <family val="2"/>
          </rPr>
          <t xml:space="preserve">1-1,5 billion EUR
Assumed to be split equally between Bremen and </t>
        </r>
        <r>
          <rPr>
            <sz val="10"/>
            <color rgb="FF000000"/>
            <rFont val="Arial"/>
            <family val="2"/>
          </rPr>
          <t>Eisenhuttenstadt</t>
        </r>
      </text>
    </comment>
    <comment ref="AA20" authorId="1" shapeId="0" xr:uid="{0A77ED3C-9715-4981-B87A-D3BC1DBBF401}">
      <text>
        <r>
          <rPr>
            <sz val="10"/>
            <color rgb="FF000000"/>
            <rFont val="Arial"/>
            <family val="2"/>
          </rPr>
          <t xml:space="preserve">3,5 assumed to be evenly distributed between Bremen and Eisenhuttenstadt </t>
        </r>
      </text>
    </comment>
    <comment ref="Y21" authorId="1" shapeId="0" xr:uid="{6BCA19DC-CC26-46F3-93C2-EE904ECEB617}">
      <text>
        <r>
          <rPr>
            <sz val="10"/>
            <color rgb="FF000000"/>
            <rFont val="Tahoma"/>
            <family val="2"/>
          </rPr>
          <t xml:space="preserve">1-1,5 billion EUR
Assumed to be split equally between Bremen and </t>
        </r>
        <r>
          <rPr>
            <sz val="10"/>
            <color rgb="FF000000"/>
            <rFont val="Arial"/>
            <family val="2"/>
          </rPr>
          <t>Eisenhuttenstadt</t>
        </r>
      </text>
    </comment>
    <comment ref="AA21" authorId="1" shapeId="0" xr:uid="{E03DD450-5338-4B20-A36F-D1CFA63619B1}">
      <text>
        <r>
          <rPr>
            <sz val="10"/>
            <color rgb="FF000000"/>
            <rFont val="Arial"/>
            <family val="2"/>
          </rPr>
          <t xml:space="preserve">3,5 assumed to be evenly distributed between Bremen and Eisenhuttenstadt </t>
        </r>
      </text>
    </comment>
    <comment ref="W22" authorId="0" shapeId="0" xr:uid="{BF70EC6C-C0C2-440C-8655-48584376D8C4}">
      <text>
        <r>
          <rPr>
            <sz val="10"/>
            <color rgb="FF000000"/>
            <rFont val="Arial"/>
            <family val="2"/>
          </rPr>
          <t xml:space="preserve">Grey hydrogen operations to begin in 2024 and then switch to green hydrogen 2025
</t>
        </r>
      </text>
    </comment>
    <comment ref="Y22" authorId="0" shapeId="0" xr:uid="{C79FD0FD-3A7F-4D4A-A993-EFB0975801D6}">
      <text>
        <r>
          <rPr>
            <sz val="10"/>
            <color rgb="FF000000"/>
            <rFont val="Arial"/>
            <family val="2"/>
          </rPr>
          <t>110 million EUR</t>
        </r>
      </text>
    </comment>
    <comment ref="Y24" authorId="0" shapeId="0" xr:uid="{3B9EB325-E8A5-498F-A7EC-1657FDCA827C}">
      <text>
        <r>
          <rPr>
            <sz val="10"/>
            <color rgb="FF000000"/>
            <rFont val="Arial"/>
            <family val="2"/>
          </rPr>
          <t xml:space="preserve">2023-02-20: 460 million EUR
2021-06-13: 1 billion EUR
</t>
        </r>
      </text>
    </comment>
    <comment ref="AA24" authorId="2" shapeId="0" xr:uid="{45691CB6-206B-4284-8447-BD53A75F1162}">
      <text>
        <r>
          <rPr>
            <sz val="9"/>
            <color indexed="81"/>
            <rFont val="Tahoma"/>
            <family val="2"/>
          </rPr>
          <t>2.3 m tonne H-DRI
1.1 m tonne EAF</t>
        </r>
      </text>
    </comment>
    <comment ref="Y25" authorId="0" shapeId="0" xr:uid="{B4CB9357-2748-4C4C-BDB6-51CB72F726D9}">
      <text>
        <r>
          <rPr>
            <sz val="10"/>
            <color rgb="FF000000"/>
            <rFont val="Arial"/>
            <family val="2"/>
          </rPr>
          <t>50 million EUR</t>
        </r>
      </text>
    </comment>
    <comment ref="Y26" authorId="2" shapeId="0" xr:uid="{462F94E3-B606-415B-B775-91131A200524}">
      <text>
        <r>
          <rPr>
            <sz val="9"/>
            <color indexed="81"/>
            <rFont val="Tahoma"/>
            <family val="2"/>
          </rPr>
          <t xml:space="preserve">1470 million EUR </t>
        </r>
      </text>
    </comment>
    <comment ref="AE26" authorId="2" shapeId="0" xr:uid="{A6B9C416-5C29-4BA3-9ACA-5C205BB88C24}">
      <text>
        <r>
          <rPr>
            <sz val="9"/>
            <color indexed="81"/>
            <rFont val="Tahoma"/>
            <family val="2"/>
          </rPr>
          <t>80 ton H2/day</t>
        </r>
      </text>
    </comment>
    <comment ref="H28" authorId="2" shapeId="0" xr:uid="{C0B0EACE-F21C-4D1E-9486-04A5D40629CC}">
      <text>
        <r>
          <rPr>
            <sz val="9"/>
            <color rgb="FF000000"/>
            <rFont val="Tahoma"/>
            <family val="2"/>
          </rPr>
          <t>Company has not began production</t>
        </r>
      </text>
    </comment>
    <comment ref="Y28" authorId="0" shapeId="0" xr:uid="{4D14099F-8B99-46AE-B5E1-50904365FD0A}">
      <text>
        <r>
          <rPr>
            <sz val="10"/>
            <color rgb="FF000000"/>
            <rFont val="Arial"/>
            <family val="2"/>
          </rPr>
          <t>25 billion EUR</t>
        </r>
      </text>
    </comment>
    <comment ref="AA28" authorId="0" shapeId="0" xr:uid="{F0917654-7CBF-47A8-8260-10E35B0883D0}">
      <text>
        <r>
          <rPr>
            <sz val="10"/>
            <color rgb="FF000000"/>
            <rFont val="Arial"/>
            <family val="2"/>
          </rPr>
          <t>5 by 2030</t>
        </r>
      </text>
    </comment>
    <comment ref="W30" authorId="0" shapeId="0" xr:uid="{C5155097-7E57-42E4-ACF0-8B5114D46363}">
      <text>
        <r>
          <rPr>
            <sz val="10"/>
            <color rgb="FF000000"/>
            <rFont val="Arial"/>
            <family val="2"/>
          </rPr>
          <t>Average; source claims 3-5 years</t>
        </r>
      </text>
    </comment>
    <comment ref="Y30" authorId="2" shapeId="0" xr:uid="{64020D33-D3D7-4212-9258-F1C053FA5F9F}">
      <text>
        <r>
          <rPr>
            <sz val="9"/>
            <color indexed="81"/>
            <rFont val="Tahoma"/>
            <family val="2"/>
          </rPr>
          <t xml:space="preserve">1 billion EUR
</t>
        </r>
      </text>
    </comment>
    <comment ref="Y31" authorId="0" shapeId="0" xr:uid="{A3969F1D-FD8D-4B5C-B94A-B24C96D442A2}">
      <text>
        <r>
          <rPr>
            <sz val="10"/>
            <color rgb="FF000000"/>
            <rFont val="Arial"/>
            <family val="2"/>
          </rPr>
          <t>average (18000-47000 million USD ; 10 - 20 billion a year over a period of around 10-20 years)</t>
        </r>
      </text>
    </comment>
    <comment ref="Y32" authorId="0" shapeId="0" xr:uid="{6854F773-AFD7-427B-9C88-F79010A5589E}">
      <text>
        <r>
          <rPr>
            <sz val="10"/>
            <color rgb="FF000000"/>
            <rFont val="Arial"/>
            <family val="2"/>
          </rPr>
          <t xml:space="preserve">€ 13,6 million
</t>
        </r>
      </text>
    </comment>
    <comment ref="Y36" authorId="0" shapeId="0" xr:uid="{EC2D2E39-25DE-4E31-90D1-86CF1E99A04A}">
      <text>
        <r>
          <rPr>
            <sz val="10"/>
            <color rgb="FF000000"/>
            <rFont val="Arial"/>
            <family val="2"/>
          </rPr>
          <t>10,7 million EUR</t>
        </r>
      </text>
    </comment>
    <comment ref="Y38" authorId="0" shapeId="0" xr:uid="{0F18D92B-AF89-4877-8E1B-1939FCE6F4B5}">
      <text>
        <r>
          <rPr>
            <sz val="10"/>
            <color rgb="FF000000"/>
            <rFont val="Arial"/>
            <family val="2"/>
          </rPr>
          <t>Estimate of approx. 10 billion SEK</t>
        </r>
      </text>
    </comment>
    <comment ref="Y39" authorId="0" shapeId="0" xr:uid="{BAD93130-7E3E-42DC-9BF2-40BC2FCEDC1E}">
      <text>
        <r>
          <rPr>
            <sz val="10"/>
            <color rgb="FF000000"/>
            <rFont val="Arial"/>
            <family val="2"/>
          </rPr>
          <t>1.4 billion SEK</t>
        </r>
      </text>
    </comment>
    <comment ref="Y41" authorId="2" shapeId="0" xr:uid="{20425A53-100F-42C5-981F-4986F7CF2B88}">
      <text>
        <r>
          <rPr>
            <sz val="9"/>
            <color indexed="81"/>
            <rFont val="Tahoma"/>
            <family val="2"/>
          </rPr>
          <t>65 million EUR</t>
        </r>
      </text>
    </comment>
    <comment ref="Y43" authorId="0" shapeId="0" xr:uid="{59B4353E-3788-4503-A44E-23894B1398BD}">
      <text>
        <r>
          <rPr>
            <sz val="10"/>
            <color rgb="FF000000"/>
            <rFont val="Arial"/>
            <family val="2"/>
          </rPr>
          <t>75 million EUR</t>
        </r>
      </text>
    </comment>
    <comment ref="Y46" authorId="0" shapeId="0" xr:uid="{2373C328-6502-4FD6-B300-49D3180FF467}">
      <text>
        <r>
          <rPr>
            <sz val="10"/>
            <color rgb="FF000000"/>
            <rFont val="Arial"/>
            <family val="2"/>
          </rPr>
          <t>500 million EUR</t>
        </r>
      </text>
    </comment>
    <comment ref="AE47" authorId="0" shapeId="0" xr:uid="{945CECEB-FADF-4E9D-A2F4-07293300D4D9}">
      <text>
        <r>
          <rPr>
            <sz val="10"/>
            <color rgb="FF000000"/>
            <rFont val="Arial"/>
            <family val="2"/>
          </rPr>
          <t xml:space="preserve">Additional 2700 MW scenario requires further evaluation
</t>
        </r>
      </text>
    </comment>
    <comment ref="AC49" authorId="0" shapeId="0" xr:uid="{1611A182-7D47-4A3C-BACC-C5B7C498E48B}">
      <text>
        <r>
          <rPr>
            <sz val="10"/>
            <color rgb="FF000000"/>
            <rFont val="Arial"/>
            <family val="2"/>
          </rPr>
          <t>90 kg capacity pilot</t>
        </r>
      </text>
    </comment>
    <comment ref="Y50" authorId="0" shapeId="0" xr:uid="{613942DB-2AD8-4B08-BCE7-F7514F2CA910}">
      <text>
        <r>
          <rPr>
            <sz val="10"/>
            <color rgb="FF000000"/>
            <rFont val="Arial"/>
            <family val="2"/>
          </rPr>
          <t>18 million EUR</t>
        </r>
      </text>
    </comment>
    <comment ref="H51" authorId="2" shapeId="0" xr:uid="{E62C53B4-2F59-48D6-8DE2-06C936336D3E}">
      <text>
        <r>
          <rPr>
            <sz val="9"/>
            <color rgb="FF000000"/>
            <rFont val="Tahoma"/>
            <family val="2"/>
          </rPr>
          <t>Company has not began production</t>
        </r>
      </text>
    </comment>
    <comment ref="Y51" authorId="2" shapeId="0" xr:uid="{D535A667-C8B6-45E1-B5D4-5B5265765260}">
      <text>
        <r>
          <rPr>
            <sz val="9"/>
            <color indexed="81"/>
            <rFont val="Tahoma"/>
            <family val="2"/>
          </rPr>
          <t>2.3 billion EUR</t>
        </r>
      </text>
    </comment>
    <comment ref="AA51" authorId="1" shapeId="0" xr:uid="{3792392C-E0C2-426F-A144-F113111A8324}">
      <text>
        <r>
          <rPr>
            <sz val="10"/>
            <color rgb="FF000000"/>
            <rFont val="Tahoma"/>
            <family val="2"/>
          </rPr>
          <t xml:space="preserve">Average of 2.5 - 5 million cited
</t>
        </r>
      </text>
    </comment>
    <comment ref="Y52" authorId="2" shapeId="0" xr:uid="{646DB575-382F-49C2-A948-BFBFE0D4049F}">
      <text>
        <r>
          <rPr>
            <sz val="9"/>
            <color indexed="81"/>
            <rFont val="Tahoma"/>
            <family val="2"/>
          </rPr>
          <t>1.7 billion EUR</t>
        </r>
      </text>
    </comment>
    <comment ref="Y56" authorId="2" shapeId="0" xr:uid="{9CAB8F98-2DFA-4D9A-A3FE-B48C871FDFA4}">
      <text>
        <r>
          <rPr>
            <sz val="9"/>
            <color indexed="81"/>
            <rFont val="Tahoma"/>
            <family val="2"/>
          </rPr>
          <t>165 million EUR</t>
        </r>
      </text>
    </comment>
    <comment ref="Y57" authorId="2" shapeId="0" xr:uid="{320A64C3-D8FE-45C7-8F6F-96BA5026B916}">
      <text>
        <r>
          <rPr>
            <sz val="9"/>
            <color indexed="81"/>
            <rFont val="Tahoma"/>
            <family val="2"/>
          </rPr>
          <t>723 million EUR (quiti funds)
1 billion EUR (EU funding)</t>
        </r>
      </text>
    </comment>
    <comment ref="Y58" authorId="2" shapeId="0" xr:uid="{D79F2C58-3118-409D-9102-F5AACD878B64}">
      <text>
        <r>
          <rPr>
            <sz val="9"/>
            <color indexed="81"/>
            <rFont val="Tahoma"/>
            <family val="2"/>
          </rPr>
          <t>2 billion EUR</t>
        </r>
      </text>
    </comment>
    <comment ref="H59" authorId="2" shapeId="0" xr:uid="{1059375E-5A9F-4592-A20C-DFA52F7D4BAD}">
      <text>
        <r>
          <rPr>
            <sz val="9"/>
            <color rgb="FF000000"/>
            <rFont val="Tahoma"/>
            <family val="2"/>
          </rPr>
          <t>Company has not began production</t>
        </r>
      </text>
    </comment>
    <comment ref="Y59" authorId="2" shapeId="0" xr:uid="{09B7235F-8C43-43FF-B3A5-C3CA655E0196}">
      <text>
        <r>
          <rPr>
            <sz val="9"/>
            <color indexed="81"/>
            <rFont val="Tahoma"/>
            <family val="2"/>
          </rPr>
          <t>1 billion EUR</t>
        </r>
      </text>
    </comment>
    <comment ref="H60" authorId="2" shapeId="0" xr:uid="{660E3CE4-3A83-45CD-A2FF-5F8DC212BB44}">
      <text>
        <r>
          <rPr>
            <sz val="9"/>
            <color rgb="FF000000"/>
            <rFont val="Tahoma"/>
            <family val="2"/>
          </rPr>
          <t>Company has not began production</t>
        </r>
      </text>
    </comment>
    <comment ref="Y60" authorId="2" shapeId="0" xr:uid="{44CAC3EB-BC3C-4A20-8352-BF95517034B4}">
      <text>
        <r>
          <rPr>
            <sz val="9"/>
            <color indexed="81"/>
            <rFont val="Tahoma"/>
            <family val="2"/>
          </rPr>
          <t xml:space="preserve">4 billion EUR
</t>
        </r>
      </text>
    </comment>
    <comment ref="Y61" authorId="2" shapeId="0" xr:uid="{BC82F536-A9A5-4761-9C27-26142E9D7526}">
      <text>
        <r>
          <rPr>
            <sz val="9"/>
            <color indexed="81"/>
            <rFont val="Tahoma"/>
            <family val="2"/>
          </rPr>
          <t xml:space="preserve">Total of 1.5 billion euros, divided in 2 equal parts for Linz and Donawitz </t>
        </r>
      </text>
    </comment>
    <comment ref="Y62" authorId="2" shapeId="0" xr:uid="{C8671052-765F-49AB-90E3-12DE51D61F99}">
      <text>
        <r>
          <rPr>
            <sz val="9"/>
            <color indexed="81"/>
            <rFont val="Tahoma"/>
            <family val="2"/>
          </rPr>
          <t xml:space="preserve">Total of 1.5 billion euros, divided in 2 equal parts for Linz and Donawitz </t>
        </r>
      </text>
    </comment>
  </commentList>
</comments>
</file>

<file path=xl/sharedStrings.xml><?xml version="1.0" encoding="utf-8"?>
<sst xmlns="http://schemas.openxmlformats.org/spreadsheetml/2006/main" count="3072" uniqueCount="884">
  <si>
    <t>https://www.iea.org/data-and-statistics/data-tools/unit-converter</t>
  </si>
  <si>
    <t>Kwh</t>
  </si>
  <si>
    <t>Mwh</t>
  </si>
  <si>
    <t>Gwh</t>
  </si>
  <si>
    <t>Twh</t>
  </si>
  <si>
    <t>1 toe</t>
  </si>
  <si>
    <t>1 ktoe</t>
  </si>
  <si>
    <t>1 Mtoe</t>
  </si>
  <si>
    <t>Mtoe to TWh</t>
  </si>
  <si>
    <t>Demand-side Focus Pathway</t>
  </si>
  <si>
    <t>High Renewable Energy Pathway</t>
  </si>
  <si>
    <t>Font and colours:</t>
  </si>
  <si>
    <t>Half page width:</t>
  </si>
  <si>
    <t>Mixed Options Pathway</t>
  </si>
  <si>
    <t xml:space="preserve">Font: </t>
  </si>
  <si>
    <t xml:space="preserve">Segoe UI, size 8 </t>
  </si>
  <si>
    <t>Signature colour</t>
  </si>
  <si>
    <t>Gridlines:</t>
  </si>
  <si>
    <t>Transparency: 90%</t>
  </si>
  <si>
    <t>Lines:</t>
  </si>
  <si>
    <t>High width: 2.25 pt</t>
  </si>
  <si>
    <t>Low width: 0.25 pt</t>
  </si>
  <si>
    <t>Colours:</t>
  </si>
  <si>
    <t>Primary colour palette</t>
  </si>
  <si>
    <t>Full page width:</t>
  </si>
  <si>
    <t>Title and</t>
  </si>
  <si>
    <t xml:space="preserve">In Word document </t>
  </si>
  <si>
    <t>source:</t>
  </si>
  <si>
    <t>(only unit on chart)</t>
  </si>
  <si>
    <t xml:space="preserve"> </t>
  </si>
  <si>
    <t>Graph feed</t>
  </si>
  <si>
    <t>Source</t>
  </si>
  <si>
    <t>Unit</t>
  </si>
  <si>
    <t>2005</t>
  </si>
  <si>
    <t>2010</t>
  </si>
  <si>
    <t>2015</t>
  </si>
  <si>
    <t>2020</t>
  </si>
  <si>
    <t>Total</t>
  </si>
  <si>
    <t>EEA GHG data viewer</t>
  </si>
  <si>
    <t>Mt CO2e</t>
  </si>
  <si>
    <t>Total (CO2 only)</t>
  </si>
  <si>
    <t>Iron and steel</t>
  </si>
  <si>
    <t>Chemicals</t>
  </si>
  <si>
    <t>Cement</t>
  </si>
  <si>
    <t>EEA EU ETS data viewer</t>
  </si>
  <si>
    <t>Other sub-sectors</t>
  </si>
  <si>
    <t>linear trajector to benchmarks</t>
  </si>
  <si>
    <t>linear trajectory</t>
  </si>
  <si>
    <t>linear trajector to benchmarks 2</t>
  </si>
  <si>
    <t>2030 benchmark</t>
  </si>
  <si>
    <t>FF55 MIX</t>
  </si>
  <si>
    <t>2030 benchmark (CO2 only)</t>
  </si>
  <si>
    <t>2050 benchmark</t>
  </si>
  <si>
    <t>CTP</t>
  </si>
  <si>
    <t>2050 benchmark (CO2 only)</t>
  </si>
  <si>
    <t>2040 advice scenarios (CO2 only)</t>
  </si>
  <si>
    <t>2040 advice min</t>
  </si>
  <si>
    <t>Gross value added (2005=100)</t>
  </si>
  <si>
    <t>% of 2005</t>
  </si>
  <si>
    <t>Average 2005-2022</t>
  </si>
  <si>
    <t>calculated</t>
  </si>
  <si>
    <t>Average 2017-2021</t>
  </si>
  <si>
    <t>Indicator I1</t>
  </si>
  <si>
    <t>Average 2018-2022</t>
  </si>
  <si>
    <t>Average 2022-2030</t>
  </si>
  <si>
    <t>Average 2023-2030</t>
  </si>
  <si>
    <t>Average 2031-2050</t>
  </si>
  <si>
    <t>Average 2005-2022 (CO2 only)</t>
  </si>
  <si>
    <t>2005-2021</t>
  </si>
  <si>
    <t>chemicals</t>
  </si>
  <si>
    <t xml:space="preserve">cement </t>
  </si>
  <si>
    <t>other subsectors</t>
  </si>
  <si>
    <t>Historical data</t>
  </si>
  <si>
    <t>All GHGs</t>
  </si>
  <si>
    <t>Sector</t>
  </si>
  <si>
    <t>2006</t>
  </si>
  <si>
    <t>2007</t>
  </si>
  <si>
    <t>2008</t>
  </si>
  <si>
    <t>2009</t>
  </si>
  <si>
    <t>2011</t>
  </si>
  <si>
    <t>2012</t>
  </si>
  <si>
    <t>2013</t>
  </si>
  <si>
    <t>2014</t>
  </si>
  <si>
    <t>2016</t>
  </si>
  <si>
    <t>2017</t>
  </si>
  <si>
    <t>2018</t>
  </si>
  <si>
    <t>2019</t>
  </si>
  <si>
    <t>2021</t>
  </si>
  <si>
    <t>2022 (proxy)</t>
  </si>
  <si>
    <t>1.A.2 - Manufacturing Industries and Construction</t>
  </si>
  <si>
    <t>kt CO2e</t>
  </si>
  <si>
    <t>1.A.2.a - Iron and Steel</t>
  </si>
  <si>
    <t>1.A.2.b - Non-Ferrous Metals</t>
  </si>
  <si>
    <t>1.A.2.c - Chemicals</t>
  </si>
  <si>
    <t>1.A.2.d - Pulp, Paper and Print</t>
  </si>
  <si>
    <t>1.A.2.e - Food Processing, Beverages and Tobacco</t>
  </si>
  <si>
    <t>1.A.2.f - Non-metallic minerals</t>
  </si>
  <si>
    <t>1.A.2.g - Other Manufacturing Industries and Constructions</t>
  </si>
  <si>
    <t>2 - Industrial Processes and Product Use</t>
  </si>
  <si>
    <t>2.A - Mineral Industry</t>
  </si>
  <si>
    <t>2.A.1 - Cement Production</t>
  </si>
  <si>
    <t>2.A.2 - Lime Production</t>
  </si>
  <si>
    <t>2.A.3 - Glass production</t>
  </si>
  <si>
    <t>2.A.4 - Other Process Uses of Carbonates</t>
  </si>
  <si>
    <t>2.B - Chemical Industry</t>
  </si>
  <si>
    <t>2.B.1 - Ammonia Production</t>
  </si>
  <si>
    <t>2.B.2 - Nitric Acid Production</t>
  </si>
  <si>
    <t>2.B.3 - Adipic Acid Production</t>
  </si>
  <si>
    <t>2.B.4 - Caprolactam, Glyoxal and Glyoxylic Acid Production</t>
  </si>
  <si>
    <t>2.B.5 - Carbide Production</t>
  </si>
  <si>
    <t>2.B.6 - Titanium Dioxide Production</t>
  </si>
  <si>
    <t>2.B.7 - Soda Ash Production</t>
  </si>
  <si>
    <t>2.B.8 - Petrochemical and Carbon Black Production</t>
  </si>
  <si>
    <t>2.B.9 - Fluorochemical Production</t>
  </si>
  <si>
    <t>2.B.10 - Other chemical industry</t>
  </si>
  <si>
    <t>2.C - Metal Industry</t>
  </si>
  <si>
    <t>2.C.1 - Iron and Steel Production</t>
  </si>
  <si>
    <t>2.C.2 - Ferroalloys Production</t>
  </si>
  <si>
    <t>2.C.3 - Aluminium Production</t>
  </si>
  <si>
    <t>2.C.4 - Magnesium Production</t>
  </si>
  <si>
    <t>2.C.5 - Lead Production</t>
  </si>
  <si>
    <t>2.C.6 - Zinc Production</t>
  </si>
  <si>
    <t>2.C.7 - Other Metal Industry</t>
  </si>
  <si>
    <t>2.D - Non-energy Products from Fuels and Solvent Use</t>
  </si>
  <si>
    <t>2.D.1 - Lubricant Use</t>
  </si>
  <si>
    <t>2.D.2 - Paraffin Wax Use</t>
  </si>
  <si>
    <t>2.D.3 - Other non energy products</t>
  </si>
  <si>
    <t>2.E - Electronics Industry</t>
  </si>
  <si>
    <t>2.E.1 - Integrated Circuit or Semiconductor</t>
  </si>
  <si>
    <t>2.E.2 - TFT Flat Panel Display</t>
  </si>
  <si>
    <t>2.E.3 - Photovoltaics</t>
  </si>
  <si>
    <t>2.E.4 - Heat Transfer Fluid</t>
  </si>
  <si>
    <t>2.E.5 - Other electronics industry</t>
  </si>
  <si>
    <t>2.F - Product Uses as Substitutes for ODS</t>
  </si>
  <si>
    <t>2.F.1 - Refrigeration and Air conditioning</t>
  </si>
  <si>
    <t>2.F.2 - Foam Blowing Agents</t>
  </si>
  <si>
    <t>2.F.3 - Fire Protection</t>
  </si>
  <si>
    <t>2.F.4 - Aerosols</t>
  </si>
  <si>
    <t>2.F.5 - Solvents</t>
  </si>
  <si>
    <t>2.F.6 - Other Applications</t>
  </si>
  <si>
    <t>2.G - Other Product Manufacture and Use</t>
  </si>
  <si>
    <t>2.H - Other Industrial Process and Product Use</t>
  </si>
  <si>
    <t>Lime</t>
  </si>
  <si>
    <t>CO2 only</t>
  </si>
  <si>
    <t>kt CO2</t>
  </si>
  <si>
    <t>industry energy CO2</t>
  </si>
  <si>
    <t>industry other CO2</t>
  </si>
  <si>
    <t>industry non-CO2</t>
  </si>
  <si>
    <t>AC and refrigerator non-CO2</t>
  </si>
  <si>
    <t>Other sectors</t>
  </si>
  <si>
    <t/>
  </si>
  <si>
    <t>2050 benchmarks</t>
  </si>
  <si>
    <t>2015 Baseline (for consistency check</t>
  </si>
  <si>
    <t>CTP REG</t>
  </si>
  <si>
    <t>CTP MIX</t>
  </si>
  <si>
    <t>CTP CPRICE</t>
  </si>
  <si>
    <t>industry energy CO2 only</t>
  </si>
  <si>
    <t>CTP IA figure 65</t>
  </si>
  <si>
    <t>industry CO2 process</t>
  </si>
  <si>
    <t>CTP IA figure 9</t>
  </si>
  <si>
    <t>total</t>
  </si>
  <si>
    <t>ACP4A data</t>
  </si>
  <si>
    <t>2050 1.5LIFE</t>
  </si>
  <si>
    <t>2050 1.5TECH</t>
  </si>
  <si>
    <t>Industry CO2</t>
  </si>
  <si>
    <t>In depth analysis figure 90 and 91</t>
  </si>
  <si>
    <t>EU27 share</t>
  </si>
  <si>
    <t>EU27</t>
  </si>
  <si>
    <t>UK</t>
  </si>
  <si>
    <t>EU28</t>
  </si>
  <si>
    <t>2040 advice modelling</t>
  </si>
  <si>
    <t>Minimum and maximum of 2040 range within environmental risk &amp; challenge levels</t>
  </si>
  <si>
    <t>Min</t>
  </si>
  <si>
    <t>Max</t>
  </si>
  <si>
    <t>Sector 1</t>
  </si>
  <si>
    <t>2019 (kt CO2e)</t>
  </si>
  <si>
    <t>2019 (Mt CO2e)</t>
  </si>
  <si>
    <t>2021 (kt CO2e)</t>
  </si>
  <si>
    <t>2021 (Mt CO2e)</t>
  </si>
  <si>
    <t>Sector 2</t>
  </si>
  <si>
    <t>Sector 3</t>
  </si>
  <si>
    <t>Row Labels</t>
  </si>
  <si>
    <t>Sum of 2019 (Mt CO2e)</t>
  </si>
  <si>
    <t>Sum of 2021 (Mt CO2e)</t>
  </si>
  <si>
    <t>aggregate</t>
  </si>
  <si>
    <t>cement and lime</t>
  </si>
  <si>
    <t>iron and steel</t>
  </si>
  <si>
    <t>other</t>
  </si>
  <si>
    <t>other ferrous and non-ferrous</t>
  </si>
  <si>
    <t>pulp and paper</t>
  </si>
  <si>
    <t>Grand Total</t>
  </si>
  <si>
    <t>food, beverages and tobacco</t>
  </si>
  <si>
    <t>- of which cement and lime</t>
  </si>
  <si>
    <t>- of which other non-metalic minerals</t>
  </si>
  <si>
    <t>other non-metalic minerals</t>
  </si>
  <si>
    <t>cement</t>
  </si>
  <si>
    <r>
      <t>industrial GHG emissions in 2021 per sub-sector (in Mt CO</t>
    </r>
    <r>
      <rPr>
        <b/>
        <vertAlign val="subscript"/>
        <sz val="10"/>
        <color theme="1"/>
        <rFont val="Segoe UI"/>
        <family val="2"/>
      </rPr>
      <t>2e.</t>
    </r>
    <r>
      <rPr>
        <b/>
        <sz val="10"/>
        <color theme="1"/>
        <rFont val="Segoe UI"/>
        <family val="2"/>
      </rPr>
      <t xml:space="preserve"> and % of total)</t>
    </r>
  </si>
  <si>
    <t>F-gases</t>
  </si>
  <si>
    <t>Production of cement clinker</t>
  </si>
  <si>
    <t>ETS verified emissions (activity code 29)</t>
  </si>
  <si>
    <t>Production of lime or calcination of dolomite/magnestie</t>
  </si>
  <si>
    <t>ETS verified emissions (activity code 30)</t>
  </si>
  <si>
    <t>Manufacture of glass</t>
  </si>
  <si>
    <t>ETS verified emissions (activity code 31)</t>
  </si>
  <si>
    <t>manufacture of ceramics</t>
  </si>
  <si>
    <t>ETS verified emissions (activity code 32)</t>
  </si>
  <si>
    <t>Manufacture of mineral wool</t>
  </si>
  <si>
    <t>ETS verified emissions (activity code 33)</t>
  </si>
  <si>
    <t>Production or processing of gypsum or plasterboard</t>
  </si>
  <si>
    <t>ETS verified emissions (activity code 34)</t>
  </si>
  <si>
    <t>Steel</t>
  </si>
  <si>
    <t>Production</t>
  </si>
  <si>
    <t>Eurofer Steel in Figures 2022 (crude steel output)</t>
  </si>
  <si>
    <t>Mt</t>
  </si>
  <si>
    <t>Eurofer Steel in Figures 2022 (finished steel output)</t>
  </si>
  <si>
    <t>Use</t>
  </si>
  <si>
    <t>Eurofer Steel in Figures 2022</t>
  </si>
  <si>
    <t>Difference</t>
  </si>
  <si>
    <t>Import</t>
  </si>
  <si>
    <t>Eurostat EU trade since 2002 by CPA 2.1 (DS-059268)</t>
  </si>
  <si>
    <t>Export</t>
  </si>
  <si>
    <t>Trade balance</t>
  </si>
  <si>
    <t>Provided by Cembureau</t>
  </si>
  <si>
    <t>- of which ethylene</t>
  </si>
  <si>
    <t>Eurostat sold production, exports and imports (code DS-056120)</t>
  </si>
  <si>
    <t>- of which propylene</t>
  </si>
  <si>
    <t>- of which benzene</t>
  </si>
  <si>
    <t>- of which toluene</t>
  </si>
  <si>
    <t>- of which o-Xylene</t>
  </si>
  <si>
    <t>- of which p-Xylene</t>
  </si>
  <si>
    <t>- of which m-Xylene and mixed xylene isomers</t>
  </si>
  <si>
    <t>Indicator I2</t>
  </si>
  <si>
    <t>CMUR</t>
  </si>
  <si>
    <t>Historic</t>
  </si>
  <si>
    <t>Eurostat SDG_12_41</t>
  </si>
  <si>
    <t>%</t>
  </si>
  <si>
    <t>8th EAP, Circular Economy Action Plan</t>
  </si>
  <si>
    <t>Average 2021-2030</t>
  </si>
  <si>
    <t>Indicator I3</t>
  </si>
  <si>
    <t>Production (Mt)</t>
  </si>
  <si>
    <t>Eurofer data</t>
  </si>
  <si>
    <t>Total emissions (Mt CO2e)</t>
  </si>
  <si>
    <t>Emission intensity (t CO2e/t)</t>
  </si>
  <si>
    <t>t CO2/t</t>
  </si>
  <si>
    <t>Cembureau data</t>
  </si>
  <si>
    <t>ETS data</t>
  </si>
  <si>
    <t>Base organic chemicals</t>
  </si>
  <si>
    <t>total production</t>
  </si>
  <si>
    <t>Production - ethylene (Mt)</t>
  </si>
  <si>
    <t>Eurostat DS-056121</t>
  </si>
  <si>
    <t>Production - propylene (Mt)</t>
  </si>
  <si>
    <t>Production - aromatics (Mt)</t>
  </si>
  <si>
    <t>EEA EU ETS data viewer (activity code 42)</t>
  </si>
  <si>
    <t>Indicator I4</t>
  </si>
  <si>
    <t>Total energy use</t>
  </si>
  <si>
    <t>non-energy use</t>
  </si>
  <si>
    <t>Eurostat energy balances</t>
  </si>
  <si>
    <t>Mtoe</t>
  </si>
  <si>
    <t>Fossil fuels</t>
  </si>
  <si>
    <t>electricity</t>
  </si>
  <si>
    <t>renewables (mainly biomass)</t>
  </si>
  <si>
    <t>Others (heat and waste)</t>
  </si>
  <si>
    <t>2040 min (delete label)</t>
  </si>
  <si>
    <t>ESABCC database</t>
  </si>
  <si>
    <t>2040 advice range</t>
  </si>
  <si>
    <t>2030 benchmark (max)</t>
  </si>
  <si>
    <t>2030 benchmark (min)</t>
  </si>
  <si>
    <t>Repower EU (SWD)</t>
  </si>
  <si>
    <t>linear trajectory 2</t>
  </si>
  <si>
    <t>Average 2030-2050 min</t>
  </si>
  <si>
    <t>Average 2030-2050 max</t>
  </si>
  <si>
    <t>TWh</t>
  </si>
  <si>
    <t>Average 2021-2030 (CTP)</t>
  </si>
  <si>
    <t>Average 2021-2030 (RePowerEU)</t>
  </si>
  <si>
    <t>Indicator I5</t>
  </si>
  <si>
    <t>2040 advice scenarios</t>
  </si>
  <si>
    <t>REMIND Min</t>
  </si>
  <si>
    <t>REMIND Max</t>
  </si>
  <si>
    <t>NZero_bioLim7p5_withICEPhOP</t>
  </si>
  <si>
    <t>CTP scenarios (IA figure 67, in Mtoe)</t>
  </si>
  <si>
    <t>Coal</t>
  </si>
  <si>
    <t>Oil</t>
  </si>
  <si>
    <t>Natural gas*</t>
  </si>
  <si>
    <t>e-gas</t>
  </si>
  <si>
    <t>Hydrogen</t>
  </si>
  <si>
    <t>Marketed Heat</t>
  </si>
  <si>
    <t>Bioenergy**</t>
  </si>
  <si>
    <t>Other RES</t>
  </si>
  <si>
    <t>Electricity</t>
  </si>
  <si>
    <t>MIX-50</t>
  </si>
  <si>
    <t>REG</t>
  </si>
  <si>
    <t>MIX</t>
  </si>
  <si>
    <t>CPRICE</t>
  </si>
  <si>
    <t>ALLBNK</t>
  </si>
  <si>
    <t>BSL</t>
  </si>
  <si>
    <t>Total energy use per carrier</t>
  </si>
  <si>
    <t>Non-energy fossil fuels</t>
  </si>
  <si>
    <t>2005-2021 change</t>
  </si>
  <si>
    <t>Relative energy mix</t>
  </si>
  <si>
    <t>% of fossils</t>
  </si>
  <si>
    <t>% of renewables</t>
  </si>
  <si>
    <t>% of electricity</t>
  </si>
  <si>
    <t>% of other (incl. hydrogen &amp; marketed heat)</t>
  </si>
  <si>
    <t>benchmark - fossils</t>
  </si>
  <si>
    <t>CTP - MIX</t>
  </si>
  <si>
    <t>benchmark - renewables</t>
  </si>
  <si>
    <t>benchmark - electricity</t>
  </si>
  <si>
    <t>benchmark - other</t>
  </si>
  <si>
    <t>linear trajectory - fossils</t>
  </si>
  <si>
    <t>linear trajectory - renewables</t>
  </si>
  <si>
    <t>linear trajectory - electricity</t>
  </si>
  <si>
    <t>linear trajectory - other</t>
  </si>
  <si>
    <t>2040 advice scenarios - fossils</t>
  </si>
  <si>
    <t>fossil</t>
  </si>
  <si>
    <t>2040 advice scenarios - renewables</t>
  </si>
  <si>
    <t>2040 advice scenarios - electricity</t>
  </si>
  <si>
    <t>2040 advice - other</t>
  </si>
  <si>
    <t>Fossils</t>
  </si>
  <si>
    <t>renewables</t>
  </si>
  <si>
    <t>average 2017-2021</t>
  </si>
  <si>
    <t>Indicator I6</t>
  </si>
  <si>
    <t>Historic data</t>
  </si>
  <si>
    <t>Solid fossil fuels</t>
  </si>
  <si>
    <t>Anthracite</t>
  </si>
  <si>
    <t>Coking coal</t>
  </si>
  <si>
    <t>Other bituminous coal</t>
  </si>
  <si>
    <t>Sub-bituminous coal</t>
  </si>
  <si>
    <t>Lignite</t>
  </si>
  <si>
    <t>Coke oven coke</t>
  </si>
  <si>
    <t>Gas coke</t>
  </si>
  <si>
    <t>Patent fuel</t>
  </si>
  <si>
    <t>Brown coal briquettes</t>
  </si>
  <si>
    <t>Coal tar</t>
  </si>
  <si>
    <t>Manufactured gases</t>
  </si>
  <si>
    <t>Coke oven gas</t>
  </si>
  <si>
    <t>Gas works gas</t>
  </si>
  <si>
    <t>Blast furnace gas</t>
  </si>
  <si>
    <t>Other recovered gases</t>
  </si>
  <si>
    <t>Peat and peat products</t>
  </si>
  <si>
    <t>Peat</t>
  </si>
  <si>
    <t>Peat products</t>
  </si>
  <si>
    <t>Oil shale and oil sands</t>
  </si>
  <si>
    <t>Natural gas</t>
  </si>
  <si>
    <t>Oil and petroleum products</t>
  </si>
  <si>
    <t>Crude oil</t>
  </si>
  <si>
    <t>Natural gas liquids</t>
  </si>
  <si>
    <t>Refinery feedstocks</t>
  </si>
  <si>
    <t>Additives and oxygenates (excluding biofuel portion)</t>
  </si>
  <si>
    <t>Other hydrocarbons</t>
  </si>
  <si>
    <t>Refinery gas</t>
  </si>
  <si>
    <t>Ethane</t>
  </si>
  <si>
    <t>Liquefied petroleum gases</t>
  </si>
  <si>
    <t>Naphtha</t>
  </si>
  <si>
    <t>Aviation gasoline</t>
  </si>
  <si>
    <t>Motor gasoline (excluding biofuel portion)</t>
  </si>
  <si>
    <t>Gasoline-type jet fuel</t>
  </si>
  <si>
    <t>Kerosene-type jet fuel (excluding biofuel portion)</t>
  </si>
  <si>
    <t>Other kerosene</t>
  </si>
  <si>
    <t>Gas oil and diesel oil (excluding biofuel portion)</t>
  </si>
  <si>
    <t>Fuel oil</t>
  </si>
  <si>
    <t>White spirit and special boiling point industrial spirits</t>
  </si>
  <si>
    <t>Lubricants</t>
  </si>
  <si>
    <t>Paraffin waxes</t>
  </si>
  <si>
    <t>Petroleum coke</t>
  </si>
  <si>
    <t>Bitumen</t>
  </si>
  <si>
    <t>Other oil products n.e.c.</t>
  </si>
  <si>
    <t>Renewables and biofuels</t>
  </si>
  <si>
    <t>Hydro</t>
  </si>
  <si>
    <t>Geothermal</t>
  </si>
  <si>
    <t>Wind</t>
  </si>
  <si>
    <t>Solar thermal</t>
  </si>
  <si>
    <t>Solar photovoltaic</t>
  </si>
  <si>
    <t>Tide, wave, ocean</t>
  </si>
  <si>
    <t>Ambient heat (heat pumps)</t>
  </si>
  <si>
    <t>Primary solid biofuels</t>
  </si>
  <si>
    <t>Charcoal</t>
  </si>
  <si>
    <t>Pure biogasoline</t>
  </si>
  <si>
    <t>Blended biogasoline</t>
  </si>
  <si>
    <t>Pure biodiesels</t>
  </si>
  <si>
    <t>Blended biodiesels</t>
  </si>
  <si>
    <t>Pure bio jet kerosene</t>
  </si>
  <si>
    <t>Blended bio jet kerosene</t>
  </si>
  <si>
    <t>Other liquid biofuels</t>
  </si>
  <si>
    <t>Biogases</t>
  </si>
  <si>
    <t>Renewable municipal waste</t>
  </si>
  <si>
    <t>Non-renewable waste</t>
  </si>
  <si>
    <t>Industrial waste (non-renewable)</t>
  </si>
  <si>
    <t>Non-renewable municipal waste</t>
  </si>
  <si>
    <t>Heat</t>
  </si>
  <si>
    <t>non-energy - natural gas</t>
  </si>
  <si>
    <t>non-energy - oil and petroleum products</t>
  </si>
  <si>
    <t>Benchmark data</t>
  </si>
  <si>
    <t>Baseline</t>
  </si>
  <si>
    <t>CTP IA figure 67</t>
  </si>
  <si>
    <t>MIX change</t>
  </si>
  <si>
    <t>MIX final</t>
  </si>
  <si>
    <t>fossil fuels</t>
  </si>
  <si>
    <t>hydrogen and e-fuels</t>
  </si>
  <si>
    <t>DRI</t>
  </si>
  <si>
    <t>H2 production</t>
  </si>
  <si>
    <t>EAF</t>
  </si>
  <si>
    <t>CCS/CCU</t>
  </si>
  <si>
    <t>Indicator I7a</t>
  </si>
  <si>
    <t>R&amp;D</t>
  </si>
  <si>
    <t>pilot</t>
  </si>
  <si>
    <t>demo</t>
  </si>
  <si>
    <t>full scale</t>
  </si>
  <si>
    <t>Green steel tracker data</t>
  </si>
  <si>
    <t>Company</t>
  </si>
  <si>
    <t>Project name (if applicable)</t>
  </si>
  <si>
    <t>Project website</t>
  </si>
  <si>
    <t>GEM Project ID</t>
  </si>
  <si>
    <t>2030 climate target</t>
  </si>
  <si>
    <t>2050 climate target</t>
  </si>
  <si>
    <t xml:space="preserve">[ref] Climate target </t>
  </si>
  <si>
    <t>2021 company production (Mtpa, million tonnes steel p.a.) (source: World Steel in Figures 2022)</t>
  </si>
  <si>
    <t>Country (in which project/investment is taking place)</t>
  </si>
  <si>
    <t>Location</t>
  </si>
  <si>
    <t>Latitude</t>
  </si>
  <si>
    <t>Longitude</t>
  </si>
  <si>
    <t>Coordinate accuracy</t>
  </si>
  <si>
    <t>Continent (in which project/investment is taking place)</t>
  </si>
  <si>
    <t xml:space="preserve"> [ref] Location</t>
  </si>
  <si>
    <t>Project scale</t>
  </si>
  <si>
    <t xml:space="preserve">[ref] Project scale </t>
  </si>
  <si>
    <t>Technology category</t>
  </si>
  <si>
    <t>technology group</t>
  </si>
  <si>
    <t>Hydrogen type (if applicable)</t>
  </si>
  <si>
    <t>Specific technology</t>
  </si>
  <si>
    <t xml:space="preserve"> [ref] Technology</t>
  </si>
  <si>
    <t>Year online</t>
  </si>
  <si>
    <t xml:space="preserve">[ref] Year online </t>
  </si>
  <si>
    <t>Size (m USD)</t>
  </si>
  <si>
    <t xml:space="preserve">[ref] Size </t>
  </si>
  <si>
    <t>Steel production capacity (million tonnes per year)</t>
  </si>
  <si>
    <t xml:space="preserve">[ref] Steel production capacity </t>
  </si>
  <si>
    <t>Iron production capacity (million tonnes per year)</t>
  </si>
  <si>
    <t xml:space="preserve">[ref] Iron production capacity </t>
  </si>
  <si>
    <t>Hydrogen generation capacity (MW)</t>
  </si>
  <si>
    <t xml:space="preserve">[ref] Hydrogen generation capacity </t>
  </si>
  <si>
    <t>Carbon capture capacity (million tonnes CO2 per year)</t>
  </si>
  <si>
    <t xml:space="preserve">[ref] Carbon capture capacity </t>
  </si>
  <si>
    <t>Partners</t>
  </si>
  <si>
    <t>[ref] Partners</t>
  </si>
  <si>
    <t>Comments</t>
  </si>
  <si>
    <t>[ref] Comments</t>
  </si>
  <si>
    <t>Last update
(year-month-day)</t>
  </si>
  <si>
    <t>Date of announcement (year-month-day)</t>
  </si>
  <si>
    <t>Count of Project name (if applicable)</t>
  </si>
  <si>
    <t>Column Labels</t>
  </si>
  <si>
    <t>ArcelorMittal</t>
  </si>
  <si>
    <t>N/A</t>
  </si>
  <si>
    <t>SBE00001-1</t>
  </si>
  <si>
    <t>35% reduction in Europe (baseline 2018)</t>
  </si>
  <si>
    <t>carbon neutrality</t>
  </si>
  <si>
    <t>https://corporate-media.arcelormittal.com/media/ob3lpdom/car_2.pdf</t>
  </si>
  <si>
    <t>Belgium</t>
  </si>
  <si>
    <t>Ghent</t>
  </si>
  <si>
    <t>TBC</t>
  </si>
  <si>
    <t>Europe</t>
  </si>
  <si>
    <t>https://corporate.arcelormittal.com/media/press-releases/arcelormittal-signs-letter-of-intent-with-the-governments-of-belgium-and-flanders-supporting-1-1-billion-investment-in-decarbonisation-technologies-at-its-flagship-gent-plant</t>
  </si>
  <si>
    <t>NG-DR --&gt; H-DR &amp; EAF</t>
  </si>
  <si>
    <t>Green electrolytic</t>
  </si>
  <si>
    <t>Not stated</t>
  </si>
  <si>
    <t xml:space="preserve">2022-10-17 No further comment
Letters of intent signed between ArcelorMittal and Belgium and Flanders governments </t>
  </si>
  <si>
    <t>3D</t>
  </si>
  <si>
    <t>https://3d-ccus.com/</t>
  </si>
  <si>
    <t>SFR00001</t>
  </si>
  <si>
    <t>France</t>
  </si>
  <si>
    <t>Dunkirk</t>
  </si>
  <si>
    <t>exact</t>
  </si>
  <si>
    <t>https://flateurope.arcelormittal.com/ourmills/704/dunkerque</t>
  </si>
  <si>
    <t>https://3d-ccus.com/3d-publications/#press</t>
  </si>
  <si>
    <t>CCS</t>
  </si>
  <si>
    <t>https://3d-ccus.com/3d-overview/</t>
  </si>
  <si>
    <t>Axens, Total, Air Products, Brevik Engineering, CMI, DTU, Gassco, RWTH and Uetikon.</t>
  </si>
  <si>
    <t>https://3d-ccus.com/3d-project-partners/</t>
  </si>
  <si>
    <t xml:space="preserve">2022-10-17 No further comment // 2022-05-25: No further comment  // Horizon 2020 project; aims to scale up to 1MtCO2 by 2025 and 10MtCO2 by 2035. // 02/03: Pilot running. Scheduled to last for 12 to 18 months, is the final stage before the technology’s full-scale deployment. </t>
  </si>
  <si>
    <t>https://totalenergies.com/media/news/press-releases/france-start-3d-carbon-capture-pilot-dunkirk</t>
  </si>
  <si>
    <t>https://corporate.arcelormittal.com/media/news-articles/air-liquide-and-arcelormittal-join-forces-to-accelerate-the-decarbonisation-of-steel-production-in-the-dunkirk-industrial-basin</t>
  </si>
  <si>
    <t>H-DR</t>
  </si>
  <si>
    <t>Blue</t>
  </si>
  <si>
    <t>H-DR + EAF &amp; CCS</t>
  </si>
  <si>
    <t>https://corporate.arcelormittal.com/media/press-releases/arcelormittal-accelerates-its-decarbonisation-with-a-1-7-billion-investment-programme-in-france-supported-by-the-french-government</t>
  </si>
  <si>
    <t>https://www.steelorbis.com/steel-news/latest-news/arcelormittal-and-air-liquide-join-forces-for-decarbonization-of-steelmaking-in-dunkirk-1191099.htm</t>
  </si>
  <si>
    <t>https://france.arcelormittal.com/news/2019/dec/arcelormittal-europe-se-fixe-comme-objectif-de-reduire-ses-emissions-de-co2.aspx</t>
  </si>
  <si>
    <t>Air Liquide</t>
  </si>
  <si>
    <t xml:space="preserve">2022-10-17 No further comments //  2022-05-17 No further comments. // 2022-02-04: Support from the French Government for ArcelorMittal’s decarbonization programme in France, which involves a €1.7 billion investment in its Fos-sur-Mer and Dunkirk sites in France. The partnership between ArcelorMittal and the French government for the projects is subject to EU approval, which is anticipated by the second quarter of this year, as well as the availability of economically viable energy infrastructure and supply. https://corporate.arcelormittal.com/media/press-releases/arcelormittal-accelerates-its-decarbonisation-with-a-1-7-billion-investment-programme-in-france-supported-by-the-french-government. 
Using "low-carbon" hydrogen. MoU signed. Applied for Important Project of Common European Interest (IPCEI). The new industrial facilities will be operational starting in 2027 and will gradually replace 3 out of 5 of ArcelorMittal’s blast furnaces in France by 2030 (2 out of 3 in Dunkirk, 1 out of 2 in Fos). </t>
  </si>
  <si>
    <t>https://corporate.arcelormittal.com/media/news-articles/air-liquide-and-arcelormittal-join-forces-to-accelerate-the-decarbonisation-of-steel-production-in-the-dunkirk-industrial-basin // https://corporate.arcelormittal.com/media/press-releases/arcelormittal-accelerates-its-decarbonisation-with-a-1-7-billion-investment-programme-in-france-supported-by-the-french-government#</t>
  </si>
  <si>
    <t>SIDERWIN</t>
  </si>
  <si>
    <t>https://www.siderwin-spire.eu/content/home</t>
  </si>
  <si>
    <t>TBD</t>
  </si>
  <si>
    <t>Maizières-lès-Metz</t>
  </si>
  <si>
    <t>https://www.google.com/maps/place/ArcelorMittal+Maizi%C3%A8res+Research+SA/@49.2001901,6.1498485,1012m/data=!3m2!1e3!4b1!4m5!3m4!1s0x47952763712f4885:0x3c31c2bfb0413f7c!8m2!3d49.2001901!4d6.1520372</t>
  </si>
  <si>
    <t>Other</t>
  </si>
  <si>
    <t>Electrowinning</t>
  </si>
  <si>
    <t>https://www.siderwin-spire.eu/sites/siderwin.drupal.pulsartecnalia.com/files/documents/Massive%20production%20of%20primary%20steel_presentation_DECHEMA_23_11_2018.pdf</t>
  </si>
  <si>
    <t>https://zenodo.org/record/4327314#.X9oWA7N7nIU</t>
  </si>
  <si>
    <t>JohnCockerill (Belgium), EDF (France), CFD-Numerics (France), QUANTIS (Switzerland), TECNALIA (Spain), UAVR (Portugal), Mytilineos (Greece), NTUA (Greece), N-Side (Belgium), Dynergie (France), NTNU (Norway)</t>
  </si>
  <si>
    <t xml:space="preserve">2022-10-17 No further comments // 25/05: No further comments // Duration: October 2017 - September 2022 (60 months) 24/03: First trials are expected for middle of April 2022. </t>
  </si>
  <si>
    <t>https://www.siderwin-spire.eu/news</t>
  </si>
  <si>
    <t>HyBit - Hydrogen for Bremen’s industrial transformation</t>
  </si>
  <si>
    <t>SDE00006</t>
  </si>
  <si>
    <t>Germany</t>
  </si>
  <si>
    <t>Bremen</t>
  </si>
  <si>
    <t>https://bremen.arcelormittal.com/Ueber-uns/</t>
  </si>
  <si>
    <t>https://www.ewe.com/de/presse/pressemitteilungen/2020/07/ewe-mit-tochter-swb-und-arcelormittal-kooperieren-bei-grner-stahlerzeugung-ewe-ag</t>
  </si>
  <si>
    <t>Hydrogen production</t>
  </si>
  <si>
    <t>Hydrogen production (green hydrogen)</t>
  </si>
  <si>
    <t>https://www.steeltimesint.com/news/largest-industrial-hydrogen-project-in-germany-and-europe-contracted-for-construction</t>
  </si>
  <si>
    <t>https://www.greencarcongress.com/2022/07/20220711-apex.html</t>
  </si>
  <si>
    <t>EWE AG</t>
  </si>
  <si>
    <t>2022-10-17 The electrolyzer is expected to come into operation in 2024 ;  The project costs will amount to approximately €20 million, with €10 million coming from the state of Bremen. ; The electrolysis plant capacity will gradually increase up to 300 MW at the later stages //  2022-05-25: No further comments //  2022-01-04: Project received funding of over €10 million from the state of Bremen</t>
  </si>
  <si>
    <t>https://www.h2bulletin.com/arcelormittal-bremen-receives-10m-funding-for-hybit-hydrogen-project/</t>
  </si>
  <si>
    <t>R&amp;D partnership</t>
  </si>
  <si>
    <t>Steel4Future</t>
  </si>
  <si>
    <t>https://corporate.arcelormittal.com/media/news-articles/arcelormittal-plans-major-investment-in-german-sites-to-accelerate-co2-emissions-reduction-strategy-and-leverage-the-hydrogen-grid</t>
  </si>
  <si>
    <t>NG-DR --&gt; H-DR</t>
  </si>
  <si>
    <t>https://bremen.arcelormittal.com/Nachhaltigkeit/Auf-dem-Weg-zum-gruenen-Stahl/</t>
  </si>
  <si>
    <t xml:space="preserve">2022-10-17 No further comments // 2022-05-25: No further comments
Using green hydrogen, up to 3.5 million tonnes of steel could be produced by the Bremen and Eisenhuttenstadt sites by 2030, with significantly lower CO2 emissions. The technology conversion requires investments in the range of €1-1.5 billion. In Bremen, ArcelorMittal initially plans to use natural gas for the DRI, and later hydrogen from electrolysis; the hydrogen is to be made available as part of the regional North German Clean Hydrogen Coastline network. https://corporate.arcelormittal.com/media/news-articles/arcelormittal-plans-major-investment-in-german-sites-to-accelerate-co2-emissions-reduction-strategy-and-leverage-the-hydrogen-grid#  </t>
  </si>
  <si>
    <t>SDE00005</t>
  </si>
  <si>
    <t>Eisenhüttenstadt</t>
  </si>
  <si>
    <t>https://eisenhuettenstadt.arcelormittal.com/Ueber-uns/</t>
  </si>
  <si>
    <t>https://germany.arcelormittal.com/icc/arcelor/broker.jsp?uMen=b4460b16-d5ab-c671-587e-7e978c4e5e0b&amp;uCon=8ac40a49-e039-f771-f0f6-ded50099481d&amp;uTem=aaaaaaaa-aaaa-aaaa-aaaa-000000000042</t>
  </si>
  <si>
    <t>2022-10-17 No further comments // 2022-05-25 No further comments
The project will use hydrogen produced from natural gas (pyrolysis), until green hydrogen becomes available in the future. The sponge iron produced in the Bremen DRI unit will initially supply the steelworks in Bremen and Eisenhüttenstadt, until the regional hydrogen cluster in East Brandenburg can also supply the Eisenhüttenstadt site with sufficient hydrogen.</t>
  </si>
  <si>
    <t>Hamburg H2</t>
  </si>
  <si>
    <t>https://future.hamburg/en/project-brief-hydrogen-arcelormittal</t>
  </si>
  <si>
    <t>SDE00007</t>
  </si>
  <si>
    <t>Hamburg</t>
  </si>
  <si>
    <t>https://hamburg.arcelormittal.com/Ueber-uns/</t>
  </si>
  <si>
    <t>https://corporate.arcelormittal.com/media/case-studies/hydrogen-based-steelmaking-to-begin-in-hamburg</t>
  </si>
  <si>
    <t>Grey</t>
  </si>
  <si>
    <t>H-DR (waste gas recovery) + Pressure swing adsorption</t>
  </si>
  <si>
    <t>https://corporate.arcelormittal.com/climate-action/decarbonisation-technologies/hamburg-h2-working-towards-the-production-of-zero-carbon-emissions-steel-with-hydrogen / https://www.globenewswire.com/news-release/2021/02/11/2173710/0/en/ArcelorMittal-reports-fourth-quarter-2020-and-twelve-months-2020-results.html</t>
  </si>
  <si>
    <t>https://corporate.arcelormittal.com/climate-action/decarbonisation-technologies/hamburg-h2-working-towards-the-production-of-zero-carbon-emissions-steel-with-hydrogen</t>
  </si>
  <si>
    <t>https://www.midrex.com/press-release/arcelormittal-commissions-midrex-to-design-demonstration-plant-for-hydrogen-steel-production-in-hamburg/</t>
  </si>
  <si>
    <t>Midrex</t>
  </si>
  <si>
    <t xml:space="preserve">2022-10-17 The project initially will operate with grey hydrogen from natural gas and in a later stage with green hydrogen //  2022-05-25 Plans to now source green hydrogen from Vattenfall and then build up electrolysis capacity of its own
https://www.reuters.com/article/us-vattenfall-arcelormittal-germany-excl/exclusive-arcelormittal-vattenfall-form-hydrogen-consortium-with-shell-airbus-others-idUSKBN2CD0X9
2021-09-07: Federal Government has expressed its intention to provide €55 million of funding support towards the construction of the plant, which is half of the €110 million total capital expenditure required. The next step is for the European Commission to approve the Federal Government's intention to provide funding before the installation of the new plant can begin. https://corporate.arcelormittal.com/media/news-articles/german-federal-government-commits-its-intention-to-provide-55-million-of-funding-for-arcelormittal-s-hydrogen-dri-plant </t>
  </si>
  <si>
    <t>https://corporate.arcelormittal.com/media/news-articles/german-federal-government-commits-its-intention-to-provide-55-million-of-funding-for-arcelormittal-s-hydrogen-dri-plant
https://future.hamburg/en/project-brief-hydrogen-arcelormittal</t>
  </si>
  <si>
    <t>SeaH2Land</t>
  </si>
  <si>
    <t>https://seah2land.nl/en</t>
  </si>
  <si>
    <t>SBE00001</t>
  </si>
  <si>
    <t>Netherlands</t>
  </si>
  <si>
    <t>North Sea (Dutch region)</t>
  </si>
  <si>
    <t>approximate (country)</t>
  </si>
  <si>
    <t>https://www.rechargenews.com/energy-transition/orsted-in-gigawatt-scale-offshore-wind-to-green-hydrogen-plan-with-steel-giant-arcelormittal/2-1-990058</t>
  </si>
  <si>
    <t>Orsted, Yara, Dow Benelux, Zeeland Refinery, North Sea Port, Smart Delta Resources</t>
  </si>
  <si>
    <t>https://www.rechargenews.com/energy-transition/orsted-in-gigawatt-scale-offshore-wind-to-green-hydrogen-plan-with-steel-giant-arcelormittal/2-1-990058 // https://seah2land.nl/en/who</t>
  </si>
  <si>
    <t>2022-10-17 No further comment // 2022-05-25 No further comment
Green H2 to be used by ArcelorMittal, Yara, Dow Benelux and Zeeland refinery</t>
  </si>
  <si>
    <t>SES00001-1</t>
  </si>
  <si>
    <t>Spain</t>
  </si>
  <si>
    <t>Gijon</t>
  </si>
  <si>
    <t>https://corporate.arcelormittal.com/media/press-releases/arcelormittal-signs-mou-with-the-spanish-government-supporting-1-billion-investment-in-decarbonisation-technologies</t>
  </si>
  <si>
    <t>H-DR &amp; EAF</t>
  </si>
  <si>
    <t xml:space="preserve">2023-02-20 EU Commission to fund 460 million EUR for this project
2022-10-17 1.1 Mtonne hybrid EAF for steel production // 25/05: No further comment
1) MOU signed with Spanish government for co-funding estimated to 50% 2) "Should green hydrogen not be available at affordable rates at the end of 2025, natural gas would be use to power the DRI furnace" </t>
  </si>
  <si>
    <t>https://www.steelorbis.com/steel-news/latest-news/ec-approves-fundings-to-support-arcelormittals-decarbonization-1279571.htm
https://corporate.arcelormittal.com/media/press-releases/arcelormittal-signs-mou-with-the-spanish-government-supporting-1-billion-investment-in-decarbonisation-technologies</t>
  </si>
  <si>
    <t>SES00002</t>
  </si>
  <si>
    <t>Sestao</t>
  </si>
  <si>
    <t>https://corporate.arcelormittal.com/media/press-releases/arcelormittal-sestao-to-become-the-world-s-first-full-scale-zero-carbon-emissions-steel-plant</t>
  </si>
  <si>
    <t>Hybrid EAF</t>
  </si>
  <si>
    <t xml:space="preserve">2022-10-17 No further comments // 2022-05-25 No further comment 
Central to this development will be the construction of a 2.3 million-tonne green hydrogen DRI unit in Gijón. Around 1 million tonnes of DRI will be transported to Sestao to be used a feedstock for its two EAFs. </t>
  </si>
  <si>
    <t>Enagas</t>
  </si>
  <si>
    <t>Green Crane - Western route (formerly Green Spider, Asturias Hub)</t>
  </si>
  <si>
    <t>https://www.h2v.eu/hydrogen-valleys/green-crane-western-route</t>
  </si>
  <si>
    <t>SES00001</t>
  </si>
  <si>
    <t>N/A (carbon neutrality by 2040)</t>
  </si>
  <si>
    <t>https://www.enagas.es/en/about-us/sustainability/environment/climate-action-energy-efficiency/</t>
  </si>
  <si>
    <t>Asturias</t>
  </si>
  <si>
    <t>hydrogen production (green hydrogen)</t>
  </si>
  <si>
    <t>Hydrogenious LOHC Technologies, Vopak, Térega, Petronor, Arcelor-Mittal I+D, Bosch, McPhy, Vestas, Falck Renewables, IGNIS Energía, H2V, Gransolar</t>
  </si>
  <si>
    <t>2022-10-21 Investment of 1470 million EUR. The projected H2 production volume is 80 ton/day // 2022-05-25 Concrete plan agreed by main stakeholders
Green Crane website captures costs and production for whole multinational project - not possible to separate costs and production volumes for steel. Hydrogen hub that will supply Asturias steel plant (likely ArcelorMittal Asturias). Previous link to project no longer live: https://static1.squarespace.com/static/5d3f0387728026000121b2a2/t/5d9f24f459c7f056aca5a74f/1570710781671/4.A+Green+Spider+project.pdf</t>
  </si>
  <si>
    <t>FerroSilva</t>
  </si>
  <si>
    <t>https://www.ferrosilva.com/english/</t>
  </si>
  <si>
    <t>Sweden</t>
  </si>
  <si>
    <t>Not applicable</t>
  </si>
  <si>
    <t>Biogenic reduction gas</t>
  </si>
  <si>
    <t>Ovako, Sandvik Materials Technology, Uddeholm, Sveaskog and Lantmännen</t>
  </si>
  <si>
    <t>https://www.ferrosilva.com/wp-content/themes/ferrosilva_theme/assets/FerroSilva_Pressrelease_210427.pdf</t>
  </si>
  <si>
    <t>2022-10-21 No further comment
The applicant is MMM Advice, which is managing the project together with Kobolde &amp; Partners - R&amp;D project in association with Academia (KTH, Chalmers)</t>
  </si>
  <si>
    <t>H2 Green Steel</t>
  </si>
  <si>
    <t>H2 Green Steel (H2GS)</t>
  </si>
  <si>
    <t>https://www.h2greensteel.com/</t>
  </si>
  <si>
    <t>Svartbyn</t>
  </si>
  <si>
    <t>approximate (city)</t>
  </si>
  <si>
    <t>https://www.di.se/nyheter/northvolt-grundare-utmanar-ssab-med-25-miljarder-i-ryggen/</t>
  </si>
  <si>
    <t>https://www.h2greensteel.com/about-us</t>
  </si>
  <si>
    <t>https://www.h2greensteel.com/green-steel</t>
  </si>
  <si>
    <t>IMAS Foundation, Vargas, Scania, InnoEnergy, Altor, Bilstein Group, SMS Group, Exor, Kingspan, FAM, Mercedez-Benz, Marcegaglia</t>
  </si>
  <si>
    <t>2023-02-14 Just Climate, an investment business created by Generation Investment Management to address the net zero challenge at scale, has today announced (...) investments in (...) H2 Green Steel (...) Just Climate’s investment forms part of H2 Green Steel’s Series B fundraising announced in October 2022
2022-10-21 The main area of use for our green hydrogen will be to reduce iron ore to direct-reduced-iron, DRI (also referred to as iron sponge) ; After receiving the permissibility for its 5 million tonne steel plant in northern Sweden on July 1/2022, the company moves into the construction phase. Groundwork initiated. 
New entrant, greenfield steel mill with hydrogen direct reduction, EAFs, producing flat steel for automotive, white goods, furniture. Plan to use 40% scrap and 60% virgin input</t>
  </si>
  <si>
    <t>https://www.h2greensteel.com/green-steel
https://www.h2greensteel.com/articles/green-hydrogen-enables-the-decarbonization-of-steel-production
https://greensteelworld.com/just-climate-announces-investment-in-h2-green-steel-abb-e-mobility-and-meva-energy</t>
  </si>
  <si>
    <t>Liberty Steel</t>
  </si>
  <si>
    <t>N/A (see 2030 target)</t>
  </si>
  <si>
    <t>https://libertysteelgroup.com/about/message-from-the-chairman/ https://libertysteelgroup.com/news/liberty-steel-plants-to-merge-into-one-global-group-setting-sights-on-carbon-neutral-operations-by-2030/</t>
  </si>
  <si>
    <t>&lt;8</t>
  </si>
  <si>
    <t>approximate (site)</t>
  </si>
  <si>
    <t>https://www.thehindubusinessline.com/companies/liberty-steel-forms-joint-venture-for-hydrogen-based-steel-plant-in-france/article33902926.ece</t>
  </si>
  <si>
    <t>https://libertysteelgroup.com/news/liberty-develop-hydrogen-steel-making-plant/</t>
  </si>
  <si>
    <t>Paul Wurth, Saar-Holding-Stahl</t>
  </si>
  <si>
    <t xml:space="preserve">2022-10-24 No further comments
MoU Signed - Initially mix of H2 and NG, transitioning to 100% hydrogen once (integrated) electrolysis production complete. Further asset acquisition might have happened after last company production capacity data point. </t>
  </si>
  <si>
    <t>SRO00001</t>
  </si>
  <si>
    <t>Romania</t>
  </si>
  <si>
    <t>Galati</t>
  </si>
  <si>
    <t>https://libertysteelgroup.com/ro/?lang=en</t>
  </si>
  <si>
    <t>https://libertysteelgroup.com/news/gfg-alliance-signs-mou-with-romanian-government-to-create-a-european-greensteel-flagship-at-liberty-galati/</t>
  </si>
  <si>
    <t>https://www.spglobal.com/platts/en/market-insights/latest-news/natural-gas/061120-gfg-alliance-plans-to-revamp-romanian-galati-plant-into-green-steelmaker</t>
  </si>
  <si>
    <t>https://www.romania-insider.com/liberty-galati-decarbonization-too-far</t>
  </si>
  <si>
    <t>Romgaz, Eximbank</t>
  </si>
  <si>
    <t>2022-10-24 We have an investment plan of EUR 1 bln for Romania [for Liberty Galati], we will initially build green energy units, about 200 MW solar and about 30 MW wind https://www.romania-insider.com/liberty-galati-decarbonization-too-far
Transitioning to H2 as H2 production technology "becomes more cost effective"; not clear yet whether BF/BOFs will retire. Further asset acquisition might have happened after last company production capacity data point.</t>
  </si>
  <si>
    <t>LKAB</t>
  </si>
  <si>
    <t>N/A (carbon neutrality by 2045)</t>
  </si>
  <si>
    <t>https://www.lkab.com/en/about-lkab/lkab-in-brief/strategy-and-goals/</t>
  </si>
  <si>
    <t>Kiruna, Malmberget, Svappavaara</t>
  </si>
  <si>
    <t>https://mb.cision.com/Main/11419/3241684/1338565.pdf</t>
  </si>
  <si>
    <t>https://www.lkab.com/en/news-room/news/up-to-3000-new-jobs-and-major-investment-in-malmfalten/?aid=5232</t>
  </si>
  <si>
    <t>H-DR (only ironmaking)</t>
  </si>
  <si>
    <t>https://mb.cision.com/Main/11419/3553029/1568944.pdf</t>
  </si>
  <si>
    <t xml:space="preserve">2022-10-25 In March 2022 LKAB reported dramatically increased mineral reserves and mineral resources. This refers to deposits containing about 4 billion tonnes, which will enable production far beyond 2060 (..) by 2050, the target is for LKAB to produce 24.4 million tonnes of sponge iron per year with zero carbon dioxide emissions (...) LKAB's demand, needed mainly for hydrogen gas production, is 20 TWh/yr (2030) ; 50 TWh/yr (2040) ; 70 TWh/yr (2050) https://mb.cision.com/Main/11419/3553029/1568944.pdf // 2022-06-21 First hydrogen-reduced sponge iron produced at pilot scale
Investment over 15 to 20 years; shift from iron ore pellets to hydrogen-based sponge iron. </t>
  </si>
  <si>
    <t>https://mb.cision.com/Main/11419/3241684/1338565.pdf https://www.lkab.com/en/news-room/press-releases/hybrit-ssab-lkab-and-vattenfall-first-in-the-world-with-hydrogen-reduced-sponge-iron/</t>
  </si>
  <si>
    <t>Salzgitter</t>
  </si>
  <si>
    <t>μDRAL</t>
  </si>
  <si>
    <t>https://salcos.salzgitter-ag.com/en/mydral.html</t>
  </si>
  <si>
    <t>SDE00004</t>
  </si>
  <si>
    <t>50% reduction (baseline undefined)</t>
  </si>
  <si>
    <t>95% reduction by 2050 (baseline undefined)</t>
  </si>
  <si>
    <t>https://salcos.salzgitter-ag.com/en/salcos.html#c132333</t>
  </si>
  <si>
    <t>https://www.salzgitter-flachstahl.de/en/index.html</t>
  </si>
  <si>
    <t>https://www.salzgitter-ag.com/en/newsroom/press-releases/details/another-key-components-on-the-road-to-low-co2-steel-production-15046.html</t>
  </si>
  <si>
    <t>Fraunhofer Gesellschaft, Tenova</t>
  </si>
  <si>
    <t xml:space="preserve">2022-11-02 Production to commence in first half of 2022 but no further information found / Salzgitter aims to complete the first Salcos expansion stage, reducing CO2 emissions in its steel production by 30% by the end of 2025, with a second phase concluded by the end of 2030, along with a 50% carbon reduction. / The full project is due to completed by 31 December 2033, reducing CO2 emissions by more than 95%. // 2022-02-21: Cooperation agreement signed with Uniper to supply green hydrogen https://www.salzgitter-ag.com/en/newsroom/press-releases/details/uniper-and-salzgitter-agree-close-cooperation-in-supplying-the-salcosr-transformation-project-with-green-hydrogen-from-unipers-major-green-wilhelmshavenr-hydrogen-project-19249.html // 2021-05-19 Project breaks ground https://hydrogen-central.com/salzgitter-steel-production-hydrogen-natural-gas/
Operated flexibly by NG and H2. MoU signed with Tenova, 5mEUR support from German environment ministry. </t>
  </si>
  <si>
    <t>https://www.salzgitter-ag.com/en/newsroom/press-releases/details/another-key-components-on-the-road-to-low-co2-steel-production-15046.html
https://www.rechargenews.com/energy-transition/largest-ever-green-steel-investment-salzgitter-approves-723m-spend-on-first-stage-of-hydrogen-focused-project/2-1-1261505</t>
  </si>
  <si>
    <t>GrInHy2.0 (Green Industrial Hydrogen)</t>
  </si>
  <si>
    <t>https://www.green-industrial-hydrogen.com/</t>
  </si>
  <si>
    <t>https://salcos.salzgitter-ag.com/en/salcos.html#c132332</t>
  </si>
  <si>
    <t>hydrogen production (green hydrogen through SOEC electrolysis)</t>
  </si>
  <si>
    <t>https://www.sunfire.de/de/news/detail/grinhy2-0-wasserstoff-fuer-eine-co2-arme-stahlproduktion</t>
  </si>
  <si>
    <t>Sunfire GmbH, Paul Wurth S.A., Tenova S.p.A., CEA - Commissariat a l'Energie atomique</t>
  </si>
  <si>
    <t>2022-10-17 Project completed with a record production of almost 100 tons of green hydrogen for the climate-neutral production of green steel. https://www.salzgitter-ag.com/en/newsroom/press-releases/details/grinhy20-green-hydrogen-for-green-steel-20194.html
In (trial) operation as of March 2021. During the upcoming two years the system is to be operated for at least 13,000 hours and provide proof of plant availability in excess of 95%. Over this period, the electrolyzer is required to produce a minimum of 100 tons of green hydrogen and produce evidence of an electrical efficiency (without the Hydrogen Processing Unit) exceeding 84% LHV. Project partially funded by EU's Horizon 2020 research and innovation program under grant agreement No 826350 (Fuel Cells and Hydrogen 2 Joint Undertaking).</t>
  </si>
  <si>
    <t>https://www.green-industrial-hydrogen.com/project/news/worlds-largest-high-temperature-electrolyser-first-hydrogen-injection https://www.salzgitter-ag.com/en/newsroom/press-releases/details/worlds-largest-high-temperature-electrolyzer-achieves-record-efficiency-19500.html https://www.salzgitter-ag.com/en/newsroom/press-releases/details/grinhy20-green-hydrogen-for-green-steel-20194.html</t>
  </si>
  <si>
    <t>WindH2</t>
  </si>
  <si>
    <t>https://www.windh2.de/en.html</t>
  </si>
  <si>
    <t>https://salcos.salzgitter-ag.com/en/salcos.html#c132331</t>
  </si>
  <si>
    <t>https://www.salzgitter-ag.com/en/newsroom/press-releases/details/wind-hydrogen-salzgitter-windh2-an-important-step-on-the-path-to-decarbonizing-the-steel-industry-14823.html</t>
  </si>
  <si>
    <t>hydrogen production (green hydrogen through PEM electrolysis, wind energy powered)</t>
  </si>
  <si>
    <t>https://salcos.salzgitter-ag.com/en/index.html?no_cache=1</t>
  </si>
  <si>
    <t>https://www.steelguru.com/steel/windwasserstoff-salzgitter-windh2-commissioned</t>
  </si>
  <si>
    <t>Avacon Natur GmbH, Siemens, Linde</t>
  </si>
  <si>
    <t>2022-11-02 No further comments // In (trial) operation as of March 2021</t>
  </si>
  <si>
    <t>https://salcos.salzgitter-ag.com/en/salcos.html#c132330</t>
  </si>
  <si>
    <t>Wilhelmshaven</t>
  </si>
  <si>
    <t>https://www.salzgitter-ag.com/en/newsroom/press-releases/details/project-organization-for-feasibility-study-direct-reduction-of-iron-ore-in-wilhelmshaven-now-established-14410.html</t>
  </si>
  <si>
    <t>https://www.recyclingtoday.com/article/salzgitter-direct-reduced-iron-steel-germany/</t>
  </si>
  <si>
    <t>Rhenus, Uniper</t>
  </si>
  <si>
    <t>2022-11-03 No further comments // 2022-08-11 The consortium has applied for innovation funding backing from state sources for this project that could potentially provide 900€ million ($1.06 billion) or above 50% of its total cost, there is no clear timeline yet for this project to go ahead.</t>
  </si>
  <si>
    <t>https://www.spglobal.com/platts/en/market-insights/latest-news/metals/081121-gray-steel-to-become-obsolete-in-eu-once-green-steel-advances-salzgitter-ceo
https://www.salzgitter-ag.com/en/newsroom/press-releases/details/project-organization-for-feasibility-study-direct-reduction-of-iron-ore-in-wilhelmshaven-now-established-14410.html</t>
  </si>
  <si>
    <t>SSAB</t>
  </si>
  <si>
    <t>FFS - Towards Fossil-Free Steel</t>
  </si>
  <si>
    <t>26% reduction (baseline 2018)</t>
  </si>
  <si>
    <t>N/A (fossil-free by 2045)</t>
  </si>
  <si>
    <t>https://www.ssab.com/company/sustainability/ssab-and-sustainability/sustainability-targets-beyond-2020</t>
  </si>
  <si>
    <t>Finland</t>
  </si>
  <si>
    <t>Raahe</t>
  </si>
  <si>
    <t>https://www.ssab.com/news/2021/07/ssab-has-launched-an-extensive-research-project-in-finland-to-replace-fossil-fuels-with-renewable-en</t>
  </si>
  <si>
    <t>Several incuding smelting of H2-reduced sponge iron</t>
  </si>
  <si>
    <t>LKAB, Vattenfall</t>
  </si>
  <si>
    <t>2022-11-03 Project ongoing (2021-08-01 – 2023-07-31). Project coordinated by University of Oulo, Finland.
The FFS research project is a continuation of the 2020 Energy4HYBRIT prefeasibility project, which investigated the need and availability of biomaterial and bioenergy and the techno-economic possibilities to use these in the steel mill processes at SSAB Raahe. The FFS project will build on this work and the goal is to determine solutions to produce green forms of energy</t>
  </si>
  <si>
    <t>HYBRIT</t>
  </si>
  <si>
    <t>https://www.hybritdevelopment.se/</t>
  </si>
  <si>
    <t>https://www.ssab.com/company/sustainability/sustainable-operations/hybrit-phases</t>
  </si>
  <si>
    <t>BF/BOF to scrap-EAF conversion</t>
  </si>
  <si>
    <t>https://www.ssab.fi/ssab-konserni/tietoja-ssabsta/tuotantopaikkakunnat-suomessa/raahe/kohti-fossiilivapaata-terastuotantoa</t>
  </si>
  <si>
    <t>2022-11-03 No further comments
2039 The second blast furnace will also be closed and replaced with an arc furnace-based production technology.</t>
  </si>
  <si>
    <t>SSE00004</t>
  </si>
  <si>
    <t>Gällivare</t>
  </si>
  <si>
    <t>https://www.ssab.com/news/2021/03/hybrit-ssab-lkab-and-vattenfall-to-begin-industrialization-of-future-fossilfree-steelmaking-by-estab</t>
  </si>
  <si>
    <t>https://www.hybritdevelopment.se/en/a-fossil-free-development/direct-reduction-hydrogen-demonstrationscale/</t>
  </si>
  <si>
    <t>https://www.sei.org/wp-content/uploads/2020/07/bigger-is-sometimes-better.pdf</t>
  </si>
  <si>
    <t>https://www.hybritdevelopment.se/en/march-24-2021-hybrit-ssab-lkab-and-vattenfall-to-begin-industrialization-of-future-fossil-free-steelmaking-by-establishing-the-worlds-first-production-plant-for-fossil-free-sponge-iron-in/</t>
  </si>
  <si>
    <t>2022-11-03 No further comments // 2022-04-01 The project receives in total €143 million from EU Innovation Fund
Goal to expand to 2.7 Mt by 2030 with another plant in Gällivare planned to operate in 2030</t>
  </si>
  <si>
    <t>https://www.hybritdevelopment.se/en/march-24-2021-hybrit-ssab-lkab-and-vattenfall-to-begin-industrialization-of-future-fossil-free-steelmaking-by-establishing-the-worlds-first-production-plant-for-fossil-free-sponge-iron-in/ 
https://www.ssab.com/en/news/2022/04/hybrit-receives-support-from-the-eu-innovation-fund</t>
  </si>
  <si>
    <t>SSE00002</t>
  </si>
  <si>
    <t>Luleå</t>
  </si>
  <si>
    <t>https://www.ssab.com/contact</t>
  </si>
  <si>
    <t>https://www.hybritdevelopment.se/en/a-fossil-free-development/direct-reduction-hydrogen-pilotscale/</t>
  </si>
  <si>
    <t>https://www.ssab.com/news/2021/04/hybrit-ssab-lkab-and-vattenfall-building-unique-pilot-project-in-lule-for-largescale-hydrogen-storag</t>
  </si>
  <si>
    <t>2202-11-03 No further comments // 2202-09-22 Pilot facility for hydrogen storage up and running https://www.ssab.com/en/news/2022/09/hybrit-milestone-reached--pilot-facility-for-hydrogen-storage-up-and-running
Starting with reduction using natural gas, will switch to electrolyzer H2 in 1st half of 2021. HYBRIT building unique pilot project in Luleå for large-scale hydrogen storage investing a quarter of a billion Swedish kronor (approx. $30m USD). 2030-2040: conversion of BFs to EAF</t>
  </si>
  <si>
    <t>https://www.hybritdevelopment.se/en/hybrit-a-unique-hydrogen-storage-facility-in-lulea-is-taking-shape/ https://www.ssab.com/en/news/2022/09/hybrit-milestone-reached--pilot-facility-for-hydrogen-storage-up-and-running</t>
  </si>
  <si>
    <t>SSE00001</t>
  </si>
  <si>
    <t>Oxelösund</t>
  </si>
  <si>
    <t>https://www.ssab.com/news/2020/12/green-light-for-fossilfree-steel-in-oxelsund</t>
  </si>
  <si>
    <t>2022-11-03 No further comments // 2022-06-23 Environmental permit to convert plant to EAF upheld</t>
  </si>
  <si>
    <t>Tata Steel</t>
  </si>
  <si>
    <t>SNL00001</t>
  </si>
  <si>
    <t>30% reduction (baseline 2020)</t>
  </si>
  <si>
    <t>https://www.tatasteeleurope.com/ts/sites/default/files/TSE%20Sustainability%20report%202019-20%20%28EN%29.pdf</t>
  </si>
  <si>
    <t>Ijmuiden</t>
  </si>
  <si>
    <t>https://www.tatasteeleurope.com/corporate/news/tata-steel-opts-for-hydrogen-route-at-its-ijmuiden-steelworks</t>
  </si>
  <si>
    <t>https://www.tatasteeleurope.com/corporate/news/Tata-Steel-invests-65-million-euroin-next-phase-hydrogen-route</t>
  </si>
  <si>
    <t>McDermott, Danieli, Hatch</t>
  </si>
  <si>
    <t>2022-11-03 Announced on 30th August 2022: Tata Steel Nederland has signed contracts with three companies – McDermott, Danieli and Hatch – for the further technical preparations of the hydrogen route. (…) The cost for this first development step are in excess of 65 million euros and will result in an engineering package that forms the basis for a final permitting and project planning. (...) Project is led by the Tata Steel internal project and sustainability team. (...) McDermott is responsible for the construction input and support of the technical project management. Danieli is responsible for the engineering design for the  plant and technology that  delivers DRI. Hatch is the technology licensor  of the electric furnaces (REF) that melt the DRI. // Tata Steel Nederland has already signed a memorandum of understanding with Ford in Europe (...) makes Ford the first customer committed to offtake the green steel that Tata Steel plans to produce.</t>
  </si>
  <si>
    <t>https://www.tatasteeleurope.com/corporate/news/Tata-Steel-invests-65-million-euroin-next-phase-hydrogen-route
https://gmk.center/en/news/tata-steel-to-invest-e65-million-in-the-decarbonization-of-a-plant-in-the-netherlands/</t>
  </si>
  <si>
    <t>Project H2ermes</t>
  </si>
  <si>
    <t>https://h2ermes.nl/project-en/</t>
  </si>
  <si>
    <t>https://prtr.eea.europa.eu/#/facilitylevels</t>
  </si>
  <si>
    <t>HyCC, Port of Amsterdam</t>
  </si>
  <si>
    <t>2022-11-03 In 2022, the permitting phase of the project will be started so that the first hydrogen can be supplied to Tata Steel and the Amsterdam Metropolitan Area in 2025/2026.
Electrolysis facility to be located in Amsterdam, producing 15,000 tons of hydrogen per year and oxygen for industrial use at Tata Steel IJmuiden Works</t>
  </si>
  <si>
    <t>Hlsarna</t>
  </si>
  <si>
    <t>https://www.tatasteeleurope.com/ts/sustainability/carbon-neutral-steel</t>
  </si>
  <si>
    <t>https://www.tatasteeleurope.com/ts/sites/default/files/TS%20Factsheet%20Hisarna%20ENG%20jan2020%20Vfinal03%204%20pag%20digital.pdf</t>
  </si>
  <si>
    <t>Smelting reduction</t>
  </si>
  <si>
    <t>https://www.pmi.org/-/media/pmi/documents/public/pdf/academics/call-for-proposal/tata-hisarna-project.pdf?v=af070ea8-50e1-485e-b025-9042674a0803</t>
  </si>
  <si>
    <t>Rio Tinto, Tata steel, ULCOS, EU</t>
  </si>
  <si>
    <t>2022-11-02 By 2033, our ambition is to have it scaled up it at full scale and it is ready to replace one of our blast furnaces. HIsarna can cut up to 100% of CO2 emissions, when combined with carbon capture. https://www.tatasteeleurope.com/construction/sustainability/performance-at-our-sites/ijmuiden
A new reactor has been developed, which can be used to produce steel from iron ore, coal fines and oxygen. It has the potential to reduce direct CO2 emissions by 20% . With CCS 80 % of the emissions could be reduced as the reactor releases a pure stream of CO2. The technology was developed by Tata steel and Rio Tinto, but Tata steel owns the IP now. The plans to build an industrial demonstration plant in the Netherlands were shelved because of the low-demand of steel in the EU. The industrial demo plant could be commissioned in Jamshedpur, India which is the headquarters of Tata Steel.</t>
  </si>
  <si>
    <t>https://www.nhnieuws.nl/nieuws/235611/Tata-Steel-kiest-onverwacht-niet-voor-IJmuiden-om-nieuwe-fabriek-te-vestigen</t>
  </si>
  <si>
    <t>Tenaris</t>
  </si>
  <si>
    <t>Dalmine Zero Emissions</t>
  </si>
  <si>
    <t>https://www.tenaris.com/en/newsroom/news-listing/tenaris-joins-edison-and-snam-to-trial-steelmaking--23383824921</t>
  </si>
  <si>
    <t>Italy</t>
  </si>
  <si>
    <t>Dalmine</t>
  </si>
  <si>
    <t>Edison, Snam</t>
  </si>
  <si>
    <t>2022-11-03 No further comments // 2021-11-01 Letter of intent signed by partners</t>
  </si>
  <si>
    <t>Thyssenkrupp</t>
  </si>
  <si>
    <t>Blast Furnace 2.0</t>
  </si>
  <si>
    <t>SDE00001</t>
  </si>
  <si>
    <t>30% reduction (baseline 2018)</t>
  </si>
  <si>
    <t>climate neutral</t>
  </si>
  <si>
    <t>https://www.thyssenkrupp.com/en/company/sustainability/climate-strategy-and-targets</t>
  </si>
  <si>
    <t>Duisburg</t>
  </si>
  <si>
    <t>https://www.thyssenkrupp-steel.com/en/contact.html</t>
  </si>
  <si>
    <t>https://www.thyssenkrupp-steel.com/en/newsroom/press-releases/thyssenkrupp-presents-altmaier-and-laschet-concept-for-green-transformation-of-duisburg-steel-mill.html</t>
  </si>
  <si>
    <t>2023-03-13 In pursuit of the best technological solution, thyssenkrupp will be the first steelmaker in the world to combine a 100-percent hydrogen-capable direct reduction plant with innovative melters. The direct reduction plant is based on MIDREX Flex technology.
2023-03-02 German plantmaker SMS Group has announced that it will supply a direct reduction plant worth €1.8 billion to Germany-based steelmaker Thyssenkrupp Steel’s Duisburg plant (...) scheduled to start-up by the end of 2026.
2022-11-08 The plant with a capacity of 2.5 million metric tons, will avoid the emission of 3.5 million metric tons of CO2. Construction will involve investment of more than €2 billion
DRI processed in an integrated melting unit to "electrical hot metal", then fed into BOFs (transition) // Online year subject to positive investment decision in 2023</t>
  </si>
  <si>
    <t>https://greensteelworld.com/thyssenkrupp-steel-awards-contract-worth-billions-of-euros-to-sms-group-for-dri-plant
https://www.steelorbis.com/steel-news/latest-news/thyssenkrupp-steel-orders-dri-plant-for-decarbonization-efforts-1281017.htm
https://www.greencarcongress.com/2022/09/20220909-thyssenkrupp.html</t>
  </si>
  <si>
    <t>HydrOxy Hub Walsum</t>
  </si>
  <si>
    <t>https://www.steag.com/en/news/current-projects/hydroxy-walsum</t>
  </si>
  <si>
    <t>https://www.steag.com/en/press-release/21-03-2022-thyssenkrupp-steel-and-steag-agree-delivery-of-hydrogen</t>
  </si>
  <si>
    <t>Thyssenkrupp Uhde Chlorine Engineers, Steag</t>
  </si>
  <si>
    <t>2022-12-30 Air Liquide will supply hydrogen to the plant from 2024
2022-11-08 an agreement in the form of a memorandum of understanding [repared by the project partners STEAG and thyssenkrupp] has now been reached on the planned delivery of hydrogen and oxygen to thyssenkrupp Steel in Duisburg from the neighboring STEAG site in Duisburg-Walsum.
If an investment decision is made in spring 2023, commercial operation of the plant is conceivable in early 2025. // Hydrogen to be supplied to Duisburg steel mills; application for IPCEI intended.</t>
  </si>
  <si>
    <t>https://www.steelorbis.com/steel-news/latest-news/air-liquides-new-pipeline-to-supply-hydrogen-to-thyssenkrupps-duisburg-plant-from-2024-1273488.htm
https://www.steag.com/en/press-release/21-03-2022-thyssenkrupp-steel-and-steag-agree-delivery-of-hydrogen</t>
  </si>
  <si>
    <t>H2morrow</t>
  </si>
  <si>
    <t>https://oge.net/en/us/projects/h2morrow</t>
  </si>
  <si>
    <t>Duisburg (location of hydrogen use)</t>
  </si>
  <si>
    <t>Hydrogen production (blue hydrogen with carbon capture and offshore storage)</t>
  </si>
  <si>
    <t>https://www.energate-messenger.de/news/208774/blauer-wasserstoff-fuer-duisburger-stahlwerk</t>
  </si>
  <si>
    <t>https://www.thyssenkrupp-steel.com/en/newsroom/press-releases/h2morrow-steel-concludes-feasibility-study.html</t>
  </si>
  <si>
    <t>Equinor, OGE</t>
  </si>
  <si>
    <t>2022-11-08 No further comments // 2021-05-02 Feasibility study concluded in Jan 2021, considering project technically feasible, further details to be investigated for investment decision
Reforming of natural gas imported from Norway to produce hydrogen, carbon capture for offshore storage; use existing gas pipelines (convert for pure H2 use); hydrogen to be supplied to Thyssenkrupp Steel Europe to replace coking coal; capacity scenarios researched: 1.4 and 2.7 GW</t>
  </si>
  <si>
    <t>Voestalpine</t>
  </si>
  <si>
    <t>HYFOR</t>
  </si>
  <si>
    <t>https://magazine.primetals.com/2021/06/24/zero-carbon-hyfor-direct-reduction-pilot-plant-commences-operation-in-donawitz-austria/</t>
  </si>
  <si>
    <t>SAT00002</t>
  </si>
  <si>
    <t>30% reduction (baseline undefined)</t>
  </si>
  <si>
    <t>https://www.voestalpine.com/greentecsteel/en/</t>
  </si>
  <si>
    <t>Austria</t>
  </si>
  <si>
    <t>Donawitz</t>
  </si>
  <si>
    <t>https://www.voestalpine.com/stahldonawitz/en/</t>
  </si>
  <si>
    <t>https://www.primetals.com/de/presse-medien/news/primetals-technologies-develops-breakthrough-technology-for-carbon-free-hydrogen-based-direct-reduction-for-iron-ore-fines</t>
  </si>
  <si>
    <t>https://asia.nikkei.com/Spotlight/Environment/Climate-Change/Mitsubishi-Heavy-to-build-biggest-zero-carbon-steel-plant</t>
  </si>
  <si>
    <t>Mitsubishi Heavy, Primetals Technologies</t>
  </si>
  <si>
    <t>https://asia.nikkei.com/Spotlight/Environment/Climate-Change/Mitsubishi-Heavy-to-build-biggest-zero-carbon-steel-plant // https://www.primetals.com/de/presse-medien/news/primetals-technologies-develops-breakthrough-technology-for-carbon-free-hydrogen-based-direct-reduction-for-iron-ore-fines</t>
  </si>
  <si>
    <t>2022-11-02 No further comment // 2021-08-25 Building an industrial-scale HYFOR prototype will be decided by the end of 2022 https://magazine.primetals.com/2021/08/24/zero-carbon-iron-primetals-technologies-and-mhi-australia-join-hilt-crc/ // 2021-06-24 First tests successfully executed in April and May 2021</t>
  </si>
  <si>
    <t>https://magazine.primetals.com/2021/06/24/zero-carbon-hyfor-direct-reduction-pilot-plant-commences-operation-in-donawitz-austria/ https://magazine.primetals.com/2021/08/24/zero-carbon-iron-primetals-technologies-and-mhi-australia-join-hilt-crc/</t>
  </si>
  <si>
    <t>SuSteel</t>
  </si>
  <si>
    <t>https://www.k1-met.com/en/research_programme/susteel/</t>
  </si>
  <si>
    <t>Plasma smelting reduction</t>
  </si>
  <si>
    <t>K1-MET GmbH, University of Leoben</t>
  </si>
  <si>
    <t>Project ended in February 2020, pilot said to be successful; however no mention of any follow up in voestalpine Environmental report 2020</t>
  </si>
  <si>
    <t>H2Future</t>
  </si>
  <si>
    <t>https://www.h2future-project.eu/</t>
  </si>
  <si>
    <t>SAT00001</t>
  </si>
  <si>
    <t>Linz</t>
  </si>
  <si>
    <t>https://www.voestalpine.com/stahl/en/Companies/voestalpine-Stahl-GmbH</t>
  </si>
  <si>
    <t>https://www.voestalpine.com/group/en/media/press-releases/2019-11-11-h2future-worlds-largest-green-hydrogen-pilot-facility-successfully-commences-operation/</t>
  </si>
  <si>
    <t>Hydrogen production (green hydrogen through PEM electrolysis)</t>
  </si>
  <si>
    <t>Siemens, Verbund, Austrian Power Grid (APG), K1-MET, ECN/TNO</t>
  </si>
  <si>
    <t>2023-02-14 On December 19 (2022), Primetals Technologies, together with its strategic partners Mitsubishi Corporation, Fortescue signed a Memorandum of Understanding (MoU). (...) The partnership is aimed at designing and engineering an industrial-scale prototype plant with a new process for net-zero-emission ironmaking at the voestalpine site in Linz, Austria (...) The hydrogen used in the new plant will mainly come from Verbund, voestalpine’s and Austria’s leading renewable energy producer, who operates a proton exchange membrane (PEM) electrolyzer named H2Future. Located in Linz, this plant has a capacity of over six megawatts, and is still the world’s largest of its kind used at a steel plant. The H2Future plant will be upgraded to allow for the compression and storage of hydrogen gas before use in the combined HYFOR and Smelter plant // 2022-11-02 No further comments // 2022-01-26 Voestalpine wants to continue the pilot project "H2Future" around green hydrogen in steel production. Talks with project partners are currently underway, the steel company told energate.  //2021-12-31 Project ended https://cordis.europa.eu/project/id/735503 // Project partially funded by EU's Horizon 2020 research and innovation program and Hydrogen Europe and N.ERGHY, Grant No 735503 (Fuel Cells and Hydrogen 2 Join Undertaking grant)</t>
  </si>
  <si>
    <t>https://greensteelworld.com/fortescue-mitsubishi-corporation-primetals-technologies-voestalpine-sign-green-steel-deal
https://www.voestalpine.com/group/en/media/press-releases/2019-11-11-h2future-worlds-largest-green-hydrogen-pilot-facility-successfully-commences-operation/</t>
  </si>
  <si>
    <t>https://www.h2greensteel.com/latestnews/h2-green-steel-and-iberdrola-announce-23-billion-green-hydrogen-venture</t>
  </si>
  <si>
    <t>To be confirmed</t>
  </si>
  <si>
    <t>https://www.h2greensteel.com/pressreleases/h2-green-steel-and-iberdrola-announce-23-billion-green-hydrogen-venture</t>
  </si>
  <si>
    <t>Iberdrola</t>
  </si>
  <si>
    <t xml:space="preserve">2022-11-03 No further comments
The site will be located in the Iberian Peninsula, where several possible locations are currently being considered, with production intended to start in 2025 or 2026. The locations that H2 Green Steel and Iberdrola are assessing will all have access to cost-effective renewable electricity and the infrastructure required to successfully operate a Green Hydrogen, Green Iron and Green Steel business. </t>
  </si>
  <si>
    <t>SFR00002</t>
  </si>
  <si>
    <t>Fos-sur-Mer</t>
  </si>
  <si>
    <t xml:space="preserve">2022-11-03 No further comments
The new industrial facility will be operational starting in 2027 and will gradually replace 1 out of 2 of ArcelorMittal’s blast furnaces in Fos by 2030.
</t>
  </si>
  <si>
    <t>https://www.spglobal.com/commodityinsights/en/market-insights/latest-news/electric-power/050421-port-of-rotterdam-thyssenkrupp-hkm-explore-hydrogen-imports-for-green-steel</t>
  </si>
  <si>
    <t>Rotterdam</t>
  </si>
  <si>
    <t>HKM, Port of Rotterdam</t>
  </si>
  <si>
    <t xml:space="preserve">2022-11-02 No further comment
Thyssenkrupp, HKM and Port of Rotterdam have partnered to explore renewable hydrogen imports for use in the production of green steel. The companies are to investigate hydrogen imports via the Dutch port, as well as a possible pipeline corridor from Rotterdam to Duisburg.
</t>
  </si>
  <si>
    <t>https://www.salzgitter-ag.com/en/newsroom/press-releases/details/uniper-and-salzgitter-agree-close-cooperation-in-supplying-the-salcosr-transformation-project-with-green-hydrogen-from-unipers-major-green-wilhelmshavenr-hydrogen-project-19249.html</t>
  </si>
  <si>
    <t>Uniper</t>
  </si>
  <si>
    <t>2022-11-02 No further comment
Especially grid-compatible concept of Uniper electrolysis plant in Wilhelmshaven through potential direct connection to new offshore gigawatt wind farm. Feasibility study of pipeline transport and storage of green hydrogen</t>
  </si>
  <si>
    <t>HyDeal España (PlatformCo Hidrogeno)</t>
  </si>
  <si>
    <t>https://www.hydeal.com/copie-de-hydeal-ambition</t>
  </si>
  <si>
    <t>Enagas SA, Fertiberia SA, DH2 Energy</t>
  </si>
  <si>
    <t xml:space="preserve">2022-11-09 Industrial facility in northern Spain / Production will start in 2025 and total installed capacity will reach 9.5 GW of solar power and 7.4 GW of electrolyzers by 2030. The project also features the establishment of an electrolyzer gigafactory. ArcelorMittal and Fertiberia (...) will commit to purchasing 6.6 million tons of green hydrogen over 20 years. </t>
  </si>
  <si>
    <t>Steelanol</t>
  </si>
  <si>
    <t>http://www.steelanol.eu/en</t>
  </si>
  <si>
    <t>https://corporate.arcelormittal.com/media/case-studies/arcelormittal-belgium-marks-milestone-by-lifting-bioreactors-into-place-at-its-industrial-scale-demonstration-plant-for-carbon-neutral-steelmaking</t>
  </si>
  <si>
    <t>CCU</t>
  </si>
  <si>
    <t>CCU - Carbalyst</t>
  </si>
  <si>
    <t>https://corporate.arcelormittal.com/climate-action/decarbonisation-technologies/carbalyst-capturing-and-re-using-our-carbon-rich-waste-gases-to-make-valuable-chemical-products</t>
  </si>
  <si>
    <t>http://www.steelanol.eu/en/news/steelanol-inauguration</t>
  </si>
  <si>
    <t>https://corporate.arcelormittal.com/climate-action/decarbonisation-technologies/carbalyst-capturing-and-re-using-our-carbon-rich-waste-gases-to-make-valuable-chemical-products#</t>
  </si>
  <si>
    <t>Primemetals, LanzaTech, E4tech</t>
  </si>
  <si>
    <t>2022-11-10 First production expected in 2022 // The EUR165m Steelanol plant, the first of its kind in Europe, will produce 80 million litres of sustainable ethanol a year, (...) The sustainable ethanol produced at the Steelanol plant, the first commercial product of ArcelorMittal’s Carbalyst® family of recycled carbon chemicals, can be used as fuel for transport or as a building block for producing chemicals.
The four bioreactors were delivered by ship in March 2021.</t>
  </si>
  <si>
    <t>SALCOS</t>
  </si>
  <si>
    <t>https://salcos.salzgitter-ag.com/en/salcos.html</t>
  </si>
  <si>
    <t>https://www.salzgitter-ag.com/en/newsroom/press-releases/details/strong-signal-for-salzgitter-ag-transformation-program-salcosr-20105.html</t>
  </si>
  <si>
    <t>https://salcos.salzgitter-ag.com/en/salcos.html#c141552</t>
  </si>
  <si>
    <t>https://salcos.salzgitter-ag.com/en/salcos.html#c141562</t>
  </si>
  <si>
    <t>https://www.salzgitter-ag.com/en/newsroom/press-releases/details/strong-signal-for-salzgitter-ag-transformation-program-salcosr-20105.html
https://ec.europa.eu/commission/presscorner/detail/en/ip_22_5968</t>
  </si>
  <si>
    <t>https://ec.europa.eu/commission/presscorner/detail/en/ip_22_5968</t>
  </si>
  <si>
    <t>State of Lower Saxony, Federal Ministry for Economics and Climate Protection (BMWK), Baffinland Iron Mines Corporation</t>
  </si>
  <si>
    <t>2023-02-14 Baffinland Iron Mines Corporation and Salzgitter Flachstahl GmbH – a subsidiary of Salzgitter AG – are strengthening their cooperation by signing a Memorandum of Understanding to investigate the use of Nunavut high-grade iron ore in low-carbon steel production. //
2023-01-17 Slazgitter Flachstahl GmbH has signed a memorandum of understanding with BSH Hausgeräte for the supply of green steel produced by SALCOS by the end fo 2025
 Starting in 2025, the Salzgitter Group will begin incrementally switching its steel production to hydrogen-based processes under its SALCOS® – Salzgitter Low CO2 Steelmaking transformation program. The aim is to achieve virtually carbon-free production by 2033.  In the context of the MoU, Baffinland and Salzgitter Flachstahl GmbH will consider which supply strategies regarding using iron ore produced by Baffinland are best suited to hydrogen-based steel production in a direct reduction plant. In addition, the companies will work together on optimizing the Scope 3 emissions of their shared value chains.
2022-12-19 The goal of SALCOS® is, in three stages between now and 2033, to switch steelmaking in Salzgitter entirely over to low-CO2 crude steel production. The first stage involving an annual capacity of 1.9 million tonnes of crude steel is scheduled to become operational by the end of 2025. As part of the transformation, two direct reduction plants and three electric arc furnaces will be built to incrementally replace the blast furnaces and converters. In this way, the previous process based on coking coal will be replaced by a new hydrogen-based route to steelmaking. Savings are expected in the order of 95 % of the current annual CO2 emissions of around 8 million tonnes. That means that around 1 % of Germany’s emissions of CO2 can be avoided.
Following the decision by the supervisory board of Salzgitter AG in July to release equity funds amounting to € 723 million for SALCOS
The European Commission has approved, under EU State aid rules, a €1 billion German measure to help Salzgitter Flachstahl GmbH (‘Salzgitter') decarbonise its steel production processes by using hydrogen, including renewable hydrogen produced on site, thanks to a new production facility.
2022-11-22 Automotive supplier Mubea and Salzgitter Flachstahl GmbH have now signed a Memorandum of Understanding (MOU) with a view to cooperating more closely on the topics and issues of “sustainable steel production”, “green steel product processing” and “steel recycling with closed loops”.</t>
  </si>
  <si>
    <t>https://www.salzgitter-ag.com/en/newsroom/press-releases/details/strong-signal-for-salzgitter-ag-transformation-program-salcosr-20105.html
https://www.steelorbis.com/steel-news/latest-news/salzgitter-to-supply-green-steel-to-home-appliance-manufacturer-1275430.htm
https://ec.europa.eu/commission/presscorner/detail/en/ip_22_5968
https://www.salzgitter-ag.com/en/newsroom/press-releases/details/mubea-and-the-salzgitter-group-join-forces-20307.html
https://greensteelworld.com/salzgitter-group-and-baffinland-to-cooperate-in-producing-green-steel</t>
  </si>
  <si>
    <t>tkH2Steel</t>
  </si>
  <si>
    <t>https://www.thyssenkrupp.com/en/newsroom/press-releases/pressdetailpage/thyssenkrupp-is-accelerating-the-green-transformation--decision-taken-on-the-construction-of-germanys-largest-direct-reduction-plant-for-low-co2-steel-146809</t>
  </si>
  <si>
    <t>H-DR - MIDREX</t>
  </si>
  <si>
    <t>https://www.thyssenkrupp-steel.com/en/newsroom/press-releases/thyssenkrupp-steel-and-steag-agree-on-hydrogen-supply.html</t>
  </si>
  <si>
    <t>2023-04-03 Investments of more than two billion euros. Capacity of 2.5 mtpa. (..) The coal-based blast furnaces will be replaced by hydrogen-powered direct reduction plants. The iron produced there, which will have been directly reduced with hydrogen, will be liquefied for the first time in downstream, specially developed melting units to produce high-quality hot iron. 
Plant based on MIDREX flex technology</t>
  </si>
  <si>
    <t>https://www.thyssenkrupp.com/en/newsroom/press-releases/pressdetailpage/thyssenkrupp-is-accelerating-the-green-transformation--decision-taken-on-the-construction-of-germanys-largest-direct-reduction-plant-for-low-co2-steel-146809
https://greensteelworld.com/thyssenkrupp-steel-awards-contract-worth-billions-of-euros-to-sms-group-for-dri-plant</t>
  </si>
  <si>
    <t>Hydnum Steel</t>
  </si>
  <si>
    <t>https://hydnumsteel.com/en/</t>
  </si>
  <si>
    <t>Puertollano</t>
  </si>
  <si>
    <t>https://www.investinspain.org/en/news/2023/hydnum-steel</t>
  </si>
  <si>
    <t>https://www.puertollano.es/hydnum-steel-construira-en-puertollano-la-mayor-planta-en-espana-de-acero-verde-con-una-inversion-de-1-000-millones/</t>
  </si>
  <si>
    <t>https://www.steelradar.com/en/haber/hydnum-steel-will-establish-a-spanish-green-steel-plant/</t>
  </si>
  <si>
    <t>https://www.steelorbis.com/steel-news/latest-news/spains-hydnum-steel-to-build-first-green-steel-plant-on-iberian-peninsula-1280182.htm</t>
  </si>
  <si>
    <t>Helvella investment company, Siemens, ABEI Energy and Russula Corporation</t>
  </si>
  <si>
    <t>https://eurometal.net/hydnum-steel-to-build-spanish-green-steel-mill/</t>
  </si>
  <si>
    <t>2023-04-04 The first phase will involve an investment of 600 million euros, a figure that may rise to over a billion in total</t>
  </si>
  <si>
    <t>Blastr Green Steel</t>
  </si>
  <si>
    <t>The Blastr Green Steel Project</t>
  </si>
  <si>
    <t>https://www.blastr.no/</t>
  </si>
  <si>
    <t>Inkoo</t>
  </si>
  <si>
    <t>https://www.blastr.no/News</t>
  </si>
  <si>
    <t>https://www.steelorbis.com/steel-news/latest-news/blastr-green-steel-to-build-green-steel-plant-in-finland-to-cut-emissions-1273893.htm</t>
  </si>
  <si>
    <t>DR --&gt; H-DR</t>
  </si>
  <si>
    <t>https://www.blastr.no/News/#marker1</t>
  </si>
  <si>
    <t>Cargill Metals</t>
  </si>
  <si>
    <t>https://www.blastr.no/News/#marker</t>
  </si>
  <si>
    <t>2023-01-03 The green steel plant together with the integrated hydrogen facility will be among the largest industrial investments planned in Finland to date. (...) The four-billion-euro investment is expected to create up to 1,200 direct jobs in the operations phase. The production is planned to start by end of 2026. (...) Blastr will replace coke and coal with hydrogen in the chemical reduction phase, as well as reduce the CO₂ footprint along the entire value chain, with the aim of achieving 95 percent lower CO₂ emissions, compared to the conventional manufacturing process.</t>
  </si>
  <si>
    <t xml:space="preserve">Voestalpine </t>
  </si>
  <si>
    <t>Greentec steel - Linz</t>
  </si>
  <si>
    <t>https://www.voestalpine.com/group/en/media/press-releases/2023-03-22-voestalpine-supervisory-board-approves-eur-1-5-billion-for-further-decarbonization/</t>
  </si>
  <si>
    <t xml:space="preserve">2023-03-22 An investment of around 1.5 billion euros is being made into constructing one electric arc furnace at each of the two sites, Linz and Donawitz. As part of its “greentec steel” plan, the plant and supplier decision will be made in 2023, construction will start in 2024, and commissioning of the two units will take place in 2027. The two electric arc furnaces allow voestalpine to produce around 2.5 million tons of CO2-reduced steel from 2027: 1.6 million tons in Linz and 850,000 tons in Donawitz. </t>
  </si>
  <si>
    <t>Greentec steel - Donawitz</t>
  </si>
  <si>
    <t>material substitution/recycling</t>
  </si>
  <si>
    <t>fuel switch/electriciation</t>
  </si>
  <si>
    <t>energy efficiency</t>
  </si>
  <si>
    <t>mineralization</t>
  </si>
  <si>
    <t>unspecified</t>
  </si>
  <si>
    <t>Indicator I7b</t>
  </si>
  <si>
    <t>Planned</t>
  </si>
  <si>
    <t>Started</t>
  </si>
  <si>
    <t>Renewables</t>
  </si>
  <si>
    <t>Chemical recycling</t>
  </si>
  <si>
    <t>H2 and derivatives</t>
  </si>
  <si>
    <t>Efficiency</t>
  </si>
  <si>
    <t>Biochemicals</t>
  </si>
  <si>
    <t>Mechanical recycling</t>
  </si>
  <si>
    <t>E-cracker</t>
  </si>
  <si>
    <t>Indicator I7c</t>
  </si>
  <si>
    <t>Total material footprint</t>
  </si>
  <si>
    <t>Biomass</t>
  </si>
  <si>
    <t>Eurostat ENV_AC_RME</t>
  </si>
  <si>
    <t>Metal ores</t>
  </si>
  <si>
    <t>Non-metalic minerals</t>
  </si>
  <si>
    <t>Fossil fuels and feedstocks</t>
  </si>
  <si>
    <t>Average 2016-2020</t>
  </si>
  <si>
    <t>Energy GHG intensity</t>
  </si>
  <si>
    <t>Final energy use</t>
  </si>
  <si>
    <t>Eurostat Energy Balances</t>
  </si>
  <si>
    <t>Energy-related GHG emissions</t>
  </si>
  <si>
    <t>GHG intensity</t>
  </si>
  <si>
    <t>t CO2e/toe</t>
  </si>
  <si>
    <t>FF55MIX</t>
  </si>
  <si>
    <t>FF55 MIX excel</t>
  </si>
  <si>
    <t>1,5TECH</t>
  </si>
  <si>
    <t>In-depth analysis figure 70</t>
  </si>
  <si>
    <t>1,5LIFE</t>
  </si>
  <si>
    <t>2022</t>
  </si>
  <si>
    <t>current prices</t>
  </si>
  <si>
    <t>million EUR</t>
  </si>
  <si>
    <t>price index (2005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</si>
</sst>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0.0"/>
    <numFmt numFmtId="165" formatCode="###0.00_)"/>
    <numFmt numFmtId="166" formatCode="#,##0_)"/>
    <numFmt numFmtId="167" formatCode="#,##0.0_i"/>
    <numFmt numFmtId="168" formatCode="_-* #,##0.00\ _€_-;\-* #,##0.00\ _€_-;_-* &quot;-&quot;??\ _€_-;_-@_-"/>
    <numFmt numFmtId="169" formatCode="???,???.00"/>
    <numFmt numFmtId="170" formatCode="#,##0.0000"/>
    <numFmt numFmtId="171" formatCode="0.0%"/>
    <numFmt numFmtId="172" formatCode="0.000"/>
    <numFmt numFmtId="173" formatCode="#,##0.##########"/>
    <numFmt numFmtId="174" formatCode="#,##0.0"/>
    <numFmt numFmtId="175" formatCode="#,##0.000"/>
  </numFmts>
  <fonts count="70">
    <font>
      <sz val="11"/>
      <color theme="1"/>
      <name val="Calibri"/>
      <family val="2"/>
      <scheme val="minor"/>
    </font>
    <font>
      <sz val="11"/>
      <color theme="1"/>
      <name val="Calibri"/>
      <family val="2"/>
      <scheme val="minor"/>
    </font>
    <font>
      <sz val="11"/>
      <color theme="0"/>
      <name val="Calibri"/>
      <family val="2"/>
      <scheme val="minor"/>
    </font>
    <font>
      <sz val="11"/>
      <name val="Calibri"/>
      <family val="2"/>
    </font>
    <font>
      <b/>
      <sz val="11"/>
      <color theme="1"/>
      <name val="Calibri"/>
      <family val="2"/>
      <scheme val="minor"/>
    </font>
    <font>
      <sz val="11"/>
      <color indexed="8"/>
      <name val="Calibri"/>
      <family val="2"/>
      <scheme val="minor"/>
    </font>
    <font>
      <sz val="10"/>
      <color rgb="FF000000"/>
      <name val="Calibri"/>
      <family val="2"/>
    </font>
    <font>
      <sz val="1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u/>
      <sz val="11"/>
      <color theme="10"/>
      <name val="Calibri"/>
      <family val="2"/>
      <scheme val="minor"/>
    </font>
    <font>
      <sz val="8"/>
      <name val="Arial"/>
      <family val="2"/>
    </font>
    <font>
      <b/>
      <sz val="10"/>
      <color indexed="18"/>
      <name val="Arial"/>
      <family val="2"/>
    </font>
    <font>
      <b/>
      <sz val="10"/>
      <color indexed="8"/>
      <name val="Arial"/>
      <family val="2"/>
    </font>
    <font>
      <sz val="11"/>
      <name val="Arial"/>
      <family val="2"/>
    </font>
    <font>
      <b/>
      <sz val="14"/>
      <name val="Helv"/>
    </font>
    <font>
      <b/>
      <sz val="10"/>
      <name val="Helv"/>
    </font>
    <font>
      <sz val="10"/>
      <name val="Helv"/>
    </font>
    <font>
      <sz val="12"/>
      <name val="Helv"/>
    </font>
    <font>
      <b/>
      <sz val="12"/>
      <name val="Helv"/>
    </font>
    <font>
      <sz val="9"/>
      <name val="Helv"/>
    </font>
    <font>
      <vertAlign val="superscript"/>
      <sz val="12"/>
      <name val="Helv"/>
    </font>
    <font>
      <b/>
      <sz val="9"/>
      <name val="Helv"/>
    </font>
    <font>
      <sz val="8.5"/>
      <name val="Helv"/>
    </font>
    <font>
      <sz val="8"/>
      <name val="Helv"/>
    </font>
    <font>
      <sz val="11"/>
      <color rgb="FF9C6500"/>
      <name val="Calibri"/>
      <family val="2"/>
      <scheme val="minor"/>
    </font>
    <font>
      <sz val="9"/>
      <color theme="1"/>
      <name val="Arial"/>
      <family val="2"/>
    </font>
    <font>
      <b/>
      <sz val="18"/>
      <color theme="3"/>
      <name val="Calibri Light"/>
      <family val="2"/>
      <scheme val="major"/>
    </font>
    <font>
      <sz val="8"/>
      <name val="Arial"/>
      <family val="2"/>
      <charset val="161"/>
    </font>
    <font>
      <sz val="9"/>
      <name val="Arial"/>
      <family val="2"/>
    </font>
    <font>
      <sz val="9"/>
      <name val="Times New Roman"/>
      <family val="1"/>
    </font>
    <font>
      <b/>
      <sz val="9"/>
      <name val="Times New Roman"/>
      <family val="1"/>
    </font>
    <font>
      <b/>
      <sz val="12"/>
      <name val="Times New Roman"/>
      <family val="1"/>
    </font>
    <font>
      <sz val="8"/>
      <name val="Helvetica"/>
    </font>
    <font>
      <b/>
      <sz val="12"/>
      <color indexed="10"/>
      <name val="Arial"/>
      <family val="2"/>
    </font>
    <font>
      <sz val="10"/>
      <name val="Arial"/>
      <family val="2"/>
      <charset val="161"/>
    </font>
    <font>
      <sz val="9"/>
      <color theme="1"/>
      <name val="Calibri"/>
      <family val="2"/>
      <scheme val="minor"/>
    </font>
    <font>
      <sz val="11"/>
      <color rgb="FF000000"/>
      <name val="Calibri"/>
      <family val="2"/>
      <scheme val="minor"/>
    </font>
    <font>
      <b/>
      <sz val="11"/>
      <color rgb="FF000000"/>
      <name val="Calibri"/>
      <family val="2"/>
      <scheme val="minor"/>
    </font>
    <font>
      <sz val="11"/>
      <name val="Calibri"/>
      <family val="2"/>
    </font>
    <font>
      <sz val="9"/>
      <color rgb="FF000000"/>
      <name val="Arial"/>
      <family val="2"/>
    </font>
    <font>
      <b/>
      <sz val="11"/>
      <color theme="0"/>
      <name val="Calibri"/>
      <family val="2"/>
    </font>
    <font>
      <b/>
      <sz val="9"/>
      <color theme="0"/>
      <name val="Arial"/>
      <family val="2"/>
    </font>
    <font>
      <b/>
      <sz val="9"/>
      <color rgb="FF000000"/>
      <name val="Arial"/>
      <family val="2"/>
    </font>
    <font>
      <sz val="12"/>
      <color rgb="FF000000"/>
      <name val="Calibri"/>
      <family val="2"/>
      <scheme val="minor"/>
    </font>
    <font>
      <sz val="8"/>
      <name val="Arial"/>
      <family val="2"/>
    </font>
    <font>
      <b/>
      <sz val="10"/>
      <color theme="1"/>
      <name val="Arial"/>
      <family val="2"/>
    </font>
    <font>
      <b/>
      <sz val="10"/>
      <color theme="0"/>
      <name val="Arial"/>
      <family val="2"/>
    </font>
    <font>
      <sz val="10"/>
      <color theme="1"/>
      <name val="Arial"/>
      <family val="2"/>
    </font>
    <font>
      <u/>
      <sz val="10"/>
      <color theme="10"/>
      <name val="Arial"/>
      <family val="2"/>
    </font>
    <font>
      <sz val="10"/>
      <color rgb="FF000000"/>
      <name val="Arial"/>
      <family val="2"/>
    </font>
    <font>
      <sz val="10"/>
      <color rgb="FF000000"/>
      <name val="Tahoma"/>
      <family val="2"/>
    </font>
    <font>
      <sz val="9"/>
      <color indexed="81"/>
      <name val="Tahoma"/>
      <family val="2"/>
    </font>
    <font>
      <sz val="9"/>
      <color rgb="FF000000"/>
      <name val="Tahoma"/>
      <family val="2"/>
    </font>
    <font>
      <i/>
      <sz val="11"/>
      <color theme="1"/>
      <name val="Calibri"/>
      <family val="2"/>
      <scheme val="minor"/>
    </font>
    <font>
      <b/>
      <sz val="9"/>
      <color indexed="9"/>
      <name val="Arial"/>
      <family val="2"/>
    </font>
    <font>
      <b/>
      <sz val="10"/>
      <color theme="1"/>
      <name val="Segoe UI"/>
      <family val="2"/>
    </font>
    <font>
      <b/>
      <vertAlign val="subscript"/>
      <sz val="10"/>
      <color theme="1"/>
      <name val="Segoe UI"/>
      <family val="2"/>
    </font>
  </fonts>
  <fills count="68">
    <fill>
      <patternFill patternType="none"/>
    </fill>
    <fill>
      <patternFill patternType="gray125"/>
    </fill>
    <fill>
      <patternFill patternType="solid">
        <fgColor theme="8"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9"/>
      </patternFill>
    </fill>
    <fill>
      <patternFill patternType="solid">
        <fgColor indexed="22"/>
        <bgColor indexed="55"/>
      </patternFill>
    </fill>
    <fill>
      <patternFill patternType="lightGray">
        <fgColor indexed="9"/>
      </patternFill>
    </fill>
    <fill>
      <patternFill patternType="gray0625">
        <fgColor indexed="9"/>
      </patternFill>
    </fill>
    <fill>
      <patternFill patternType="solid">
        <fgColor indexed="22"/>
        <bgColor indexed="64"/>
      </patternFill>
    </fill>
    <fill>
      <patternFill patternType="darkTrellis"/>
    </fill>
    <fill>
      <patternFill patternType="solid">
        <fgColor rgb="FFFFFF00"/>
        <bgColor rgb="FF000000"/>
      </patternFill>
    </fill>
    <fill>
      <patternFill patternType="solid">
        <fgColor rgb="FF608C95"/>
        <bgColor rgb="FF000000"/>
      </patternFill>
    </fill>
    <fill>
      <patternFill patternType="solid">
        <fgColor rgb="FF3D5584"/>
        <bgColor rgb="FF000000"/>
      </patternFill>
    </fill>
    <fill>
      <patternFill patternType="solid">
        <fgColor rgb="FF648ECA"/>
        <bgColor rgb="FF000000"/>
      </patternFill>
    </fill>
    <fill>
      <patternFill patternType="solid">
        <fgColor rgb="FF98C9EE"/>
        <bgColor rgb="FF000000"/>
      </patternFill>
    </fill>
    <fill>
      <patternFill patternType="solid">
        <fgColor rgb="FFA2C0B6"/>
        <bgColor rgb="FF000000"/>
      </patternFill>
    </fill>
    <fill>
      <patternFill patternType="solid">
        <fgColor rgb="FF64786A"/>
        <bgColor rgb="FF000000"/>
      </patternFill>
    </fill>
    <fill>
      <patternFill patternType="solid">
        <fgColor rgb="FF2E422F"/>
        <bgColor rgb="FF000000"/>
      </patternFill>
    </fill>
    <fill>
      <patternFill patternType="solid">
        <fgColor rgb="FFEFE973"/>
        <bgColor rgb="FF000000"/>
      </patternFill>
    </fill>
    <fill>
      <patternFill patternType="solid">
        <fgColor rgb="FFF59E2D"/>
        <bgColor rgb="FF000000"/>
      </patternFill>
    </fill>
    <fill>
      <patternFill patternType="solid">
        <fgColor rgb="FFF26119"/>
        <bgColor rgb="FF000000"/>
      </patternFill>
    </fill>
    <fill>
      <patternFill patternType="solid">
        <fgColor rgb="FFB04545"/>
        <bgColor rgb="FF000000"/>
      </patternFill>
    </fill>
    <fill>
      <patternFill patternType="solid">
        <fgColor rgb="FFF0CBD9"/>
        <bgColor rgb="FF000000"/>
      </patternFill>
    </fill>
    <fill>
      <patternFill patternType="solid">
        <fgColor rgb="FFB487C7"/>
        <bgColor rgb="FF000000"/>
      </patternFill>
    </fill>
    <fill>
      <patternFill patternType="solid">
        <fgColor rgb="FF4F3A66"/>
        <bgColor rgb="FF000000"/>
      </patternFill>
    </fill>
    <fill>
      <patternFill patternType="solid">
        <fgColor rgb="FF2C2D2D"/>
        <bgColor rgb="FF000000"/>
      </patternFill>
    </fill>
    <fill>
      <patternFill patternType="solid">
        <fgColor rgb="FF002060"/>
        <bgColor indexed="64"/>
      </patternFill>
    </fill>
    <fill>
      <patternFill patternType="solid">
        <fgColor theme="4" tint="0.59999389629810485"/>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98C9EE"/>
        <bgColor indexed="64"/>
      </patternFill>
    </fill>
    <fill>
      <patternFill patternType="solid">
        <fgColor theme="6" tint="-0.249977111117893"/>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4669AF"/>
      </patternFill>
    </fill>
    <fill>
      <patternFill patternType="solid">
        <fgColor rgb="FFEFE973"/>
        <bgColor indexed="64"/>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22"/>
      </bottom>
      <diagonal/>
    </border>
    <border>
      <left/>
      <right/>
      <top/>
      <bottom style="hair">
        <color indexed="64"/>
      </bottom>
      <diagonal/>
    </border>
    <border>
      <left/>
      <right/>
      <top/>
      <bottom style="thin">
        <color indexed="64"/>
      </bottom>
      <diagonal/>
    </border>
    <border>
      <left/>
      <right/>
      <top/>
      <bottom style="hair">
        <color indexed="8"/>
      </bottom>
      <diagonal/>
    </border>
    <border>
      <left style="medium">
        <color indexed="64"/>
      </left>
      <right style="thin">
        <color indexed="64"/>
      </right>
      <top style="thin">
        <color indexed="64"/>
      </top>
      <bottom style="thin">
        <color indexed="64"/>
      </bottom>
      <diagonal/>
    </border>
    <border>
      <left style="double">
        <color indexed="64"/>
      </left>
      <right/>
      <top style="double">
        <color indexed="64"/>
      </top>
      <bottom style="double">
        <color indexed="64"/>
      </bottom>
      <diagonal/>
    </border>
    <border>
      <left/>
      <right/>
      <top/>
      <bottom style="thin">
        <color theme="4" tint="0.3999755851924192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theme="8"/>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theme="8"/>
      </left>
      <right style="medium">
        <color indexed="64"/>
      </right>
      <top style="medium">
        <color indexed="64"/>
      </top>
      <bottom style="thin">
        <color indexed="64"/>
      </bottom>
      <diagonal/>
    </border>
    <border>
      <left style="thin">
        <color theme="8"/>
      </left>
      <right style="thin">
        <color indexed="64"/>
      </right>
      <top style="medium">
        <color indexed="64"/>
      </top>
      <bottom style="medium">
        <color theme="8"/>
      </bottom>
      <diagonal/>
    </border>
    <border>
      <left style="thin">
        <color indexed="64"/>
      </left>
      <right style="thin">
        <color theme="8"/>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theme="8"/>
      </right>
      <top style="thin">
        <color indexed="64"/>
      </top>
      <bottom style="thin">
        <color indexed="64"/>
      </bottom>
      <diagonal/>
    </border>
    <border>
      <left style="thin">
        <color theme="8"/>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rgb="FFB0B0B0"/>
      </left>
      <right style="thin">
        <color rgb="FFB0B0B0"/>
      </right>
      <top style="thin">
        <color rgb="FFB0B0B0"/>
      </top>
      <bottom style="thin">
        <color rgb="FFB0B0B0"/>
      </bottom>
      <diagonal/>
    </border>
  </borders>
  <cellStyleXfs count="172">
    <xf numFmtId="0" fontId="0" fillId="0" borderId="0"/>
    <xf numFmtId="9" fontId="1" fillId="0" borderId="0" applyFont="0" applyFill="0" applyBorder="0" applyAlignment="0" applyProtection="0"/>
    <xf numFmtId="0" fontId="3" fillId="0" borderId="0"/>
    <xf numFmtId="0" fontId="3" fillId="0" borderId="0"/>
    <xf numFmtId="0" fontId="5" fillId="0" borderId="0"/>
    <xf numFmtId="0" fontId="6" fillId="0" borderId="0"/>
    <xf numFmtId="0" fontId="7" fillId="0" borderId="0"/>
    <xf numFmtId="0" fontId="8" fillId="0" borderId="0" applyNumberFormat="0" applyFill="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0" applyNumberFormat="0" applyBorder="0" applyAlignment="0" applyProtection="0"/>
    <xf numFmtId="0" fontId="15" fillId="6" borderId="6" applyNumberFormat="0" applyAlignment="0" applyProtection="0"/>
    <xf numFmtId="0" fontId="16" fillId="7" borderId="7" applyNumberFormat="0" applyAlignment="0" applyProtection="0"/>
    <xf numFmtId="0" fontId="17" fillId="7" borderId="6" applyNumberFormat="0" applyAlignment="0" applyProtection="0"/>
    <xf numFmtId="0" fontId="18" fillId="0" borderId="8" applyNumberFormat="0" applyFill="0" applyAlignment="0" applyProtection="0"/>
    <xf numFmtId="0" fontId="19" fillId="8" borderId="9" applyNumberFormat="0" applyAlignment="0" applyProtection="0"/>
    <xf numFmtId="0" fontId="20" fillId="0" borderId="0" applyNumberFormat="0" applyFill="0" applyBorder="0" applyAlignment="0" applyProtection="0"/>
    <xf numFmtId="0" fontId="1" fillId="9" borderId="10" applyNumberFormat="0" applyFont="0" applyAlignment="0" applyProtection="0"/>
    <xf numFmtId="0" fontId="21" fillId="0" borderId="0" applyNumberFormat="0" applyFill="0" applyBorder="0" applyAlignment="0" applyProtection="0"/>
    <xf numFmtId="0" fontId="4" fillId="0" borderId="11" applyNumberFormat="0" applyFill="0" applyAlignment="0" applyProtection="0"/>
    <xf numFmtId="0" fontId="2"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2" fillId="13" borderId="0" applyNumberFormat="0" applyBorder="0" applyAlignment="0" applyProtection="0"/>
    <xf numFmtId="0" fontId="2" fillId="17"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30" fillId="0" borderId="0">
      <alignment horizontal="center" vertical="center" wrapText="1"/>
    </xf>
    <xf numFmtId="43" fontId="7" fillId="0" borderId="0" applyFont="0" applyFill="0" applyBorder="0" applyAlignment="0" applyProtection="0"/>
    <xf numFmtId="0" fontId="31" fillId="0" borderId="0">
      <alignment horizontal="left" vertical="center" wrapText="1"/>
    </xf>
    <xf numFmtId="165" fontId="29" fillId="0" borderId="12" applyNumberFormat="0" applyFill="0">
      <alignment horizontal="right"/>
    </xf>
    <xf numFmtId="166" fontId="32" fillId="0" borderId="12">
      <alignment horizontal="right" vertical="center"/>
    </xf>
    <xf numFmtId="49" fontId="33" fillId="0" borderId="12">
      <alignment horizontal="left" vertical="center"/>
    </xf>
    <xf numFmtId="165" fontId="29" fillId="0" borderId="12" applyNumberFormat="0" applyFill="0">
      <alignment horizontal="right"/>
    </xf>
    <xf numFmtId="0" fontId="28" fillId="0" borderId="12">
      <alignment horizontal="left"/>
    </xf>
    <xf numFmtId="0" fontId="34" fillId="0" borderId="13">
      <alignment horizontal="right" vertical="center"/>
    </xf>
    <xf numFmtId="0" fontId="35" fillId="0" borderId="12">
      <alignment horizontal="left" vertical="center"/>
    </xf>
    <xf numFmtId="0" fontId="29" fillId="0" borderId="12">
      <alignment horizontal="left" vertical="center"/>
    </xf>
    <xf numFmtId="0" fontId="28" fillId="0" borderId="12">
      <alignment horizontal="left"/>
    </xf>
    <xf numFmtId="0" fontId="28" fillId="34" borderId="0">
      <alignment horizontal="centerContinuous" wrapText="1"/>
    </xf>
    <xf numFmtId="49" fontId="28" fillId="34" borderId="14">
      <alignment horizontal="left" vertical="center"/>
    </xf>
    <xf numFmtId="0" fontId="28" fillId="34" borderId="0">
      <alignment horizontal="centerContinuous" vertical="center" wrapText="1"/>
    </xf>
    <xf numFmtId="0" fontId="37" fillId="5" borderId="0" applyNumberFormat="0" applyBorder="0" applyAlignment="0" applyProtection="0"/>
    <xf numFmtId="0" fontId="26" fillId="0" borderId="0"/>
    <xf numFmtId="0" fontId="26" fillId="0" borderId="0"/>
    <xf numFmtId="0" fontId="26" fillId="0" borderId="0"/>
    <xf numFmtId="0" fontId="26" fillId="0" borderId="0"/>
    <xf numFmtId="0" fontId="7" fillId="0" borderId="0"/>
    <xf numFmtId="0" fontId="1" fillId="0" borderId="0"/>
    <xf numFmtId="0" fontId="1" fillId="9" borderId="10" applyNumberFormat="0" applyFont="0" applyAlignment="0" applyProtection="0"/>
    <xf numFmtId="0" fontId="1" fillId="9" borderId="10" applyNumberFormat="0" applyFont="0" applyAlignment="0" applyProtection="0"/>
    <xf numFmtId="0" fontId="1" fillId="9" borderId="10" applyNumberFormat="0" applyFont="0" applyAlignment="0" applyProtection="0"/>
    <xf numFmtId="167" fontId="38" fillId="0" borderId="0" applyFill="0" applyBorder="0" applyProtection="0">
      <alignment horizontal="right"/>
    </xf>
    <xf numFmtId="3" fontId="32" fillId="0" borderId="0">
      <alignment horizontal="left" vertical="center"/>
    </xf>
    <xf numFmtId="0" fontId="30" fillId="0" borderId="0">
      <alignment horizontal="left" vertical="center"/>
    </xf>
    <xf numFmtId="0" fontId="36" fillId="0" borderId="0">
      <alignment horizontal="right"/>
    </xf>
    <xf numFmtId="49" fontId="36" fillId="0" borderId="0">
      <alignment horizontal="center"/>
    </xf>
    <xf numFmtId="0" fontId="33" fillId="0" borderId="0">
      <alignment horizontal="right"/>
    </xf>
    <xf numFmtId="0" fontId="36" fillId="0" borderId="0">
      <alignment horizontal="left"/>
    </xf>
    <xf numFmtId="0" fontId="23" fillId="0" borderId="0"/>
    <xf numFmtId="49" fontId="32" fillId="0" borderId="0">
      <alignment horizontal="left" vertical="center"/>
    </xf>
    <xf numFmtId="49" fontId="33" fillId="0" borderId="12">
      <alignment horizontal="left"/>
    </xf>
    <xf numFmtId="165" fontId="32" fillId="0" borderId="0" applyNumberFormat="0">
      <alignment horizontal="right"/>
    </xf>
    <xf numFmtId="0" fontId="34" fillId="35" borderId="0">
      <alignment horizontal="centerContinuous" vertical="center" wrapText="1"/>
    </xf>
    <xf numFmtId="0" fontId="34" fillId="0" borderId="15">
      <alignment horizontal="left" vertical="center"/>
    </xf>
    <xf numFmtId="0" fontId="27" fillId="0" borderId="0">
      <alignment horizontal="left" vertical="top"/>
    </xf>
    <xf numFmtId="0" fontId="39" fillId="0" borderId="0" applyNumberFormat="0" applyFill="0" applyBorder="0" applyAlignment="0" applyProtection="0"/>
    <xf numFmtId="0" fontId="8" fillId="0" borderId="0" applyNumberFormat="0" applyFill="0" applyBorder="0" applyAlignment="0" applyProtection="0"/>
    <xf numFmtId="0" fontId="28" fillId="0" borderId="0">
      <alignment horizontal="left"/>
    </xf>
    <xf numFmtId="0" fontId="31" fillId="0" borderId="0">
      <alignment horizontal="left"/>
    </xf>
    <xf numFmtId="0" fontId="29" fillId="0" borderId="0">
      <alignment horizontal="left"/>
    </xf>
    <xf numFmtId="0" fontId="27" fillId="0" borderId="0">
      <alignment horizontal="left" vertical="top"/>
    </xf>
    <xf numFmtId="0" fontId="31" fillId="0" borderId="0">
      <alignment horizontal="left"/>
    </xf>
    <xf numFmtId="0" fontId="29" fillId="0" borderId="0">
      <alignment horizontal="left"/>
    </xf>
    <xf numFmtId="0" fontId="24" fillId="36" borderId="0" applyNumberFormat="0" applyBorder="0">
      <protection locked="0"/>
    </xf>
    <xf numFmtId="0" fontId="25" fillId="37" borderId="0" applyNumberFormat="0" applyBorder="0">
      <protection locked="0"/>
    </xf>
    <xf numFmtId="49" fontId="32" fillId="0" borderId="12">
      <alignment horizontal="left"/>
    </xf>
    <xf numFmtId="0" fontId="34" fillId="0" borderId="13">
      <alignment horizontal="left"/>
    </xf>
    <xf numFmtId="0" fontId="28" fillId="0" borderId="0">
      <alignment horizontal="left" vertical="center"/>
    </xf>
    <xf numFmtId="49" fontId="36" fillId="0" borderId="12">
      <alignment horizontal="left"/>
    </xf>
    <xf numFmtId="0" fontId="7" fillId="0" borderId="0"/>
    <xf numFmtId="0" fontId="1" fillId="0" borderId="0"/>
    <xf numFmtId="9" fontId="1" fillId="0" borderId="0" applyFont="0" applyFill="0" applyBorder="0" applyAlignment="0" applyProtection="0"/>
    <xf numFmtId="0" fontId="22" fillId="0" borderId="0" applyNumberFormat="0" applyFill="0" applyBorder="0" applyAlignment="0" applyProtection="0"/>
    <xf numFmtId="0" fontId="7" fillId="0" borderId="0"/>
    <xf numFmtId="168" fontId="7" fillId="0" borderId="0" applyFont="0" applyFill="0" applyBorder="0" applyAlignment="0" applyProtection="0"/>
    <xf numFmtId="0" fontId="1" fillId="0" borderId="0"/>
    <xf numFmtId="0" fontId="1" fillId="0" borderId="0"/>
    <xf numFmtId="0" fontId="23" fillId="0" borderId="0"/>
    <xf numFmtId="9" fontId="23" fillId="0" borderId="0" applyFont="0" applyFill="0" applyBorder="0" applyAlignment="0" applyProtection="0"/>
    <xf numFmtId="9" fontId="7" fillId="0" borderId="0" applyFont="0" applyFill="0" applyBorder="0" applyAlignment="0" applyProtection="0"/>
    <xf numFmtId="169" fontId="41" fillId="0" borderId="0" applyNumberFormat="0" applyProtection="0">
      <alignment horizontal="center" vertical="center"/>
    </xf>
    <xf numFmtId="49" fontId="42" fillId="0" borderId="16" applyNumberFormat="0" applyFont="0" applyFill="0" applyBorder="0" applyProtection="0">
      <alignment horizontal="left" vertical="center" indent="5"/>
    </xf>
    <xf numFmtId="4" fontId="43" fillId="0" borderId="2" applyFill="0" applyBorder="0" applyProtection="0">
      <alignment horizontal="right" vertical="center"/>
    </xf>
    <xf numFmtId="43" fontId="1" fillId="0" borderId="0" applyFont="0" applyFill="0" applyBorder="0" applyAlignment="0" applyProtection="0"/>
    <xf numFmtId="0" fontId="44" fillId="0" borderId="0" applyNumberFormat="0" applyFill="0" applyBorder="0" applyAlignment="0" applyProtection="0"/>
    <xf numFmtId="0" fontId="23" fillId="0" borderId="0"/>
    <xf numFmtId="4" fontId="42" fillId="0" borderId="1" applyFill="0" applyBorder="0" applyProtection="0">
      <alignment horizontal="right" vertical="center"/>
    </xf>
    <xf numFmtId="0" fontId="42" fillId="0" borderId="1" applyNumberFormat="0" applyFill="0" applyAlignment="0" applyProtection="0"/>
    <xf numFmtId="0" fontId="45" fillId="38" borderId="0" applyNumberFormat="0" applyFont="0" applyBorder="0" applyAlignment="0" applyProtection="0"/>
    <xf numFmtId="170" fontId="42" fillId="39" borderId="1" applyNumberFormat="0" applyFont="0" applyBorder="0" applyAlignment="0" applyProtection="0">
      <alignment horizontal="right" vertical="center"/>
    </xf>
    <xf numFmtId="0" fontId="46" fillId="0" borderId="17">
      <alignment horizontal="center"/>
      <protection hidden="1"/>
    </xf>
    <xf numFmtId="0" fontId="47" fillId="0" borderId="0"/>
    <xf numFmtId="0" fontId="40" fillId="0" borderId="0"/>
    <xf numFmtId="0" fontId="7" fillId="0" borderId="0"/>
    <xf numFmtId="43" fontId="1" fillId="0" borderId="0" applyFont="0" applyFill="0" applyBorder="0" applyAlignment="0" applyProtection="0"/>
    <xf numFmtId="164" fontId="7" fillId="0" borderId="0" applyFont="0" applyFill="0" applyBorder="0" applyAlignment="0" applyProtection="0"/>
    <xf numFmtId="9" fontId="48" fillId="0" borderId="0" applyFont="0" applyFill="0" applyBorder="0" applyAlignment="0" applyProtection="0"/>
    <xf numFmtId="43" fontId="4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0"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4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1" fillId="0" borderId="0"/>
    <xf numFmtId="0" fontId="22" fillId="0" borderId="0" applyNumberFormat="0" applyFill="0" applyBorder="0" applyAlignment="0" applyProtection="0"/>
    <xf numFmtId="0" fontId="57" fillId="0" borderId="0"/>
  </cellStyleXfs>
  <cellXfs count="149">
    <xf numFmtId="0" fontId="0" fillId="0" borderId="0" xfId="0"/>
    <xf numFmtId="1" fontId="0" fillId="0" borderId="0" xfId="0" applyNumberFormat="1"/>
    <xf numFmtId="9" fontId="0" fillId="0" borderId="0" xfId="1" applyFont="1"/>
    <xf numFmtId="3" fontId="0" fillId="0" borderId="0" xfId="0" applyNumberFormat="1"/>
    <xf numFmtId="0" fontId="2" fillId="2" borderId="0" xfId="0" applyFont="1" applyFill="1"/>
    <xf numFmtId="0" fontId="0" fillId="2" borderId="0" xfId="0" applyFill="1"/>
    <xf numFmtId="0" fontId="2" fillId="2" borderId="0" xfId="0" applyFont="1" applyFill="1" applyAlignment="1">
      <alignment horizontal="center"/>
    </xf>
    <xf numFmtId="0" fontId="0" fillId="0" borderId="0" xfId="0" applyAlignment="1">
      <alignment horizontal="center"/>
    </xf>
    <xf numFmtId="9" fontId="0" fillId="0" borderId="0" xfId="0" applyNumberFormat="1" applyAlignment="1">
      <alignment horizontal="center"/>
    </xf>
    <xf numFmtId="0" fontId="49" fillId="0" borderId="0" xfId="0" applyFont="1"/>
    <xf numFmtId="0" fontId="50" fillId="0" borderId="0" xfId="0" applyFont="1"/>
    <xf numFmtId="0" fontId="49" fillId="0" borderId="0" xfId="0" applyFont="1" applyAlignment="1">
      <alignment horizontal="right"/>
    </xf>
    <xf numFmtId="9" fontId="49" fillId="0" borderId="0" xfId="0" applyNumberFormat="1" applyFont="1"/>
    <xf numFmtId="0" fontId="49" fillId="40" borderId="0" xfId="0" applyFont="1" applyFill="1"/>
    <xf numFmtId="0" fontId="49" fillId="41" borderId="0" xfId="0" applyFont="1" applyFill="1"/>
    <xf numFmtId="0" fontId="49" fillId="43" borderId="0" xfId="0" applyFont="1" applyFill="1"/>
    <xf numFmtId="0" fontId="49" fillId="44" borderId="0" xfId="0" applyFont="1" applyFill="1"/>
    <xf numFmtId="0" fontId="49" fillId="45" borderId="0" xfId="0" applyFont="1" applyFill="1"/>
    <xf numFmtId="0" fontId="49" fillId="46" borderId="0" xfId="0" applyFont="1" applyFill="1"/>
    <xf numFmtId="0" fontId="49" fillId="47" borderId="0" xfId="0" applyFont="1" applyFill="1"/>
    <xf numFmtId="0" fontId="49" fillId="48" borderId="0" xfId="0" applyFont="1" applyFill="1"/>
    <xf numFmtId="0" fontId="49" fillId="49" borderId="0" xfId="0" applyFont="1" applyFill="1"/>
    <xf numFmtId="0" fontId="49" fillId="50" borderId="0" xfId="0" applyFont="1" applyFill="1"/>
    <xf numFmtId="0" fontId="49" fillId="51" borderId="0" xfId="0" applyFont="1" applyFill="1"/>
    <xf numFmtId="0" fontId="49" fillId="52" borderId="0" xfId="0" applyFont="1" applyFill="1"/>
    <xf numFmtId="0" fontId="49" fillId="53" borderId="0" xfId="0" applyFont="1" applyFill="1"/>
    <xf numFmtId="0" fontId="49" fillId="54" borderId="0" xfId="0" applyFont="1" applyFill="1"/>
    <xf numFmtId="0" fontId="49" fillId="55" borderId="0" xfId="0" applyFont="1" applyFill="1"/>
    <xf numFmtId="0" fontId="52" fillId="0" borderId="0" xfId="169" applyFont="1" applyAlignment="1">
      <alignment horizontal="left" vertical="top"/>
    </xf>
    <xf numFmtId="3" fontId="52" fillId="0" borderId="0" xfId="169" applyNumberFormat="1" applyFont="1" applyAlignment="1">
      <alignment vertical="center"/>
    </xf>
    <xf numFmtId="0" fontId="53" fillId="56" borderId="0" xfId="169" applyFont="1" applyFill="1"/>
    <xf numFmtId="0" fontId="54" fillId="56" borderId="0" xfId="169" applyFont="1" applyFill="1" applyAlignment="1">
      <alignment horizontal="center"/>
    </xf>
    <xf numFmtId="0" fontId="55" fillId="0" borderId="0" xfId="169" applyFont="1" applyAlignment="1">
      <alignment horizontal="left" vertical="top"/>
    </xf>
    <xf numFmtId="3" fontId="55" fillId="0" borderId="0" xfId="169" applyNumberFormat="1" applyFont="1" applyAlignment="1">
      <alignment vertical="center"/>
    </xf>
    <xf numFmtId="0" fontId="4" fillId="0" borderId="0" xfId="0" applyFont="1"/>
    <xf numFmtId="0" fontId="0" fillId="0" borderId="0" xfId="0" pivotButton="1"/>
    <xf numFmtId="0" fontId="0" fillId="0" borderId="0" xfId="0" applyAlignment="1">
      <alignment horizontal="left"/>
    </xf>
    <xf numFmtId="0" fontId="56" fillId="42" borderId="0" xfId="0" applyFont="1" applyFill="1"/>
    <xf numFmtId="0" fontId="22" fillId="0" borderId="0" xfId="170" applyAlignment="1">
      <alignment horizontal="center"/>
    </xf>
    <xf numFmtId="2" fontId="0" fillId="0" borderId="0" xfId="0" applyNumberFormat="1"/>
    <xf numFmtId="164" fontId="0" fillId="0" borderId="0" xfId="0" applyNumberFormat="1"/>
    <xf numFmtId="0" fontId="22" fillId="0" borderId="0" xfId="170"/>
    <xf numFmtId="0" fontId="0" fillId="0" borderId="0" xfId="0" quotePrefix="1"/>
    <xf numFmtId="171" fontId="0" fillId="0" borderId="0" xfId="0" applyNumberFormat="1"/>
    <xf numFmtId="0" fontId="0" fillId="57" borderId="0" xfId="0" applyFill="1"/>
    <xf numFmtId="0" fontId="0" fillId="58" borderId="0" xfId="0" applyFill="1" applyAlignment="1">
      <alignment horizontal="left" vertical="top" wrapText="1"/>
    </xf>
    <xf numFmtId="1" fontId="0" fillId="58" borderId="0" xfId="1" applyNumberFormat="1" applyFont="1" applyFill="1"/>
    <xf numFmtId="164" fontId="0" fillId="0" borderId="0" xfId="1" applyNumberFormat="1" applyFont="1"/>
    <xf numFmtId="171" fontId="1" fillId="0" borderId="0" xfId="1" applyNumberFormat="1" applyFont="1"/>
    <xf numFmtId="0" fontId="4" fillId="59" borderId="18" xfId="0" applyFont="1" applyFill="1" applyBorder="1"/>
    <xf numFmtId="0" fontId="59" fillId="61" borderId="21" xfId="0" applyFont="1" applyFill="1" applyBorder="1" applyAlignment="1">
      <alignment vertical="top" wrapText="1"/>
    </xf>
    <xf numFmtId="0" fontId="61" fillId="62" borderId="1" xfId="170" applyFont="1" applyFill="1" applyBorder="1"/>
    <xf numFmtId="0" fontId="61" fillId="62" borderId="28" xfId="170" applyFont="1" applyFill="1" applyBorder="1"/>
    <xf numFmtId="172" fontId="60" fillId="58" borderId="1" xfId="0" applyNumberFormat="1" applyFont="1" applyFill="1" applyBorder="1"/>
    <xf numFmtId="2" fontId="59" fillId="61" borderId="22" xfId="0" applyNumberFormat="1" applyFont="1" applyFill="1" applyBorder="1" applyAlignment="1">
      <alignment vertical="top" wrapText="1"/>
    </xf>
    <xf numFmtId="1" fontId="59" fillId="61" borderId="22" xfId="0" applyNumberFormat="1" applyFont="1" applyFill="1" applyBorder="1" applyAlignment="1">
      <alignment vertical="top" wrapText="1"/>
    </xf>
    <xf numFmtId="0" fontId="58" fillId="62" borderId="19" xfId="0" applyFont="1" applyFill="1" applyBorder="1" applyAlignment="1">
      <alignment vertical="top" wrapText="1"/>
    </xf>
    <xf numFmtId="0" fontId="58" fillId="62" borderId="23" xfId="0" applyFont="1" applyFill="1" applyBorder="1" applyAlignment="1">
      <alignment vertical="top" wrapText="1"/>
    </xf>
    <xf numFmtId="0" fontId="0" fillId="60" borderId="0" xfId="0" applyFill="1"/>
    <xf numFmtId="0" fontId="58" fillId="61" borderId="19" xfId="0" applyFont="1" applyFill="1" applyBorder="1" applyAlignment="1">
      <alignment vertical="top" wrapText="1"/>
    </xf>
    <xf numFmtId="0" fontId="58" fillId="62" borderId="20" xfId="0" applyFont="1" applyFill="1" applyBorder="1" applyAlignment="1">
      <alignment vertical="top" wrapText="1"/>
    </xf>
    <xf numFmtId="0" fontId="59" fillId="61" borderId="19" xfId="0" applyFont="1" applyFill="1" applyBorder="1" applyAlignment="1">
      <alignment vertical="top" wrapText="1"/>
    </xf>
    <xf numFmtId="0" fontId="60" fillId="58" borderId="25" xfId="0" applyFont="1" applyFill="1" applyBorder="1"/>
    <xf numFmtId="0" fontId="60" fillId="58" borderId="1" xfId="0" applyFont="1" applyFill="1" applyBorder="1"/>
    <xf numFmtId="0" fontId="60" fillId="58" borderId="26" xfId="0" applyFont="1" applyFill="1" applyBorder="1"/>
    <xf numFmtId="0" fontId="60" fillId="58" borderId="16" xfId="0" applyFont="1" applyFill="1" applyBorder="1"/>
    <xf numFmtId="0" fontId="58" fillId="61" borderId="20" xfId="0" applyFont="1" applyFill="1" applyBorder="1" applyAlignment="1">
      <alignment vertical="top" wrapText="1"/>
    </xf>
    <xf numFmtId="2" fontId="58" fillId="61" borderId="19" xfId="0" applyNumberFormat="1" applyFont="1" applyFill="1" applyBorder="1" applyAlignment="1">
      <alignment vertical="top" wrapText="1"/>
    </xf>
    <xf numFmtId="0" fontId="61" fillId="62" borderId="26" xfId="170" applyFont="1" applyFill="1" applyBorder="1"/>
    <xf numFmtId="0" fontId="59" fillId="61" borderId="22" xfId="0" applyFont="1" applyFill="1" applyBorder="1" applyAlignment="1">
      <alignment vertical="top" wrapText="1"/>
    </xf>
    <xf numFmtId="0" fontId="58" fillId="61" borderId="22" xfId="0" applyFont="1" applyFill="1" applyBorder="1" applyAlignment="1">
      <alignment vertical="top" wrapText="1"/>
    </xf>
    <xf numFmtId="9" fontId="0" fillId="0" borderId="0" xfId="0" applyNumberFormat="1"/>
    <xf numFmtId="4" fontId="60" fillId="58" borderId="27" xfId="0" applyNumberFormat="1" applyFont="1" applyFill="1" applyBorder="1" applyAlignment="1">
      <alignment horizontal="right" vertical="top"/>
    </xf>
    <xf numFmtId="14" fontId="58" fillId="61" borderId="24" xfId="0" applyNumberFormat="1" applyFont="1" applyFill="1" applyBorder="1" applyAlignment="1">
      <alignment vertical="top" wrapText="1"/>
    </xf>
    <xf numFmtId="1" fontId="60" fillId="58" borderId="16" xfId="0" applyNumberFormat="1" applyFont="1" applyFill="1" applyBorder="1" applyAlignment="1">
      <alignment horizontal="center" vertical="center"/>
    </xf>
    <xf numFmtId="0" fontId="61" fillId="62" borderId="26" xfId="170" applyFont="1" applyFill="1" applyBorder="1" applyAlignment="1"/>
    <xf numFmtId="2" fontId="60" fillId="58" borderId="16" xfId="0" applyNumberFormat="1" applyFont="1" applyFill="1" applyBorder="1" applyAlignment="1">
      <alignment horizontal="right"/>
    </xf>
    <xf numFmtId="2" fontId="60" fillId="58" borderId="1" xfId="0" applyNumberFormat="1" applyFont="1" applyFill="1" applyBorder="1" applyAlignment="1">
      <alignment horizontal="right"/>
    </xf>
    <xf numFmtId="0" fontId="61" fillId="62" borderId="25" xfId="170" applyFont="1" applyFill="1" applyBorder="1" applyAlignment="1"/>
    <xf numFmtId="14" fontId="60" fillId="58" borderId="28" xfId="0" applyNumberFormat="1" applyFont="1" applyFill="1" applyBorder="1"/>
    <xf numFmtId="14" fontId="60" fillId="58" borderId="16" xfId="0" applyNumberFormat="1" applyFont="1" applyFill="1" applyBorder="1"/>
    <xf numFmtId="0" fontId="61" fillId="58" borderId="1" xfId="170" applyFont="1" applyFill="1" applyBorder="1"/>
    <xf numFmtId="0" fontId="60" fillId="58" borderId="16" xfId="0" applyFont="1" applyFill="1" applyBorder="1" applyAlignment="1">
      <alignment horizontal="left" vertical="top"/>
    </xf>
    <xf numFmtId="2" fontId="60" fillId="58" borderId="16" xfId="0" applyNumberFormat="1" applyFont="1" applyFill="1" applyBorder="1" applyAlignment="1">
      <alignment horizontal="right" vertical="top"/>
    </xf>
    <xf numFmtId="2" fontId="60" fillId="58" borderId="1" xfId="0" applyNumberFormat="1" applyFont="1" applyFill="1" applyBorder="1" applyAlignment="1">
      <alignment horizontal="right" vertical="top"/>
    </xf>
    <xf numFmtId="0" fontId="60" fillId="62" borderId="25" xfId="0" applyFont="1" applyFill="1" applyBorder="1"/>
    <xf numFmtId="2" fontId="7" fillId="58" borderId="1" xfId="0" applyNumberFormat="1" applyFont="1" applyFill="1" applyBorder="1" applyAlignment="1">
      <alignment horizontal="right"/>
    </xf>
    <xf numFmtId="0" fontId="60" fillId="62" borderId="1" xfId="0" applyFont="1" applyFill="1" applyBorder="1"/>
    <xf numFmtId="0" fontId="60" fillId="62" borderId="26" xfId="0" applyFont="1" applyFill="1" applyBorder="1"/>
    <xf numFmtId="4" fontId="7" fillId="58" borderId="27" xfId="0" applyNumberFormat="1" applyFont="1" applyFill="1" applyBorder="1" applyAlignment="1">
      <alignment horizontal="right" vertical="top"/>
    </xf>
    <xf numFmtId="0" fontId="7" fillId="58" borderId="16" xfId="0" applyFont="1" applyFill="1" applyBorder="1"/>
    <xf numFmtId="1" fontId="7" fillId="58" borderId="16" xfId="0" applyNumberFormat="1" applyFont="1" applyFill="1" applyBorder="1" applyAlignment="1">
      <alignment horizontal="center" vertical="center"/>
    </xf>
    <xf numFmtId="2" fontId="7" fillId="58" borderId="16" xfId="0" applyNumberFormat="1" applyFont="1" applyFill="1" applyBorder="1" applyAlignment="1">
      <alignment horizontal="right"/>
    </xf>
    <xf numFmtId="0" fontId="61" fillId="62" borderId="25" xfId="170" applyFont="1" applyFill="1" applyBorder="1"/>
    <xf numFmtId="0" fontId="60" fillId="58" borderId="27" xfId="0" applyFont="1" applyFill="1" applyBorder="1" applyAlignment="1">
      <alignment horizontal="right"/>
    </xf>
    <xf numFmtId="4" fontId="60" fillId="58" borderId="27" xfId="0" applyNumberFormat="1" applyFont="1" applyFill="1" applyBorder="1" applyAlignment="1">
      <alignment horizontal="right"/>
    </xf>
    <xf numFmtId="0" fontId="7" fillId="58" borderId="27" xfId="0" applyFont="1" applyFill="1" applyBorder="1" applyAlignment="1">
      <alignment horizontal="right"/>
    </xf>
    <xf numFmtId="0" fontId="60" fillId="58" borderId="16" xfId="0" applyFont="1" applyFill="1" applyBorder="1" applyAlignment="1">
      <alignment vertical="top"/>
    </xf>
    <xf numFmtId="2" fontId="60" fillId="58" borderId="16" xfId="0" applyNumberFormat="1" applyFont="1" applyFill="1" applyBorder="1" applyAlignment="1">
      <alignment vertical="top"/>
    </xf>
    <xf numFmtId="2" fontId="60" fillId="58" borderId="1" xfId="0" applyNumberFormat="1" applyFont="1" applyFill="1" applyBorder="1" applyAlignment="1">
      <alignment vertical="top"/>
    </xf>
    <xf numFmtId="2" fontId="60" fillId="58" borderId="16" xfId="0" applyNumberFormat="1" applyFont="1" applyFill="1" applyBorder="1"/>
    <xf numFmtId="2" fontId="60" fillId="58" borderId="1" xfId="0" applyNumberFormat="1" applyFont="1" applyFill="1" applyBorder="1"/>
    <xf numFmtId="0" fontId="4" fillId="59" borderId="0" xfId="0" applyFont="1" applyFill="1"/>
    <xf numFmtId="0" fontId="60" fillId="58" borderId="0" xfId="0" applyFont="1" applyFill="1"/>
    <xf numFmtId="0" fontId="61" fillId="58" borderId="0" xfId="170" applyFont="1" applyFill="1" applyBorder="1"/>
    <xf numFmtId="0" fontId="61" fillId="62" borderId="0" xfId="170" applyFont="1" applyFill="1" applyBorder="1"/>
    <xf numFmtId="4" fontId="60" fillId="58" borderId="0" xfId="0" applyNumberFormat="1" applyFont="1" applyFill="1" applyAlignment="1">
      <alignment horizontal="right"/>
    </xf>
    <xf numFmtId="172" fontId="60" fillId="58" borderId="0" xfId="0" applyNumberFormat="1" applyFont="1" applyFill="1"/>
    <xf numFmtId="0" fontId="60" fillId="58" borderId="0" xfId="0" applyFont="1" applyFill="1" applyAlignment="1">
      <alignment horizontal="left" vertical="top"/>
    </xf>
    <xf numFmtId="1" fontId="60" fillId="58" borderId="0" xfId="0" applyNumberFormat="1" applyFont="1" applyFill="1" applyAlignment="1">
      <alignment horizontal="center" vertical="center"/>
    </xf>
    <xf numFmtId="2" fontId="60" fillId="58" borderId="0" xfId="0" applyNumberFormat="1" applyFont="1" applyFill="1"/>
    <xf numFmtId="2" fontId="60" fillId="58" borderId="0" xfId="0" applyNumberFormat="1" applyFont="1" applyFill="1" applyAlignment="1">
      <alignment horizontal="right"/>
    </xf>
    <xf numFmtId="14" fontId="60" fillId="58" borderId="0" xfId="0" applyNumberFormat="1" applyFont="1" applyFill="1"/>
    <xf numFmtId="0" fontId="66" fillId="0" borderId="0" xfId="0" applyFont="1"/>
    <xf numFmtId="0" fontId="0" fillId="0" borderId="0" xfId="0" applyAlignment="1">
      <alignment horizontal="right"/>
    </xf>
    <xf numFmtId="0" fontId="52" fillId="0" borderId="0" xfId="0" applyFont="1" applyAlignment="1">
      <alignment horizontal="center"/>
    </xf>
    <xf numFmtId="0" fontId="2" fillId="63" borderId="0" xfId="0" applyFont="1" applyFill="1"/>
    <xf numFmtId="0" fontId="2" fillId="63" borderId="0" xfId="0" applyFont="1" applyFill="1" applyAlignment="1">
      <alignment horizontal="center"/>
    </xf>
    <xf numFmtId="0" fontId="0" fillId="63" borderId="0" xfId="0" applyFill="1"/>
    <xf numFmtId="3" fontId="52" fillId="0" borderId="0" xfId="2" applyNumberFormat="1" applyFont="1" applyAlignment="1">
      <alignment vertical="center"/>
    </xf>
    <xf numFmtId="4" fontId="0" fillId="0" borderId="0" xfId="0" applyNumberFormat="1"/>
    <xf numFmtId="0" fontId="0" fillId="64" borderId="0" xfId="0" applyFill="1"/>
    <xf numFmtId="0" fontId="0" fillId="64" borderId="0" xfId="0" applyFill="1" applyAlignment="1">
      <alignment horizontal="center"/>
    </xf>
    <xf numFmtId="1" fontId="0" fillId="64" borderId="0" xfId="0" applyNumberFormat="1" applyFill="1"/>
    <xf numFmtId="1" fontId="4" fillId="64" borderId="29" xfId="0" applyNumberFormat="1" applyFont="1" applyFill="1" applyBorder="1"/>
    <xf numFmtId="0" fontId="67" fillId="65" borderId="30" xfId="4" applyFont="1" applyFill="1" applyBorder="1" applyAlignment="1">
      <alignment horizontal="left" vertical="center"/>
    </xf>
    <xf numFmtId="1" fontId="0" fillId="0" borderId="0" xfId="0" applyNumberFormat="1" applyAlignment="1">
      <alignment horizontal="center"/>
    </xf>
    <xf numFmtId="1" fontId="4" fillId="64" borderId="0" xfId="0" applyNumberFormat="1" applyFont="1" applyFill="1"/>
    <xf numFmtId="9" fontId="0" fillId="0" borderId="0" xfId="1" applyFont="1" applyAlignment="1">
      <alignment horizontal="center"/>
    </xf>
    <xf numFmtId="171" fontId="0" fillId="0" borderId="0" xfId="1" applyNumberFormat="1" applyFont="1"/>
    <xf numFmtId="0" fontId="66" fillId="58" borderId="0" xfId="0" applyFont="1" applyFill="1" applyAlignment="1">
      <alignment horizontal="left" vertical="top" wrapText="1"/>
    </xf>
    <xf numFmtId="0" fontId="0" fillId="58" borderId="0" xfId="0" applyFill="1"/>
    <xf numFmtId="0" fontId="4" fillId="58" borderId="0" xfId="0" applyFont="1" applyFill="1" applyAlignment="1">
      <alignment horizontal="left" vertical="top" wrapText="1"/>
    </xf>
    <xf numFmtId="164" fontId="0" fillId="64" borderId="0" xfId="0" applyNumberFormat="1" applyFill="1"/>
    <xf numFmtId="0" fontId="4" fillId="0" borderId="0" xfId="0" applyFont="1" applyAlignment="1">
      <alignment horizontal="center"/>
    </xf>
    <xf numFmtId="0" fontId="0" fillId="66" borderId="0" xfId="0" applyFill="1" applyAlignment="1">
      <alignment horizontal="center"/>
    </xf>
    <xf numFmtId="0" fontId="68" fillId="0" borderId="0" xfId="0" applyFont="1"/>
    <xf numFmtId="1" fontId="0" fillId="66" borderId="0" xfId="0" applyNumberFormat="1" applyFill="1"/>
    <xf numFmtId="0" fontId="0" fillId="66" borderId="0" xfId="0" applyFill="1"/>
    <xf numFmtId="0" fontId="4" fillId="66" borderId="0" xfId="0" applyFont="1" applyFill="1"/>
    <xf numFmtId="171" fontId="0" fillId="66" borderId="0" xfId="0" applyNumberFormat="1" applyFill="1"/>
    <xf numFmtId="3" fontId="0" fillId="66" borderId="0" xfId="0" applyNumberFormat="1" applyFill="1"/>
    <xf numFmtId="0" fontId="0" fillId="67" borderId="0" xfId="0" applyFill="1"/>
    <xf numFmtId="175" fontId="41" fillId="0" borderId="0" xfId="4" applyNumberFormat="1" applyFont="1" applyAlignment="1">
      <alignment horizontal="right" vertical="center" shrinkToFit="1"/>
    </xf>
    <xf numFmtId="173" fontId="41" fillId="0" borderId="0" xfId="4" applyNumberFormat="1" applyFont="1" applyAlignment="1">
      <alignment horizontal="right" vertical="center" shrinkToFit="1"/>
    </xf>
    <xf numFmtId="0" fontId="52" fillId="0" borderId="0" xfId="0" applyFont="1" applyAlignment="1">
      <alignment horizontal="left" vertical="top"/>
    </xf>
    <xf numFmtId="3" fontId="52" fillId="0" borderId="0" xfId="0" applyNumberFormat="1" applyFont="1" applyAlignment="1">
      <alignment vertical="center"/>
    </xf>
    <xf numFmtId="0" fontId="52" fillId="0" borderId="0" xfId="169" quotePrefix="1" applyFont="1" applyAlignment="1">
      <alignment horizontal="left" vertical="top"/>
    </xf>
    <xf numFmtId="174" fontId="41" fillId="0" borderId="0" xfId="4" applyNumberFormat="1" applyFont="1" applyAlignment="1">
      <alignment horizontal="right" vertical="center" shrinkToFit="1"/>
    </xf>
  </cellXfs>
  <cellStyles count="172">
    <cellStyle name="20% - Accent1" xfId="25" builtinId="30" customBuiltin="1"/>
    <cellStyle name="20% - Accent1 2" xfId="48" xr:uid="{EF349DA7-B6E5-4DC5-B767-B6D92AF7E3EC}"/>
    <cellStyle name="20% - Accent1 3" xfId="49" xr:uid="{37799E49-DBAE-4CD5-A067-E42A578A473C}"/>
    <cellStyle name="20% - Accent2" xfId="29" builtinId="34" customBuiltin="1"/>
    <cellStyle name="20% - Accent2 2" xfId="50" xr:uid="{7CECD539-D3CA-4E15-AC9C-D235FA850490}"/>
    <cellStyle name="20% - Accent2 3" xfId="51" xr:uid="{57C6823C-0F62-4670-9A16-CBAC8C50E5D8}"/>
    <cellStyle name="20% - Accent3" xfId="33" builtinId="38" customBuiltin="1"/>
    <cellStyle name="20% - Accent3 2" xfId="52" xr:uid="{885CBCE4-EA76-43E4-8632-BD033B5D73C4}"/>
    <cellStyle name="20% - Accent3 3" xfId="53" xr:uid="{47556736-6C9D-430C-86B6-3B2EBE9D5966}"/>
    <cellStyle name="20% - Accent4" xfId="37" builtinId="42" customBuiltin="1"/>
    <cellStyle name="20% - Accent4 2" xfId="54" xr:uid="{73353521-A73B-44F8-BBDB-5633077675C4}"/>
    <cellStyle name="20% - Accent4 3" xfId="55" xr:uid="{493AE928-2EFD-483A-8162-272BDA473EF0}"/>
    <cellStyle name="20% - Accent5" xfId="41" builtinId="46" customBuiltin="1"/>
    <cellStyle name="20% - Accent5 2" xfId="56" xr:uid="{0A74C958-C6B7-48B4-8428-C3C1CB6B4A40}"/>
    <cellStyle name="20% - Accent5 3" xfId="57" xr:uid="{EE6D92EA-4FDA-4A0A-90CA-CE55F431CBC2}"/>
    <cellStyle name="20% - Accent6" xfId="45" builtinId="50" customBuiltin="1"/>
    <cellStyle name="20% - Accent6 2" xfId="58" xr:uid="{8F33C687-E8BA-4150-AB50-6F10311B956F}"/>
    <cellStyle name="20% - Accent6 3" xfId="59" xr:uid="{4266150C-5E0C-4AF6-8DA2-1AE4872E707E}"/>
    <cellStyle name="40% - Accent1" xfId="26" builtinId="31" customBuiltin="1"/>
    <cellStyle name="40% - Accent1 2" xfId="60" xr:uid="{FD2576D1-BCFA-458F-9DB5-07D64E00509F}"/>
    <cellStyle name="40% - Accent1 3" xfId="61" xr:uid="{2435BF9E-1B3F-46EF-BC28-15EE8DD4C94A}"/>
    <cellStyle name="40% - Accent2" xfId="30" builtinId="35" customBuiltin="1"/>
    <cellStyle name="40% - Accent2 2" xfId="62" xr:uid="{04B6AEBB-7C83-49E0-BCAC-38F16B175B9B}"/>
    <cellStyle name="40% - Accent2 3" xfId="63" xr:uid="{8F91FD4E-2B27-4C63-894C-66BBF13C29B9}"/>
    <cellStyle name="40% - Accent3" xfId="34" builtinId="39" customBuiltin="1"/>
    <cellStyle name="40% - Accent3 2" xfId="64" xr:uid="{1BD7F255-F5E9-41EF-8CE5-15AE35E0F89F}"/>
    <cellStyle name="40% - Accent3 3" xfId="65" xr:uid="{48952A33-7AFE-438E-915A-E7E27EB72B4D}"/>
    <cellStyle name="40% - Accent4" xfId="38" builtinId="43" customBuiltin="1"/>
    <cellStyle name="40% - Accent4 2" xfId="66" xr:uid="{27369165-4219-413F-839B-3F95831A14FB}"/>
    <cellStyle name="40% - Accent4 3" xfId="67" xr:uid="{5DDB81E7-5A82-4FA7-A133-49EC755E72D3}"/>
    <cellStyle name="40% - Accent5" xfId="42" builtinId="47" customBuiltin="1"/>
    <cellStyle name="40% - Accent5 2" xfId="68" xr:uid="{E33EA2F3-09B9-4376-BE5C-FFF84BCBC07E}"/>
    <cellStyle name="40% - Accent5 3" xfId="69" xr:uid="{FCFFAB5E-45FC-4759-B083-AAFB565C56D8}"/>
    <cellStyle name="40% - Accent6" xfId="46" builtinId="51" customBuiltin="1"/>
    <cellStyle name="40% - Accent6 2" xfId="70" xr:uid="{AD01C7EA-54CC-4C67-BD52-1F8A19DB6570}"/>
    <cellStyle name="40% - Accent6 3" xfId="71" xr:uid="{DB26C4B2-C109-4196-B7E7-49A1ECC046CD}"/>
    <cellStyle name="5x indented GHG Textfiels" xfId="143" xr:uid="{F83D2B3E-D80F-499F-BEC3-FFF7B5C2AEBA}"/>
    <cellStyle name="60% - Accent1" xfId="27" builtinId="32" customBuiltin="1"/>
    <cellStyle name="60% - Accent1 2" xfId="72" xr:uid="{E06E8E81-3F1F-4FD5-A7E2-5A909B821531}"/>
    <cellStyle name="60% - Accent2" xfId="31" builtinId="36" customBuiltin="1"/>
    <cellStyle name="60% - Accent2 2" xfId="73" xr:uid="{11FCD26B-6226-4D8F-B666-C3A7340670DD}"/>
    <cellStyle name="60% - Accent3" xfId="35" builtinId="40" customBuiltin="1"/>
    <cellStyle name="60% - Accent3 2" xfId="74" xr:uid="{69224D30-1CB9-4042-AC47-741B3101FB6C}"/>
    <cellStyle name="60% - Accent4" xfId="39" builtinId="44" customBuiltin="1"/>
    <cellStyle name="60% - Accent4 2" xfId="75" xr:uid="{31A1600E-2ADA-4494-830E-19E470E88D31}"/>
    <cellStyle name="60% - Accent5" xfId="43" builtinId="48" customBuiltin="1"/>
    <cellStyle name="60% - Accent5 2" xfId="76" xr:uid="{EF1950ED-4FE6-4B6D-9132-67D459E99238}"/>
    <cellStyle name="60% - Accent6" xfId="47" builtinId="52" customBuiltin="1"/>
    <cellStyle name="60% - Accent6 2" xfId="77" xr:uid="{3EA7A03E-54F0-4C77-B111-82968D28AD79}"/>
    <cellStyle name="Accent1" xfId="24" builtinId="29" customBuiltin="1"/>
    <cellStyle name="Accent2" xfId="28" builtinId="33" customBuiltin="1"/>
    <cellStyle name="Accent3" xfId="32" builtinId="37" customBuiltin="1"/>
    <cellStyle name="Accent4" xfId="36" builtinId="41" customBuiltin="1"/>
    <cellStyle name="Accent5" xfId="40" builtinId="45" customBuiltin="1"/>
    <cellStyle name="Accent6" xfId="44" builtinId="49" customBuiltin="1"/>
    <cellStyle name="Bad" xfId="13" builtinId="27" customBuiltin="1"/>
    <cellStyle name="Bold GHG Numbers (0.00)" xfId="144" xr:uid="{DA4FF68C-7FF0-4CED-A5EA-0097B6EB2369}"/>
    <cellStyle name="Calculation" xfId="17" builtinId="22" customBuiltin="1"/>
    <cellStyle name="Check Cell" xfId="19" builtinId="23" customBuiltin="1"/>
    <cellStyle name="Column heading" xfId="78" xr:uid="{B7F6F0CA-8447-40B5-B305-0995BEF9DC81}"/>
    <cellStyle name="Comma 2" xfId="79" xr:uid="{E229120F-E6BF-453E-B284-ADB3C2EFF798}"/>
    <cellStyle name="Comma 2 2" xfId="160" xr:uid="{2A2288AD-3C24-4FB2-8418-F26E54997657}"/>
    <cellStyle name="Comma 2 2 2" xfId="167" xr:uid="{EB037193-A471-4CB2-9E7C-8CF3185046D6}"/>
    <cellStyle name="Comma 2 3" xfId="163" xr:uid="{E2D67C64-2CF4-4488-9A8F-645F79D74688}"/>
    <cellStyle name="Comma 2 4" xfId="145" xr:uid="{2BE6E7D8-58DF-4616-A8B4-ACC033CF8394}"/>
    <cellStyle name="Comma 3" xfId="156" xr:uid="{E12608C2-090C-409F-BF94-5C614256EB27}"/>
    <cellStyle name="Comma 3 2" xfId="157" xr:uid="{C669213E-2105-465E-96E8-2B2A1ADD5F86}"/>
    <cellStyle name="Comma 3 3" xfId="161" xr:uid="{84354EFF-D576-4FFC-A206-30B76C92195E}"/>
    <cellStyle name="Comma 3 3 2" xfId="168" xr:uid="{0F5D64C1-E285-420D-B6D8-505AE982E671}"/>
    <cellStyle name="Comma 3 4" xfId="165" xr:uid="{3D09E4A3-5CD1-455D-9B7E-C036370DE385}"/>
    <cellStyle name="Comma 4" xfId="162" xr:uid="{C701A914-F7C5-4135-8657-7A9ABA714A2D}"/>
    <cellStyle name="Comma 5" xfId="159" xr:uid="{086F30DA-0BA8-415D-B817-1952049D5F8A}"/>
    <cellStyle name="Corner heading" xfId="80" xr:uid="{330ED3DB-6560-4052-B4DE-F68437890C69}"/>
    <cellStyle name="Data" xfId="81" xr:uid="{B3481D78-FAE6-4498-BEB0-B4E42369CD22}"/>
    <cellStyle name="Data no deci" xfId="82" xr:uid="{77489161-3B29-4346-8823-96B2E8044414}"/>
    <cellStyle name="Data Superscript" xfId="83" xr:uid="{F640F237-610A-48A7-BE88-46296592F176}"/>
    <cellStyle name="Data_1-1A-Regular" xfId="84" xr:uid="{2AB52574-9598-4CB8-B487-29D8E240C7BF}"/>
    <cellStyle name="Explanatory Text" xfId="22" builtinId="53" customBuiltin="1"/>
    <cellStyle name="Good" xfId="12" builtinId="26" customBuiltin="1"/>
    <cellStyle name="Heading 1" xfId="8" builtinId="16" customBuiltin="1"/>
    <cellStyle name="Heading 2" xfId="9" builtinId="17" customBuiltin="1"/>
    <cellStyle name="Heading 3" xfId="10" builtinId="18" customBuiltin="1"/>
    <cellStyle name="Heading 4" xfId="11" builtinId="19" customBuiltin="1"/>
    <cellStyle name="Headline" xfId="146" xr:uid="{4E05191A-A3A7-4E45-B95A-BCD7F498231F}"/>
    <cellStyle name="Hed Side" xfId="85" xr:uid="{7CF23A2E-88A2-4097-BC86-89BEFEED221A}"/>
    <cellStyle name="Hed Side bold" xfId="86" xr:uid="{9F782E38-AE41-4773-941D-50FA1FF86B91}"/>
    <cellStyle name="Hed Side Indent" xfId="87" xr:uid="{17640473-0DD0-4C3B-8441-1B62DE15E0EB}"/>
    <cellStyle name="Hed Side Regular" xfId="88" xr:uid="{E470F15A-3C40-47DB-A3DD-90E86487C31A}"/>
    <cellStyle name="Hed Side_1-1A-Regular" xfId="89" xr:uid="{E9F183F5-C7C6-45E2-816F-496B1C6D77E9}"/>
    <cellStyle name="Hed Top" xfId="90" xr:uid="{7BDA868B-13BF-46CB-AE60-AFE0D0E66FBE}"/>
    <cellStyle name="Hed Top - SECTION" xfId="91" xr:uid="{24B5B5BD-4A52-4F56-BC33-3B0DF32B7AE6}"/>
    <cellStyle name="Hed Top_3-new4" xfId="92" xr:uid="{DD86D1C9-1E75-4C54-8359-BC926AAFA9B5}"/>
    <cellStyle name="Hyperlink" xfId="170" builtinId="8"/>
    <cellStyle name="Hyperlink 2" xfId="134" xr:uid="{8C068579-6944-4469-B8C5-5876577F8569}"/>
    <cellStyle name="Input" xfId="15" builtinId="20" customBuiltin="1"/>
    <cellStyle name="Linked Cell" xfId="18" builtinId="24" customBuiltin="1"/>
    <cellStyle name="Milliers 2" xfId="136" xr:uid="{D8FFE04B-DB51-4D64-B1E0-2B7720A0CD04}"/>
    <cellStyle name="Neutral" xfId="14" builtinId="28" customBuiltin="1"/>
    <cellStyle name="Neutral 2" xfId="93" xr:uid="{9F71F88E-1C42-42BB-9048-2F53E4F20AA1}"/>
    <cellStyle name="Normal" xfId="0" builtinId="0"/>
    <cellStyle name="Normal 10" xfId="169" xr:uid="{C1E2228D-C067-4AB5-90F3-F010FBBB2C6A}"/>
    <cellStyle name="Normal 11" xfId="171" xr:uid="{47018419-81E7-4CBE-BA32-DC9A326344F5}"/>
    <cellStyle name="Normal 12" xfId="94" xr:uid="{EC410101-D69E-4FCF-A9F1-21B3CF23F348}"/>
    <cellStyle name="Normal 2" xfId="2" xr:uid="{55B6A459-018A-4159-BCD7-B35C942A65A0}"/>
    <cellStyle name="Normal 2 2" xfId="6" xr:uid="{AA58C20A-3AFF-4D45-9EE5-5F1CBF1179BF}"/>
    <cellStyle name="Normal 2 2 2" xfId="97" xr:uid="{58E3476F-BE97-4199-8773-2E33D564CF2D}"/>
    <cellStyle name="Normal 2 2 3" xfId="96" xr:uid="{831227AC-581D-4890-BAB5-3946EF3B389A}"/>
    <cellStyle name="Normal 2 3" xfId="135" xr:uid="{A978334C-3E38-4F8C-9AEC-0A99C8A704DD}"/>
    <cellStyle name="Normal 2 4" xfId="95" xr:uid="{C7DE0F11-6FE3-4C12-A367-016EE4943441}"/>
    <cellStyle name="Normal 3" xfId="4" xr:uid="{2E4BA378-3DE0-42C2-BA23-2407BCA94ACF}"/>
    <cellStyle name="Normal 3 2" xfId="138" xr:uid="{726176F6-8CC2-4CBA-9AA3-933B2AB786CE}"/>
    <cellStyle name="Normal 3 3" xfId="98" xr:uid="{96377BA5-BA51-47A3-8326-7538582DBB83}"/>
    <cellStyle name="Normal 3 4" xfId="147" xr:uid="{B666AE08-34F2-48FA-8465-610E73AE3A38}"/>
    <cellStyle name="Normal 4" xfId="5" xr:uid="{C4A79ADA-18DB-4104-AD79-FCF2C31AE69C}"/>
    <cellStyle name="Normal 4 2" xfId="132" xr:uid="{C19418A3-F747-4D48-9A68-6EFDF0E72F85}"/>
    <cellStyle name="Normal 4 3" xfId="164" xr:uid="{FB4BA9DE-52B1-451E-B473-EB99721C1AC7}"/>
    <cellStyle name="Normal 5" xfId="142" xr:uid="{58842B04-BC91-4B1D-999F-4998E1DC29C8}"/>
    <cellStyle name="Normal 6" xfId="154" xr:uid="{8229B25A-E9AE-48BB-A9AF-E30C655F08A3}"/>
    <cellStyle name="Normal 6 2" xfId="155" xr:uid="{58BF46DA-3A04-4611-B8D3-011CF36A8D09}"/>
    <cellStyle name="Normal 7" xfId="153" xr:uid="{EA3703FF-45DE-42E8-8F10-6E5FF133FBE2}"/>
    <cellStyle name="Normal 8" xfId="139" xr:uid="{2ED08D51-D347-48C3-AC54-F657E20E74FC}"/>
    <cellStyle name="Normal 9" xfId="3" xr:uid="{901E6851-97D6-414B-9218-20533A98EFED}"/>
    <cellStyle name="Normal 9 2" xfId="99" xr:uid="{FB6972EF-B788-4FB0-B93D-37D130E34275}"/>
    <cellStyle name="Normal GHG Numbers (0.00)" xfId="148" xr:uid="{94AA7987-9E96-4F07-8ADF-A2B53B4EE6BB}"/>
    <cellStyle name="Normal GHG whole table" xfId="149" xr:uid="{3156BCC2-469A-4D5D-BC3A-5854C86DB246}"/>
    <cellStyle name="Normal GHG-Shade" xfId="150" xr:uid="{33F64DAB-4759-4EE0-B938-935266B4665D}"/>
    <cellStyle name="Note" xfId="21" builtinId="10" customBuiltin="1"/>
    <cellStyle name="Note 2" xfId="100" xr:uid="{6DEB8261-6E52-4657-8CC1-81718DF31F1A}"/>
    <cellStyle name="Note 3" xfId="101" xr:uid="{39E54385-D062-4AEF-BF96-DE804439AEF4}"/>
    <cellStyle name="Note 4" xfId="102" xr:uid="{022AF93A-D3B5-4DB6-9D7F-99FD54820E9B}"/>
    <cellStyle name="NumberCellStyle" xfId="103" xr:uid="{D09C104C-93B5-410B-9A69-EB5387AFC1C4}"/>
    <cellStyle name="Output" xfId="16" builtinId="21" customBuiltin="1"/>
    <cellStyle name="Pattern" xfId="151" xr:uid="{C5B6B55A-2D4E-4EFE-B52D-08544A8E2869}"/>
    <cellStyle name="Percent" xfId="1" builtinId="5"/>
    <cellStyle name="Percent 2" xfId="133" xr:uid="{EFE8812B-55B9-44C3-8E2C-F87D498E8DE4}"/>
    <cellStyle name="Percent 2 2" xfId="141" xr:uid="{F9E8E6E0-C3F1-49C1-BC66-A469EF843869}"/>
    <cellStyle name="Percent 3" xfId="158" xr:uid="{C739EFB1-9B9D-4C58-9894-942726FEDA0D}"/>
    <cellStyle name="Percent 4" xfId="140" xr:uid="{FD674B19-9311-426D-81A8-A030956D65BD}"/>
    <cellStyle name="Reference" xfId="104" xr:uid="{DBFA3B77-CFDF-4449-A8DD-1E286D1FA68C}"/>
    <cellStyle name="Row heading" xfId="105" xr:uid="{3D5DD19C-7502-48B3-8DA7-2CE786ACE5A2}"/>
    <cellStyle name="Source Hed" xfId="106" xr:uid="{2699F76C-1169-40F1-A181-5C0E99223BEA}"/>
    <cellStyle name="Source Letter" xfId="107" xr:uid="{D0776B51-2F3C-4C2A-B83D-5968884A2806}"/>
    <cellStyle name="Source Superscript" xfId="108" xr:uid="{10F35462-EEE1-48B3-8E71-98E7E28238AE}"/>
    <cellStyle name="Source Text" xfId="109" xr:uid="{8ED7D922-6E8F-4200-91B1-9369FA2EC1D6}"/>
    <cellStyle name="Standard 2" xfId="131" xr:uid="{5FDB74BA-E82A-4194-A5FC-6401D6ADA2B6}"/>
    <cellStyle name="Standard 3" xfId="137" xr:uid="{781C33C5-8D72-4B7A-B3EE-960A5ABD8341}"/>
    <cellStyle name="Standard_E00seit45" xfId="110" xr:uid="{E60E5DFC-99F9-4821-95F9-A448A6D7ED01}"/>
    <cellStyle name="State" xfId="111" xr:uid="{1E22EF94-4035-46A3-B93F-7B4C04D93865}"/>
    <cellStyle name="Superscript" xfId="112" xr:uid="{E095C70B-1BE0-483B-9328-402E4F7F4665}"/>
    <cellStyle name="Table Data" xfId="113" xr:uid="{6D28BA16-B1ED-487E-97D4-E11766253CAB}"/>
    <cellStyle name="Table Head Top" xfId="114" xr:uid="{D73E975F-B195-4C69-ABA9-C3FDF3B768EE}"/>
    <cellStyle name="Table Hed Side" xfId="115" xr:uid="{19764F6F-0584-40C9-86AF-753E0D4ACD46}"/>
    <cellStyle name="Table Title" xfId="116" xr:uid="{DEDC75C9-E546-42B3-A8E7-56EF9F0EAE06}"/>
    <cellStyle name="Title" xfId="7" builtinId="15" customBuiltin="1"/>
    <cellStyle name="Title 2" xfId="118" xr:uid="{D0FC54C7-BAC5-467F-8F57-2084F2E2393E}"/>
    <cellStyle name="Title 3" xfId="117" xr:uid="{62A59C55-F8BD-439D-9818-59BD38960B4A}"/>
    <cellStyle name="Title Text" xfId="119" xr:uid="{46B5E72A-6019-4651-B789-3218EFB90083}"/>
    <cellStyle name="Title Text 1" xfId="120" xr:uid="{B66B38CF-B1B9-4A7F-A767-134AD0C8B60D}"/>
    <cellStyle name="Title Text 2" xfId="121" xr:uid="{8D7959A8-9EB8-4C2C-A363-103B0AD7FAD3}"/>
    <cellStyle name="Title-1" xfId="122" xr:uid="{36D030D9-D8F5-429A-903C-44ADDFF4B66E}"/>
    <cellStyle name="Title-2" xfId="123" xr:uid="{E482A6AF-F54E-46D8-85EC-0F79A3AB2412}"/>
    <cellStyle name="Title-3" xfId="124" xr:uid="{52079772-F763-4205-A35F-F27A24D17A83}"/>
    <cellStyle name="Titre ligne" xfId="125" xr:uid="{B26EA383-68B0-464B-A8D1-9AE2A1714C6F}"/>
    <cellStyle name="Total" xfId="23" builtinId="25" customBuiltin="1"/>
    <cellStyle name="Total intermediaire" xfId="126" xr:uid="{F17DB0AD-BDDB-41FD-8960-52BB3FCB6198}"/>
    <cellStyle name="Warning Text" xfId="20" builtinId="11" customBuiltin="1"/>
    <cellStyle name="Wrap" xfId="127" xr:uid="{374F57C0-3A75-4493-8C04-4C69D4F4D0BF}"/>
    <cellStyle name="Wrap Bold" xfId="128" xr:uid="{A3F8ABE9-DB85-4BEB-8717-FDE1DBC76539}"/>
    <cellStyle name="Wrap Title" xfId="129" xr:uid="{1DF114DE-99D7-4A0A-BF1F-5AB3072093AC}"/>
    <cellStyle name="Wrap_NTS99-~11" xfId="130" xr:uid="{B35AD1E7-4B68-4494-9F06-F6EF3B83D614}"/>
    <cellStyle name="Year" xfId="152" xr:uid="{BF9A27E0-4EC2-4496-B182-E26259F1F3E4}"/>
    <cellStyle name="Κόμμα 2" xfId="166" xr:uid="{39429696-BB52-41AB-928B-DAAD9594DB86}"/>
  </cellStyles>
  <dxfs count="0"/>
  <tableStyles count="0" defaultTableStyle="TableStyleMedium2" defaultPivotStyle="PivotStyleLight16"/>
  <colors>
    <mruColors>
      <color rgb="FFB487C7"/>
      <color rgb="FFA2C0B6"/>
      <color rgb="FF98C9EE"/>
      <color rgb="FFF26119"/>
      <color rgb="FFEFE973"/>
      <color rgb="FF64786A"/>
      <color rgb="FFF0CBD9"/>
      <color rgb="FF3D5584"/>
      <color rgb="FFF59E2D"/>
      <color rgb="FFB0454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5"/>
          <c:order val="11"/>
          <c:tx>
            <c:strRef>
              <c:f>'I1. GHG emissions'!$A$15</c:f>
              <c:strCache>
                <c:ptCount val="1"/>
                <c:pt idx="0">
                  <c:v>2040 advice scenarios (CO2 only)</c:v>
                </c:pt>
              </c:strCache>
            </c:strRef>
          </c:tx>
          <c:spPr>
            <a:solidFill>
              <a:srgbClr val="64786A"/>
            </a:solidFill>
            <a:ln>
              <a:noFill/>
            </a:ln>
            <a:effectLst/>
          </c:spPr>
          <c:invertIfNegative val="0"/>
          <c:dPt>
            <c:idx val="35"/>
            <c:invertIfNegative val="0"/>
            <c:bubble3D val="0"/>
            <c:spPr>
              <a:solidFill>
                <a:srgbClr val="64786A"/>
              </a:solidFill>
              <a:ln>
                <a:noFill/>
              </a:ln>
              <a:effectLst/>
            </c:spPr>
            <c:extLst>
              <c:ext xmlns:c16="http://schemas.microsoft.com/office/drawing/2014/chart" uri="{C3380CC4-5D6E-409C-BE32-E72D297353CC}">
                <c16:uniqueId val="{00000004-0E4D-4A83-A1CA-26CE5BCACAB8}"/>
              </c:ext>
            </c:extLst>
          </c:dPt>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emissions'!$D$15:$AW$15</c:f>
              <c:numCache>
                <c:formatCode>#,##0</c:formatCode>
                <c:ptCount val="46"/>
                <c:pt idx="35">
                  <c:v>129</c:v>
                </c:pt>
                <c:pt idx="45">
                  <c:v>21.707699999999999</c:v>
                </c:pt>
              </c:numCache>
            </c:numRef>
          </c:val>
          <c:extLst>
            <c:ext xmlns:c16="http://schemas.microsoft.com/office/drawing/2014/chart" uri="{C3380CC4-5D6E-409C-BE32-E72D297353CC}">
              <c16:uniqueId val="{0000000F-19E8-4168-9FDD-12792C482253}"/>
            </c:ext>
          </c:extLst>
        </c:ser>
        <c:dLbls>
          <c:showLegendKey val="0"/>
          <c:showVal val="0"/>
          <c:showCatName val="0"/>
          <c:showSerName val="0"/>
          <c:showPercent val="0"/>
          <c:showBubbleSize val="0"/>
        </c:dLbls>
        <c:gapWidth val="219"/>
        <c:overlap val="100"/>
        <c:axId val="1459007903"/>
        <c:axId val="1459005503"/>
      </c:barChart>
      <c:barChart>
        <c:barDir val="col"/>
        <c:grouping val="stacked"/>
        <c:varyColors val="0"/>
        <c:ser>
          <c:idx val="1"/>
          <c:order val="1"/>
          <c:tx>
            <c:strRef>
              <c:f>'I1. GHG emissions'!$A$5</c:f>
              <c:strCache>
                <c:ptCount val="1"/>
                <c:pt idx="0">
                  <c:v>Iron and steel</c:v>
                </c:pt>
              </c:strCache>
            </c:strRef>
          </c:tx>
          <c:spPr>
            <a:solidFill>
              <a:srgbClr val="3D5584"/>
            </a:solidFill>
            <a:ln>
              <a:noFill/>
            </a:ln>
            <a:effectLst/>
          </c:spPr>
          <c:invertIfNegative val="0"/>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emissions'!$D$5:$AW$5</c:f>
              <c:numCache>
                <c:formatCode>#,##0</c:formatCode>
                <c:ptCount val="46"/>
                <c:pt idx="0">
                  <c:v>193.15412946216313</c:v>
                </c:pt>
                <c:pt idx="1">
                  <c:v>198.50065922816287</c:v>
                </c:pt>
                <c:pt idx="2">
                  <c:v>201.86983712006455</c:v>
                </c:pt>
                <c:pt idx="3">
                  <c:v>186.83827584807668</c:v>
                </c:pt>
                <c:pt idx="4">
                  <c:v>129.57683584178383</c:v>
                </c:pt>
                <c:pt idx="5">
                  <c:v>162.1331940215793</c:v>
                </c:pt>
                <c:pt idx="6">
                  <c:v>158.78095307233838</c:v>
                </c:pt>
                <c:pt idx="7">
                  <c:v>149.00263628651714</c:v>
                </c:pt>
                <c:pt idx="8">
                  <c:v>146.58641637442801</c:v>
                </c:pt>
                <c:pt idx="9">
                  <c:v>147.29970275758265</c:v>
                </c:pt>
                <c:pt idx="10">
                  <c:v>153.12719091307923</c:v>
                </c:pt>
                <c:pt idx="11">
                  <c:v>152.14899184908688</c:v>
                </c:pt>
                <c:pt idx="12">
                  <c:v>155.3325935740678</c:v>
                </c:pt>
                <c:pt idx="13">
                  <c:v>152.4799965457901</c:v>
                </c:pt>
                <c:pt idx="14">
                  <c:v>145.36341629684426</c:v>
                </c:pt>
                <c:pt idx="15">
                  <c:v>126.99395379015225</c:v>
                </c:pt>
                <c:pt idx="16">
                  <c:v>147.01485496641223</c:v>
                </c:pt>
              </c:numCache>
            </c:numRef>
          </c:val>
          <c:extLst>
            <c:ext xmlns:c16="http://schemas.microsoft.com/office/drawing/2014/chart" uri="{C3380CC4-5D6E-409C-BE32-E72D297353CC}">
              <c16:uniqueId val="{00000001-19E8-4168-9FDD-12792C482253}"/>
            </c:ext>
          </c:extLst>
        </c:ser>
        <c:ser>
          <c:idx val="2"/>
          <c:order val="2"/>
          <c:tx>
            <c:strRef>
              <c:f>'I1. GHG emissions'!$A$6</c:f>
              <c:strCache>
                <c:ptCount val="1"/>
                <c:pt idx="0">
                  <c:v>Chemicals</c:v>
                </c:pt>
              </c:strCache>
            </c:strRef>
          </c:tx>
          <c:spPr>
            <a:solidFill>
              <a:srgbClr val="F26119"/>
            </a:solidFill>
            <a:ln>
              <a:noFill/>
            </a:ln>
            <a:effectLst/>
          </c:spPr>
          <c:invertIfNegative val="0"/>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emissions'!$D$6:$AW$6</c:f>
              <c:numCache>
                <c:formatCode>#,##0</c:formatCode>
                <c:ptCount val="46"/>
                <c:pt idx="0">
                  <c:v>194.7029959335315</c:v>
                </c:pt>
                <c:pt idx="1">
                  <c:v>181.20545226978746</c:v>
                </c:pt>
                <c:pt idx="2">
                  <c:v>182.77373281402927</c:v>
                </c:pt>
                <c:pt idx="3">
                  <c:v>171.13871521704434</c:v>
                </c:pt>
                <c:pt idx="4">
                  <c:v>144.65984201607054</c:v>
                </c:pt>
                <c:pt idx="5">
                  <c:v>144.54892736036399</c:v>
                </c:pt>
                <c:pt idx="6">
                  <c:v>140.6777019367884</c:v>
                </c:pt>
                <c:pt idx="7">
                  <c:v>134.88674440518045</c:v>
                </c:pt>
                <c:pt idx="8">
                  <c:v>129.80677160048646</c:v>
                </c:pt>
                <c:pt idx="9">
                  <c:v>123.72561658297994</c:v>
                </c:pt>
                <c:pt idx="10">
                  <c:v>122.30839805762737</c:v>
                </c:pt>
                <c:pt idx="11">
                  <c:v>121.9818101568775</c:v>
                </c:pt>
                <c:pt idx="12">
                  <c:v>127.45008308844743</c:v>
                </c:pt>
                <c:pt idx="13">
                  <c:v>127.87767968904043</c:v>
                </c:pt>
                <c:pt idx="14">
                  <c:v>121.31098070921099</c:v>
                </c:pt>
                <c:pt idx="15">
                  <c:v>120.89259934682484</c:v>
                </c:pt>
                <c:pt idx="16">
                  <c:v>123.86513832614585</c:v>
                </c:pt>
              </c:numCache>
            </c:numRef>
          </c:val>
          <c:extLst>
            <c:ext xmlns:c16="http://schemas.microsoft.com/office/drawing/2014/chart" uri="{C3380CC4-5D6E-409C-BE32-E72D297353CC}">
              <c16:uniqueId val="{00000002-19E8-4168-9FDD-12792C482253}"/>
            </c:ext>
          </c:extLst>
        </c:ser>
        <c:ser>
          <c:idx val="3"/>
          <c:order val="3"/>
          <c:tx>
            <c:strRef>
              <c:f>'I1. GHG emissions'!$A$7</c:f>
              <c:strCache>
                <c:ptCount val="1"/>
                <c:pt idx="0">
                  <c:v>Cement</c:v>
                </c:pt>
              </c:strCache>
            </c:strRef>
          </c:tx>
          <c:spPr>
            <a:solidFill>
              <a:srgbClr val="EFE973"/>
            </a:solidFill>
            <a:ln>
              <a:noFill/>
            </a:ln>
            <a:effectLst/>
          </c:spPr>
          <c:invertIfNegative val="0"/>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emissions'!$D$7:$AW$7</c:f>
              <c:numCache>
                <c:formatCode>#,##0</c:formatCode>
                <c:ptCount val="46"/>
                <c:pt idx="0">
                  <c:v>143.411945</c:v>
                </c:pt>
                <c:pt idx="1">
                  <c:v>147.15260599999999</c:v>
                </c:pt>
                <c:pt idx="2">
                  <c:v>163.114981</c:v>
                </c:pt>
                <c:pt idx="3">
                  <c:v>150.48990599999999</c:v>
                </c:pt>
                <c:pt idx="4">
                  <c:v>121.311887</c:v>
                </c:pt>
                <c:pt idx="5">
                  <c:v>119.34111800000001</c:v>
                </c:pt>
                <c:pt idx="6">
                  <c:v>116.976625</c:v>
                </c:pt>
                <c:pt idx="7">
                  <c:v>109.895055</c:v>
                </c:pt>
                <c:pt idx="8">
                  <c:v>105.817395</c:v>
                </c:pt>
                <c:pt idx="9">
                  <c:v>110.73125</c:v>
                </c:pt>
                <c:pt idx="10">
                  <c:v>109.01402800000001</c:v>
                </c:pt>
                <c:pt idx="11">
                  <c:v>109.10977899999999</c:v>
                </c:pt>
                <c:pt idx="12">
                  <c:v>111.867166</c:v>
                </c:pt>
                <c:pt idx="13">
                  <c:v>113.69557399999999</c:v>
                </c:pt>
                <c:pt idx="14">
                  <c:v>113.098703</c:v>
                </c:pt>
                <c:pt idx="15">
                  <c:v>107.41644700000001</c:v>
                </c:pt>
                <c:pt idx="16">
                  <c:v>110.22327199999999</c:v>
                </c:pt>
              </c:numCache>
            </c:numRef>
          </c:val>
          <c:extLst>
            <c:ext xmlns:c16="http://schemas.microsoft.com/office/drawing/2014/chart" uri="{C3380CC4-5D6E-409C-BE32-E72D297353CC}">
              <c16:uniqueId val="{00000003-19E8-4168-9FDD-12792C482253}"/>
            </c:ext>
          </c:extLst>
        </c:ser>
        <c:ser>
          <c:idx val="4"/>
          <c:order val="4"/>
          <c:tx>
            <c:strRef>
              <c:f>'I1. GHG emissions'!$A$8</c:f>
              <c:strCache>
                <c:ptCount val="1"/>
                <c:pt idx="0">
                  <c:v>Other sub-sectors</c:v>
                </c:pt>
              </c:strCache>
            </c:strRef>
          </c:tx>
          <c:spPr>
            <a:solidFill>
              <a:srgbClr val="98C9EE"/>
            </a:solidFill>
            <a:ln>
              <a:noFill/>
            </a:ln>
            <a:effectLst/>
          </c:spPr>
          <c:invertIfNegative val="0"/>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emissions'!$D$8:$AW$8</c:f>
              <c:numCache>
                <c:formatCode>#,##0</c:formatCode>
                <c:ptCount val="46"/>
                <c:pt idx="0">
                  <c:v>450.00468636204272</c:v>
                </c:pt>
                <c:pt idx="1">
                  <c:v>446.92774685198208</c:v>
                </c:pt>
                <c:pt idx="2">
                  <c:v>447.85958361411798</c:v>
                </c:pt>
                <c:pt idx="3">
                  <c:v>443.87154979852858</c:v>
                </c:pt>
                <c:pt idx="4">
                  <c:v>393.8797413982042</c:v>
                </c:pt>
                <c:pt idx="5">
                  <c:v>412.79120331113398</c:v>
                </c:pt>
                <c:pt idx="6">
                  <c:v>409.71817440897496</c:v>
                </c:pt>
                <c:pt idx="7">
                  <c:v>401.8859988501078</c:v>
                </c:pt>
                <c:pt idx="8">
                  <c:v>393.32175805779377</c:v>
                </c:pt>
                <c:pt idx="9">
                  <c:v>387.40882694048588</c:v>
                </c:pt>
                <c:pt idx="10">
                  <c:v>384.39942833978625</c:v>
                </c:pt>
                <c:pt idx="11">
                  <c:v>392.97908963167606</c:v>
                </c:pt>
                <c:pt idx="12">
                  <c:v>396.38625697976738</c:v>
                </c:pt>
                <c:pt idx="13">
                  <c:v>391.22335760353792</c:v>
                </c:pt>
                <c:pt idx="14">
                  <c:v>380.35502940994945</c:v>
                </c:pt>
                <c:pt idx="15">
                  <c:v>364.29732888283945</c:v>
                </c:pt>
                <c:pt idx="16">
                  <c:v>376.37082850348185</c:v>
                </c:pt>
              </c:numCache>
            </c:numRef>
          </c:val>
          <c:extLst>
            <c:ext xmlns:c16="http://schemas.microsoft.com/office/drawing/2014/chart" uri="{C3380CC4-5D6E-409C-BE32-E72D297353CC}">
              <c16:uniqueId val="{00000004-19E8-4168-9FDD-12792C482253}"/>
            </c:ext>
          </c:extLst>
        </c:ser>
        <c:ser>
          <c:idx val="7"/>
          <c:order val="12"/>
          <c:tx>
            <c:strRef>
              <c:f>'I1. GHG emissions'!$A$16</c:f>
              <c:strCache>
                <c:ptCount val="1"/>
                <c:pt idx="0">
                  <c:v>2040 advice min</c:v>
                </c:pt>
              </c:strCache>
            </c:strRef>
          </c:tx>
          <c:spPr>
            <a:solidFill>
              <a:schemeClr val="bg1"/>
            </a:solidFill>
            <a:ln>
              <a:noFill/>
            </a:ln>
            <a:effectLst/>
          </c:spPr>
          <c:invertIfNegative val="0"/>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emissions'!$D$16:$AW$16</c:f>
              <c:numCache>
                <c:formatCode>#,##0</c:formatCode>
                <c:ptCount val="46"/>
                <c:pt idx="35">
                  <c:v>89</c:v>
                </c:pt>
                <c:pt idx="45">
                  <c:v>5.2356999999999978</c:v>
                </c:pt>
              </c:numCache>
            </c:numRef>
          </c:val>
          <c:extLst>
            <c:ext xmlns:c16="http://schemas.microsoft.com/office/drawing/2014/chart" uri="{C3380CC4-5D6E-409C-BE32-E72D297353CC}">
              <c16:uniqueId val="{00000003-4D9C-4C2F-9248-51E465EA1348}"/>
            </c:ext>
          </c:extLst>
        </c:ser>
        <c:dLbls>
          <c:showLegendKey val="0"/>
          <c:showVal val="0"/>
          <c:showCatName val="0"/>
          <c:showSerName val="0"/>
          <c:showPercent val="0"/>
          <c:showBubbleSize val="0"/>
        </c:dLbls>
        <c:gapWidth val="150"/>
        <c:overlap val="100"/>
        <c:axId val="1459007903"/>
        <c:axId val="1459005503"/>
      </c:barChart>
      <c:lineChart>
        <c:grouping val="standard"/>
        <c:varyColors val="0"/>
        <c:ser>
          <c:idx val="0"/>
          <c:order val="0"/>
          <c:tx>
            <c:strRef>
              <c:f>'I1. GHG emissions'!$A$3</c:f>
              <c:strCache>
                <c:ptCount val="1"/>
                <c:pt idx="0">
                  <c:v>Total</c:v>
                </c:pt>
              </c:strCache>
            </c:strRef>
          </c:tx>
          <c:spPr>
            <a:ln w="19050" cap="rnd">
              <a:solidFill>
                <a:sysClr val="windowText" lastClr="000000"/>
              </a:solidFill>
              <a:round/>
            </a:ln>
            <a:effectLst/>
          </c:spPr>
          <c:marker>
            <c:symbol val="none"/>
          </c:marker>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emissions'!$D$3:$AW$3</c:f>
              <c:numCache>
                <c:formatCode>#,##0</c:formatCode>
                <c:ptCount val="46"/>
                <c:pt idx="0">
                  <c:v>981.27375675773737</c:v>
                </c:pt>
                <c:pt idx="1">
                  <c:v>973.78646434993243</c:v>
                </c:pt>
                <c:pt idx="2">
                  <c:v>995.61813454821174</c:v>
                </c:pt>
                <c:pt idx="3">
                  <c:v>952.33844686364966</c:v>
                </c:pt>
                <c:pt idx="4">
                  <c:v>789.42830625605859</c:v>
                </c:pt>
                <c:pt idx="5">
                  <c:v>838.81444269307735</c:v>
                </c:pt>
                <c:pt idx="6">
                  <c:v>826.15345441810177</c:v>
                </c:pt>
                <c:pt idx="7">
                  <c:v>795.67043454180543</c:v>
                </c:pt>
                <c:pt idx="8">
                  <c:v>775.53234103270825</c:v>
                </c:pt>
                <c:pt idx="9">
                  <c:v>769.1653962810484</c:v>
                </c:pt>
                <c:pt idx="10">
                  <c:v>768.8490453104929</c:v>
                </c:pt>
                <c:pt idx="11">
                  <c:v>776.21967063764043</c:v>
                </c:pt>
                <c:pt idx="12">
                  <c:v>791.03609964228258</c:v>
                </c:pt>
                <c:pt idx="13">
                  <c:v>785.27660783836836</c:v>
                </c:pt>
                <c:pt idx="14">
                  <c:v>760.12812941600464</c:v>
                </c:pt>
                <c:pt idx="15">
                  <c:v>719.60032901981651</c:v>
                </c:pt>
                <c:pt idx="16">
                  <c:v>757.47409379603994</c:v>
                </c:pt>
                <c:pt idx="17">
                  <c:v>691.32881325000005</c:v>
                </c:pt>
              </c:numCache>
            </c:numRef>
          </c:val>
          <c:smooth val="0"/>
          <c:extLst>
            <c:ext xmlns:c16="http://schemas.microsoft.com/office/drawing/2014/chart" uri="{C3380CC4-5D6E-409C-BE32-E72D297353CC}">
              <c16:uniqueId val="{00000000-19E8-4168-9FDD-12792C482253}"/>
            </c:ext>
          </c:extLst>
        </c:ser>
        <c:ser>
          <c:idx val="11"/>
          <c:order val="7"/>
          <c:tx>
            <c:strRef>
              <c:f>'I1. GHG emissions'!$A$11</c:f>
              <c:strCache>
                <c:ptCount val="1"/>
                <c:pt idx="0">
                  <c:v>2030 benchmark</c:v>
                </c:pt>
              </c:strCache>
            </c:strRef>
          </c:tx>
          <c:spPr>
            <a:ln w="28575" cap="rnd">
              <a:noFill/>
              <a:round/>
            </a:ln>
            <a:effectLst/>
          </c:spPr>
          <c:marker>
            <c:symbol val="circle"/>
            <c:size val="6"/>
            <c:spPr>
              <a:solidFill>
                <a:srgbClr val="F26119"/>
              </a:solidFill>
              <a:ln w="9525">
                <a:noFill/>
              </a:ln>
              <a:effectLst/>
            </c:spPr>
          </c:marker>
          <c:dPt>
            <c:idx val="20"/>
            <c:marker>
              <c:symbol val="circle"/>
              <c:size val="6"/>
              <c:spPr>
                <a:solidFill>
                  <a:srgbClr val="F26119"/>
                </a:solidFill>
                <a:ln w="9525">
                  <a:noFill/>
                </a:ln>
                <a:effectLst/>
              </c:spPr>
            </c:marker>
            <c:bubble3D val="0"/>
            <c:extLst>
              <c:ext xmlns:c16="http://schemas.microsoft.com/office/drawing/2014/chart" uri="{C3380CC4-5D6E-409C-BE32-E72D297353CC}">
                <c16:uniqueId val="{00000012-19E8-4168-9FDD-12792C482253}"/>
              </c:ext>
            </c:extLst>
          </c:dPt>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emissions'!$D$11:$AW$11</c:f>
              <c:numCache>
                <c:formatCode>#,##0</c:formatCode>
                <c:ptCount val="46"/>
                <c:pt idx="25">
                  <c:v>496.41590217212865</c:v>
                </c:pt>
              </c:numCache>
            </c:numRef>
          </c:val>
          <c:smooth val="0"/>
          <c:extLst>
            <c:ext xmlns:c16="http://schemas.microsoft.com/office/drawing/2014/chart" uri="{C3380CC4-5D6E-409C-BE32-E72D297353CC}">
              <c16:uniqueId val="{0000000B-19E8-4168-9FDD-12792C482253}"/>
            </c:ext>
          </c:extLst>
        </c:ser>
        <c:ser>
          <c:idx val="14"/>
          <c:order val="9"/>
          <c:tx>
            <c:strRef>
              <c:f>'I1. GHG emissions'!$A$13</c:f>
              <c:strCache>
                <c:ptCount val="1"/>
                <c:pt idx="0">
                  <c:v>2050 benchmark</c:v>
                </c:pt>
              </c:strCache>
            </c:strRef>
          </c:tx>
          <c:spPr>
            <a:ln w="28575" cap="rnd">
              <a:noFill/>
              <a:round/>
            </a:ln>
            <a:effectLst/>
          </c:spPr>
          <c:marker>
            <c:symbol val="circle"/>
            <c:size val="6"/>
            <c:spPr>
              <a:solidFill>
                <a:srgbClr val="3D5584"/>
              </a:solidFill>
              <a:ln w="9525">
                <a:noFill/>
              </a:ln>
              <a:effectLst/>
            </c:spPr>
          </c:marker>
          <c:dPt>
            <c:idx val="45"/>
            <c:marker>
              <c:symbol val="circle"/>
              <c:size val="6"/>
              <c:spPr>
                <a:solidFill>
                  <a:srgbClr val="3D5584"/>
                </a:solidFill>
                <a:ln w="9525">
                  <a:noFill/>
                </a:ln>
                <a:effectLst/>
              </c:spPr>
            </c:marker>
            <c:bubble3D val="0"/>
            <c:extLst>
              <c:ext xmlns:c16="http://schemas.microsoft.com/office/drawing/2014/chart" uri="{C3380CC4-5D6E-409C-BE32-E72D297353CC}">
                <c16:uniqueId val="{00000011-19E8-4168-9FDD-12792C482253}"/>
              </c:ext>
            </c:extLst>
          </c:dPt>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emissions'!$D$13:$AW$13</c:f>
              <c:numCache>
                <c:formatCode>#,##0</c:formatCode>
                <c:ptCount val="46"/>
                <c:pt idx="45">
                  <c:v>77.5</c:v>
                </c:pt>
              </c:numCache>
            </c:numRef>
          </c:val>
          <c:smooth val="0"/>
          <c:extLst>
            <c:ext xmlns:c16="http://schemas.microsoft.com/office/drawing/2014/chart" uri="{C3380CC4-5D6E-409C-BE32-E72D297353CC}">
              <c16:uniqueId val="{0000000E-19E8-4168-9FDD-12792C482253}"/>
            </c:ext>
          </c:extLst>
        </c:ser>
        <c:dLbls>
          <c:showLegendKey val="0"/>
          <c:showVal val="0"/>
          <c:showCatName val="0"/>
          <c:showSerName val="0"/>
          <c:showPercent val="0"/>
          <c:showBubbleSize val="0"/>
        </c:dLbls>
        <c:marker val="1"/>
        <c:smooth val="0"/>
        <c:axId val="1459007903"/>
        <c:axId val="1459005503"/>
        <c:extLst>
          <c:ext xmlns:c15="http://schemas.microsoft.com/office/drawing/2012/chart" uri="{02D57815-91ED-43cb-92C2-25804820EDAC}">
            <c15:filteredLineSeries>
              <c15:ser>
                <c:idx val="6"/>
                <c:order val="5"/>
                <c:tx>
                  <c:strRef>
                    <c:extLst>
                      <c:ext uri="{02D57815-91ED-43cb-92C2-25804820EDAC}">
                        <c15:formulaRef>
                          <c15:sqref>'I1. GHG emissions'!$A$4</c15:sqref>
                        </c15:formulaRef>
                      </c:ext>
                    </c:extLst>
                    <c:strCache>
                      <c:ptCount val="1"/>
                      <c:pt idx="0">
                        <c:v>Total (CO2 only)</c:v>
                      </c:pt>
                    </c:strCache>
                  </c:strRef>
                </c:tx>
                <c:spPr>
                  <a:ln w="19050" cap="rnd">
                    <a:solidFill>
                      <a:sysClr val="windowText" lastClr="000000"/>
                    </a:solidFill>
                    <a:prstDash val="dash"/>
                    <a:round/>
                  </a:ln>
                  <a:effectLst/>
                </c:spPr>
                <c:marker>
                  <c:symbol val="none"/>
                </c:marker>
                <c:cat>
                  <c:strRef>
                    <c:extLst>
                      <c:ext uri="{02D57815-91ED-43cb-92C2-25804820EDAC}">
                        <c15:formulaRef>
                          <c15:sqref>'I1. GHG emissions'!$D$2:$AW$2</c15:sqref>
                        </c15:formulaRef>
                      </c:ext>
                    </c:extLst>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extLst>
                      <c:ext uri="{02D57815-91ED-43cb-92C2-25804820EDAC}">
                        <c15:formulaRef>
                          <c15:sqref>'I1. GHG emissions'!$D$4:$AW$4</c15:sqref>
                        </c15:formulaRef>
                      </c:ext>
                    </c:extLst>
                    <c:numCache>
                      <c:formatCode>#,##0</c:formatCode>
                      <c:ptCount val="46"/>
                      <c:pt idx="0">
                        <c:v>846.23154354407802</c:v>
                      </c:pt>
                      <c:pt idx="1">
                        <c:v>841.93793560583686</c:v>
                      </c:pt>
                      <c:pt idx="2">
                        <c:v>858.35253776579259</c:v>
                      </c:pt>
                      <c:pt idx="3">
                        <c:v>819.45572811341481</c:v>
                      </c:pt>
                      <c:pt idx="4">
                        <c:v>664.81233344768327</c:v>
                      </c:pt>
                      <c:pt idx="5">
                        <c:v>719.55540152330991</c:v>
                      </c:pt>
                      <c:pt idx="6">
                        <c:v>707.40422836903304</c:v>
                      </c:pt>
                      <c:pt idx="7">
                        <c:v>676.08115909442517</c:v>
                      </c:pt>
                      <c:pt idx="8">
                        <c:v>655.89113590586021</c:v>
                      </c:pt>
                      <c:pt idx="9">
                        <c:v>648.53725249198999</c:v>
                      </c:pt>
                      <c:pt idx="10">
                        <c:v>655.87077872760131</c:v>
                      </c:pt>
                      <c:pt idx="11">
                        <c:v>662.53183037020608</c:v>
                      </c:pt>
                      <c:pt idx="12">
                        <c:v>678.35062195961109</c:v>
                      </c:pt>
                      <c:pt idx="13">
                        <c:v>676.65550862830082</c:v>
                      </c:pt>
                      <c:pt idx="14">
                        <c:v>656.63440446888421</c:v>
                      </c:pt>
                      <c:pt idx="15">
                        <c:v>623.81416597094312</c:v>
                      </c:pt>
                      <c:pt idx="16">
                        <c:v>665.47714540980587</c:v>
                      </c:pt>
                      <c:pt idx="17">
                        <c:v>605.55116176000001</c:v>
                      </c:pt>
                    </c:numCache>
                  </c:numRef>
                </c:val>
                <c:smooth val="0"/>
                <c:extLst>
                  <c:ext xmlns:c16="http://schemas.microsoft.com/office/drawing/2014/chart" uri="{C3380CC4-5D6E-409C-BE32-E72D297353CC}">
                    <c16:uniqueId val="{00000004-C40E-4239-8F1A-BF8E84742E82}"/>
                  </c:ext>
                </c:extLst>
              </c15:ser>
            </c15:filteredLineSeries>
            <c15:filteredLineSeries>
              <c15:ser>
                <c:idx val="10"/>
                <c:order val="6"/>
                <c:tx>
                  <c:strRef>
                    <c:extLst xmlns:c15="http://schemas.microsoft.com/office/drawing/2012/chart">
                      <c:ext xmlns:c15="http://schemas.microsoft.com/office/drawing/2012/chart" uri="{02D57815-91ED-43cb-92C2-25804820EDAC}">
                        <c15:formulaRef>
                          <c15:sqref>'I1. GHG emissions'!$A$9</c15:sqref>
                        </c15:formulaRef>
                      </c:ext>
                    </c:extLst>
                    <c:strCache>
                      <c:ptCount val="1"/>
                      <c:pt idx="0">
                        <c:v>linear trajector to benchmarks</c:v>
                      </c:pt>
                    </c:strCache>
                  </c:strRef>
                </c:tx>
                <c:spPr>
                  <a:ln w="12700" cap="rnd">
                    <a:solidFill>
                      <a:sysClr val="windowText" lastClr="000000"/>
                    </a:solidFill>
                    <a:prstDash val="sysDot"/>
                    <a:round/>
                  </a:ln>
                  <a:effectLst/>
                </c:spPr>
                <c:marker>
                  <c:symbol val="none"/>
                </c:marker>
                <c:cat>
                  <c:strRef>
                    <c:extLst xmlns:c15="http://schemas.microsoft.com/office/drawing/2012/chart">
                      <c:ext xmlns:c15="http://schemas.microsoft.com/office/drawing/2012/chart" uri="{02D57815-91ED-43cb-92C2-25804820EDAC}">
                        <c15:formulaRef>
                          <c15:sqref>'I1. GHG emissions'!$D$2:$AW$2</c15:sqref>
                        </c15:formulaRef>
                      </c:ext>
                    </c:extLst>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extLst xmlns:c15="http://schemas.microsoft.com/office/drawing/2012/chart">
                      <c:ext xmlns:c15="http://schemas.microsoft.com/office/drawing/2012/chart" uri="{02D57815-91ED-43cb-92C2-25804820EDAC}">
                        <c15:formulaRef>
                          <c15:sqref>'I1. GHG emissions'!$D$9:$AW$9</c15:sqref>
                        </c15:formulaRef>
                      </c:ext>
                    </c:extLst>
                    <c:numCache>
                      <c:formatCode>#,##0</c:formatCode>
                      <c:ptCount val="46"/>
                      <c:pt idx="17">
                        <c:v>691.32881325000005</c:v>
                      </c:pt>
                      <c:pt idx="18">
                        <c:v>666.96469936526614</c:v>
                      </c:pt>
                      <c:pt idx="19">
                        <c:v>642.60058548053212</c:v>
                      </c:pt>
                      <c:pt idx="20">
                        <c:v>618.23647159579821</c:v>
                      </c:pt>
                      <c:pt idx="21">
                        <c:v>593.8723577110643</c:v>
                      </c:pt>
                      <c:pt idx="22">
                        <c:v>569.50824382633039</c:v>
                      </c:pt>
                      <c:pt idx="23">
                        <c:v>545.14412994159647</c:v>
                      </c:pt>
                      <c:pt idx="24">
                        <c:v>520.78001605686245</c:v>
                      </c:pt>
                      <c:pt idx="25">
                        <c:v>496.41590217212837</c:v>
                      </c:pt>
                      <c:pt idx="26">
                        <c:v>475.47010706352194</c:v>
                      </c:pt>
                      <c:pt idx="27">
                        <c:v>454.52431195491556</c:v>
                      </c:pt>
                      <c:pt idx="28">
                        <c:v>433.57851684630913</c:v>
                      </c:pt>
                      <c:pt idx="29">
                        <c:v>412.6327217377027</c:v>
                      </c:pt>
                      <c:pt idx="30">
                        <c:v>391.68692662909632</c:v>
                      </c:pt>
                      <c:pt idx="31">
                        <c:v>370.74113152048989</c:v>
                      </c:pt>
                      <c:pt idx="32">
                        <c:v>349.79533641188345</c:v>
                      </c:pt>
                      <c:pt idx="33">
                        <c:v>328.84954130327702</c:v>
                      </c:pt>
                      <c:pt idx="34">
                        <c:v>307.90374619467059</c:v>
                      </c:pt>
                      <c:pt idx="35">
                        <c:v>286.95795108606421</c:v>
                      </c:pt>
                      <c:pt idx="36">
                        <c:v>266.01215597745778</c:v>
                      </c:pt>
                      <c:pt idx="37">
                        <c:v>245.06636086885135</c:v>
                      </c:pt>
                      <c:pt idx="38">
                        <c:v>224.12056576024497</c:v>
                      </c:pt>
                      <c:pt idx="39">
                        <c:v>203.17477065163854</c:v>
                      </c:pt>
                      <c:pt idx="40">
                        <c:v>182.22897554303211</c:v>
                      </c:pt>
                      <c:pt idx="41">
                        <c:v>161.28318043442567</c:v>
                      </c:pt>
                      <c:pt idx="42">
                        <c:v>140.33738532581924</c:v>
                      </c:pt>
                      <c:pt idx="43">
                        <c:v>119.39159021721287</c:v>
                      </c:pt>
                      <c:pt idx="44">
                        <c:v>98.445795108606433</c:v>
                      </c:pt>
                      <c:pt idx="45">
                        <c:v>77.5</c:v>
                      </c:pt>
                    </c:numCache>
                  </c:numRef>
                </c:val>
                <c:smooth val="0"/>
                <c:extLst xmlns:c15="http://schemas.microsoft.com/office/drawing/2012/chart">
                  <c:ext xmlns:c16="http://schemas.microsoft.com/office/drawing/2014/chart" uri="{C3380CC4-5D6E-409C-BE32-E72D297353CC}">
                    <c16:uniqueId val="{0000000A-19E8-4168-9FDD-12792C482253}"/>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'I1. GHG emissions'!$A$12</c15:sqref>
                        </c15:formulaRef>
                      </c:ext>
                    </c:extLst>
                    <c:strCache>
                      <c:ptCount val="1"/>
                      <c:pt idx="0">
                        <c:v>2030 benchmark (CO2 only)</c:v>
                      </c:pt>
                    </c:strCache>
                  </c:strRef>
                </c:tx>
                <c:spPr>
                  <a:ln w="28575" cap="rnd">
                    <a:noFill/>
                    <a:round/>
                  </a:ln>
                  <a:effectLst/>
                </c:spPr>
                <c:marker>
                  <c:symbol val="circle"/>
                  <c:size val="8"/>
                  <c:spPr>
                    <a:solidFill>
                      <a:srgbClr val="F59E2D"/>
                    </a:solidFill>
                    <a:ln w="9525">
                      <a:noFill/>
                    </a:ln>
                    <a:effectLst/>
                  </c:spPr>
                </c:marker>
                <c:cat>
                  <c:strRef>
                    <c:extLst xmlns:c15="http://schemas.microsoft.com/office/drawing/2012/chart">
                      <c:ext xmlns:c15="http://schemas.microsoft.com/office/drawing/2012/chart" uri="{02D57815-91ED-43cb-92C2-25804820EDAC}">
                        <c15:formulaRef>
                          <c15:sqref>'I1. GHG emissions'!$D$2:$AW$2</c15:sqref>
                        </c15:formulaRef>
                      </c:ext>
                    </c:extLst>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extLst xmlns:c15="http://schemas.microsoft.com/office/drawing/2012/chart">
                      <c:ext xmlns:c15="http://schemas.microsoft.com/office/drawing/2012/chart" uri="{02D57815-91ED-43cb-92C2-25804820EDAC}">
                        <c15:formulaRef>
                          <c15:sqref>'I1. GHG emissions'!$D$12:$AW$12</c15:sqref>
                        </c15:formulaRef>
                      </c:ext>
                    </c:extLst>
                    <c:numCache>
                      <c:formatCode>#,##0</c:formatCode>
                      <c:ptCount val="46"/>
                      <c:pt idx="25">
                        <c:v>473.92749123542933</c:v>
                      </c:pt>
                    </c:numCache>
                  </c:numRef>
                </c:val>
                <c:smooth val="0"/>
                <c:extLst xmlns:c15="http://schemas.microsoft.com/office/drawing/2012/chart">
                  <c:ext xmlns:c16="http://schemas.microsoft.com/office/drawing/2014/chart" uri="{C3380CC4-5D6E-409C-BE32-E72D297353CC}">
                    <c16:uniqueId val="{00000005-C40E-4239-8F1A-BF8E84742E82}"/>
                  </c:ext>
                </c:extLst>
              </c15:ser>
            </c15:filteredLineSeries>
            <c15:filteredLineSeries>
              <c15:ser>
                <c:idx val="5"/>
                <c:order val="10"/>
                <c:tx>
                  <c:strRef>
                    <c:extLst xmlns:c15="http://schemas.microsoft.com/office/drawing/2012/chart">
                      <c:ext xmlns:c15="http://schemas.microsoft.com/office/drawing/2012/chart" uri="{02D57815-91ED-43cb-92C2-25804820EDAC}">
                        <c15:formulaRef>
                          <c15:sqref>'I1. GHG emissions'!$A$14</c15:sqref>
                        </c15:formulaRef>
                      </c:ext>
                    </c:extLst>
                    <c:strCache>
                      <c:ptCount val="1"/>
                      <c:pt idx="0">
                        <c:v>2050 benchmark (CO2 only)</c:v>
                      </c:pt>
                    </c:strCache>
                  </c:strRef>
                </c:tx>
                <c:spPr>
                  <a:ln w="28575" cap="rnd">
                    <a:noFill/>
                    <a:round/>
                  </a:ln>
                  <a:effectLst/>
                </c:spPr>
                <c:marker>
                  <c:symbol val="circle"/>
                  <c:size val="5"/>
                  <c:spPr>
                    <a:solidFill>
                      <a:srgbClr val="98C9EE"/>
                    </a:solidFill>
                    <a:ln w="9525">
                      <a:noFill/>
                    </a:ln>
                    <a:effectLst/>
                  </c:spPr>
                </c:marker>
                <c:dPt>
                  <c:idx val="45"/>
                  <c:marker>
                    <c:symbol val="circle"/>
                    <c:size val="8"/>
                    <c:spPr>
                      <a:solidFill>
                        <a:srgbClr val="98C9EE"/>
                      </a:solidFill>
                      <a:ln w="9525">
                        <a:noFill/>
                      </a:ln>
                      <a:effectLst/>
                    </c:spPr>
                  </c:marker>
                  <c:bubble3D val="0"/>
                  <c:extLst xmlns:c15="http://schemas.microsoft.com/office/drawing/2012/chart">
                    <c:ext xmlns:c16="http://schemas.microsoft.com/office/drawing/2014/chart" uri="{C3380CC4-5D6E-409C-BE32-E72D297353CC}">
                      <c16:uniqueId val="{00000004-7449-4171-A20C-0E228628A285}"/>
                    </c:ext>
                  </c:extLst>
                </c:dPt>
                <c:cat>
                  <c:strRef>
                    <c:extLst xmlns:c15="http://schemas.microsoft.com/office/drawing/2012/chart">
                      <c:ext xmlns:c15="http://schemas.microsoft.com/office/drawing/2012/chart" uri="{02D57815-91ED-43cb-92C2-25804820EDAC}">
                        <c15:formulaRef>
                          <c15:sqref>'I1. GHG emissions'!$D$2:$AW$2</c15:sqref>
                        </c15:formulaRef>
                      </c:ext>
                    </c:extLst>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extLst xmlns:c15="http://schemas.microsoft.com/office/drawing/2012/chart">
                      <c:ext xmlns:c15="http://schemas.microsoft.com/office/drawing/2012/chart" uri="{02D57815-91ED-43cb-92C2-25804820EDAC}">
                        <c15:formulaRef>
                          <c15:sqref>'I1. GHG emissions'!$D$14:$AW$14</c15:sqref>
                        </c15:formulaRef>
                      </c:ext>
                    </c:extLst>
                    <c:numCache>
                      <c:formatCode>#,##0</c:formatCode>
                      <c:ptCount val="46"/>
                      <c:pt idx="45">
                        <c:v>67.5</c:v>
                      </c:pt>
                    </c:numCache>
                  </c:numRef>
                </c:val>
                <c:smooth val="0"/>
                <c:extLst xmlns:c15="http://schemas.microsoft.com/office/drawing/2012/chart">
                  <c:ext xmlns:c16="http://schemas.microsoft.com/office/drawing/2014/chart" uri="{C3380CC4-5D6E-409C-BE32-E72D297353CC}">
                    <c16:uniqueId val="{00000002-7449-4171-A20C-0E228628A285}"/>
                  </c:ext>
                </c:extLst>
              </c15:ser>
            </c15:filteredLineSeries>
            <c15:filteredLineSeries>
              <c15:ser>
                <c:idx val="9"/>
                <c:order val="13"/>
                <c:tx>
                  <c:strRef>
                    <c:extLst xmlns:c15="http://schemas.microsoft.com/office/drawing/2012/chart">
                      <c:ext xmlns:c15="http://schemas.microsoft.com/office/drawing/2012/chart" uri="{02D57815-91ED-43cb-92C2-25804820EDAC}">
                        <c15:formulaRef>
                          <c15:sqref>'I1. GHG emissions'!$A$10</c15:sqref>
                        </c15:formulaRef>
                      </c:ext>
                    </c:extLst>
                    <c:strCache>
                      <c:ptCount val="1"/>
                      <c:pt idx="0">
                        <c:v>linear trajector to benchmarks 2</c:v>
                      </c:pt>
                    </c:strCache>
                  </c:strRef>
                </c:tx>
                <c:spPr>
                  <a:ln w="12700" cap="rnd">
                    <a:solidFill>
                      <a:sysClr val="windowText" lastClr="000000"/>
                    </a:solidFill>
                    <a:prstDash val="sysDot"/>
                    <a:round/>
                  </a:ln>
                  <a:effectLst/>
                </c:spPr>
                <c:marker>
                  <c:symbol val="none"/>
                </c:marker>
                <c:cat>
                  <c:strRef>
                    <c:extLst xmlns:c15="http://schemas.microsoft.com/office/drawing/2012/chart">
                      <c:ext xmlns:c15="http://schemas.microsoft.com/office/drawing/2012/chart" uri="{02D57815-91ED-43cb-92C2-25804820EDAC}">
                        <c15:formulaRef>
                          <c15:sqref>'I1. GHG emissions'!$D$2:$AW$2</c15:sqref>
                        </c15:formulaRef>
                      </c:ext>
                    </c:extLst>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extLst xmlns:c15="http://schemas.microsoft.com/office/drawing/2012/chart">
                      <c:ext xmlns:c15="http://schemas.microsoft.com/office/drawing/2012/chart" uri="{02D57815-91ED-43cb-92C2-25804820EDAC}">
                        <c15:formulaRef>
                          <c15:sqref>'I1. GHG emissions'!$D$10:$AW$10</c15:sqref>
                        </c15:formulaRef>
                      </c:ext>
                    </c:extLst>
                    <c:numCache>
                      <c:formatCode>#,##0</c:formatCode>
                      <c:ptCount val="46"/>
                      <c:pt idx="17">
                        <c:v>605.55116176000001</c:v>
                      </c:pt>
                      <c:pt idx="18">
                        <c:v>589.09820294442875</c:v>
                      </c:pt>
                      <c:pt idx="19">
                        <c:v>572.64524412885737</c:v>
                      </c:pt>
                      <c:pt idx="20">
                        <c:v>556.19228531328599</c:v>
                      </c:pt>
                      <c:pt idx="21">
                        <c:v>539.73932649771473</c:v>
                      </c:pt>
                      <c:pt idx="22">
                        <c:v>523.28636768214335</c:v>
                      </c:pt>
                      <c:pt idx="23">
                        <c:v>506.83340886657203</c:v>
                      </c:pt>
                      <c:pt idx="24">
                        <c:v>490.38045005100071</c:v>
                      </c:pt>
                      <c:pt idx="25">
                        <c:v>473.92749123542927</c:v>
                      </c:pt>
                      <c:pt idx="26">
                        <c:v>453.60611667365777</c:v>
                      </c:pt>
                      <c:pt idx="27">
                        <c:v>433.28474211188632</c:v>
                      </c:pt>
                      <c:pt idx="28">
                        <c:v>412.96336755011487</c:v>
                      </c:pt>
                      <c:pt idx="29">
                        <c:v>392.64199298834342</c:v>
                      </c:pt>
                      <c:pt idx="30">
                        <c:v>372.32061842657197</c:v>
                      </c:pt>
                      <c:pt idx="31">
                        <c:v>351.99924386480046</c:v>
                      </c:pt>
                      <c:pt idx="32">
                        <c:v>331.67786930302901</c:v>
                      </c:pt>
                      <c:pt idx="33">
                        <c:v>311.35649474125756</c:v>
                      </c:pt>
                      <c:pt idx="34">
                        <c:v>291.03512017948606</c:v>
                      </c:pt>
                      <c:pt idx="35">
                        <c:v>270.71374561771461</c:v>
                      </c:pt>
                      <c:pt idx="36">
                        <c:v>250.39237105594316</c:v>
                      </c:pt>
                      <c:pt idx="37">
                        <c:v>230.07099649417171</c:v>
                      </c:pt>
                      <c:pt idx="38">
                        <c:v>209.7496219324002</c:v>
                      </c:pt>
                      <c:pt idx="39">
                        <c:v>189.42824737062875</c:v>
                      </c:pt>
                      <c:pt idx="40">
                        <c:v>169.1068728088573</c:v>
                      </c:pt>
                      <c:pt idx="41">
                        <c:v>148.78549824708585</c:v>
                      </c:pt>
                      <c:pt idx="42">
                        <c:v>128.46412368531441</c:v>
                      </c:pt>
                      <c:pt idx="43">
                        <c:v>108.1427491235429</c:v>
                      </c:pt>
                      <c:pt idx="44">
                        <c:v>87.821374561771449</c:v>
                      </c:pt>
                      <c:pt idx="45">
                        <c:v>67.5</c:v>
                      </c:pt>
                    </c:numCache>
                  </c:numRef>
                </c:val>
                <c:smooth val="0"/>
                <c:extLst xmlns:c15="http://schemas.microsoft.com/office/drawing/2012/chart">
                  <c:ext xmlns:c16="http://schemas.microsoft.com/office/drawing/2014/chart" uri="{C3380CC4-5D6E-409C-BE32-E72D297353CC}">
                    <c16:uniqueId val="{00000006-C40E-4239-8F1A-BF8E84742E82}"/>
                  </c:ext>
                </c:extLst>
              </c15:ser>
            </c15:filteredLineSeries>
          </c:ext>
        </c:extLst>
      </c:lineChart>
      <c:catAx>
        <c:axId val="145900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DK"/>
          </a:p>
        </c:txPr>
        <c:crossAx val="1459005503"/>
        <c:crosses val="autoZero"/>
        <c:auto val="1"/>
        <c:lblAlgn val="ctr"/>
        <c:lblOffset val="100"/>
        <c:noMultiLvlLbl val="0"/>
      </c:catAx>
      <c:valAx>
        <c:axId val="1459005503"/>
        <c:scaling>
          <c:orientation val="minMax"/>
          <c:max val="1000"/>
          <c:min val="0"/>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b="1"/>
                  <a:t>Mt CO2e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D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DK"/>
          </a:p>
        </c:txPr>
        <c:crossAx val="1459007903"/>
        <c:crosses val="autoZero"/>
        <c:crossBetween val="between"/>
        <c:majorUnit val="250"/>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932546811024255E-2"/>
          <c:y val="2.3891749680306756E-2"/>
          <c:w val="0.62950203104011915"/>
          <c:h val="0.89786794352705246"/>
        </c:manualLayout>
      </c:layout>
      <c:barChart>
        <c:barDir val="col"/>
        <c:grouping val="stacked"/>
        <c:varyColors val="0"/>
        <c:dLbls>
          <c:showLegendKey val="0"/>
          <c:showVal val="0"/>
          <c:showCatName val="0"/>
          <c:showSerName val="0"/>
          <c:showPercent val="0"/>
          <c:showBubbleSize val="0"/>
        </c:dLbls>
        <c:gapWidth val="219"/>
        <c:overlap val="100"/>
        <c:axId val="1459007903"/>
        <c:axId val="1459005503"/>
        <c:extLst>
          <c:ext xmlns:c15="http://schemas.microsoft.com/office/drawing/2012/chart" uri="{02D57815-91ED-43cb-92C2-25804820EDAC}">
            <c15:filteredBarSeries>
              <c15:ser>
                <c:idx val="15"/>
                <c:order val="8"/>
                <c:tx>
                  <c:strRef>
                    <c:extLst>
                      <c:ext uri="{02D57815-91ED-43cb-92C2-25804820EDAC}">
                        <c15:formulaRef>
                          <c15:sqref>'I1. GHG emissions'!$A$15</c15:sqref>
                        </c15:formulaRef>
                      </c:ext>
                    </c:extLst>
                    <c:strCache>
                      <c:ptCount val="1"/>
                      <c:pt idx="0">
                        <c:v>2040 advice scenarios (CO2 only)</c:v>
                      </c:pt>
                    </c:strCache>
                  </c:strRef>
                </c:tx>
                <c:spPr>
                  <a:solidFill>
                    <a:srgbClr val="EFE973"/>
                  </a:solidFill>
                  <a:ln>
                    <a:noFill/>
                  </a:ln>
                  <a:effectLst/>
                </c:spPr>
                <c:invertIfNegative val="0"/>
                <c:cat>
                  <c:strRef>
                    <c:extLst>
                      <c:ext uri="{02D57815-91ED-43cb-92C2-25804820EDAC}">
                        <c15:formulaRef>
                          <c15:sqref>'I1. GHG emissions'!$D$2:$AW$2</c15:sqref>
                        </c15:formulaRef>
                      </c:ext>
                    </c:extLst>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extLst>
                      <c:ext uri="{02D57815-91ED-43cb-92C2-25804820EDAC}">
                        <c15:formulaRef>
                          <c15:sqref>'I1. GHG emissions'!$D$15:$AW$15</c15:sqref>
                        </c15:formulaRef>
                      </c:ext>
                    </c:extLst>
                    <c:numCache>
                      <c:formatCode>#,##0</c:formatCode>
                      <c:ptCount val="46"/>
                      <c:pt idx="35">
                        <c:v>129</c:v>
                      </c:pt>
                      <c:pt idx="45">
                        <c:v>21.707699999999999</c:v>
                      </c:pt>
                    </c:numCache>
                  </c:numRef>
                </c:val>
                <c:extLst>
                  <c:ext xmlns:c16="http://schemas.microsoft.com/office/drawing/2014/chart" uri="{C3380CC4-5D6E-409C-BE32-E72D297353CC}">
                    <c16:uniqueId val="{00000000-6AEB-4613-B238-BFAB26094276}"/>
                  </c:ext>
                </c:extLst>
              </c15:ser>
            </c15:filteredBarSeries>
          </c:ext>
        </c:extLst>
      </c:barChart>
      <c:barChart>
        <c:barDir val="col"/>
        <c:grouping val="stacked"/>
        <c:varyColors val="0"/>
        <c:ser>
          <c:idx val="1"/>
          <c:order val="1"/>
          <c:tx>
            <c:strRef>
              <c:f>'I1. GHG emissions'!$A$5</c:f>
              <c:strCache>
                <c:ptCount val="1"/>
                <c:pt idx="0">
                  <c:v>Iron and steel</c:v>
                </c:pt>
              </c:strCache>
            </c:strRef>
          </c:tx>
          <c:spPr>
            <a:solidFill>
              <a:srgbClr val="3D5584"/>
            </a:solidFill>
            <a:ln>
              <a:noFill/>
            </a:ln>
            <a:effectLst/>
          </c:spPr>
          <c:invertIfNegative val="0"/>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emissions'!$D$5:$AW$5</c:f>
              <c:numCache>
                <c:formatCode>#,##0</c:formatCode>
                <c:ptCount val="46"/>
                <c:pt idx="0">
                  <c:v>193.15412946216313</c:v>
                </c:pt>
                <c:pt idx="1">
                  <c:v>198.50065922816287</c:v>
                </c:pt>
                <c:pt idx="2">
                  <c:v>201.86983712006455</c:v>
                </c:pt>
                <c:pt idx="3">
                  <c:v>186.83827584807668</c:v>
                </c:pt>
                <c:pt idx="4">
                  <c:v>129.57683584178383</c:v>
                </c:pt>
                <c:pt idx="5">
                  <c:v>162.1331940215793</c:v>
                </c:pt>
                <c:pt idx="6">
                  <c:v>158.78095307233838</c:v>
                </c:pt>
                <c:pt idx="7">
                  <c:v>149.00263628651714</c:v>
                </c:pt>
                <c:pt idx="8">
                  <c:v>146.58641637442801</c:v>
                </c:pt>
                <c:pt idx="9">
                  <c:v>147.29970275758265</c:v>
                </c:pt>
                <c:pt idx="10">
                  <c:v>153.12719091307923</c:v>
                </c:pt>
                <c:pt idx="11">
                  <c:v>152.14899184908688</c:v>
                </c:pt>
                <c:pt idx="12">
                  <c:v>155.3325935740678</c:v>
                </c:pt>
                <c:pt idx="13">
                  <c:v>152.4799965457901</c:v>
                </c:pt>
                <c:pt idx="14">
                  <c:v>145.36341629684426</c:v>
                </c:pt>
                <c:pt idx="15">
                  <c:v>126.99395379015225</c:v>
                </c:pt>
                <c:pt idx="16">
                  <c:v>147.01485496641223</c:v>
                </c:pt>
              </c:numCache>
            </c:numRef>
          </c:val>
          <c:extLst>
            <c:ext xmlns:c16="http://schemas.microsoft.com/office/drawing/2014/chart" uri="{C3380CC4-5D6E-409C-BE32-E72D297353CC}">
              <c16:uniqueId val="{00000001-6AEB-4613-B238-BFAB26094276}"/>
            </c:ext>
          </c:extLst>
        </c:ser>
        <c:ser>
          <c:idx val="2"/>
          <c:order val="2"/>
          <c:tx>
            <c:strRef>
              <c:f>'I1. GHG emissions'!$A$6</c:f>
              <c:strCache>
                <c:ptCount val="1"/>
                <c:pt idx="0">
                  <c:v>Chemicals</c:v>
                </c:pt>
              </c:strCache>
            </c:strRef>
          </c:tx>
          <c:spPr>
            <a:solidFill>
              <a:srgbClr val="F26119"/>
            </a:solidFill>
            <a:ln>
              <a:noFill/>
            </a:ln>
            <a:effectLst/>
          </c:spPr>
          <c:invertIfNegative val="0"/>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emissions'!$D$6:$AW$6</c:f>
              <c:numCache>
                <c:formatCode>#,##0</c:formatCode>
                <c:ptCount val="46"/>
                <c:pt idx="0">
                  <c:v>194.7029959335315</c:v>
                </c:pt>
                <c:pt idx="1">
                  <c:v>181.20545226978746</c:v>
                </c:pt>
                <c:pt idx="2">
                  <c:v>182.77373281402927</c:v>
                </c:pt>
                <c:pt idx="3">
                  <c:v>171.13871521704434</c:v>
                </c:pt>
                <c:pt idx="4">
                  <c:v>144.65984201607054</c:v>
                </c:pt>
                <c:pt idx="5">
                  <c:v>144.54892736036399</c:v>
                </c:pt>
                <c:pt idx="6">
                  <c:v>140.6777019367884</c:v>
                </c:pt>
                <c:pt idx="7">
                  <c:v>134.88674440518045</c:v>
                </c:pt>
                <c:pt idx="8">
                  <c:v>129.80677160048646</c:v>
                </c:pt>
                <c:pt idx="9">
                  <c:v>123.72561658297994</c:v>
                </c:pt>
                <c:pt idx="10">
                  <c:v>122.30839805762737</c:v>
                </c:pt>
                <c:pt idx="11">
                  <c:v>121.9818101568775</c:v>
                </c:pt>
                <c:pt idx="12">
                  <c:v>127.45008308844743</c:v>
                </c:pt>
                <c:pt idx="13">
                  <c:v>127.87767968904043</c:v>
                </c:pt>
                <c:pt idx="14">
                  <c:v>121.31098070921099</c:v>
                </c:pt>
                <c:pt idx="15">
                  <c:v>120.89259934682484</c:v>
                </c:pt>
                <c:pt idx="16">
                  <c:v>123.86513832614585</c:v>
                </c:pt>
              </c:numCache>
            </c:numRef>
          </c:val>
          <c:extLst>
            <c:ext xmlns:c16="http://schemas.microsoft.com/office/drawing/2014/chart" uri="{C3380CC4-5D6E-409C-BE32-E72D297353CC}">
              <c16:uniqueId val="{00000002-6AEB-4613-B238-BFAB26094276}"/>
            </c:ext>
          </c:extLst>
        </c:ser>
        <c:ser>
          <c:idx val="3"/>
          <c:order val="3"/>
          <c:tx>
            <c:strRef>
              <c:f>'I1. GHG emissions'!$A$7</c:f>
              <c:strCache>
                <c:ptCount val="1"/>
                <c:pt idx="0">
                  <c:v>Cement</c:v>
                </c:pt>
              </c:strCache>
            </c:strRef>
          </c:tx>
          <c:spPr>
            <a:solidFill>
              <a:srgbClr val="608C95"/>
            </a:solidFill>
            <a:ln>
              <a:noFill/>
            </a:ln>
            <a:effectLst/>
          </c:spPr>
          <c:invertIfNegative val="0"/>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emissions'!$D$7:$AW$7</c:f>
              <c:numCache>
                <c:formatCode>#,##0</c:formatCode>
                <c:ptCount val="46"/>
                <c:pt idx="0">
                  <c:v>143.411945</c:v>
                </c:pt>
                <c:pt idx="1">
                  <c:v>147.15260599999999</c:v>
                </c:pt>
                <c:pt idx="2">
                  <c:v>163.114981</c:v>
                </c:pt>
                <c:pt idx="3">
                  <c:v>150.48990599999999</c:v>
                </c:pt>
                <c:pt idx="4">
                  <c:v>121.311887</c:v>
                </c:pt>
                <c:pt idx="5">
                  <c:v>119.34111800000001</c:v>
                </c:pt>
                <c:pt idx="6">
                  <c:v>116.976625</c:v>
                </c:pt>
                <c:pt idx="7">
                  <c:v>109.895055</c:v>
                </c:pt>
                <c:pt idx="8">
                  <c:v>105.817395</c:v>
                </c:pt>
                <c:pt idx="9">
                  <c:v>110.73125</c:v>
                </c:pt>
                <c:pt idx="10">
                  <c:v>109.01402800000001</c:v>
                </c:pt>
                <c:pt idx="11">
                  <c:v>109.10977899999999</c:v>
                </c:pt>
                <c:pt idx="12">
                  <c:v>111.867166</c:v>
                </c:pt>
                <c:pt idx="13">
                  <c:v>113.69557399999999</c:v>
                </c:pt>
                <c:pt idx="14">
                  <c:v>113.098703</c:v>
                </c:pt>
                <c:pt idx="15">
                  <c:v>107.41644700000001</c:v>
                </c:pt>
                <c:pt idx="16">
                  <c:v>110.22327199999999</c:v>
                </c:pt>
              </c:numCache>
            </c:numRef>
          </c:val>
          <c:extLst>
            <c:ext xmlns:c16="http://schemas.microsoft.com/office/drawing/2014/chart" uri="{C3380CC4-5D6E-409C-BE32-E72D297353CC}">
              <c16:uniqueId val="{00000003-6AEB-4613-B238-BFAB26094276}"/>
            </c:ext>
          </c:extLst>
        </c:ser>
        <c:ser>
          <c:idx val="4"/>
          <c:order val="4"/>
          <c:tx>
            <c:strRef>
              <c:f>'I1. GHG emissions'!$A$8</c:f>
              <c:strCache>
                <c:ptCount val="1"/>
                <c:pt idx="0">
                  <c:v>Other sub-sectors</c:v>
                </c:pt>
              </c:strCache>
            </c:strRef>
          </c:tx>
          <c:spPr>
            <a:solidFill>
              <a:srgbClr val="98C9EE"/>
            </a:solidFill>
            <a:ln>
              <a:noFill/>
            </a:ln>
            <a:effectLst/>
          </c:spPr>
          <c:invertIfNegative val="0"/>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emissions'!$D$8:$AW$8</c:f>
              <c:numCache>
                <c:formatCode>#,##0</c:formatCode>
                <c:ptCount val="46"/>
                <c:pt idx="0">
                  <c:v>450.00468636204272</c:v>
                </c:pt>
                <c:pt idx="1">
                  <c:v>446.92774685198208</c:v>
                </c:pt>
                <c:pt idx="2">
                  <c:v>447.85958361411798</c:v>
                </c:pt>
                <c:pt idx="3">
                  <c:v>443.87154979852858</c:v>
                </c:pt>
                <c:pt idx="4">
                  <c:v>393.8797413982042</c:v>
                </c:pt>
                <c:pt idx="5">
                  <c:v>412.79120331113398</c:v>
                </c:pt>
                <c:pt idx="6">
                  <c:v>409.71817440897496</c:v>
                </c:pt>
                <c:pt idx="7">
                  <c:v>401.8859988501078</c:v>
                </c:pt>
                <c:pt idx="8">
                  <c:v>393.32175805779377</c:v>
                </c:pt>
                <c:pt idx="9">
                  <c:v>387.40882694048588</c:v>
                </c:pt>
                <c:pt idx="10">
                  <c:v>384.39942833978625</c:v>
                </c:pt>
                <c:pt idx="11">
                  <c:v>392.97908963167606</c:v>
                </c:pt>
                <c:pt idx="12">
                  <c:v>396.38625697976738</c:v>
                </c:pt>
                <c:pt idx="13">
                  <c:v>391.22335760353792</c:v>
                </c:pt>
                <c:pt idx="14">
                  <c:v>380.35502940994945</c:v>
                </c:pt>
                <c:pt idx="15">
                  <c:v>364.29732888283945</c:v>
                </c:pt>
                <c:pt idx="16">
                  <c:v>376.37082850348185</c:v>
                </c:pt>
              </c:numCache>
            </c:numRef>
          </c:val>
          <c:extLst>
            <c:ext xmlns:c16="http://schemas.microsoft.com/office/drawing/2014/chart" uri="{C3380CC4-5D6E-409C-BE32-E72D297353CC}">
              <c16:uniqueId val="{00000004-6AEB-4613-B238-BFAB26094276}"/>
            </c:ext>
          </c:extLst>
        </c:ser>
        <c:dLbls>
          <c:showLegendKey val="0"/>
          <c:showVal val="0"/>
          <c:showCatName val="0"/>
          <c:showSerName val="0"/>
          <c:showPercent val="0"/>
          <c:showBubbleSize val="0"/>
        </c:dLbls>
        <c:gapWidth val="150"/>
        <c:overlap val="100"/>
        <c:axId val="1459007903"/>
        <c:axId val="1459005503"/>
        <c:extLst>
          <c:ext xmlns:c15="http://schemas.microsoft.com/office/drawing/2012/chart" uri="{02D57815-91ED-43cb-92C2-25804820EDAC}">
            <c15:filteredBarSeries>
              <c15:ser>
                <c:idx val="7"/>
                <c:order val="9"/>
                <c:tx>
                  <c:strRef>
                    <c:extLst>
                      <c:ext uri="{02D57815-91ED-43cb-92C2-25804820EDAC}">
                        <c15:formulaRef>
                          <c15:sqref>'I1. GHG emissions'!$A$16</c15:sqref>
                        </c15:formulaRef>
                      </c:ext>
                    </c:extLst>
                    <c:strCache>
                      <c:ptCount val="1"/>
                      <c:pt idx="0">
                        <c:v>2040 advice min</c:v>
                      </c:pt>
                    </c:strCache>
                  </c:strRef>
                </c:tx>
                <c:spPr>
                  <a:solidFill>
                    <a:schemeClr val="bg1"/>
                  </a:solidFill>
                  <a:ln>
                    <a:noFill/>
                  </a:ln>
                  <a:effectLst/>
                </c:spPr>
                <c:invertIfNegative val="0"/>
                <c:cat>
                  <c:strRef>
                    <c:extLst>
                      <c:ext uri="{02D57815-91ED-43cb-92C2-25804820EDAC}">
                        <c15:formulaRef>
                          <c15:sqref>'I1. GHG emissions'!$D$2:$AW$2</c15:sqref>
                        </c15:formulaRef>
                      </c:ext>
                    </c:extLst>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extLst>
                      <c:ext uri="{02D57815-91ED-43cb-92C2-25804820EDAC}">
                        <c15:formulaRef>
                          <c15:sqref>'I1. GHG emissions'!$D$16:$AW$16</c15:sqref>
                        </c15:formulaRef>
                      </c:ext>
                    </c:extLst>
                    <c:numCache>
                      <c:formatCode>#,##0</c:formatCode>
                      <c:ptCount val="46"/>
                      <c:pt idx="35">
                        <c:v>89</c:v>
                      </c:pt>
                      <c:pt idx="45">
                        <c:v>5.2356999999999978</c:v>
                      </c:pt>
                    </c:numCache>
                  </c:numRef>
                </c:val>
                <c:extLst>
                  <c:ext xmlns:c16="http://schemas.microsoft.com/office/drawing/2014/chart" uri="{C3380CC4-5D6E-409C-BE32-E72D297353CC}">
                    <c16:uniqueId val="{00000005-6AEB-4613-B238-BFAB26094276}"/>
                  </c:ext>
                </c:extLst>
              </c15:ser>
            </c15:filteredBarSeries>
          </c:ext>
        </c:extLst>
      </c:barChart>
      <c:lineChart>
        <c:grouping val="standard"/>
        <c:varyColors val="0"/>
        <c:ser>
          <c:idx val="0"/>
          <c:order val="0"/>
          <c:tx>
            <c:strRef>
              <c:f>'I1. GHG emissions'!$A$3</c:f>
              <c:strCache>
                <c:ptCount val="1"/>
                <c:pt idx="0">
                  <c:v>Total</c:v>
                </c:pt>
              </c:strCache>
            </c:strRef>
          </c:tx>
          <c:spPr>
            <a:ln w="19050" cap="rnd">
              <a:solidFill>
                <a:sysClr val="windowText" lastClr="000000"/>
              </a:solidFill>
              <a:round/>
            </a:ln>
            <a:effectLst/>
          </c:spPr>
          <c:marker>
            <c:symbol val="none"/>
          </c:marker>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emissions'!$D$3:$AW$3</c:f>
              <c:numCache>
                <c:formatCode>#,##0</c:formatCode>
                <c:ptCount val="46"/>
                <c:pt idx="0">
                  <c:v>981.27375675773737</c:v>
                </c:pt>
                <c:pt idx="1">
                  <c:v>973.78646434993243</c:v>
                </c:pt>
                <c:pt idx="2">
                  <c:v>995.61813454821174</c:v>
                </c:pt>
                <c:pt idx="3">
                  <c:v>952.33844686364966</c:v>
                </c:pt>
                <c:pt idx="4">
                  <c:v>789.42830625605859</c:v>
                </c:pt>
                <c:pt idx="5">
                  <c:v>838.81444269307735</c:v>
                </c:pt>
                <c:pt idx="6">
                  <c:v>826.15345441810177</c:v>
                </c:pt>
                <c:pt idx="7">
                  <c:v>795.67043454180543</c:v>
                </c:pt>
                <c:pt idx="8">
                  <c:v>775.53234103270825</c:v>
                </c:pt>
                <c:pt idx="9">
                  <c:v>769.1653962810484</c:v>
                </c:pt>
                <c:pt idx="10">
                  <c:v>768.8490453104929</c:v>
                </c:pt>
                <c:pt idx="11">
                  <c:v>776.21967063764043</c:v>
                </c:pt>
                <c:pt idx="12">
                  <c:v>791.03609964228258</c:v>
                </c:pt>
                <c:pt idx="13">
                  <c:v>785.27660783836836</c:v>
                </c:pt>
                <c:pt idx="14">
                  <c:v>760.12812941600464</c:v>
                </c:pt>
                <c:pt idx="15">
                  <c:v>719.60032901981651</c:v>
                </c:pt>
                <c:pt idx="16">
                  <c:v>757.47409379603994</c:v>
                </c:pt>
                <c:pt idx="17">
                  <c:v>691.32881325000005</c:v>
                </c:pt>
              </c:numCache>
            </c:numRef>
          </c:val>
          <c:smooth val="0"/>
          <c:extLst>
            <c:ext xmlns:c16="http://schemas.microsoft.com/office/drawing/2014/chart" uri="{C3380CC4-5D6E-409C-BE32-E72D297353CC}">
              <c16:uniqueId val="{00000006-6AEB-4613-B238-BFAB26094276}"/>
            </c:ext>
          </c:extLst>
        </c:ser>
        <c:ser>
          <c:idx val="10"/>
          <c:order val="5"/>
          <c:tx>
            <c:strRef>
              <c:f>'I1. GHG emissions'!$A$9</c:f>
              <c:strCache>
                <c:ptCount val="1"/>
                <c:pt idx="0">
                  <c:v>linear trajector to benchmarks</c:v>
                </c:pt>
              </c:strCache>
            </c:strRef>
          </c:tx>
          <c:spPr>
            <a:ln w="12700" cap="rnd">
              <a:solidFill>
                <a:sysClr val="windowText" lastClr="000000"/>
              </a:solidFill>
              <a:prstDash val="sysDot"/>
              <a:round/>
            </a:ln>
            <a:effectLst/>
          </c:spPr>
          <c:marker>
            <c:symbol val="none"/>
          </c:marker>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emissions'!$D$9:$AW$9</c:f>
              <c:numCache>
                <c:formatCode>#,##0</c:formatCode>
                <c:ptCount val="46"/>
                <c:pt idx="17">
                  <c:v>691.32881325000005</c:v>
                </c:pt>
                <c:pt idx="18">
                  <c:v>666.96469936526614</c:v>
                </c:pt>
                <c:pt idx="19">
                  <c:v>642.60058548053212</c:v>
                </c:pt>
                <c:pt idx="20">
                  <c:v>618.23647159579821</c:v>
                </c:pt>
                <c:pt idx="21">
                  <c:v>593.8723577110643</c:v>
                </c:pt>
                <c:pt idx="22">
                  <c:v>569.50824382633039</c:v>
                </c:pt>
                <c:pt idx="23">
                  <c:v>545.14412994159647</c:v>
                </c:pt>
                <c:pt idx="24">
                  <c:v>520.78001605686245</c:v>
                </c:pt>
                <c:pt idx="25">
                  <c:v>496.41590217212837</c:v>
                </c:pt>
                <c:pt idx="26">
                  <c:v>475.47010706352194</c:v>
                </c:pt>
                <c:pt idx="27">
                  <c:v>454.52431195491556</c:v>
                </c:pt>
                <c:pt idx="28">
                  <c:v>433.57851684630913</c:v>
                </c:pt>
                <c:pt idx="29">
                  <c:v>412.6327217377027</c:v>
                </c:pt>
                <c:pt idx="30">
                  <c:v>391.68692662909632</c:v>
                </c:pt>
                <c:pt idx="31">
                  <c:v>370.74113152048989</c:v>
                </c:pt>
                <c:pt idx="32">
                  <c:v>349.79533641188345</c:v>
                </c:pt>
                <c:pt idx="33">
                  <c:v>328.84954130327702</c:v>
                </c:pt>
                <c:pt idx="34">
                  <c:v>307.90374619467059</c:v>
                </c:pt>
                <c:pt idx="35">
                  <c:v>286.95795108606421</c:v>
                </c:pt>
                <c:pt idx="36">
                  <c:v>266.01215597745778</c:v>
                </c:pt>
                <c:pt idx="37">
                  <c:v>245.06636086885135</c:v>
                </c:pt>
                <c:pt idx="38">
                  <c:v>224.12056576024497</c:v>
                </c:pt>
                <c:pt idx="39">
                  <c:v>203.17477065163854</c:v>
                </c:pt>
                <c:pt idx="40">
                  <c:v>182.22897554303211</c:v>
                </c:pt>
                <c:pt idx="41">
                  <c:v>161.28318043442567</c:v>
                </c:pt>
                <c:pt idx="42">
                  <c:v>140.33738532581924</c:v>
                </c:pt>
                <c:pt idx="43">
                  <c:v>119.39159021721287</c:v>
                </c:pt>
                <c:pt idx="44">
                  <c:v>98.445795108606433</c:v>
                </c:pt>
                <c:pt idx="45">
                  <c:v>77.5</c:v>
                </c:pt>
              </c:numCache>
            </c:numRef>
          </c:val>
          <c:smooth val="0"/>
          <c:extLst>
            <c:ext xmlns:c16="http://schemas.microsoft.com/office/drawing/2014/chart" uri="{C3380CC4-5D6E-409C-BE32-E72D297353CC}">
              <c16:uniqueId val="{00000008-6AEB-4613-B238-BFAB26094276}"/>
            </c:ext>
          </c:extLst>
        </c:ser>
        <c:ser>
          <c:idx val="11"/>
          <c:order val="6"/>
          <c:tx>
            <c:strRef>
              <c:f>'I1. GHG emissions'!$A$11</c:f>
              <c:strCache>
                <c:ptCount val="1"/>
                <c:pt idx="0">
                  <c:v>2030 benchmark</c:v>
                </c:pt>
              </c:strCache>
            </c:strRef>
          </c:tx>
          <c:spPr>
            <a:ln w="28575" cap="rnd">
              <a:noFill/>
              <a:round/>
            </a:ln>
            <a:effectLst/>
          </c:spPr>
          <c:marker>
            <c:symbol val="circle"/>
            <c:size val="8"/>
            <c:spPr>
              <a:solidFill>
                <a:srgbClr val="F26119"/>
              </a:solidFill>
              <a:ln w="9525">
                <a:noFill/>
              </a:ln>
              <a:effectLst/>
            </c:spPr>
          </c:marker>
          <c:dPt>
            <c:idx val="20"/>
            <c:marker>
              <c:symbol val="circle"/>
              <c:size val="8"/>
              <c:spPr>
                <a:solidFill>
                  <a:srgbClr val="F26119"/>
                </a:solidFill>
                <a:ln w="9525">
                  <a:noFill/>
                </a:ln>
                <a:effectLst/>
              </c:spPr>
            </c:marker>
            <c:bubble3D val="0"/>
            <c:extLst>
              <c:ext xmlns:c16="http://schemas.microsoft.com/office/drawing/2014/chart" uri="{C3380CC4-5D6E-409C-BE32-E72D297353CC}">
                <c16:uniqueId val="{00000009-6AEB-4613-B238-BFAB26094276}"/>
              </c:ext>
            </c:extLst>
          </c:dPt>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emissions'!$D$11:$AW$11</c:f>
              <c:numCache>
                <c:formatCode>#,##0</c:formatCode>
                <c:ptCount val="46"/>
                <c:pt idx="25">
                  <c:v>496.41590217212865</c:v>
                </c:pt>
              </c:numCache>
            </c:numRef>
          </c:val>
          <c:smooth val="0"/>
          <c:extLst>
            <c:ext xmlns:c16="http://schemas.microsoft.com/office/drawing/2014/chart" uri="{C3380CC4-5D6E-409C-BE32-E72D297353CC}">
              <c16:uniqueId val="{0000000A-6AEB-4613-B238-BFAB26094276}"/>
            </c:ext>
          </c:extLst>
        </c:ser>
        <c:ser>
          <c:idx val="14"/>
          <c:order val="7"/>
          <c:tx>
            <c:strRef>
              <c:f>'I1. GHG emissions'!$A$13</c:f>
              <c:strCache>
                <c:ptCount val="1"/>
                <c:pt idx="0">
                  <c:v>2050 benchmark</c:v>
                </c:pt>
              </c:strCache>
            </c:strRef>
          </c:tx>
          <c:spPr>
            <a:ln w="28575" cap="rnd">
              <a:noFill/>
              <a:round/>
            </a:ln>
            <a:effectLst/>
          </c:spPr>
          <c:marker>
            <c:symbol val="circle"/>
            <c:size val="8"/>
            <c:spPr>
              <a:solidFill>
                <a:srgbClr val="3D5584"/>
              </a:solidFill>
              <a:ln w="9525">
                <a:noFill/>
              </a:ln>
              <a:effectLst/>
            </c:spPr>
          </c:marker>
          <c:dPt>
            <c:idx val="45"/>
            <c:marker>
              <c:symbol val="circle"/>
              <c:size val="8"/>
              <c:spPr>
                <a:solidFill>
                  <a:srgbClr val="3D5584"/>
                </a:solidFill>
                <a:ln w="9525">
                  <a:noFill/>
                </a:ln>
                <a:effectLst/>
              </c:spPr>
            </c:marker>
            <c:bubble3D val="0"/>
            <c:extLst>
              <c:ext xmlns:c16="http://schemas.microsoft.com/office/drawing/2014/chart" uri="{C3380CC4-5D6E-409C-BE32-E72D297353CC}">
                <c16:uniqueId val="{0000000C-6AEB-4613-B238-BFAB26094276}"/>
              </c:ext>
            </c:extLst>
          </c:dPt>
          <c:cat>
            <c:strRef>
              <c:f>'I1. GHG emissions'!$D$2:$AW$2</c:f>
              <c:strCache>
                <c:ptCount val="46"/>
                <c:pt idx="0">
                  <c:v>2005</c:v>
                </c:pt>
                <c:pt idx="5">
                  <c:v>2010</c:v>
                </c:pt>
                <c:pt idx="10">
                  <c:v>2015</c:v>
                </c:pt>
                <c:pt idx="15">
                  <c:v>2020</c:v>
                </c:pt>
                <c:pt idx="20">
                  <c:v>2025</c:v>
                </c:pt>
                <c:pt idx="25">
                  <c:v>2030</c:v>
                </c:pt>
                <c:pt idx="30">
                  <c:v>2035</c:v>
                </c:pt>
                <c:pt idx="35">
                  <c:v>2040</c:v>
                </c:pt>
                <c:pt idx="40">
                  <c:v>2045</c:v>
                </c:pt>
                <c:pt idx="45">
                  <c:v>2050</c:v>
                </c:pt>
              </c:strCache>
            </c:strRef>
          </c:cat>
          <c:val>
            <c:numRef>
              <c:f>'I1. GHG emissions'!$D$13:$AW$13</c:f>
              <c:numCache>
                <c:formatCode>#,##0</c:formatCode>
                <c:ptCount val="46"/>
                <c:pt idx="45">
                  <c:v>77.5</c:v>
                </c:pt>
              </c:numCache>
            </c:numRef>
          </c:val>
          <c:smooth val="0"/>
          <c:extLst>
            <c:ext xmlns:c16="http://schemas.microsoft.com/office/drawing/2014/chart" uri="{C3380CC4-5D6E-409C-BE32-E72D297353CC}">
              <c16:uniqueId val="{0000000D-6AEB-4613-B238-BFAB26094276}"/>
            </c:ext>
          </c:extLst>
        </c:ser>
        <c:dLbls>
          <c:showLegendKey val="0"/>
          <c:showVal val="0"/>
          <c:showCatName val="0"/>
          <c:showSerName val="0"/>
          <c:showPercent val="0"/>
          <c:showBubbleSize val="0"/>
        </c:dLbls>
        <c:marker val="1"/>
        <c:smooth val="0"/>
        <c:axId val="1459007903"/>
        <c:axId val="1459005503"/>
      </c:lineChart>
      <c:catAx>
        <c:axId val="145900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459005503"/>
        <c:crosses val="autoZero"/>
        <c:auto val="1"/>
        <c:lblAlgn val="ctr"/>
        <c:lblOffset val="100"/>
        <c:noMultiLvlLbl val="0"/>
      </c:catAx>
      <c:valAx>
        <c:axId val="1459005503"/>
        <c:scaling>
          <c:orientation val="minMax"/>
          <c:max val="1000"/>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Mt CO2e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459007903"/>
        <c:crosses val="autoZero"/>
        <c:crossBetween val="between"/>
        <c:majorUnit val="25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D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DK"/>
              <a:t>industry GVA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K"/>
        </a:p>
      </c:txPr>
    </c:title>
    <c:autoTitleDeleted val="0"/>
    <c:plotArea>
      <c:layout/>
      <c:lineChart>
        <c:grouping val="standard"/>
        <c:varyColors val="0"/>
        <c:ser>
          <c:idx val="0"/>
          <c:order val="0"/>
          <c:spPr>
            <a:ln w="28575" cap="rnd">
              <a:solidFill>
                <a:schemeClr val="accent1"/>
              </a:solidFill>
              <a:round/>
            </a:ln>
            <a:effectLst/>
          </c:spPr>
          <c:marker>
            <c:symbol val="none"/>
          </c:marker>
          <c:cat>
            <c:strRef>
              <c:f>'I1. GHG emissions'!$D$2:$U$2</c:f>
              <c:strCache>
                <c:ptCount val="16"/>
                <c:pt idx="0">
                  <c:v>2005</c:v>
                </c:pt>
                <c:pt idx="5">
                  <c:v>2010</c:v>
                </c:pt>
                <c:pt idx="10">
                  <c:v>2015</c:v>
                </c:pt>
                <c:pt idx="15">
                  <c:v>2020</c:v>
                </c:pt>
              </c:strCache>
            </c:strRef>
          </c:cat>
          <c:val>
            <c:numRef>
              <c:f>'I1. GHG emissions'!$D$17:$U$17</c:f>
              <c:numCache>
                <c:formatCode>#,##0.##########</c:formatCode>
                <c:ptCount val="18"/>
                <c:pt idx="0" formatCode="#,##0.000">
                  <c:v>100</c:v>
                </c:pt>
                <c:pt idx="1">
                  <c:v>101.541</c:v>
                </c:pt>
                <c:pt idx="2">
                  <c:v>103.794</c:v>
                </c:pt>
                <c:pt idx="3">
                  <c:v>106.502</c:v>
                </c:pt>
                <c:pt idx="4">
                  <c:v>107.121</c:v>
                </c:pt>
                <c:pt idx="5">
                  <c:v>106.46299999999999</c:v>
                </c:pt>
                <c:pt idx="6">
                  <c:v>107.861</c:v>
                </c:pt>
                <c:pt idx="7">
                  <c:v>109.73099999999999</c:v>
                </c:pt>
                <c:pt idx="8">
                  <c:v>110.792</c:v>
                </c:pt>
                <c:pt idx="9">
                  <c:v>110.97199999999999</c:v>
                </c:pt>
                <c:pt idx="10">
                  <c:v>114.084</c:v>
                </c:pt>
                <c:pt idx="11">
                  <c:v>114.14100000000001</c:v>
                </c:pt>
                <c:pt idx="12">
                  <c:v>114.224</c:v>
                </c:pt>
                <c:pt idx="13">
                  <c:v>115.075</c:v>
                </c:pt>
                <c:pt idx="14" formatCode="#,##0.000">
                  <c:v>117.21</c:v>
                </c:pt>
                <c:pt idx="15" formatCode="#,##0.000">
                  <c:v>118.66</c:v>
                </c:pt>
                <c:pt idx="16">
                  <c:v>121.182</c:v>
                </c:pt>
                <c:pt idx="17">
                  <c:v>133.059</c:v>
                </c:pt>
              </c:numCache>
            </c:numRef>
          </c:val>
          <c:smooth val="0"/>
          <c:extLst>
            <c:ext xmlns:c16="http://schemas.microsoft.com/office/drawing/2014/chart" uri="{C3380CC4-5D6E-409C-BE32-E72D297353CC}">
              <c16:uniqueId val="{00000000-D562-4D5E-8077-9A4BAE64AEC4}"/>
            </c:ext>
          </c:extLst>
        </c:ser>
        <c:dLbls>
          <c:showLegendKey val="0"/>
          <c:showVal val="0"/>
          <c:showCatName val="0"/>
          <c:showSerName val="0"/>
          <c:showPercent val="0"/>
          <c:showBubbleSize val="0"/>
        </c:dLbls>
        <c:smooth val="0"/>
        <c:axId val="1357661792"/>
        <c:axId val="1773525232"/>
      </c:lineChart>
      <c:catAx>
        <c:axId val="135766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773525232"/>
        <c:crosses val="autoZero"/>
        <c:auto val="1"/>
        <c:lblAlgn val="ctr"/>
        <c:lblOffset val="100"/>
        <c:noMultiLvlLbl val="0"/>
      </c:catAx>
      <c:valAx>
        <c:axId val="177352523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357661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3D5584"/>
              </a:solidFill>
              <a:ln w="19050">
                <a:solidFill>
                  <a:schemeClr val="lt1"/>
                </a:solidFill>
              </a:ln>
              <a:effectLst/>
            </c:spPr>
            <c:extLst>
              <c:ext xmlns:c16="http://schemas.microsoft.com/office/drawing/2014/chart" uri="{C3380CC4-5D6E-409C-BE32-E72D297353CC}">
                <c16:uniqueId val="{00000001-598F-4396-86C7-D6B1136C60E1}"/>
              </c:ext>
            </c:extLst>
          </c:dPt>
          <c:dPt>
            <c:idx val="1"/>
            <c:bubble3D val="0"/>
            <c:spPr>
              <a:solidFill>
                <a:srgbClr val="F26119"/>
              </a:solidFill>
              <a:ln w="19050">
                <a:solidFill>
                  <a:schemeClr val="lt1"/>
                </a:solidFill>
              </a:ln>
              <a:effectLst/>
            </c:spPr>
            <c:extLst>
              <c:ext xmlns:c16="http://schemas.microsoft.com/office/drawing/2014/chart" uri="{C3380CC4-5D6E-409C-BE32-E72D297353CC}">
                <c16:uniqueId val="{00000002-598F-4396-86C7-D6B1136C60E1}"/>
              </c:ext>
            </c:extLst>
          </c:dPt>
          <c:dPt>
            <c:idx val="2"/>
            <c:bubble3D val="0"/>
            <c:spPr>
              <a:solidFill>
                <a:srgbClr val="608C95"/>
              </a:solidFill>
              <a:ln w="19050">
                <a:solidFill>
                  <a:schemeClr val="lt1"/>
                </a:solidFill>
              </a:ln>
              <a:effectLst/>
            </c:spPr>
            <c:extLst>
              <c:ext xmlns:c16="http://schemas.microsoft.com/office/drawing/2014/chart" uri="{C3380CC4-5D6E-409C-BE32-E72D297353CC}">
                <c16:uniqueId val="{00000003-598F-4396-86C7-D6B1136C60E1}"/>
              </c:ext>
            </c:extLst>
          </c:dPt>
          <c:dPt>
            <c:idx val="3"/>
            <c:bubble3D val="0"/>
            <c:spPr>
              <a:solidFill>
                <a:srgbClr val="98C9EE"/>
              </a:solidFill>
              <a:ln w="19050">
                <a:solidFill>
                  <a:schemeClr val="lt1"/>
                </a:solidFill>
              </a:ln>
              <a:effectLst/>
            </c:spPr>
            <c:extLst>
              <c:ext xmlns:c16="http://schemas.microsoft.com/office/drawing/2014/chart" uri="{C3380CC4-5D6E-409C-BE32-E72D297353CC}">
                <c16:uniqueId val="{00000004-598F-4396-86C7-D6B1136C60E1}"/>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DK"/>
                </a:p>
              </c:txPr>
              <c:showLegendKey val="0"/>
              <c:showVal val="1"/>
              <c:showCatName val="0"/>
              <c:showSerName val="0"/>
              <c:showPercent val="1"/>
              <c:showBubbleSize val="0"/>
              <c:extLst>
                <c:ext xmlns:c16="http://schemas.microsoft.com/office/drawing/2014/chart" uri="{C3380CC4-5D6E-409C-BE32-E72D297353CC}">
                  <c16:uniqueId val="{00000001-598F-4396-86C7-D6B1136C60E1}"/>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DK"/>
                </a:p>
              </c:txPr>
              <c:showLegendKey val="0"/>
              <c:showVal val="1"/>
              <c:showCatName val="0"/>
              <c:showSerName val="0"/>
              <c:showPercent val="1"/>
              <c:showBubbleSize val="0"/>
              <c:extLst>
                <c:ext xmlns:c16="http://schemas.microsoft.com/office/drawing/2014/chart" uri="{C3380CC4-5D6E-409C-BE32-E72D297353CC}">
                  <c16:uniqueId val="{00000002-598F-4396-86C7-D6B1136C60E1}"/>
                </c:ext>
              </c:extLst>
            </c:dLbl>
            <c:dLbl>
              <c:idx val="3"/>
              <c:delete val="1"/>
              <c:extLst>
                <c:ext xmlns:c15="http://schemas.microsoft.com/office/drawing/2012/chart" uri="{CE6537A1-D6FC-4f65-9D91-7224C49458BB}"/>
                <c:ext xmlns:c16="http://schemas.microsoft.com/office/drawing/2014/chart" uri="{C3380CC4-5D6E-409C-BE32-E72D297353CC}">
                  <c16:uniqueId val="{00000004-598F-4396-86C7-D6B1136C60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'Figure 21. emissions profile'!$O$2:$O$5</c:f>
              <c:strCache>
                <c:ptCount val="4"/>
                <c:pt idx="0">
                  <c:v>Iron and steel</c:v>
                </c:pt>
                <c:pt idx="1">
                  <c:v>Chemicals</c:v>
                </c:pt>
                <c:pt idx="2">
                  <c:v>Cement</c:v>
                </c:pt>
                <c:pt idx="3">
                  <c:v>other</c:v>
                </c:pt>
              </c:strCache>
            </c:strRef>
          </c:cat>
          <c:val>
            <c:numRef>
              <c:f>'Figure 21. emissions profile'!$P$2:$P$5</c:f>
              <c:numCache>
                <c:formatCode>0</c:formatCode>
                <c:ptCount val="4"/>
                <c:pt idx="0">
                  <c:v>147.01485496641226</c:v>
                </c:pt>
                <c:pt idx="1">
                  <c:v>123.86513832614595</c:v>
                </c:pt>
                <c:pt idx="2">
                  <c:v>93.596201000000008</c:v>
                </c:pt>
                <c:pt idx="3">
                  <c:v>392.99789950348179</c:v>
                </c:pt>
              </c:numCache>
            </c:numRef>
          </c:val>
          <c:extLst>
            <c:ext xmlns:c16="http://schemas.microsoft.com/office/drawing/2014/chart" uri="{C3380CC4-5D6E-409C-BE32-E72D297353CC}">
              <c16:uniqueId val="{00000000-598F-4396-86C7-D6B1136C60E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387546678616392"/>
          <c:y val="0.32596602508019829"/>
          <c:w val="0.2738197267825182"/>
          <c:h val="0.3573272090988626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r>
              <a:rPr lang="en-US" sz="1200"/>
              <a:t>Steel</a:t>
            </a:r>
            <a:endParaRPr lang="en-DK" sz="1200"/>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endParaRPr lang="en-DK"/>
        </a:p>
      </c:txPr>
    </c:title>
    <c:autoTitleDeleted val="0"/>
    <c:plotArea>
      <c:layout/>
      <c:areaChart>
        <c:grouping val="standard"/>
        <c:varyColors val="0"/>
        <c:ser>
          <c:idx val="5"/>
          <c:order val="5"/>
          <c:tx>
            <c:strRef>
              <c:f>'I2. Production and consumption'!$A$9</c:f>
              <c:strCache>
                <c:ptCount val="1"/>
                <c:pt idx="0">
                  <c:v>Trade balance</c:v>
                </c:pt>
              </c:strCache>
            </c:strRef>
          </c:tx>
          <c:spPr>
            <a:solidFill>
              <a:srgbClr val="F26119"/>
            </a:solidFill>
            <a:ln>
              <a:noFill/>
            </a:ln>
            <a:effectLst/>
          </c:spPr>
          <c:cat>
            <c:numRef>
              <c:f>'I2. Production and consumption'!$G$2:$T$2</c:f>
              <c:numCache>
                <c:formatCode>General</c:formatCode>
                <c:ptCount val="14"/>
                <c:pt idx="2">
                  <c:v>2010</c:v>
                </c:pt>
                <c:pt idx="7">
                  <c:v>2015</c:v>
                </c:pt>
                <c:pt idx="12">
                  <c:v>2020</c:v>
                </c:pt>
              </c:numCache>
            </c:numRef>
          </c:cat>
          <c:val>
            <c:numRef>
              <c:f>'I2. Production and consumption'!$G$9:$T$9</c:f>
              <c:numCache>
                <c:formatCode>0</c:formatCode>
                <c:ptCount val="14"/>
                <c:pt idx="0">
                  <c:v>-19.023161999999999</c:v>
                </c:pt>
                <c:pt idx="1">
                  <c:v>0.14275340000000014</c:v>
                </c:pt>
                <c:pt idx="2">
                  <c:v>-2.9147615000000044</c:v>
                </c:pt>
                <c:pt idx="3">
                  <c:v>-8.4255612999999983</c:v>
                </c:pt>
                <c:pt idx="4">
                  <c:v>3.1134905999999987</c:v>
                </c:pt>
                <c:pt idx="5">
                  <c:v>-3.5133283999999989</c:v>
                </c:pt>
                <c:pt idx="6">
                  <c:v>-5.4296001999999959</c:v>
                </c:pt>
                <c:pt idx="7">
                  <c:v>-14.209899300000004</c:v>
                </c:pt>
                <c:pt idx="8">
                  <c:v>-16.215776399999999</c:v>
                </c:pt>
                <c:pt idx="9">
                  <c:v>-16.426537000000003</c:v>
                </c:pt>
                <c:pt idx="10">
                  <c:v>-23.2979138</c:v>
                </c:pt>
                <c:pt idx="11">
                  <c:v>-18.507104600000002</c:v>
                </c:pt>
                <c:pt idx="12">
                  <c:v>-15.1847767</c:v>
                </c:pt>
                <c:pt idx="13">
                  <c:v>-25.766120899999997</c:v>
                </c:pt>
              </c:numCache>
            </c:numRef>
          </c:val>
          <c:extLst>
            <c:ext xmlns:c16="http://schemas.microsoft.com/office/drawing/2014/chart" uri="{C3380CC4-5D6E-409C-BE32-E72D297353CC}">
              <c16:uniqueId val="{00000005-985C-4292-BF16-214908C63D04}"/>
            </c:ext>
          </c:extLst>
        </c:ser>
        <c:dLbls>
          <c:showLegendKey val="0"/>
          <c:showVal val="0"/>
          <c:showCatName val="0"/>
          <c:showSerName val="0"/>
          <c:showPercent val="0"/>
          <c:showBubbleSize val="0"/>
        </c:dLbls>
        <c:axId val="1168418575"/>
        <c:axId val="1168418095"/>
      </c:areaChart>
      <c:barChart>
        <c:barDir val="col"/>
        <c:grouping val="clustered"/>
        <c:varyColors val="0"/>
        <c:ser>
          <c:idx val="1"/>
          <c:order val="0"/>
          <c:tx>
            <c:strRef>
              <c:f>'I2. Production and consumption'!$A$5</c:f>
              <c:strCache>
                <c:ptCount val="1"/>
                <c:pt idx="0">
                  <c:v>Use</c:v>
                </c:pt>
              </c:strCache>
            </c:strRef>
          </c:tx>
          <c:spPr>
            <a:solidFill>
              <a:srgbClr val="3D5584"/>
            </a:solidFill>
            <a:ln>
              <a:noFill/>
            </a:ln>
            <a:effectLst/>
          </c:spPr>
          <c:invertIfNegative val="0"/>
          <c:cat>
            <c:numRef>
              <c:f>'I2. Production and consumption'!$G$2:$T$2</c:f>
              <c:numCache>
                <c:formatCode>General</c:formatCode>
                <c:ptCount val="14"/>
                <c:pt idx="2">
                  <c:v>2010</c:v>
                </c:pt>
                <c:pt idx="7">
                  <c:v>2015</c:v>
                </c:pt>
                <c:pt idx="12">
                  <c:v>2020</c:v>
                </c:pt>
              </c:numCache>
            </c:numRef>
          </c:cat>
          <c:val>
            <c:numRef>
              <c:f>'I2. Production and consumption'!$G$5:$T$5</c:f>
              <c:numCache>
                <c:formatCode>0</c:formatCode>
                <c:ptCount val="14"/>
                <c:pt idx="0">
                  <c:v>173.81100000000001</c:v>
                </c:pt>
                <c:pt idx="1">
                  <c:v>113.52</c:v>
                </c:pt>
                <c:pt idx="2">
                  <c:v>139.077</c:v>
                </c:pt>
                <c:pt idx="3">
                  <c:v>147.828</c:v>
                </c:pt>
                <c:pt idx="4">
                  <c:v>132.18</c:v>
                </c:pt>
                <c:pt idx="5">
                  <c:v>132.072</c:v>
                </c:pt>
                <c:pt idx="6">
                  <c:v>135.732</c:v>
                </c:pt>
                <c:pt idx="7">
                  <c:v>142.06800000000001</c:v>
                </c:pt>
                <c:pt idx="8">
                  <c:v>146.79599999999999</c:v>
                </c:pt>
                <c:pt idx="9">
                  <c:v>148.91999999999999</c:v>
                </c:pt>
                <c:pt idx="10">
                  <c:v>152.71199999999999</c:v>
                </c:pt>
                <c:pt idx="11">
                  <c:v>144.768</c:v>
                </c:pt>
                <c:pt idx="12">
                  <c:v>129.28800000000001</c:v>
                </c:pt>
                <c:pt idx="13">
                  <c:v>148.95599999999999</c:v>
                </c:pt>
              </c:numCache>
            </c:numRef>
          </c:val>
          <c:extLst>
            <c:ext xmlns:c16="http://schemas.microsoft.com/office/drawing/2014/chart" uri="{C3380CC4-5D6E-409C-BE32-E72D297353CC}">
              <c16:uniqueId val="{00000001-985C-4292-BF16-214908C63D04}"/>
            </c:ext>
          </c:extLst>
        </c:ser>
        <c:ser>
          <c:idx val="0"/>
          <c:order val="1"/>
          <c:tx>
            <c:strRef>
              <c:f>'I2. Production and consumption'!$A$3</c:f>
              <c:strCache>
                <c:ptCount val="1"/>
                <c:pt idx="0">
                  <c:v>Production</c:v>
                </c:pt>
              </c:strCache>
            </c:strRef>
          </c:tx>
          <c:spPr>
            <a:solidFill>
              <a:srgbClr val="98C9EE"/>
            </a:solidFill>
            <a:ln>
              <a:noFill/>
            </a:ln>
            <a:effectLst/>
          </c:spPr>
          <c:invertIfNegative val="0"/>
          <c:cat>
            <c:numRef>
              <c:f>'I2. Production and consumption'!$G$2:$T$2</c:f>
              <c:numCache>
                <c:formatCode>General</c:formatCode>
                <c:ptCount val="14"/>
                <c:pt idx="2">
                  <c:v>2010</c:v>
                </c:pt>
                <c:pt idx="7">
                  <c:v>2015</c:v>
                </c:pt>
                <c:pt idx="12">
                  <c:v>2020</c:v>
                </c:pt>
              </c:numCache>
            </c:numRef>
          </c:cat>
          <c:val>
            <c:numRef>
              <c:f>'I2. Production and consumption'!$G$3:$T$3</c:f>
              <c:numCache>
                <c:formatCode>0</c:formatCode>
                <c:ptCount val="14"/>
                <c:pt idx="0">
                  <c:v>185.03224299999999</c:v>
                </c:pt>
                <c:pt idx="1">
                  <c:v>129.26978199999999</c:v>
                </c:pt>
                <c:pt idx="2">
                  <c:v>163.076525</c:v>
                </c:pt>
                <c:pt idx="3">
                  <c:v>168.09782100000001</c:v>
                </c:pt>
                <c:pt idx="4">
                  <c:v>159.003433</c:v>
                </c:pt>
                <c:pt idx="5">
                  <c:v>154.31767400000001</c:v>
                </c:pt>
                <c:pt idx="6">
                  <c:v>157.06495699999999</c:v>
                </c:pt>
                <c:pt idx="7">
                  <c:v>155.12873200000001</c:v>
                </c:pt>
                <c:pt idx="8">
                  <c:v>154.297811</c:v>
                </c:pt>
                <c:pt idx="9">
                  <c:v>160.86903000000001</c:v>
                </c:pt>
                <c:pt idx="10">
                  <c:v>160.06575599999999</c:v>
                </c:pt>
                <c:pt idx="11">
                  <c:v>150.24444500000001</c:v>
                </c:pt>
                <c:pt idx="12">
                  <c:v>132.21725799999999</c:v>
                </c:pt>
                <c:pt idx="13">
                  <c:v>152.782083</c:v>
                </c:pt>
              </c:numCache>
            </c:numRef>
          </c:val>
          <c:extLst>
            <c:ext xmlns:c16="http://schemas.microsoft.com/office/drawing/2014/chart" uri="{C3380CC4-5D6E-409C-BE32-E72D297353CC}">
              <c16:uniqueId val="{00000000-985C-4292-BF16-214908C63D04}"/>
            </c:ext>
          </c:extLst>
        </c:ser>
        <c:dLbls>
          <c:showLegendKey val="0"/>
          <c:showVal val="0"/>
          <c:showCatName val="0"/>
          <c:showSerName val="0"/>
          <c:showPercent val="0"/>
          <c:showBubbleSize val="0"/>
        </c:dLbls>
        <c:gapWidth val="219"/>
        <c:axId val="1168418575"/>
        <c:axId val="1168418095"/>
        <c:extLst>
          <c:ext xmlns:c15="http://schemas.microsoft.com/office/drawing/2012/chart" uri="{02D57815-91ED-43cb-92C2-25804820EDAC}">
            <c15:filteredBarSeries>
              <c15:ser>
                <c:idx val="3"/>
                <c:order val="3"/>
                <c:tx>
                  <c:strRef>
                    <c:extLst>
                      <c:ext uri="{02D57815-91ED-43cb-92C2-25804820EDAC}">
                        <c15:formulaRef>
                          <c15:sqref>'I2. Production and consumption'!$A$7</c15:sqref>
                        </c15:formulaRef>
                      </c:ext>
                    </c:extLst>
                    <c:strCache>
                      <c:ptCount val="1"/>
                      <c:pt idx="0">
                        <c:v>Import</c:v>
                      </c:pt>
                    </c:strCache>
                  </c:strRef>
                </c:tx>
                <c:spPr>
                  <a:solidFill>
                    <a:schemeClr val="accent4"/>
                  </a:solidFill>
                  <a:ln>
                    <a:noFill/>
                  </a:ln>
                  <a:effectLst/>
                </c:spPr>
                <c:invertIfNegative val="0"/>
                <c:cat>
                  <c:numRef>
                    <c:extLst>
                      <c:ext uri="{02D57815-91ED-43cb-92C2-25804820EDAC}">
                        <c15:formulaRef>
                          <c15:sqref>'I2. Production and consumption'!$G$2:$T$2</c15:sqref>
                        </c15:formulaRef>
                      </c:ext>
                    </c:extLst>
                    <c:numCache>
                      <c:formatCode>General</c:formatCode>
                      <c:ptCount val="14"/>
                      <c:pt idx="2">
                        <c:v>2010</c:v>
                      </c:pt>
                      <c:pt idx="7">
                        <c:v>2015</c:v>
                      </c:pt>
                      <c:pt idx="12">
                        <c:v>2020</c:v>
                      </c:pt>
                    </c:numCache>
                  </c:numRef>
                </c:cat>
                <c:val>
                  <c:numRef>
                    <c:extLst>
                      <c:ext uri="{02D57815-91ED-43cb-92C2-25804820EDAC}">
                        <c15:formulaRef>
                          <c15:sqref>'I2. Production and consumption'!$G$7:$T$7</c15:sqref>
                        </c15:formulaRef>
                      </c:ext>
                    </c:extLst>
                    <c:numCache>
                      <c:formatCode>0</c:formatCode>
                      <c:ptCount val="14"/>
                      <c:pt idx="0">
                        <c:v>48.8293964</c:v>
                      </c:pt>
                      <c:pt idx="1">
                        <c:v>26.5300507</c:v>
                      </c:pt>
                      <c:pt idx="2">
                        <c:v>33.209668200000003</c:v>
                      </c:pt>
                      <c:pt idx="3">
                        <c:v>39.4783817</c:v>
                      </c:pt>
                      <c:pt idx="4">
                        <c:v>30.4401759</c:v>
                      </c:pt>
                      <c:pt idx="5">
                        <c:v>33.975869400000001</c:v>
                      </c:pt>
                      <c:pt idx="6">
                        <c:v>36.280126099999997</c:v>
                      </c:pt>
                      <c:pt idx="7">
                        <c:v>43.016654600000003</c:v>
                      </c:pt>
                      <c:pt idx="8">
                        <c:v>44.162148899999998</c:v>
                      </c:pt>
                      <c:pt idx="9">
                        <c:v>44.908823900000002</c:v>
                      </c:pt>
                      <c:pt idx="10">
                        <c:v>49.450438200000001</c:v>
                      </c:pt>
                      <c:pt idx="11">
                        <c:v>44.2679416</c:v>
                      </c:pt>
                      <c:pt idx="12">
                        <c:v>36.525231099999999</c:v>
                      </c:pt>
                      <c:pt idx="13">
                        <c:v>47.176036199999999</c:v>
                      </c:pt>
                    </c:numCache>
                  </c:numRef>
                </c:val>
                <c:extLst>
                  <c:ext xmlns:c16="http://schemas.microsoft.com/office/drawing/2014/chart" uri="{C3380CC4-5D6E-409C-BE32-E72D297353CC}">
                    <c16:uniqueId val="{00000003-985C-4292-BF16-214908C63D0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'I2. Production and consumption'!$A$8</c15:sqref>
                        </c15:formulaRef>
                      </c:ext>
                    </c:extLst>
                    <c:strCache>
                      <c:ptCount val="1"/>
                      <c:pt idx="0">
                        <c:v>Export</c:v>
                      </c:pt>
                    </c:strCache>
                  </c:strRef>
                </c:tx>
                <c:spPr>
                  <a:solidFill>
                    <a:schemeClr val="accent5"/>
                  </a:solidFill>
                  <a:ln>
                    <a:noFill/>
                  </a:ln>
                  <a:effectLst/>
                </c:spPr>
                <c:invertIfNegative val="0"/>
                <c:cat>
                  <c:numRef>
                    <c:extLst xmlns:c15="http://schemas.microsoft.com/office/drawing/2012/chart">
                      <c:ext xmlns:c15="http://schemas.microsoft.com/office/drawing/2012/chart" uri="{02D57815-91ED-43cb-92C2-25804820EDAC}">
                        <c15:formulaRef>
                          <c15:sqref>'I2. Production and consumption'!$G$2:$T$2</c15:sqref>
                        </c15:formulaRef>
                      </c:ext>
                    </c:extLst>
                    <c:numCache>
                      <c:formatCode>General</c:formatCode>
                      <c:ptCount val="14"/>
                      <c:pt idx="2">
                        <c:v>2010</c:v>
                      </c:pt>
                      <c:pt idx="7">
                        <c:v>2015</c:v>
                      </c:pt>
                      <c:pt idx="12">
                        <c:v>2020</c:v>
                      </c:pt>
                    </c:numCache>
                  </c:numRef>
                </c:cat>
                <c:val>
                  <c:numRef>
                    <c:extLst xmlns:c15="http://schemas.microsoft.com/office/drawing/2012/chart">
                      <c:ext xmlns:c15="http://schemas.microsoft.com/office/drawing/2012/chart" uri="{02D57815-91ED-43cb-92C2-25804820EDAC}">
                        <c15:formulaRef>
                          <c15:sqref>'I2. Production and consumption'!$G$8:$T$8</c15:sqref>
                        </c15:formulaRef>
                      </c:ext>
                    </c:extLst>
                    <c:numCache>
                      <c:formatCode>0</c:formatCode>
                      <c:ptCount val="14"/>
                      <c:pt idx="0">
                        <c:v>29.806234400000001</c:v>
                      </c:pt>
                      <c:pt idx="1">
                        <c:v>26.6728041</c:v>
                      </c:pt>
                      <c:pt idx="2">
                        <c:v>30.294906699999999</c:v>
                      </c:pt>
                      <c:pt idx="3">
                        <c:v>31.052820400000002</c:v>
                      </c:pt>
                      <c:pt idx="4">
                        <c:v>33.553666499999999</c:v>
                      </c:pt>
                      <c:pt idx="5">
                        <c:v>30.462541000000002</c:v>
                      </c:pt>
                      <c:pt idx="6">
                        <c:v>30.850525900000001</c:v>
                      </c:pt>
                      <c:pt idx="7">
                        <c:v>28.806755299999999</c:v>
                      </c:pt>
                      <c:pt idx="8">
                        <c:v>27.946372499999999</c:v>
                      </c:pt>
                      <c:pt idx="9">
                        <c:v>28.482286899999998</c:v>
                      </c:pt>
                      <c:pt idx="10">
                        <c:v>26.152524400000001</c:v>
                      </c:pt>
                      <c:pt idx="11">
                        <c:v>25.760836999999999</c:v>
                      </c:pt>
                      <c:pt idx="12">
                        <c:v>21.340454399999999</c:v>
                      </c:pt>
                      <c:pt idx="13">
                        <c:v>21.409915300000002</c:v>
                      </c:pt>
                    </c:numCache>
                  </c:numRef>
                </c:val>
                <c:extLst xmlns:c15="http://schemas.microsoft.com/office/drawing/2012/chart">
                  <c:ext xmlns:c16="http://schemas.microsoft.com/office/drawing/2014/chart" uri="{C3380CC4-5D6E-409C-BE32-E72D297353CC}">
                    <c16:uniqueId val="{00000004-985C-4292-BF16-214908C63D04}"/>
                  </c:ext>
                </c:extLst>
              </c15:ser>
            </c15:filteredBarSeries>
          </c:ext>
        </c:extLst>
      </c:barChart>
      <c:lineChart>
        <c:grouping val="standard"/>
        <c:varyColors val="0"/>
        <c:dLbls>
          <c:showLegendKey val="0"/>
          <c:showVal val="0"/>
          <c:showCatName val="0"/>
          <c:showSerName val="0"/>
          <c:showPercent val="0"/>
          <c:showBubbleSize val="0"/>
        </c:dLbls>
        <c:marker val="1"/>
        <c:smooth val="0"/>
        <c:axId val="1168418575"/>
        <c:axId val="1168418095"/>
        <c:extLst>
          <c:ext xmlns:c15="http://schemas.microsoft.com/office/drawing/2012/chart" uri="{02D57815-91ED-43cb-92C2-25804820EDAC}">
            <c15:filteredLineSeries>
              <c15:ser>
                <c:idx val="2"/>
                <c:order val="2"/>
                <c:tx>
                  <c:strRef>
                    <c:extLst>
                      <c:ext uri="{02D57815-91ED-43cb-92C2-25804820EDAC}">
                        <c15:formulaRef>
                          <c15:sqref>'I2. Production and consumption'!$A$6</c15:sqref>
                        </c15:formulaRef>
                      </c:ext>
                    </c:extLst>
                    <c:strCache>
                      <c:ptCount val="1"/>
                      <c:pt idx="0">
                        <c:v>Difference</c:v>
                      </c:pt>
                    </c:strCache>
                  </c:strRef>
                </c:tx>
                <c:spPr>
                  <a:ln w="19050" cap="rnd">
                    <a:solidFill>
                      <a:sysClr val="windowText" lastClr="000000"/>
                    </a:solidFill>
                    <a:round/>
                  </a:ln>
                  <a:effectLst/>
                </c:spPr>
                <c:marker>
                  <c:symbol val="none"/>
                </c:marker>
                <c:cat>
                  <c:numRef>
                    <c:extLst>
                      <c:ext uri="{02D57815-91ED-43cb-92C2-25804820EDAC}">
                        <c15:formulaRef>
                          <c15:sqref>'I2. Production and consumption'!$G$2:$T$2</c15:sqref>
                        </c15:formulaRef>
                      </c:ext>
                    </c:extLst>
                    <c:numCache>
                      <c:formatCode>General</c:formatCode>
                      <c:ptCount val="14"/>
                      <c:pt idx="2">
                        <c:v>2010</c:v>
                      </c:pt>
                      <c:pt idx="7">
                        <c:v>2015</c:v>
                      </c:pt>
                      <c:pt idx="12">
                        <c:v>2020</c:v>
                      </c:pt>
                    </c:numCache>
                  </c:numRef>
                </c:cat>
                <c:val>
                  <c:numRef>
                    <c:extLst>
                      <c:ext uri="{02D57815-91ED-43cb-92C2-25804820EDAC}">
                        <c15:formulaRef>
                          <c15:sqref>'I2. Production and consumption'!$G$6:$T$6</c15:sqref>
                        </c15:formulaRef>
                      </c:ext>
                    </c:extLst>
                    <c:numCache>
                      <c:formatCode>0</c:formatCode>
                      <c:ptCount val="14"/>
                      <c:pt idx="4">
                        <c:v>13.177999999999997</c:v>
                      </c:pt>
                      <c:pt idx="5">
                        <c:v>10.177999999999997</c:v>
                      </c:pt>
                      <c:pt idx="6">
                        <c:v>8.3199999999999932</c:v>
                      </c:pt>
                      <c:pt idx="7">
                        <c:v>0.80599999999998317</c:v>
                      </c:pt>
                      <c:pt idx="8">
                        <c:v>-3.1430000000000007</c:v>
                      </c:pt>
                      <c:pt idx="9">
                        <c:v>-1.1479999999999961</c:v>
                      </c:pt>
                      <c:pt idx="10">
                        <c:v>-4.2339999999999804</c:v>
                      </c:pt>
                      <c:pt idx="11">
                        <c:v>-5.5689999999999884</c:v>
                      </c:pt>
                      <c:pt idx="12">
                        <c:v>-5.6240000000000094</c:v>
                      </c:pt>
                      <c:pt idx="13">
                        <c:v>-8.3059999999999832</c:v>
                      </c:pt>
                    </c:numCache>
                  </c:numRef>
                </c:val>
                <c:smooth val="0"/>
                <c:extLst>
                  <c:ext xmlns:c16="http://schemas.microsoft.com/office/drawing/2014/chart" uri="{C3380CC4-5D6E-409C-BE32-E72D297353CC}">
                    <c16:uniqueId val="{00000002-985C-4292-BF16-214908C63D04}"/>
                  </c:ext>
                </c:extLst>
              </c15:ser>
            </c15:filteredLineSeries>
          </c:ext>
        </c:extLst>
      </c:lineChart>
      <c:catAx>
        <c:axId val="116841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168418095"/>
        <c:crosses val="autoZero"/>
        <c:auto val="1"/>
        <c:lblAlgn val="ctr"/>
        <c:lblOffset val="100"/>
        <c:noMultiLvlLbl val="0"/>
      </c:catAx>
      <c:valAx>
        <c:axId val="1168418095"/>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Mt</a:t>
                </a:r>
                <a:endParaRPr lang="en-DK"/>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168418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pPr>
      <a:endParaRPr lang="en-DK"/>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r>
              <a:rPr lang="en-US" sz="1200"/>
              <a:t>Cement</a:t>
            </a:r>
            <a:endParaRPr lang="en-DK" sz="1200"/>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endParaRPr lang="en-DK"/>
        </a:p>
      </c:txPr>
    </c:title>
    <c:autoTitleDeleted val="0"/>
    <c:plotArea>
      <c:layout/>
      <c:areaChart>
        <c:grouping val="standard"/>
        <c:varyColors val="0"/>
        <c:ser>
          <c:idx val="5"/>
          <c:order val="5"/>
          <c:tx>
            <c:strRef>
              <c:f>'I2. Production and consumption'!$A$20</c:f>
              <c:strCache>
                <c:ptCount val="1"/>
                <c:pt idx="0">
                  <c:v>Trade balance</c:v>
                </c:pt>
              </c:strCache>
            </c:strRef>
          </c:tx>
          <c:spPr>
            <a:solidFill>
              <a:srgbClr val="F26119"/>
            </a:solidFill>
            <a:ln>
              <a:noFill/>
            </a:ln>
            <a:effectLst/>
          </c:spPr>
          <c:cat>
            <c:numRef>
              <c:f>'I2. Production and consumption'!$D$14:$T$14</c:f>
              <c:numCache>
                <c:formatCode>General</c:formatCode>
                <c:ptCount val="17"/>
                <c:pt idx="5">
                  <c:v>2010</c:v>
                </c:pt>
                <c:pt idx="10">
                  <c:v>2015</c:v>
                </c:pt>
                <c:pt idx="15">
                  <c:v>2020</c:v>
                </c:pt>
              </c:numCache>
            </c:numRef>
          </c:cat>
          <c:val>
            <c:numRef>
              <c:f>'I2. Production and consumption'!$D$20:$T$20</c:f>
              <c:numCache>
                <c:formatCode>0</c:formatCode>
                <c:ptCount val="17"/>
                <c:pt idx="0">
                  <c:v>-2.3158857999999984</c:v>
                </c:pt>
                <c:pt idx="1">
                  <c:v>-4.5561948999999995</c:v>
                </c:pt>
                <c:pt idx="2">
                  <c:v>-7.398398499999999</c:v>
                </c:pt>
                <c:pt idx="3">
                  <c:v>2.2046261999999999</c:v>
                </c:pt>
                <c:pt idx="4">
                  <c:v>6.2270072000000001</c:v>
                </c:pt>
                <c:pt idx="5">
                  <c:v>10.7360139</c:v>
                </c:pt>
                <c:pt idx="6">
                  <c:v>8.8413022999999988</c:v>
                </c:pt>
                <c:pt idx="7">
                  <c:v>17.009004399999998</c:v>
                </c:pt>
                <c:pt idx="8">
                  <c:v>22.3946246</c:v>
                </c:pt>
                <c:pt idx="9">
                  <c:v>25.385929600000001</c:v>
                </c:pt>
                <c:pt idx="10">
                  <c:v>24.2069154</c:v>
                </c:pt>
                <c:pt idx="11">
                  <c:v>22.200332299999999</c:v>
                </c:pt>
                <c:pt idx="12">
                  <c:v>19.153207500000001</c:v>
                </c:pt>
                <c:pt idx="13">
                  <c:v>15.1733364</c:v>
                </c:pt>
                <c:pt idx="14">
                  <c:v>9.7107592</c:v>
                </c:pt>
                <c:pt idx="15">
                  <c:v>6.9078110000000006</c:v>
                </c:pt>
                <c:pt idx="16">
                  <c:v>3.4915971999999993</c:v>
                </c:pt>
              </c:numCache>
            </c:numRef>
          </c:val>
          <c:extLst>
            <c:ext xmlns:c16="http://schemas.microsoft.com/office/drawing/2014/chart" uri="{C3380CC4-5D6E-409C-BE32-E72D297353CC}">
              <c16:uniqueId val="{00000005-3153-46DF-B5C8-D179DAA36AEC}"/>
            </c:ext>
          </c:extLst>
        </c:ser>
        <c:dLbls>
          <c:showLegendKey val="0"/>
          <c:showVal val="0"/>
          <c:showCatName val="0"/>
          <c:showSerName val="0"/>
          <c:showPercent val="0"/>
          <c:showBubbleSize val="0"/>
        </c:dLbls>
        <c:axId val="1928536751"/>
        <c:axId val="1928537711"/>
      </c:areaChart>
      <c:barChart>
        <c:barDir val="col"/>
        <c:grouping val="clustered"/>
        <c:varyColors val="0"/>
        <c:ser>
          <c:idx val="1"/>
          <c:order val="0"/>
          <c:tx>
            <c:strRef>
              <c:f>'I2. Production and consumption'!$A$16</c:f>
              <c:strCache>
                <c:ptCount val="1"/>
                <c:pt idx="0">
                  <c:v>Use</c:v>
                </c:pt>
              </c:strCache>
            </c:strRef>
          </c:tx>
          <c:spPr>
            <a:solidFill>
              <a:srgbClr val="3D5584"/>
            </a:solidFill>
            <a:ln>
              <a:noFill/>
            </a:ln>
            <a:effectLst/>
          </c:spPr>
          <c:invertIfNegative val="0"/>
          <c:cat>
            <c:numRef>
              <c:f>'I2. Production and consumption'!$D$14:$T$14</c:f>
              <c:numCache>
                <c:formatCode>General</c:formatCode>
                <c:ptCount val="17"/>
                <c:pt idx="5">
                  <c:v>2010</c:v>
                </c:pt>
                <c:pt idx="10">
                  <c:v>2015</c:v>
                </c:pt>
                <c:pt idx="15">
                  <c:v>2020</c:v>
                </c:pt>
              </c:numCache>
            </c:numRef>
          </c:cat>
          <c:val>
            <c:numRef>
              <c:f>'I2. Production and consumption'!$D$16:$T$16</c:f>
              <c:numCache>
                <c:formatCode>0</c:formatCode>
                <c:ptCount val="17"/>
                <c:pt idx="0">
                  <c:v>232.29</c:v>
                </c:pt>
                <c:pt idx="1">
                  <c:v>250.17500000000001</c:v>
                </c:pt>
                <c:pt idx="2">
                  <c:v>254.029</c:v>
                </c:pt>
                <c:pt idx="3">
                  <c:v>235.559</c:v>
                </c:pt>
                <c:pt idx="4">
                  <c:v>189.10599999999999</c:v>
                </c:pt>
                <c:pt idx="5">
                  <c:v>176.40899999999999</c:v>
                </c:pt>
                <c:pt idx="6">
                  <c:v>178.25299999999999</c:v>
                </c:pt>
                <c:pt idx="7">
                  <c:v>151.76400000000001</c:v>
                </c:pt>
                <c:pt idx="8">
                  <c:v>142.18799999999999</c:v>
                </c:pt>
                <c:pt idx="9">
                  <c:v>140.49</c:v>
                </c:pt>
                <c:pt idx="10">
                  <c:v>141.35599999999999</c:v>
                </c:pt>
                <c:pt idx="11">
                  <c:v>142.74600000000001</c:v>
                </c:pt>
                <c:pt idx="12">
                  <c:v>147.83600000000001</c:v>
                </c:pt>
                <c:pt idx="13">
                  <c:v>155.34200000000001</c:v>
                </c:pt>
                <c:pt idx="14">
                  <c:v>157.44399999999999</c:v>
                </c:pt>
                <c:pt idx="15">
                  <c:v>159.215</c:v>
                </c:pt>
                <c:pt idx="16">
                  <c:v>170.47200000000001</c:v>
                </c:pt>
              </c:numCache>
            </c:numRef>
          </c:val>
          <c:extLst>
            <c:ext xmlns:c16="http://schemas.microsoft.com/office/drawing/2014/chart" uri="{C3380CC4-5D6E-409C-BE32-E72D297353CC}">
              <c16:uniqueId val="{00000001-3153-46DF-B5C8-D179DAA36AEC}"/>
            </c:ext>
          </c:extLst>
        </c:ser>
        <c:ser>
          <c:idx val="0"/>
          <c:order val="1"/>
          <c:tx>
            <c:strRef>
              <c:f>'I2. Production and consumption'!$A$15</c:f>
              <c:strCache>
                <c:ptCount val="1"/>
                <c:pt idx="0">
                  <c:v>Production</c:v>
                </c:pt>
              </c:strCache>
            </c:strRef>
          </c:tx>
          <c:spPr>
            <a:solidFill>
              <a:srgbClr val="98C9EE"/>
            </a:solidFill>
            <a:ln>
              <a:noFill/>
            </a:ln>
            <a:effectLst/>
          </c:spPr>
          <c:invertIfNegative val="0"/>
          <c:cat>
            <c:numRef>
              <c:f>'I2. Production and consumption'!$D$14:$T$14</c:f>
              <c:numCache>
                <c:formatCode>General</c:formatCode>
                <c:ptCount val="17"/>
                <c:pt idx="5">
                  <c:v>2010</c:v>
                </c:pt>
                <c:pt idx="10">
                  <c:v>2015</c:v>
                </c:pt>
                <c:pt idx="15">
                  <c:v>2020</c:v>
                </c:pt>
              </c:numCache>
            </c:numRef>
          </c:cat>
          <c:val>
            <c:numRef>
              <c:f>'I2. Production and consumption'!$D$15:$T$15</c:f>
              <c:numCache>
                <c:formatCode>0</c:formatCode>
                <c:ptCount val="17"/>
                <c:pt idx="0">
                  <c:v>239.52699999999999</c:v>
                </c:pt>
                <c:pt idx="1">
                  <c:v>256.16899999999998</c:v>
                </c:pt>
                <c:pt idx="2">
                  <c:v>261.81200000000001</c:v>
                </c:pt>
                <c:pt idx="3">
                  <c:v>244.35499999999999</c:v>
                </c:pt>
                <c:pt idx="4">
                  <c:v>197.892</c:v>
                </c:pt>
                <c:pt idx="5">
                  <c:v>185.62299999999999</c:v>
                </c:pt>
                <c:pt idx="6">
                  <c:v>187.21600000000001</c:v>
                </c:pt>
                <c:pt idx="7">
                  <c:v>164.68700000000001</c:v>
                </c:pt>
                <c:pt idx="8">
                  <c:v>156.994</c:v>
                </c:pt>
                <c:pt idx="9">
                  <c:v>157.52500000000001</c:v>
                </c:pt>
                <c:pt idx="10">
                  <c:v>158.108</c:v>
                </c:pt>
                <c:pt idx="11">
                  <c:v>159.874</c:v>
                </c:pt>
                <c:pt idx="12">
                  <c:v>165.69399999999999</c:v>
                </c:pt>
                <c:pt idx="13">
                  <c:v>179.792</c:v>
                </c:pt>
                <c:pt idx="14">
                  <c:v>173.053</c:v>
                </c:pt>
                <c:pt idx="15">
                  <c:v>172.23099999999999</c:v>
                </c:pt>
                <c:pt idx="16">
                  <c:v>182.54900000000001</c:v>
                </c:pt>
              </c:numCache>
            </c:numRef>
          </c:val>
          <c:extLst>
            <c:ext xmlns:c16="http://schemas.microsoft.com/office/drawing/2014/chart" uri="{C3380CC4-5D6E-409C-BE32-E72D297353CC}">
              <c16:uniqueId val="{00000000-3153-46DF-B5C8-D179DAA36AEC}"/>
            </c:ext>
          </c:extLst>
        </c:ser>
        <c:dLbls>
          <c:showLegendKey val="0"/>
          <c:showVal val="0"/>
          <c:showCatName val="0"/>
          <c:showSerName val="0"/>
          <c:showPercent val="0"/>
          <c:showBubbleSize val="0"/>
        </c:dLbls>
        <c:gapWidth val="219"/>
        <c:overlap val="-27"/>
        <c:axId val="1928536751"/>
        <c:axId val="1928537711"/>
        <c:extLst>
          <c:ext xmlns:c15="http://schemas.microsoft.com/office/drawing/2012/chart" uri="{02D57815-91ED-43cb-92C2-25804820EDAC}">
            <c15:filteredBarSeries>
              <c15:ser>
                <c:idx val="3"/>
                <c:order val="3"/>
                <c:tx>
                  <c:strRef>
                    <c:extLst>
                      <c:ext uri="{02D57815-91ED-43cb-92C2-25804820EDAC}">
                        <c15:formulaRef>
                          <c15:sqref>'I2. Production and consumption'!$A$18</c15:sqref>
                        </c15:formulaRef>
                      </c:ext>
                    </c:extLst>
                    <c:strCache>
                      <c:ptCount val="1"/>
                      <c:pt idx="0">
                        <c:v>Import</c:v>
                      </c:pt>
                    </c:strCache>
                  </c:strRef>
                </c:tx>
                <c:spPr>
                  <a:solidFill>
                    <a:schemeClr val="accent4"/>
                  </a:solidFill>
                  <a:ln>
                    <a:noFill/>
                  </a:ln>
                  <a:effectLst/>
                </c:spPr>
                <c:invertIfNegative val="0"/>
                <c:cat>
                  <c:numRef>
                    <c:extLst>
                      <c:ext uri="{02D57815-91ED-43cb-92C2-25804820EDAC}">
                        <c15:formulaRef>
                          <c15:sqref>'I2. Production and consumption'!$D$14:$T$14</c15:sqref>
                        </c15:formulaRef>
                      </c:ext>
                    </c:extLst>
                    <c:numCache>
                      <c:formatCode>General</c:formatCode>
                      <c:ptCount val="17"/>
                      <c:pt idx="5">
                        <c:v>2010</c:v>
                      </c:pt>
                      <c:pt idx="10">
                        <c:v>2015</c:v>
                      </c:pt>
                      <c:pt idx="15">
                        <c:v>2020</c:v>
                      </c:pt>
                    </c:numCache>
                  </c:numRef>
                </c:cat>
                <c:val>
                  <c:numRef>
                    <c:extLst>
                      <c:ext uri="{02D57815-91ED-43cb-92C2-25804820EDAC}">
                        <c15:formulaRef>
                          <c15:sqref>'I2. Production and consumption'!$D$18:$T$18</c15:sqref>
                        </c15:formulaRef>
                      </c:ext>
                    </c:extLst>
                    <c:numCache>
                      <c:formatCode>0</c:formatCode>
                      <c:ptCount val="17"/>
                      <c:pt idx="0">
                        <c:v>15.252736799999999</c:v>
                      </c:pt>
                      <c:pt idx="1">
                        <c:v>16.0105814</c:v>
                      </c:pt>
                      <c:pt idx="2">
                        <c:v>18.3328484</c:v>
                      </c:pt>
                      <c:pt idx="3">
                        <c:v>10.8960946</c:v>
                      </c:pt>
                      <c:pt idx="4">
                        <c:v>7.6650245000000004</c:v>
                      </c:pt>
                      <c:pt idx="5">
                        <c:v>5.6254365999999996</c:v>
                      </c:pt>
                      <c:pt idx="6">
                        <c:v>4.3293103000000004</c:v>
                      </c:pt>
                      <c:pt idx="7">
                        <c:v>2.9449350000000001</c:v>
                      </c:pt>
                      <c:pt idx="8">
                        <c:v>2.6824018999999999</c:v>
                      </c:pt>
                      <c:pt idx="9">
                        <c:v>2.5325484999999999</c:v>
                      </c:pt>
                      <c:pt idx="10">
                        <c:v>2.6133071000000001</c:v>
                      </c:pt>
                      <c:pt idx="11">
                        <c:v>2.4252699999999998</c:v>
                      </c:pt>
                      <c:pt idx="12">
                        <c:v>3.1882888</c:v>
                      </c:pt>
                      <c:pt idx="13">
                        <c:v>3.4076021999999999</c:v>
                      </c:pt>
                      <c:pt idx="14">
                        <c:v>5.2322343</c:v>
                      </c:pt>
                      <c:pt idx="15">
                        <c:v>6.3119639000000003</c:v>
                      </c:pt>
                      <c:pt idx="16">
                        <c:v>9.7064403000000006</c:v>
                      </c:pt>
                    </c:numCache>
                  </c:numRef>
                </c:val>
                <c:extLst>
                  <c:ext xmlns:c16="http://schemas.microsoft.com/office/drawing/2014/chart" uri="{C3380CC4-5D6E-409C-BE32-E72D297353CC}">
                    <c16:uniqueId val="{00000003-3153-46DF-B5C8-D179DAA36AEC}"/>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'I2. Production and consumption'!$A$19</c15:sqref>
                        </c15:formulaRef>
                      </c:ext>
                    </c:extLst>
                    <c:strCache>
                      <c:ptCount val="1"/>
                      <c:pt idx="0">
                        <c:v>Export</c:v>
                      </c:pt>
                    </c:strCache>
                  </c:strRef>
                </c:tx>
                <c:spPr>
                  <a:solidFill>
                    <a:schemeClr val="accent5"/>
                  </a:solidFill>
                  <a:ln>
                    <a:noFill/>
                  </a:ln>
                  <a:effectLst/>
                </c:spPr>
                <c:invertIfNegative val="0"/>
                <c:cat>
                  <c:numRef>
                    <c:extLst xmlns:c15="http://schemas.microsoft.com/office/drawing/2012/chart">
                      <c:ext xmlns:c15="http://schemas.microsoft.com/office/drawing/2012/chart" uri="{02D57815-91ED-43cb-92C2-25804820EDAC}">
                        <c15:formulaRef>
                          <c15:sqref>'I2. Production and consumption'!$D$14:$T$14</c15:sqref>
                        </c15:formulaRef>
                      </c:ext>
                    </c:extLst>
                    <c:numCache>
                      <c:formatCode>General</c:formatCode>
                      <c:ptCount val="17"/>
                      <c:pt idx="5">
                        <c:v>2010</c:v>
                      </c:pt>
                      <c:pt idx="10">
                        <c:v>2015</c:v>
                      </c:pt>
                      <c:pt idx="15">
                        <c:v>2020</c:v>
                      </c:pt>
                    </c:numCache>
                  </c:numRef>
                </c:cat>
                <c:val>
                  <c:numRef>
                    <c:extLst xmlns:c15="http://schemas.microsoft.com/office/drawing/2012/chart">
                      <c:ext xmlns:c15="http://schemas.microsoft.com/office/drawing/2012/chart" uri="{02D57815-91ED-43cb-92C2-25804820EDAC}">
                        <c15:formulaRef>
                          <c15:sqref>'I2. Production and consumption'!$D$19:$T$19</c15:sqref>
                        </c15:formulaRef>
                      </c:ext>
                    </c:extLst>
                    <c:numCache>
                      <c:formatCode>0</c:formatCode>
                      <c:ptCount val="17"/>
                      <c:pt idx="0">
                        <c:v>12.936851000000001</c:v>
                      </c:pt>
                      <c:pt idx="1">
                        <c:v>11.4543865</c:v>
                      </c:pt>
                      <c:pt idx="2">
                        <c:v>10.934449900000001</c:v>
                      </c:pt>
                      <c:pt idx="3">
                        <c:v>13.100720799999999</c:v>
                      </c:pt>
                      <c:pt idx="4">
                        <c:v>13.8920317</c:v>
                      </c:pt>
                      <c:pt idx="5">
                        <c:v>16.3614505</c:v>
                      </c:pt>
                      <c:pt idx="6">
                        <c:v>13.1706126</c:v>
                      </c:pt>
                      <c:pt idx="7">
                        <c:v>19.953939399999999</c:v>
                      </c:pt>
                      <c:pt idx="8">
                        <c:v>25.077026499999999</c:v>
                      </c:pt>
                      <c:pt idx="9">
                        <c:v>27.918478100000002</c:v>
                      </c:pt>
                      <c:pt idx="10">
                        <c:v>26.8202225</c:v>
                      </c:pt>
                      <c:pt idx="11">
                        <c:v>24.625602300000001</c:v>
                      </c:pt>
                      <c:pt idx="12">
                        <c:v>22.341496299999999</c:v>
                      </c:pt>
                      <c:pt idx="13">
                        <c:v>18.5809386</c:v>
                      </c:pt>
                      <c:pt idx="14">
                        <c:v>14.9429935</c:v>
                      </c:pt>
                      <c:pt idx="15">
                        <c:v>13.219774900000001</c:v>
                      </c:pt>
                      <c:pt idx="16">
                        <c:v>13.1980375</c:v>
                      </c:pt>
                    </c:numCache>
                  </c:numRef>
                </c:val>
                <c:extLst xmlns:c15="http://schemas.microsoft.com/office/drawing/2012/chart">
                  <c:ext xmlns:c16="http://schemas.microsoft.com/office/drawing/2014/chart" uri="{C3380CC4-5D6E-409C-BE32-E72D297353CC}">
                    <c16:uniqueId val="{00000004-3153-46DF-B5C8-D179DAA36AEC}"/>
                  </c:ext>
                </c:extLst>
              </c15:ser>
            </c15:filteredBarSeries>
          </c:ext>
        </c:extLst>
      </c:barChart>
      <c:lineChart>
        <c:grouping val="standard"/>
        <c:varyColors val="0"/>
        <c:dLbls>
          <c:showLegendKey val="0"/>
          <c:showVal val="0"/>
          <c:showCatName val="0"/>
          <c:showSerName val="0"/>
          <c:showPercent val="0"/>
          <c:showBubbleSize val="0"/>
        </c:dLbls>
        <c:marker val="1"/>
        <c:smooth val="0"/>
        <c:axId val="1928536751"/>
        <c:axId val="1928537711"/>
        <c:extLst>
          <c:ext xmlns:c15="http://schemas.microsoft.com/office/drawing/2012/chart" uri="{02D57815-91ED-43cb-92C2-25804820EDAC}">
            <c15:filteredLineSeries>
              <c15:ser>
                <c:idx val="2"/>
                <c:order val="2"/>
                <c:tx>
                  <c:strRef>
                    <c:extLst>
                      <c:ext uri="{02D57815-91ED-43cb-92C2-25804820EDAC}">
                        <c15:formulaRef>
                          <c15:sqref>'I2. Production and consumption'!$A$17</c15:sqref>
                        </c15:formulaRef>
                      </c:ext>
                    </c:extLst>
                    <c:strCache>
                      <c:ptCount val="1"/>
                      <c:pt idx="0">
                        <c:v>Difference</c:v>
                      </c:pt>
                    </c:strCache>
                  </c:strRef>
                </c:tx>
                <c:spPr>
                  <a:ln w="19050" cap="rnd">
                    <a:solidFill>
                      <a:sysClr val="windowText" lastClr="000000"/>
                    </a:solidFill>
                    <a:round/>
                  </a:ln>
                  <a:effectLst/>
                </c:spPr>
                <c:marker>
                  <c:symbol val="none"/>
                </c:marker>
                <c:cat>
                  <c:numRef>
                    <c:extLst>
                      <c:ext uri="{02D57815-91ED-43cb-92C2-25804820EDAC}">
                        <c15:formulaRef>
                          <c15:sqref>'I2. Production and consumption'!$D$14:$T$14</c15:sqref>
                        </c15:formulaRef>
                      </c:ext>
                    </c:extLst>
                    <c:numCache>
                      <c:formatCode>General</c:formatCode>
                      <c:ptCount val="17"/>
                      <c:pt idx="5">
                        <c:v>2010</c:v>
                      </c:pt>
                      <c:pt idx="10">
                        <c:v>2015</c:v>
                      </c:pt>
                      <c:pt idx="15">
                        <c:v>2020</c:v>
                      </c:pt>
                    </c:numCache>
                  </c:numRef>
                </c:cat>
                <c:val>
                  <c:numRef>
                    <c:extLst>
                      <c:ext uri="{02D57815-91ED-43cb-92C2-25804820EDAC}">
                        <c15:formulaRef>
                          <c15:sqref>'I2. Production and consumption'!$D$17:$T$17</c15:sqref>
                        </c15:formulaRef>
                      </c:ext>
                    </c:extLst>
                    <c:numCache>
                      <c:formatCode>0</c:formatCode>
                      <c:ptCount val="17"/>
                      <c:pt idx="0">
                        <c:v>7.2369999999999948</c:v>
                      </c:pt>
                      <c:pt idx="1">
                        <c:v>5.9939999999999714</c:v>
                      </c:pt>
                      <c:pt idx="2">
                        <c:v>7.7830000000000155</c:v>
                      </c:pt>
                      <c:pt idx="3">
                        <c:v>8.7959999999999923</c:v>
                      </c:pt>
                      <c:pt idx="4">
                        <c:v>8.7860000000000014</c:v>
                      </c:pt>
                      <c:pt idx="5">
                        <c:v>9.2139999999999986</c:v>
                      </c:pt>
                      <c:pt idx="6">
                        <c:v>8.9630000000000223</c:v>
                      </c:pt>
                      <c:pt idx="7">
                        <c:v>12.923000000000002</c:v>
                      </c:pt>
                      <c:pt idx="8">
                        <c:v>14.806000000000012</c:v>
                      </c:pt>
                      <c:pt idx="9">
                        <c:v>17.034999999999997</c:v>
                      </c:pt>
                      <c:pt idx="10">
                        <c:v>16.75200000000001</c:v>
                      </c:pt>
                      <c:pt idx="11">
                        <c:v>17.127999999999986</c:v>
                      </c:pt>
                      <c:pt idx="12">
                        <c:v>17.857999999999976</c:v>
                      </c:pt>
                      <c:pt idx="13">
                        <c:v>24.449999999999989</c:v>
                      </c:pt>
                      <c:pt idx="14">
                        <c:v>15.609000000000009</c:v>
                      </c:pt>
                      <c:pt idx="15">
                        <c:v>13.015999999999991</c:v>
                      </c:pt>
                      <c:pt idx="16">
                        <c:v>12.076999999999998</c:v>
                      </c:pt>
                    </c:numCache>
                  </c:numRef>
                </c:val>
                <c:smooth val="0"/>
                <c:extLst>
                  <c:ext xmlns:c16="http://schemas.microsoft.com/office/drawing/2014/chart" uri="{C3380CC4-5D6E-409C-BE32-E72D297353CC}">
                    <c16:uniqueId val="{00000002-3153-46DF-B5C8-D179DAA36AEC}"/>
                  </c:ext>
                </c:extLst>
              </c15:ser>
            </c15:filteredLineSeries>
          </c:ext>
        </c:extLst>
      </c:lineChart>
      <c:catAx>
        <c:axId val="192853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928537711"/>
        <c:crosses val="autoZero"/>
        <c:auto val="1"/>
        <c:lblAlgn val="ctr"/>
        <c:lblOffset val="100"/>
        <c:noMultiLvlLbl val="0"/>
      </c:catAx>
      <c:valAx>
        <c:axId val="192853771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Mt</a:t>
                </a:r>
                <a:endParaRPr lang="en-DK"/>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928536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pPr>
      <a:endParaRPr lang="en-DK"/>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Base organic chemicals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DK"/>
        </a:p>
      </c:txPr>
    </c:title>
    <c:autoTitleDeleted val="0"/>
    <c:plotArea>
      <c:layout/>
      <c:areaChart>
        <c:grouping val="standard"/>
        <c:varyColors val="0"/>
        <c:ser>
          <c:idx val="2"/>
          <c:order val="2"/>
          <c:tx>
            <c:strRef>
              <c:f>'I2. Production and consumption'!$A$35</c:f>
              <c:strCache>
                <c:ptCount val="1"/>
                <c:pt idx="0">
                  <c:v>Trade balance</c:v>
                </c:pt>
              </c:strCache>
            </c:strRef>
          </c:tx>
          <c:spPr>
            <a:solidFill>
              <a:srgbClr val="F26119"/>
            </a:solidFill>
            <a:ln>
              <a:noFill/>
            </a:ln>
            <a:effectLst/>
          </c:spPr>
          <c:cat>
            <c:numRef>
              <c:f>'I2. Production and consumption'!$E$25:$U$25</c:f>
              <c:numCache>
                <c:formatCode>General</c:formatCode>
                <c:ptCount val="17"/>
                <c:pt idx="4">
                  <c:v>2010</c:v>
                </c:pt>
                <c:pt idx="9">
                  <c:v>2015</c:v>
                </c:pt>
                <c:pt idx="14">
                  <c:v>2020</c:v>
                </c:pt>
              </c:numCache>
            </c:numRef>
          </c:cat>
          <c:val>
            <c:numRef>
              <c:f>'I2. Production and consumption'!$E$35:$U$35</c:f>
              <c:numCache>
                <c:formatCode>0</c:formatCode>
                <c:ptCount val="17"/>
                <c:pt idx="0">
                  <c:v>-2.4736789000000003</c:v>
                </c:pt>
                <c:pt idx="1">
                  <c:v>-3.1436610999999992</c:v>
                </c:pt>
                <c:pt idx="2">
                  <c:v>-2.2335447999999998</c:v>
                </c:pt>
                <c:pt idx="3">
                  <c:v>-1.478788</c:v>
                </c:pt>
                <c:pt idx="4">
                  <c:v>-2.0805480999999997</c:v>
                </c:pt>
                <c:pt idx="5">
                  <c:v>-1.8735147999999997</c:v>
                </c:pt>
                <c:pt idx="6">
                  <c:v>-1.3821895999999998</c:v>
                </c:pt>
                <c:pt idx="7">
                  <c:v>-1.3955899000000007</c:v>
                </c:pt>
                <c:pt idx="8">
                  <c:v>-1.1828000999999997</c:v>
                </c:pt>
                <c:pt idx="9">
                  <c:v>-1.4061712</c:v>
                </c:pt>
                <c:pt idx="10">
                  <c:v>-1.5596672999999999</c:v>
                </c:pt>
                <c:pt idx="11">
                  <c:v>-1.7909305</c:v>
                </c:pt>
                <c:pt idx="12">
                  <c:v>-2.0842392000000003</c:v>
                </c:pt>
                <c:pt idx="13">
                  <c:v>-2.8375783410000004</c:v>
                </c:pt>
                <c:pt idx="14">
                  <c:v>-2.3800242130000004</c:v>
                </c:pt>
                <c:pt idx="15">
                  <c:v>-2.619168009</c:v>
                </c:pt>
                <c:pt idx="16">
                  <c:v>-2.2675536979999995</c:v>
                </c:pt>
              </c:numCache>
            </c:numRef>
          </c:val>
          <c:extLst>
            <c:ext xmlns:c16="http://schemas.microsoft.com/office/drawing/2014/chart" uri="{C3380CC4-5D6E-409C-BE32-E72D297353CC}">
              <c16:uniqueId val="{00000002-59E2-4BC5-9164-2B8C804DA520}"/>
            </c:ext>
          </c:extLst>
        </c:ser>
        <c:dLbls>
          <c:showLegendKey val="0"/>
          <c:showVal val="0"/>
          <c:showCatName val="0"/>
          <c:showSerName val="0"/>
          <c:showPercent val="0"/>
          <c:showBubbleSize val="0"/>
        </c:dLbls>
        <c:axId val="1917763311"/>
        <c:axId val="1917767631"/>
      </c:areaChart>
      <c:barChart>
        <c:barDir val="col"/>
        <c:grouping val="clustered"/>
        <c:varyColors val="0"/>
        <c:ser>
          <c:idx val="1"/>
          <c:order val="0"/>
          <c:tx>
            <c:strRef>
              <c:f>'I2. Production and consumption'!$A$34</c:f>
              <c:strCache>
                <c:ptCount val="1"/>
                <c:pt idx="0">
                  <c:v>Use</c:v>
                </c:pt>
              </c:strCache>
            </c:strRef>
          </c:tx>
          <c:spPr>
            <a:solidFill>
              <a:srgbClr val="3D5584"/>
            </a:solidFill>
            <a:ln>
              <a:noFill/>
            </a:ln>
            <a:effectLst/>
          </c:spPr>
          <c:invertIfNegative val="0"/>
          <c:cat>
            <c:numRef>
              <c:f>'I2. Production and consumption'!$E$25:$U$25</c:f>
              <c:numCache>
                <c:formatCode>General</c:formatCode>
                <c:ptCount val="17"/>
                <c:pt idx="4">
                  <c:v>2010</c:v>
                </c:pt>
                <c:pt idx="9">
                  <c:v>2015</c:v>
                </c:pt>
                <c:pt idx="14">
                  <c:v>2020</c:v>
                </c:pt>
              </c:numCache>
            </c:numRef>
          </c:cat>
          <c:val>
            <c:numRef>
              <c:f>'I2. Production and consumption'!$E$34:$U$34</c:f>
              <c:numCache>
                <c:formatCode>0</c:formatCode>
                <c:ptCount val="17"/>
                <c:pt idx="0">
                  <c:v>35.991753761000005</c:v>
                </c:pt>
                <c:pt idx="1">
                  <c:v>39.390656647</c:v>
                </c:pt>
                <c:pt idx="2">
                  <c:v>33.351163403999998</c:v>
                </c:pt>
                <c:pt idx="3">
                  <c:v>29.562271579999997</c:v>
                </c:pt>
                <c:pt idx="4">
                  <c:v>32.741204760000002</c:v>
                </c:pt>
                <c:pt idx="5">
                  <c:v>33.954248473</c:v>
                </c:pt>
                <c:pt idx="6">
                  <c:v>32.582583634999999</c:v>
                </c:pt>
                <c:pt idx="7">
                  <c:v>30.984954081000001</c:v>
                </c:pt>
                <c:pt idx="8">
                  <c:v>31.760744394</c:v>
                </c:pt>
                <c:pt idx="9">
                  <c:v>31.535456092999997</c:v>
                </c:pt>
                <c:pt idx="10">
                  <c:v>31.698830717999996</c:v>
                </c:pt>
                <c:pt idx="11">
                  <c:v>33.747228261000004</c:v>
                </c:pt>
                <c:pt idx="12">
                  <c:v>31.724481081</c:v>
                </c:pt>
                <c:pt idx="13">
                  <c:v>31.190688212999998</c:v>
                </c:pt>
                <c:pt idx="14">
                  <c:v>30.387398974999996</c:v>
                </c:pt>
                <c:pt idx="15">
                  <c:v>31.336192617999998</c:v>
                </c:pt>
                <c:pt idx="16">
                  <c:v>29.107127679000005</c:v>
                </c:pt>
              </c:numCache>
            </c:numRef>
          </c:val>
          <c:extLst>
            <c:ext xmlns:c16="http://schemas.microsoft.com/office/drawing/2014/chart" uri="{C3380CC4-5D6E-409C-BE32-E72D297353CC}">
              <c16:uniqueId val="{00000001-59E2-4BC5-9164-2B8C804DA520}"/>
            </c:ext>
          </c:extLst>
        </c:ser>
        <c:ser>
          <c:idx val="0"/>
          <c:order val="1"/>
          <c:tx>
            <c:strRef>
              <c:f>'I2. Production and consumption'!$A$26</c:f>
              <c:strCache>
                <c:ptCount val="1"/>
                <c:pt idx="0">
                  <c:v>Production</c:v>
                </c:pt>
              </c:strCache>
            </c:strRef>
          </c:tx>
          <c:spPr>
            <a:solidFill>
              <a:srgbClr val="98C9EE"/>
            </a:solidFill>
            <a:ln>
              <a:noFill/>
            </a:ln>
            <a:effectLst/>
          </c:spPr>
          <c:invertIfNegative val="0"/>
          <c:cat>
            <c:numRef>
              <c:f>'I2. Production and consumption'!$E$25:$U$25</c:f>
              <c:numCache>
                <c:formatCode>General</c:formatCode>
                <c:ptCount val="17"/>
                <c:pt idx="4">
                  <c:v>2010</c:v>
                </c:pt>
                <c:pt idx="9">
                  <c:v>2015</c:v>
                </c:pt>
                <c:pt idx="14">
                  <c:v>2020</c:v>
                </c:pt>
              </c:numCache>
            </c:numRef>
          </c:cat>
          <c:val>
            <c:numRef>
              <c:f>'I2. Production and consumption'!$E$26:$U$26</c:f>
              <c:numCache>
                <c:formatCode>0</c:formatCode>
                <c:ptCount val="17"/>
                <c:pt idx="0">
                  <c:v>33.518074861000002</c:v>
                </c:pt>
                <c:pt idx="1">
                  <c:v>36.246995546999997</c:v>
                </c:pt>
                <c:pt idx="2">
                  <c:v>31.117618604</c:v>
                </c:pt>
                <c:pt idx="3">
                  <c:v>28.083483579999996</c:v>
                </c:pt>
                <c:pt idx="4">
                  <c:v>30.660656660000001</c:v>
                </c:pt>
                <c:pt idx="5">
                  <c:v>32.080733672999997</c:v>
                </c:pt>
                <c:pt idx="6">
                  <c:v>31.200394035000002</c:v>
                </c:pt>
                <c:pt idx="7">
                  <c:v>29.589364181000001</c:v>
                </c:pt>
                <c:pt idx="8">
                  <c:v>30.577944293999998</c:v>
                </c:pt>
                <c:pt idx="9">
                  <c:v>30.129284892999998</c:v>
                </c:pt>
                <c:pt idx="10">
                  <c:v>30.139163417999995</c:v>
                </c:pt>
                <c:pt idx="11">
                  <c:v>31.956297761000002</c:v>
                </c:pt>
                <c:pt idx="12">
                  <c:v>29.640241881000001</c:v>
                </c:pt>
                <c:pt idx="13">
                  <c:v>28.353109871999997</c:v>
                </c:pt>
                <c:pt idx="14">
                  <c:v>28.007374761999994</c:v>
                </c:pt>
                <c:pt idx="15">
                  <c:v>28.717024608999999</c:v>
                </c:pt>
                <c:pt idx="16">
                  <c:v>26.839573981000004</c:v>
                </c:pt>
              </c:numCache>
            </c:numRef>
          </c:val>
          <c:extLst>
            <c:ext xmlns:c16="http://schemas.microsoft.com/office/drawing/2014/chart" uri="{C3380CC4-5D6E-409C-BE32-E72D297353CC}">
              <c16:uniqueId val="{00000000-59E2-4BC5-9164-2B8C804DA520}"/>
            </c:ext>
          </c:extLst>
        </c:ser>
        <c:dLbls>
          <c:showLegendKey val="0"/>
          <c:showVal val="0"/>
          <c:showCatName val="0"/>
          <c:showSerName val="0"/>
          <c:showPercent val="0"/>
          <c:showBubbleSize val="0"/>
        </c:dLbls>
        <c:gapWidth val="219"/>
        <c:axId val="1917763311"/>
        <c:axId val="1917767631"/>
      </c:barChart>
      <c:catAx>
        <c:axId val="191776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917767631"/>
        <c:crosses val="autoZero"/>
        <c:auto val="1"/>
        <c:lblAlgn val="ctr"/>
        <c:lblOffset val="100"/>
        <c:noMultiLvlLbl val="0"/>
      </c:catAx>
      <c:valAx>
        <c:axId val="1917767631"/>
        <c:scaling>
          <c:orientation val="minMax"/>
          <c:max val="40"/>
          <c:min val="-5"/>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Mt</a:t>
                </a:r>
                <a:endParaRPr lang="en-DK"/>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917763311"/>
        <c:crosses val="autoZero"/>
        <c:crossBetween val="between"/>
        <c:maj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pPr>
      <a:endParaRPr lang="en-DK"/>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66316776810037E-2"/>
          <c:y val="5.8931848642595354E-2"/>
          <c:w val="0.90921860214743744"/>
          <c:h val="0.71971332207802052"/>
        </c:manualLayout>
      </c:layout>
      <c:lineChart>
        <c:grouping val="standard"/>
        <c:varyColors val="0"/>
        <c:ser>
          <c:idx val="0"/>
          <c:order val="0"/>
          <c:tx>
            <c:strRef>
              <c:f>'I3. CMUR'!$A$3</c:f>
              <c:strCache>
                <c:ptCount val="1"/>
                <c:pt idx="0">
                  <c:v>Historic</c:v>
                </c:pt>
              </c:strCache>
            </c:strRef>
          </c:tx>
          <c:spPr>
            <a:ln w="19050" cap="rnd">
              <a:solidFill>
                <a:sysClr val="windowText" lastClr="000000"/>
              </a:solidFill>
              <a:round/>
            </a:ln>
            <a:effectLst/>
          </c:spPr>
          <c:marker>
            <c:symbol val="none"/>
          </c:marker>
          <c:cat>
            <c:numRef>
              <c:f>'I3. CMUR'!$D$2:$X$2</c:f>
              <c:numCache>
                <c:formatCode>General</c:formatCode>
                <c:ptCount val="21"/>
                <c:pt idx="0">
                  <c:v>2010</c:v>
                </c:pt>
                <c:pt idx="5">
                  <c:v>2015</c:v>
                </c:pt>
                <c:pt idx="10">
                  <c:v>2020</c:v>
                </c:pt>
                <c:pt idx="15">
                  <c:v>2025</c:v>
                </c:pt>
                <c:pt idx="20">
                  <c:v>2030</c:v>
                </c:pt>
              </c:numCache>
            </c:numRef>
          </c:cat>
          <c:val>
            <c:numRef>
              <c:f>'I3. CMUR'!$D$3:$X$3</c:f>
              <c:numCache>
                <c:formatCode>0.0%</c:formatCode>
                <c:ptCount val="21"/>
                <c:pt idx="0">
                  <c:v>0.108</c:v>
                </c:pt>
                <c:pt idx="1">
                  <c:v>0.10299999999999999</c:v>
                </c:pt>
                <c:pt idx="2">
                  <c:v>0.111</c:v>
                </c:pt>
                <c:pt idx="3">
                  <c:v>0.113</c:v>
                </c:pt>
                <c:pt idx="4">
                  <c:v>0.112</c:v>
                </c:pt>
                <c:pt idx="5">
                  <c:v>0.113</c:v>
                </c:pt>
                <c:pt idx="6">
                  <c:v>0.115</c:v>
                </c:pt>
                <c:pt idx="7">
                  <c:v>0.115</c:v>
                </c:pt>
                <c:pt idx="8">
                  <c:v>0.11700000000000001</c:v>
                </c:pt>
                <c:pt idx="9">
                  <c:v>0.12</c:v>
                </c:pt>
                <c:pt idx="10">
                  <c:v>0.11700000000000001</c:v>
                </c:pt>
                <c:pt idx="11">
                  <c:v>0.11700000000000001</c:v>
                </c:pt>
              </c:numCache>
            </c:numRef>
          </c:val>
          <c:smooth val="0"/>
          <c:extLst>
            <c:ext xmlns:c16="http://schemas.microsoft.com/office/drawing/2014/chart" uri="{C3380CC4-5D6E-409C-BE32-E72D297353CC}">
              <c16:uniqueId val="{00000000-F9B3-4509-A86B-333E89C91A26}"/>
            </c:ext>
          </c:extLst>
        </c:ser>
        <c:ser>
          <c:idx val="1"/>
          <c:order val="1"/>
          <c:tx>
            <c:strRef>
              <c:f>'I3. CMUR'!$A$4</c:f>
              <c:strCache>
                <c:ptCount val="1"/>
                <c:pt idx="0">
                  <c:v>2030 benchmark</c:v>
                </c:pt>
              </c:strCache>
            </c:strRef>
          </c:tx>
          <c:spPr>
            <a:ln w="28575" cap="rnd">
              <a:noFill/>
              <a:round/>
            </a:ln>
            <a:effectLst/>
          </c:spPr>
          <c:marker>
            <c:symbol val="circle"/>
            <c:size val="5"/>
            <c:spPr>
              <a:solidFill>
                <a:srgbClr val="F26119"/>
              </a:solidFill>
              <a:ln w="9525">
                <a:noFill/>
              </a:ln>
              <a:effectLst/>
            </c:spPr>
          </c:marker>
          <c:dPt>
            <c:idx val="20"/>
            <c:marker>
              <c:symbol val="circle"/>
              <c:size val="8"/>
              <c:spPr>
                <a:solidFill>
                  <a:srgbClr val="F26119"/>
                </a:solidFill>
                <a:ln w="9525">
                  <a:noFill/>
                </a:ln>
                <a:effectLst/>
              </c:spPr>
            </c:marker>
            <c:bubble3D val="0"/>
            <c:extLst>
              <c:ext xmlns:c16="http://schemas.microsoft.com/office/drawing/2014/chart" uri="{C3380CC4-5D6E-409C-BE32-E72D297353CC}">
                <c16:uniqueId val="{00000003-F9B3-4509-A86B-333E89C91A26}"/>
              </c:ext>
            </c:extLst>
          </c:dPt>
          <c:cat>
            <c:numRef>
              <c:f>'I3. CMUR'!$D$2:$X$2</c:f>
              <c:numCache>
                <c:formatCode>General</c:formatCode>
                <c:ptCount val="21"/>
                <c:pt idx="0">
                  <c:v>2010</c:v>
                </c:pt>
                <c:pt idx="5">
                  <c:v>2015</c:v>
                </c:pt>
                <c:pt idx="10">
                  <c:v>2020</c:v>
                </c:pt>
                <c:pt idx="15">
                  <c:v>2025</c:v>
                </c:pt>
                <c:pt idx="20">
                  <c:v>2030</c:v>
                </c:pt>
              </c:numCache>
            </c:numRef>
          </c:cat>
          <c:val>
            <c:numRef>
              <c:f>'I3. CMUR'!$D$4:$X$4</c:f>
              <c:numCache>
                <c:formatCode>0.0%</c:formatCode>
                <c:ptCount val="21"/>
                <c:pt idx="20">
                  <c:v>0.23400000000000001</c:v>
                </c:pt>
              </c:numCache>
            </c:numRef>
          </c:val>
          <c:smooth val="0"/>
          <c:extLst>
            <c:ext xmlns:c16="http://schemas.microsoft.com/office/drawing/2014/chart" uri="{C3380CC4-5D6E-409C-BE32-E72D297353CC}">
              <c16:uniqueId val="{00000001-F9B3-4509-A86B-333E89C91A26}"/>
            </c:ext>
          </c:extLst>
        </c:ser>
        <c:dLbls>
          <c:showLegendKey val="0"/>
          <c:showVal val="0"/>
          <c:showCatName val="0"/>
          <c:showSerName val="0"/>
          <c:showPercent val="0"/>
          <c:showBubbleSize val="0"/>
        </c:dLbls>
        <c:smooth val="0"/>
        <c:axId val="1902140543"/>
        <c:axId val="1902141023"/>
        <c:extLst>
          <c:ext xmlns:c15="http://schemas.microsoft.com/office/drawing/2012/chart" uri="{02D57815-91ED-43cb-92C2-25804820EDAC}">
            <c15:filteredLineSeries>
              <c15:ser>
                <c:idx val="2"/>
                <c:order val="2"/>
                <c:tx>
                  <c:strRef>
                    <c:extLst>
                      <c:ext uri="{02D57815-91ED-43cb-92C2-25804820EDAC}">
                        <c15:formulaRef>
                          <c15:sqref>'I3. CMUR'!$A$5</c15:sqref>
                        </c15:formulaRef>
                      </c:ext>
                    </c:extLst>
                    <c:strCache>
                      <c:ptCount val="1"/>
                      <c:pt idx="0">
                        <c:v>linear trajectory</c:v>
                      </c:pt>
                    </c:strCache>
                  </c:strRef>
                </c:tx>
                <c:spPr>
                  <a:ln w="19050" cap="rnd">
                    <a:solidFill>
                      <a:schemeClr val="tx1"/>
                    </a:solidFill>
                    <a:prstDash val="dash"/>
                    <a:round/>
                  </a:ln>
                  <a:effectLst/>
                </c:spPr>
                <c:marker>
                  <c:symbol val="none"/>
                </c:marker>
                <c:cat>
                  <c:numRef>
                    <c:extLst>
                      <c:ext uri="{02D57815-91ED-43cb-92C2-25804820EDAC}">
                        <c15:formulaRef>
                          <c15:sqref>'I3. CMUR'!$D$2:$X$2</c15:sqref>
                        </c15:formulaRef>
                      </c:ext>
                    </c:extLst>
                    <c:numCache>
                      <c:formatCode>General</c:formatCode>
                      <c:ptCount val="21"/>
                      <c:pt idx="0">
                        <c:v>2010</c:v>
                      </c:pt>
                      <c:pt idx="5">
                        <c:v>2015</c:v>
                      </c:pt>
                      <c:pt idx="10">
                        <c:v>2020</c:v>
                      </c:pt>
                      <c:pt idx="15">
                        <c:v>2025</c:v>
                      </c:pt>
                      <c:pt idx="20">
                        <c:v>2030</c:v>
                      </c:pt>
                    </c:numCache>
                  </c:numRef>
                </c:cat>
                <c:val>
                  <c:numRef>
                    <c:extLst>
                      <c:ext uri="{02D57815-91ED-43cb-92C2-25804820EDAC}">
                        <c15:formulaRef>
                          <c15:sqref>'I3. CMUR'!$D$5:$X$5</c15:sqref>
                        </c15:formulaRef>
                      </c:ext>
                    </c:extLst>
                    <c:numCache>
                      <c:formatCode>0.0%</c:formatCode>
                      <c:ptCount val="21"/>
                      <c:pt idx="11">
                        <c:v>0.11700000000000002</c:v>
                      </c:pt>
                      <c:pt idx="12">
                        <c:v>0.13000000000000003</c:v>
                      </c:pt>
                      <c:pt idx="13">
                        <c:v>0.14300000000000002</c:v>
                      </c:pt>
                      <c:pt idx="14">
                        <c:v>0.15600000000000003</c:v>
                      </c:pt>
                      <c:pt idx="15">
                        <c:v>0.16900000000000004</c:v>
                      </c:pt>
                      <c:pt idx="16">
                        <c:v>0.18200000000000002</c:v>
                      </c:pt>
                      <c:pt idx="17">
                        <c:v>0.19500000000000001</c:v>
                      </c:pt>
                      <c:pt idx="18">
                        <c:v>0.20800000000000002</c:v>
                      </c:pt>
                      <c:pt idx="19">
                        <c:v>0.22100000000000003</c:v>
                      </c:pt>
                      <c:pt idx="20">
                        <c:v>0.23400000000000004</c:v>
                      </c:pt>
                    </c:numCache>
                  </c:numRef>
                </c:val>
                <c:smooth val="0"/>
                <c:extLst>
                  <c:ext xmlns:c16="http://schemas.microsoft.com/office/drawing/2014/chart" uri="{C3380CC4-5D6E-409C-BE32-E72D297353CC}">
                    <c16:uniqueId val="{00000002-F9B3-4509-A86B-333E89C91A26}"/>
                  </c:ext>
                </c:extLst>
              </c15:ser>
            </c15:filteredLineSeries>
          </c:ext>
        </c:extLst>
      </c:lineChart>
      <c:catAx>
        <c:axId val="190214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DK"/>
          </a:p>
        </c:txPr>
        <c:crossAx val="1902141023"/>
        <c:crosses val="autoZero"/>
        <c:auto val="1"/>
        <c:lblAlgn val="ctr"/>
        <c:lblOffset val="100"/>
        <c:noMultiLvlLbl val="0"/>
      </c:catAx>
      <c:valAx>
        <c:axId val="1902141023"/>
        <c:scaling>
          <c:orientation val="minMax"/>
        </c:scaling>
        <c:delete val="0"/>
        <c:axPos val="l"/>
        <c:majorGridlines>
          <c:spPr>
            <a:ln w="9525" cap="flat" cmpd="sng" algn="ctr">
              <a:solidFill>
                <a:schemeClr val="tx1">
                  <a:lumMod val="15000"/>
                  <a:lumOff val="85000"/>
                </a:schemeClr>
              </a:solidFill>
              <a:prstDash val="sys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DK"/>
          </a:p>
        </c:txPr>
        <c:crossAx val="1902140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latin typeface="Segoe UI" panose="020B0502040204020203" pitchFamily="34" charset="0"/>
          <a:cs typeface="Segoe UI" panose="020B0502040204020203" pitchFamily="34" charset="0"/>
        </a:defRPr>
      </a:pPr>
      <a:endParaRPr lang="en-DK"/>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70603674540683"/>
          <c:y val="5.0925925925925923E-2"/>
          <c:w val="0.85496062992125987"/>
          <c:h val="0.73577136191309422"/>
        </c:manualLayout>
      </c:layout>
      <c:lineChart>
        <c:grouping val="standard"/>
        <c:varyColors val="0"/>
        <c:ser>
          <c:idx val="0"/>
          <c:order val="0"/>
          <c:tx>
            <c:strRef>
              <c:f>'I4. GHG intensity products'!$A$38</c:f>
              <c:strCache>
                <c:ptCount val="1"/>
                <c:pt idx="0">
                  <c:v>Steel</c:v>
                </c:pt>
              </c:strCache>
            </c:strRef>
          </c:tx>
          <c:spPr>
            <a:ln w="19050" cap="rnd">
              <a:solidFill>
                <a:srgbClr val="3D5584"/>
              </a:solidFill>
              <a:round/>
            </a:ln>
            <a:effectLst/>
          </c:spPr>
          <c:marker>
            <c:symbol val="none"/>
          </c:marker>
          <c:cat>
            <c:numRef>
              <c:f>'I4. GHG intensity products'!$D$37:$U$37</c:f>
              <c:numCache>
                <c:formatCode>General</c:formatCode>
                <c:ptCount val="18"/>
                <c:pt idx="0">
                  <c:v>2005</c:v>
                </c:pt>
                <c:pt idx="5">
                  <c:v>2010</c:v>
                </c:pt>
                <c:pt idx="10">
                  <c:v>2015</c:v>
                </c:pt>
                <c:pt idx="15">
                  <c:v>2020</c:v>
                </c:pt>
              </c:numCache>
            </c:numRef>
          </c:cat>
          <c:val>
            <c:numRef>
              <c:f>'I4. GHG intensity products'!$D$38:$U$38</c:f>
              <c:numCache>
                <c:formatCode>General</c:formatCode>
                <c:ptCount val="18"/>
                <c:pt idx="3" formatCode="0.00">
                  <c:v>1.0097606385719309</c:v>
                </c:pt>
                <c:pt idx="4" formatCode="0.00">
                  <c:v>1.0023752948062048</c:v>
                </c:pt>
                <c:pt idx="5" formatCode="0.00">
                  <c:v>0.99421540912512885</c:v>
                </c:pt>
                <c:pt idx="6" formatCode="0.00">
                  <c:v>0.94457472516754615</c:v>
                </c:pt>
                <c:pt idx="7" formatCode="0.00">
                  <c:v>0.93710326547802991</c:v>
                </c:pt>
                <c:pt idx="8" formatCode="0.00">
                  <c:v>0.94990037482309386</c:v>
                </c:pt>
                <c:pt idx="9" formatCode="0.00">
                  <c:v>0.93782665192199843</c:v>
                </c:pt>
                <c:pt idx="10" formatCode="0.00">
                  <c:v>0.98709754755862522</c:v>
                </c:pt>
                <c:pt idx="11" formatCode="0.00">
                  <c:v>0.98607356036364568</c:v>
                </c:pt>
                <c:pt idx="12" formatCode="0.00">
                  <c:v>0.965584199606772</c:v>
                </c:pt>
                <c:pt idx="13" formatCode="0.00">
                  <c:v>0.95260848014106225</c:v>
                </c:pt>
                <c:pt idx="14" formatCode="0.00">
                  <c:v>0.96751275094958922</c:v>
                </c:pt>
                <c:pt idx="15" formatCode="0.00">
                  <c:v>0.96049453536657259</c:v>
                </c:pt>
                <c:pt idx="16" formatCode="0.00">
                  <c:v>0.96225193477963145</c:v>
                </c:pt>
              </c:numCache>
            </c:numRef>
          </c:val>
          <c:smooth val="0"/>
          <c:extLst>
            <c:ext xmlns:c16="http://schemas.microsoft.com/office/drawing/2014/chart" uri="{C3380CC4-5D6E-409C-BE32-E72D297353CC}">
              <c16:uniqueId val="{00000000-80D1-4278-AEEC-983CA7B1AAF8}"/>
            </c:ext>
          </c:extLst>
        </c:ser>
        <c:ser>
          <c:idx val="1"/>
          <c:order val="1"/>
          <c:tx>
            <c:strRef>
              <c:f>'I4. GHG intensity products'!$A$39</c:f>
              <c:strCache>
                <c:ptCount val="1"/>
                <c:pt idx="0">
                  <c:v>Cement</c:v>
                </c:pt>
              </c:strCache>
            </c:strRef>
          </c:tx>
          <c:spPr>
            <a:ln w="19050" cap="rnd">
              <a:solidFill>
                <a:srgbClr val="F26119"/>
              </a:solidFill>
              <a:round/>
            </a:ln>
            <a:effectLst/>
          </c:spPr>
          <c:marker>
            <c:symbol val="none"/>
          </c:marker>
          <c:cat>
            <c:numRef>
              <c:f>'I4. GHG intensity products'!$D$37:$U$37</c:f>
              <c:numCache>
                <c:formatCode>General</c:formatCode>
                <c:ptCount val="18"/>
                <c:pt idx="0">
                  <c:v>2005</c:v>
                </c:pt>
                <c:pt idx="5">
                  <c:v>2010</c:v>
                </c:pt>
                <c:pt idx="10">
                  <c:v>2015</c:v>
                </c:pt>
                <c:pt idx="15">
                  <c:v>2020</c:v>
                </c:pt>
              </c:numCache>
            </c:numRef>
          </c:cat>
          <c:val>
            <c:numRef>
              <c:f>'I4. GHG intensity products'!$D$39:$T$39</c:f>
              <c:numCache>
                <c:formatCode>0.00</c:formatCode>
                <c:ptCount val="17"/>
                <c:pt idx="0">
                  <c:v>0.59872976741661699</c:v>
                </c:pt>
                <c:pt idx="1">
                  <c:v>0.57443564990299378</c:v>
                </c:pt>
                <c:pt idx="2">
                  <c:v>0.62302331825890334</c:v>
                </c:pt>
                <c:pt idx="3">
                  <c:v>0.61586587546806904</c:v>
                </c:pt>
                <c:pt idx="4">
                  <c:v>0.61302067289228468</c:v>
                </c:pt>
                <c:pt idx="5">
                  <c:v>0.64292204091087857</c:v>
                </c:pt>
                <c:pt idx="6">
                  <c:v>0.62482172998034358</c:v>
                </c:pt>
                <c:pt idx="7">
                  <c:v>0.66729647756046317</c:v>
                </c:pt>
                <c:pt idx="8">
                  <c:v>0.6740219052957438</c:v>
                </c:pt>
                <c:pt idx="9">
                  <c:v>0.70294397714648471</c:v>
                </c:pt>
                <c:pt idx="10">
                  <c:v>0.68949090495104615</c:v>
                </c:pt>
                <c:pt idx="11">
                  <c:v>0.68247356668376347</c:v>
                </c:pt>
                <c:pt idx="12">
                  <c:v>0.67514313131435055</c:v>
                </c:pt>
                <c:pt idx="13">
                  <c:v>0.6323728197027676</c:v>
                </c:pt>
                <c:pt idx="14">
                  <c:v>0.65354950795421052</c:v>
                </c:pt>
                <c:pt idx="15">
                  <c:v>0.6236766145467425</c:v>
                </c:pt>
                <c:pt idx="16">
                  <c:v>0.60380101780891704</c:v>
                </c:pt>
              </c:numCache>
            </c:numRef>
          </c:val>
          <c:smooth val="0"/>
          <c:extLst>
            <c:ext xmlns:c16="http://schemas.microsoft.com/office/drawing/2014/chart" uri="{C3380CC4-5D6E-409C-BE32-E72D297353CC}">
              <c16:uniqueId val="{00000001-80D1-4278-AEEC-983CA7B1AAF8}"/>
            </c:ext>
          </c:extLst>
        </c:ser>
        <c:ser>
          <c:idx val="2"/>
          <c:order val="2"/>
          <c:tx>
            <c:strRef>
              <c:f>'I4. GHG intensity products'!$A$40</c:f>
              <c:strCache>
                <c:ptCount val="1"/>
                <c:pt idx="0">
                  <c:v>Base organic chemicals</c:v>
                </c:pt>
              </c:strCache>
            </c:strRef>
          </c:tx>
          <c:spPr>
            <a:ln w="19050" cap="rnd">
              <a:solidFill>
                <a:srgbClr val="64786A"/>
              </a:solidFill>
              <a:round/>
            </a:ln>
            <a:effectLst/>
          </c:spPr>
          <c:marker>
            <c:symbol val="none"/>
          </c:marker>
          <c:cat>
            <c:numRef>
              <c:f>'I4. GHG intensity products'!$D$37:$U$37</c:f>
              <c:numCache>
                <c:formatCode>General</c:formatCode>
                <c:ptCount val="18"/>
                <c:pt idx="0">
                  <c:v>2005</c:v>
                </c:pt>
                <c:pt idx="5">
                  <c:v>2010</c:v>
                </c:pt>
                <c:pt idx="10">
                  <c:v>2015</c:v>
                </c:pt>
                <c:pt idx="15">
                  <c:v>2020</c:v>
                </c:pt>
              </c:numCache>
            </c:numRef>
          </c:cat>
          <c:val>
            <c:numRef>
              <c:f>'I4. GHG intensity products'!$D$40:$U$40</c:f>
              <c:numCache>
                <c:formatCode>General</c:formatCode>
                <c:ptCount val="18"/>
                <c:pt idx="8" formatCode="#,##0.00">
                  <c:v>0.80433913886189445</c:v>
                </c:pt>
                <c:pt idx="9" formatCode="#,##0.00">
                  <c:v>0.73134547256250138</c:v>
                </c:pt>
                <c:pt idx="10" formatCode="#,##0.00">
                  <c:v>0.78740897432179102</c:v>
                </c:pt>
                <c:pt idx="11" formatCode="#,##0.00">
                  <c:v>0.75141663421404159</c:v>
                </c:pt>
                <c:pt idx="12" formatCode="#,##0.00">
                  <c:v>0.77912111400464401</c:v>
                </c:pt>
                <c:pt idx="13" formatCode="#,##0.00">
                  <c:v>0.79046674886107415</c:v>
                </c:pt>
                <c:pt idx="14" formatCode="#,##0.00">
                  <c:v>0.76831990538122341</c:v>
                </c:pt>
                <c:pt idx="15" formatCode="#,##0.00">
                  <c:v>0.78795174198897411</c:v>
                </c:pt>
                <c:pt idx="16" formatCode="#,##0.00">
                  <c:v>0.86643971423348332</c:v>
                </c:pt>
                <c:pt idx="17" formatCode="#,##0.00">
                  <c:v>0.76704091759110027</c:v>
                </c:pt>
              </c:numCache>
            </c:numRef>
          </c:val>
          <c:smooth val="0"/>
          <c:extLst>
            <c:ext xmlns:c16="http://schemas.microsoft.com/office/drawing/2014/chart" uri="{C3380CC4-5D6E-409C-BE32-E72D297353CC}">
              <c16:uniqueId val="{00000002-80D1-4278-AEEC-983CA7B1AAF8}"/>
            </c:ext>
          </c:extLst>
        </c:ser>
        <c:dLbls>
          <c:showLegendKey val="0"/>
          <c:showVal val="0"/>
          <c:showCatName val="0"/>
          <c:showSerName val="0"/>
          <c:showPercent val="0"/>
          <c:showBubbleSize val="0"/>
        </c:dLbls>
        <c:smooth val="0"/>
        <c:axId val="642206672"/>
        <c:axId val="643707664"/>
      </c:lineChart>
      <c:catAx>
        <c:axId val="64220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643707664"/>
        <c:crosses val="autoZero"/>
        <c:auto val="1"/>
        <c:lblAlgn val="ctr"/>
        <c:lblOffset val="100"/>
        <c:noMultiLvlLbl val="0"/>
      </c:catAx>
      <c:valAx>
        <c:axId val="6437076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a:t>
                </a:r>
                <a:r>
                  <a:rPr lang="en-US" baseline="0"/>
                  <a:t> CO2e/t product</a:t>
                </a:r>
                <a:endParaRPr lang="en-DK"/>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642206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DK"/>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1"/>
          <c:tx>
            <c:strRef>
              <c:f>'I5. Energy use'!$A$25</c:f>
              <c:strCache>
                <c:ptCount val="1"/>
                <c:pt idx="0">
                  <c:v>Fossil fuels</c:v>
                </c:pt>
              </c:strCache>
            </c:strRef>
          </c:tx>
          <c:spPr>
            <a:solidFill>
              <a:srgbClr val="3D5584"/>
            </a:solidFill>
            <a:ln>
              <a:noFill/>
            </a:ln>
            <a:effectLst/>
          </c:spPr>
          <c:invertIfNegative val="0"/>
          <c:cat>
            <c:numRef>
              <c:f>'I5. Energy use'!$D$2:$AW$2</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'I5. Energy use'!$D$25:$AW$25</c:f>
              <c:numCache>
                <c:formatCode>General</c:formatCode>
                <c:ptCount val="46"/>
                <c:pt idx="0">
                  <c:v>1790.7110257900003</c:v>
                </c:pt>
                <c:pt idx="1">
                  <c:v>1711.5973925500004</c:v>
                </c:pt>
                <c:pt idx="2">
                  <c:v>1728.6735238400006</c:v>
                </c:pt>
                <c:pt idx="3">
                  <c:v>1654.0157506500002</c:v>
                </c:pt>
                <c:pt idx="4">
                  <c:v>1386.3675593900002</c:v>
                </c:pt>
                <c:pt idx="5">
                  <c:v>1470.6996666700002</c:v>
                </c:pt>
                <c:pt idx="6">
                  <c:v>1456.5168933000002</c:v>
                </c:pt>
                <c:pt idx="7">
                  <c:v>1419.0696423800005</c:v>
                </c:pt>
                <c:pt idx="8">
                  <c:v>1391.0857457200002</c:v>
                </c:pt>
                <c:pt idx="9">
                  <c:v>1351.5276963200001</c:v>
                </c:pt>
                <c:pt idx="10">
                  <c:v>1341.7946191000003</c:v>
                </c:pt>
                <c:pt idx="11">
                  <c:v>1359.5982650400003</c:v>
                </c:pt>
                <c:pt idx="12">
                  <c:v>1367.3813634200001</c:v>
                </c:pt>
                <c:pt idx="13">
                  <c:v>1380.7969754700002</c:v>
                </c:pt>
                <c:pt idx="14">
                  <c:v>1345.5526093700003</c:v>
                </c:pt>
                <c:pt idx="15">
                  <c:v>1306.34168058</c:v>
                </c:pt>
                <c:pt idx="16">
                  <c:v>1368.5050075000004</c:v>
                </c:pt>
              </c:numCache>
            </c:numRef>
          </c:val>
          <c:extLst>
            <c:ext xmlns:c16="http://schemas.microsoft.com/office/drawing/2014/chart" uri="{C3380CC4-5D6E-409C-BE32-E72D297353CC}">
              <c16:uniqueId val="{00000001-10ED-498F-99A2-D40DF0EF4D36}"/>
            </c:ext>
          </c:extLst>
        </c:ser>
        <c:ser>
          <c:idx val="3"/>
          <c:order val="2"/>
          <c:tx>
            <c:strRef>
              <c:f>'I5. Energy use'!$A$26</c:f>
              <c:strCache>
                <c:ptCount val="1"/>
                <c:pt idx="0">
                  <c:v>electricity</c:v>
                </c:pt>
              </c:strCache>
            </c:strRef>
          </c:tx>
          <c:spPr>
            <a:solidFill>
              <a:srgbClr val="98C9EE"/>
            </a:solidFill>
            <a:ln>
              <a:noFill/>
            </a:ln>
            <a:effectLst/>
          </c:spPr>
          <c:invertIfNegative val="0"/>
          <c:cat>
            <c:numRef>
              <c:f>'I5. Energy use'!$D$2:$AW$2</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'I5. Energy use'!$D$26:$AW$26</c:f>
              <c:numCache>
                <c:formatCode>General</c:formatCode>
                <c:ptCount val="46"/>
                <c:pt idx="0">
                  <c:v>1014.7476217000002</c:v>
                </c:pt>
                <c:pt idx="1">
                  <c:v>1014.1610393900004</c:v>
                </c:pt>
                <c:pt idx="2">
                  <c:v>1027.6079128800004</c:v>
                </c:pt>
                <c:pt idx="3">
                  <c:v>1003.2636363500003</c:v>
                </c:pt>
                <c:pt idx="4">
                  <c:v>864.11858312000004</c:v>
                </c:pt>
                <c:pt idx="5">
                  <c:v>925.60878890000026</c:v>
                </c:pt>
                <c:pt idx="6">
                  <c:v>936.54319860000021</c:v>
                </c:pt>
                <c:pt idx="7">
                  <c:v>920.28116731000034</c:v>
                </c:pt>
                <c:pt idx="8">
                  <c:v>906.3722222900002</c:v>
                </c:pt>
                <c:pt idx="9">
                  <c:v>910.06351451000012</c:v>
                </c:pt>
                <c:pt idx="10">
                  <c:v>913.89333166000017</c:v>
                </c:pt>
                <c:pt idx="11">
                  <c:v>925.94983865000006</c:v>
                </c:pt>
                <c:pt idx="12">
                  <c:v>942.46025185000008</c:v>
                </c:pt>
                <c:pt idx="13">
                  <c:v>945.42804177000028</c:v>
                </c:pt>
                <c:pt idx="14">
                  <c:v>933.11626791000026</c:v>
                </c:pt>
                <c:pt idx="15">
                  <c:v>884.32050951000008</c:v>
                </c:pt>
                <c:pt idx="16">
                  <c:v>928.43875169000012</c:v>
                </c:pt>
              </c:numCache>
            </c:numRef>
          </c:val>
          <c:extLst>
            <c:ext xmlns:c16="http://schemas.microsoft.com/office/drawing/2014/chart" uri="{C3380CC4-5D6E-409C-BE32-E72D297353CC}">
              <c16:uniqueId val="{00000003-10ED-498F-99A2-D40DF0EF4D36}"/>
            </c:ext>
          </c:extLst>
        </c:ser>
        <c:ser>
          <c:idx val="2"/>
          <c:order val="3"/>
          <c:tx>
            <c:strRef>
              <c:f>'I5. Energy use'!$A$27</c:f>
              <c:strCache>
                <c:ptCount val="1"/>
                <c:pt idx="0">
                  <c:v>renewables (mainly biomass)</c:v>
                </c:pt>
              </c:strCache>
            </c:strRef>
          </c:tx>
          <c:spPr>
            <a:solidFill>
              <a:srgbClr val="EFE973"/>
            </a:solidFill>
            <a:ln>
              <a:noFill/>
            </a:ln>
            <a:effectLst/>
          </c:spPr>
          <c:invertIfNegative val="0"/>
          <c:cat>
            <c:numRef>
              <c:f>'I5. Energy use'!$D$2:$AW$2</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'I5. Energy use'!$D$27:$AW$27</c:f>
              <c:numCache>
                <c:formatCode>General</c:formatCode>
                <c:ptCount val="46"/>
                <c:pt idx="0">
                  <c:v>204.97852903000003</c:v>
                </c:pt>
                <c:pt idx="1">
                  <c:v>213.84157758000001</c:v>
                </c:pt>
                <c:pt idx="2">
                  <c:v>224.64941799000005</c:v>
                </c:pt>
                <c:pt idx="3">
                  <c:v>212.39436364000005</c:v>
                </c:pt>
                <c:pt idx="4">
                  <c:v>209.58275299000002</c:v>
                </c:pt>
                <c:pt idx="5">
                  <c:v>227.39937801000005</c:v>
                </c:pt>
                <c:pt idx="6">
                  <c:v>228.61131705000005</c:v>
                </c:pt>
                <c:pt idx="7">
                  <c:v>221.51730780000008</c:v>
                </c:pt>
                <c:pt idx="8">
                  <c:v>227.76293181000005</c:v>
                </c:pt>
                <c:pt idx="9">
                  <c:v>232.42859706000004</c:v>
                </c:pt>
                <c:pt idx="10">
                  <c:v>241.94223944000007</c:v>
                </c:pt>
                <c:pt idx="11">
                  <c:v>252.48605559000006</c:v>
                </c:pt>
                <c:pt idx="12">
                  <c:v>256.50566271000002</c:v>
                </c:pt>
                <c:pt idx="13">
                  <c:v>262.85929453</c:v>
                </c:pt>
                <c:pt idx="14">
                  <c:v>268.72719940000007</c:v>
                </c:pt>
                <c:pt idx="15">
                  <c:v>269.60396184000007</c:v>
                </c:pt>
                <c:pt idx="16">
                  <c:v>271.10601123000004</c:v>
                </c:pt>
              </c:numCache>
            </c:numRef>
          </c:val>
          <c:extLst>
            <c:ext xmlns:c16="http://schemas.microsoft.com/office/drawing/2014/chart" uri="{C3380CC4-5D6E-409C-BE32-E72D297353CC}">
              <c16:uniqueId val="{00000002-10ED-498F-99A2-D40DF0EF4D36}"/>
            </c:ext>
          </c:extLst>
        </c:ser>
        <c:ser>
          <c:idx val="4"/>
          <c:order val="4"/>
          <c:tx>
            <c:strRef>
              <c:f>'I5. Energy use'!$A$28</c:f>
              <c:strCache>
                <c:ptCount val="1"/>
                <c:pt idx="0">
                  <c:v>Others (heat and waste)</c:v>
                </c:pt>
              </c:strCache>
            </c:strRef>
          </c:tx>
          <c:spPr>
            <a:solidFill>
              <a:srgbClr val="64786A"/>
            </a:solidFill>
            <a:ln>
              <a:noFill/>
            </a:ln>
            <a:effectLst/>
          </c:spPr>
          <c:invertIfNegative val="0"/>
          <c:cat>
            <c:numRef>
              <c:f>'I5. Energy use'!$D$2:$AW$2</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'I5. Energy use'!$D$28:$AW$28</c:f>
              <c:numCache>
                <c:formatCode>General</c:formatCode>
                <c:ptCount val="46"/>
                <c:pt idx="0">
                  <c:v>188.48780542000003</c:v>
                </c:pt>
                <c:pt idx="1">
                  <c:v>194.96807631000007</c:v>
                </c:pt>
                <c:pt idx="2">
                  <c:v>208.03121795000004</c:v>
                </c:pt>
                <c:pt idx="3">
                  <c:v>212.71777068000003</c:v>
                </c:pt>
                <c:pt idx="4">
                  <c:v>204.92246080000004</c:v>
                </c:pt>
                <c:pt idx="5">
                  <c:v>212.02404118000007</c:v>
                </c:pt>
                <c:pt idx="6">
                  <c:v>218.87860036000004</c:v>
                </c:pt>
                <c:pt idx="7">
                  <c:v>226.39134776000006</c:v>
                </c:pt>
                <c:pt idx="8">
                  <c:v>227.74250953000001</c:v>
                </c:pt>
                <c:pt idx="9">
                  <c:v>218.83886065000004</c:v>
                </c:pt>
                <c:pt idx="10">
                  <c:v>217.88982939000005</c:v>
                </c:pt>
                <c:pt idx="11">
                  <c:v>227.45723726000008</c:v>
                </c:pt>
                <c:pt idx="12">
                  <c:v>225.35890614000004</c:v>
                </c:pt>
                <c:pt idx="13">
                  <c:v>230.53812893000003</c:v>
                </c:pt>
                <c:pt idx="14">
                  <c:v>234.72911573000002</c:v>
                </c:pt>
                <c:pt idx="15">
                  <c:v>225.35584745000006</c:v>
                </c:pt>
                <c:pt idx="16">
                  <c:v>227.14921671000008</c:v>
                </c:pt>
              </c:numCache>
            </c:numRef>
          </c:val>
          <c:extLst>
            <c:ext xmlns:c16="http://schemas.microsoft.com/office/drawing/2014/chart" uri="{C3380CC4-5D6E-409C-BE32-E72D297353CC}">
              <c16:uniqueId val="{00000004-10ED-498F-99A2-D40DF0EF4D36}"/>
            </c:ext>
          </c:extLst>
        </c:ser>
        <c:ser>
          <c:idx val="11"/>
          <c:order val="10"/>
          <c:tx>
            <c:strRef>
              <c:f>'I5. Energy use'!$A$23</c:f>
              <c:strCache>
                <c:ptCount val="1"/>
                <c:pt idx="0">
                  <c:v>non-energy use</c:v>
                </c:pt>
              </c:strCache>
            </c:strRef>
          </c:tx>
          <c:spPr>
            <a:solidFill>
              <a:srgbClr val="F0CBD9"/>
            </a:solidFill>
            <a:ln>
              <a:noFill/>
            </a:ln>
            <a:effectLst/>
          </c:spPr>
          <c:invertIfNegative val="0"/>
          <c:val>
            <c:numRef>
              <c:f>'I5. Energy use'!$D$23:$AW$23</c:f>
              <c:numCache>
                <c:formatCode>General</c:formatCode>
                <c:ptCount val="46"/>
                <c:pt idx="0">
                  <c:v>1162.8909454900001</c:v>
                </c:pt>
                <c:pt idx="1">
                  <c:v>1162.9673429600002</c:v>
                </c:pt>
                <c:pt idx="2">
                  <c:v>1164.0260102300003</c:v>
                </c:pt>
                <c:pt idx="3">
                  <c:v>1133.6157117800003</c:v>
                </c:pt>
                <c:pt idx="4">
                  <c:v>1030.0633315200002</c:v>
                </c:pt>
                <c:pt idx="5">
                  <c:v>1084.0854607300002</c:v>
                </c:pt>
                <c:pt idx="6">
                  <c:v>1061.2394422100003</c:v>
                </c:pt>
                <c:pt idx="7">
                  <c:v>1021.8132072300001</c:v>
                </c:pt>
                <c:pt idx="8">
                  <c:v>989.95349677000013</c:v>
                </c:pt>
                <c:pt idx="9">
                  <c:v>1012.2005702900003</c:v>
                </c:pt>
                <c:pt idx="10">
                  <c:v>980.43503957000041</c:v>
                </c:pt>
                <c:pt idx="11">
                  <c:v>977.13702742999999</c:v>
                </c:pt>
                <c:pt idx="12">
                  <c:v>1054.0737921600003</c:v>
                </c:pt>
                <c:pt idx="13">
                  <c:v>1013.1012323800002</c:v>
                </c:pt>
                <c:pt idx="14">
                  <c:v>1009.0881962100002</c:v>
                </c:pt>
                <c:pt idx="15">
                  <c:v>1002.9393570600002</c:v>
                </c:pt>
                <c:pt idx="16">
                  <c:v>1047.6107104100001</c:v>
                </c:pt>
              </c:numCache>
            </c:numRef>
          </c:val>
          <c:extLst>
            <c:ext xmlns:c16="http://schemas.microsoft.com/office/drawing/2014/chart" uri="{C3380CC4-5D6E-409C-BE32-E72D297353CC}">
              <c16:uniqueId val="{00000001-69FA-4230-B918-6C1482D74072}"/>
            </c:ext>
          </c:extLst>
        </c:ser>
        <c:dLbls>
          <c:showLegendKey val="0"/>
          <c:showVal val="0"/>
          <c:showCatName val="0"/>
          <c:showSerName val="0"/>
          <c:showPercent val="0"/>
          <c:showBubbleSize val="0"/>
        </c:dLbls>
        <c:gapWidth val="150"/>
        <c:overlap val="100"/>
        <c:axId val="1756430223"/>
        <c:axId val="1756427823"/>
      </c:barChart>
      <c:lineChart>
        <c:grouping val="standard"/>
        <c:varyColors val="0"/>
        <c:ser>
          <c:idx val="0"/>
          <c:order val="0"/>
          <c:tx>
            <c:strRef>
              <c:f>'I5. Energy use'!$A$24</c:f>
              <c:strCache>
                <c:ptCount val="1"/>
                <c:pt idx="0">
                  <c:v>Total</c:v>
                </c:pt>
              </c:strCache>
            </c:strRef>
          </c:tx>
          <c:spPr>
            <a:ln w="19050" cap="rnd">
              <a:solidFill>
                <a:sysClr val="windowText" lastClr="000000"/>
              </a:solidFill>
              <a:round/>
            </a:ln>
            <a:effectLst/>
          </c:spPr>
          <c:marker>
            <c:symbol val="none"/>
          </c:marker>
          <c:cat>
            <c:numRef>
              <c:f>'I5. Energy use'!$D$2:$AW$2</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'I5. Energy use'!$D$24:$AW$24</c:f>
              <c:numCache>
                <c:formatCode>General</c:formatCode>
                <c:ptCount val="46"/>
                <c:pt idx="0">
                  <c:v>3199.7067040200013</c:v>
                </c:pt>
                <c:pt idx="1">
                  <c:v>3135.1733342900002</c:v>
                </c:pt>
                <c:pt idx="2">
                  <c:v>3189.8280889800008</c:v>
                </c:pt>
                <c:pt idx="3">
                  <c:v>3083.2069006200013</c:v>
                </c:pt>
                <c:pt idx="4">
                  <c:v>2665.3687498000004</c:v>
                </c:pt>
                <c:pt idx="5">
                  <c:v>2836.2442809300005</c:v>
                </c:pt>
                <c:pt idx="6">
                  <c:v>2841.1573162800005</c:v>
                </c:pt>
                <c:pt idx="7">
                  <c:v>2787.7423428500006</c:v>
                </c:pt>
                <c:pt idx="8">
                  <c:v>2753.3852410800005</c:v>
                </c:pt>
                <c:pt idx="9">
                  <c:v>2713.2530302100004</c:v>
                </c:pt>
                <c:pt idx="10">
                  <c:v>2715.6941206900005</c:v>
                </c:pt>
                <c:pt idx="11">
                  <c:v>2765.6047308900006</c:v>
                </c:pt>
                <c:pt idx="12">
                  <c:v>2791.9385980400007</c:v>
                </c:pt>
                <c:pt idx="13">
                  <c:v>2819.8833016000008</c:v>
                </c:pt>
                <c:pt idx="14">
                  <c:v>2782.3564898500008</c:v>
                </c:pt>
                <c:pt idx="15">
                  <c:v>2685.6380720400007</c:v>
                </c:pt>
                <c:pt idx="16">
                  <c:v>2795.1989638700002</c:v>
                </c:pt>
              </c:numCache>
            </c:numRef>
          </c:val>
          <c:smooth val="0"/>
          <c:extLst>
            <c:ext xmlns:c16="http://schemas.microsoft.com/office/drawing/2014/chart" uri="{C3380CC4-5D6E-409C-BE32-E72D297353CC}">
              <c16:uniqueId val="{00000000-10ED-498F-99A2-D40DF0EF4D36}"/>
            </c:ext>
          </c:extLst>
        </c:ser>
        <c:ser>
          <c:idx val="5"/>
          <c:order val="5"/>
          <c:tx>
            <c:strRef>
              <c:f>'I5. Energy use'!$A$31</c:f>
              <c:strCache>
                <c:ptCount val="1"/>
                <c:pt idx="0">
                  <c:v>2030 benchmark (max)</c:v>
                </c:pt>
              </c:strCache>
            </c:strRef>
          </c:tx>
          <c:spPr>
            <a:ln w="28575" cap="rnd">
              <a:noFill/>
              <a:round/>
            </a:ln>
            <a:effectLst/>
          </c:spPr>
          <c:marker>
            <c:symbol val="circle"/>
            <c:size val="5"/>
            <c:spPr>
              <a:solidFill>
                <a:srgbClr val="F26119"/>
              </a:solidFill>
              <a:ln w="9525">
                <a:noFill/>
              </a:ln>
              <a:effectLst/>
            </c:spPr>
          </c:marker>
          <c:cat>
            <c:numRef>
              <c:f>'I5. Energy use'!$D$2:$AW$2</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'I5. Energy use'!$D$31:$AW$31</c:f>
              <c:numCache>
                <c:formatCode>General</c:formatCode>
                <c:ptCount val="46"/>
                <c:pt idx="25">
                  <c:v>2457.5701900000004</c:v>
                </c:pt>
              </c:numCache>
            </c:numRef>
          </c:val>
          <c:smooth val="0"/>
          <c:extLst>
            <c:ext xmlns:c16="http://schemas.microsoft.com/office/drawing/2014/chart" uri="{C3380CC4-5D6E-409C-BE32-E72D297353CC}">
              <c16:uniqueId val="{00000005-10ED-498F-99A2-D40DF0EF4D36}"/>
            </c:ext>
          </c:extLst>
        </c:ser>
        <c:ser>
          <c:idx val="10"/>
          <c:order val="6"/>
          <c:tx>
            <c:strRef>
              <c:f>'I5. Energy use'!$A$32</c:f>
              <c:strCache>
                <c:ptCount val="1"/>
                <c:pt idx="0">
                  <c:v>2030 benchmark (min)</c:v>
                </c:pt>
              </c:strCache>
            </c:strRef>
          </c:tx>
          <c:spPr>
            <a:ln w="28575" cap="rnd">
              <a:noFill/>
              <a:round/>
            </a:ln>
            <a:effectLst/>
          </c:spPr>
          <c:marker>
            <c:symbol val="circle"/>
            <c:size val="5"/>
            <c:spPr>
              <a:solidFill>
                <a:srgbClr val="FEC200"/>
              </a:solidFill>
              <a:ln w="9525">
                <a:noFill/>
              </a:ln>
              <a:effectLst/>
            </c:spPr>
          </c:marker>
          <c:cat>
            <c:numRef>
              <c:f>'I5. Energy use'!$D$2:$AW$2</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'I5. Energy use'!$D$32:$AW$32</c:f>
              <c:numCache>
                <c:formatCode>General</c:formatCode>
                <c:ptCount val="46"/>
                <c:pt idx="25">
                  <c:v>2279.4800000000005</c:v>
                </c:pt>
              </c:numCache>
            </c:numRef>
          </c:val>
          <c:smooth val="0"/>
          <c:extLst>
            <c:ext xmlns:c16="http://schemas.microsoft.com/office/drawing/2014/chart" uri="{C3380CC4-5D6E-409C-BE32-E72D297353CC}">
              <c16:uniqueId val="{00000000-17F5-44AB-AD30-C4892C5C006F}"/>
            </c:ext>
          </c:extLst>
        </c:ser>
        <c:ser>
          <c:idx val="6"/>
          <c:order val="7"/>
          <c:tx>
            <c:strRef>
              <c:f>'I5. Energy use'!$A$33</c:f>
              <c:strCache>
                <c:ptCount val="1"/>
                <c:pt idx="0">
                  <c:v>2050 benchmark</c:v>
                </c:pt>
              </c:strCache>
            </c:strRef>
          </c:tx>
          <c:spPr>
            <a:ln w="28575" cap="rnd">
              <a:noFill/>
              <a:round/>
            </a:ln>
            <a:effectLst/>
          </c:spPr>
          <c:marker>
            <c:symbol val="circle"/>
            <c:size val="5"/>
            <c:spPr>
              <a:solidFill>
                <a:schemeClr val="accent1">
                  <a:lumMod val="60000"/>
                </a:schemeClr>
              </a:solidFill>
              <a:ln w="9525">
                <a:noFill/>
              </a:ln>
              <a:effectLst/>
            </c:spPr>
          </c:marker>
          <c:cat>
            <c:numRef>
              <c:f>'I5. Energy use'!$D$2:$AW$2</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'I5. Energy use'!$D$33:$AW$33</c:f>
              <c:numCache>
                <c:formatCode>General</c:formatCode>
                <c:ptCount val="46"/>
                <c:pt idx="45">
                  <c:v>2543.8791128835601</c:v>
                </c:pt>
              </c:numCache>
            </c:numRef>
          </c:val>
          <c:smooth val="0"/>
          <c:extLst>
            <c:ext xmlns:c16="http://schemas.microsoft.com/office/drawing/2014/chart" uri="{C3380CC4-5D6E-409C-BE32-E72D297353CC}">
              <c16:uniqueId val="{00000006-10ED-498F-99A2-D40DF0EF4D36}"/>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756430223"/>
        <c:axId val="1756427823"/>
        <c:extLst>
          <c:ext xmlns:c15="http://schemas.microsoft.com/office/drawing/2012/chart" uri="{02D57815-91ED-43cb-92C2-25804820EDAC}">
            <c15:filteredLineSeries>
              <c15:ser>
                <c:idx val="8"/>
                <c:order val="8"/>
                <c:tx>
                  <c:strRef>
                    <c:extLst>
                      <c:ext uri="{02D57815-91ED-43cb-92C2-25804820EDAC}">
                        <c15:formulaRef>
                          <c15:sqref>'I5. Energy use'!$A$34</c15:sqref>
                        </c15:formulaRef>
                      </c:ext>
                    </c:extLst>
                    <c:strCache>
                      <c:ptCount val="1"/>
                      <c:pt idx="0">
                        <c:v>linear trajectory</c:v>
                      </c:pt>
                    </c:strCache>
                  </c:strRef>
                </c:tx>
                <c:spPr>
                  <a:ln w="12700" cap="rnd">
                    <a:solidFill>
                      <a:sysClr val="windowText" lastClr="000000"/>
                    </a:solidFill>
                    <a:prstDash val="dash"/>
                    <a:round/>
                  </a:ln>
                  <a:effectLst/>
                </c:spPr>
                <c:marker>
                  <c:symbol val="none"/>
                </c:marker>
                <c:cat>
                  <c:numRef>
                    <c:extLst>
                      <c:ext uri="{02D57815-91ED-43cb-92C2-25804820EDAC}">
                        <c15:formulaRef>
                          <c15:sqref>'I5. Energy use'!$D$2:$AW$2</c15:sqref>
                        </c15:formulaRef>
                      </c:ext>
                    </c:extLst>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extLst>
                      <c:ext uri="{02D57815-91ED-43cb-92C2-25804820EDAC}">
                        <c15:formulaRef>
                          <c15:sqref>'I5. Energy use'!$D$34:$AW$34</c15:sqref>
                        </c15:formulaRef>
                      </c:ext>
                    </c:extLst>
                    <c:numCache>
                      <c:formatCode>General</c:formatCode>
                      <c:ptCount val="46"/>
                      <c:pt idx="16">
                        <c:v>2795.1989638700002</c:v>
                      </c:pt>
                      <c:pt idx="17">
                        <c:v>2757.6846556622227</c:v>
                      </c:pt>
                      <c:pt idx="18">
                        <c:v>2720.1703474544447</c:v>
                      </c:pt>
                      <c:pt idx="19">
                        <c:v>2682.6560392466668</c:v>
                      </c:pt>
                      <c:pt idx="20">
                        <c:v>2645.1417310388892</c:v>
                      </c:pt>
                      <c:pt idx="21">
                        <c:v>2607.6274228311117</c:v>
                      </c:pt>
                      <c:pt idx="22">
                        <c:v>2570.1131146233333</c:v>
                      </c:pt>
                      <c:pt idx="23">
                        <c:v>2532.5988064155558</c:v>
                      </c:pt>
                      <c:pt idx="24">
                        <c:v>2495.0844982077783</c:v>
                      </c:pt>
                      <c:pt idx="25">
                        <c:v>2457.5701900000004</c:v>
                      </c:pt>
                      <c:pt idx="26">
                        <c:v>2440.6037512069101</c:v>
                      </c:pt>
                      <c:pt idx="27">
                        <c:v>2423.6373124138208</c:v>
                      </c:pt>
                      <c:pt idx="28">
                        <c:v>2406.6708736207306</c:v>
                      </c:pt>
                      <c:pt idx="29">
                        <c:v>2389.7044348276404</c:v>
                      </c:pt>
                      <c:pt idx="30">
                        <c:v>2372.7379960345506</c:v>
                      </c:pt>
                      <c:pt idx="31">
                        <c:v>2355.7715572414609</c:v>
                      </c:pt>
                      <c:pt idx="32">
                        <c:v>2338.8051184483706</c:v>
                      </c:pt>
                      <c:pt idx="33">
                        <c:v>2321.8386796552809</c:v>
                      </c:pt>
                      <c:pt idx="34">
                        <c:v>2304.8722408621907</c:v>
                      </c:pt>
                      <c:pt idx="35">
                        <c:v>2287.9058020691004</c:v>
                      </c:pt>
                      <c:pt idx="36">
                        <c:v>2270.9393632760107</c:v>
                      </c:pt>
                      <c:pt idx="37">
                        <c:v>2253.9729244829209</c:v>
                      </c:pt>
                      <c:pt idx="38">
                        <c:v>2237.0064856898307</c:v>
                      </c:pt>
                      <c:pt idx="39">
                        <c:v>2220.0400468967405</c:v>
                      </c:pt>
                      <c:pt idx="40">
                        <c:v>2203.0736081036512</c:v>
                      </c:pt>
                      <c:pt idx="41">
                        <c:v>2186.1071693105609</c:v>
                      </c:pt>
                      <c:pt idx="42">
                        <c:v>2169.1407305174707</c:v>
                      </c:pt>
                      <c:pt idx="43">
                        <c:v>2152.174291724381</c:v>
                      </c:pt>
                      <c:pt idx="44">
                        <c:v>2135.2078529312907</c:v>
                      </c:pt>
                      <c:pt idx="45">
                        <c:v>2118.241414138201</c:v>
                      </c:pt>
                    </c:numCache>
                  </c:numRef>
                </c:val>
                <c:smooth val="0"/>
                <c:extLst>
                  <c:ext xmlns:c16="http://schemas.microsoft.com/office/drawing/2014/chart" uri="{C3380CC4-5D6E-409C-BE32-E72D297353CC}">
                    <c16:uniqueId val="{00000008-10ED-498F-99A2-D40DF0EF4D36}"/>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'I5. Energy use'!$A$35</c15:sqref>
                        </c15:formulaRef>
                      </c:ext>
                    </c:extLst>
                    <c:strCache>
                      <c:ptCount val="1"/>
                      <c:pt idx="0">
                        <c:v>linear trajectory 2</c:v>
                      </c:pt>
                    </c:strCache>
                  </c:strRef>
                </c:tx>
                <c:spPr>
                  <a:ln w="12700" cap="rnd">
                    <a:solidFill>
                      <a:sysClr val="windowText" lastClr="000000"/>
                    </a:solidFill>
                    <a:prstDash val="dash"/>
                    <a:round/>
                  </a:ln>
                  <a:effectLst/>
                </c:spPr>
                <c:marker>
                  <c:symbol val="none"/>
                </c:marker>
                <c:cat>
                  <c:numRef>
                    <c:extLst xmlns:c15="http://schemas.microsoft.com/office/drawing/2012/chart">
                      <c:ext xmlns:c15="http://schemas.microsoft.com/office/drawing/2012/chart" uri="{02D57815-91ED-43cb-92C2-25804820EDAC}">
                        <c15:formulaRef>
                          <c15:sqref>'I5. Energy use'!$D$2:$AW$2</c15:sqref>
                        </c15:formulaRef>
                      </c:ext>
                    </c:extLst>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extLst xmlns:c15="http://schemas.microsoft.com/office/drawing/2012/chart">
                      <c:ext xmlns:c15="http://schemas.microsoft.com/office/drawing/2012/chart" uri="{02D57815-91ED-43cb-92C2-25804820EDAC}">
                        <c15:formulaRef>
                          <c15:sqref>'I5. Energy use'!$D$35:$AW$35</c15:sqref>
                        </c15:formulaRef>
                      </c:ext>
                    </c:extLst>
                    <c:numCache>
                      <c:formatCode>General</c:formatCode>
                      <c:ptCount val="46"/>
                      <c:pt idx="16">
                        <c:v>2795.1989638700002</c:v>
                      </c:pt>
                      <c:pt idx="17">
                        <c:v>2737.8968567733336</c:v>
                      </c:pt>
                      <c:pt idx="18">
                        <c:v>2680.5947496766671</c:v>
                      </c:pt>
                      <c:pt idx="19">
                        <c:v>2623.2926425800006</c:v>
                      </c:pt>
                      <c:pt idx="20">
                        <c:v>2565.990535483334</c:v>
                      </c:pt>
                      <c:pt idx="21">
                        <c:v>2508.6884283866675</c:v>
                      </c:pt>
                      <c:pt idx="22">
                        <c:v>2451.386321290001</c:v>
                      </c:pt>
                      <c:pt idx="23">
                        <c:v>2394.0842141933344</c:v>
                      </c:pt>
                      <c:pt idx="24">
                        <c:v>2336.7821070966679</c:v>
                      </c:pt>
                      <c:pt idx="25">
                        <c:v>2279.4800000000014</c:v>
                      </c:pt>
                      <c:pt idx="26">
                        <c:v>2428.3831276638052</c:v>
                      </c:pt>
                      <c:pt idx="27">
                        <c:v>2399.1960653276105</c:v>
                      </c:pt>
                      <c:pt idx="28">
                        <c:v>2370.0090029914154</c:v>
                      </c:pt>
                      <c:pt idx="29">
                        <c:v>2340.8219406552203</c:v>
                      </c:pt>
                      <c:pt idx="30">
                        <c:v>2311.6348783190256</c:v>
                      </c:pt>
                      <c:pt idx="31">
                        <c:v>2282.4478159828304</c:v>
                      </c:pt>
                      <c:pt idx="32">
                        <c:v>2253.2607536466353</c:v>
                      </c:pt>
                      <c:pt idx="33">
                        <c:v>2224.0736913104402</c:v>
                      </c:pt>
                      <c:pt idx="34">
                        <c:v>2194.8866289742455</c:v>
                      </c:pt>
                      <c:pt idx="35">
                        <c:v>2165.6995666380503</c:v>
                      </c:pt>
                      <c:pt idx="36">
                        <c:v>2136.5125043018552</c:v>
                      </c:pt>
                      <c:pt idx="37">
                        <c:v>2107.3254419656605</c:v>
                      </c:pt>
                      <c:pt idx="38">
                        <c:v>2078.1383796294654</c:v>
                      </c:pt>
                      <c:pt idx="39">
                        <c:v>2048.9513172932702</c:v>
                      </c:pt>
                      <c:pt idx="40">
                        <c:v>2019.7642549570753</c:v>
                      </c:pt>
                      <c:pt idx="41">
                        <c:v>1990.5771926208804</c:v>
                      </c:pt>
                      <c:pt idx="42">
                        <c:v>1961.3901302846853</c:v>
                      </c:pt>
                      <c:pt idx="43">
                        <c:v>1932.2030679484903</c:v>
                      </c:pt>
                      <c:pt idx="44">
                        <c:v>1903.0160056122954</c:v>
                      </c:pt>
                      <c:pt idx="45">
                        <c:v>1873.8289432761003</c:v>
                      </c:pt>
                    </c:numCache>
                  </c:numRef>
                </c:val>
                <c:smooth val="0"/>
                <c:extLst xmlns:c15="http://schemas.microsoft.com/office/drawing/2012/chart">
                  <c:ext xmlns:c16="http://schemas.microsoft.com/office/drawing/2014/chart" uri="{C3380CC4-5D6E-409C-BE32-E72D297353CC}">
                    <c16:uniqueId val="{00000009-10ED-498F-99A2-D40DF0EF4D36}"/>
                  </c:ext>
                </c:extLst>
              </c15:ser>
            </c15:filteredLineSeries>
          </c:ext>
        </c:extLst>
      </c:lineChart>
      <c:catAx>
        <c:axId val="175643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DK"/>
          </a:p>
        </c:txPr>
        <c:crossAx val="1756427823"/>
        <c:crosses val="autoZero"/>
        <c:auto val="1"/>
        <c:lblAlgn val="ctr"/>
        <c:lblOffset val="100"/>
        <c:noMultiLvlLbl val="0"/>
      </c:catAx>
      <c:valAx>
        <c:axId val="175642782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b="1"/>
                  <a:t>TWh</a:t>
                </a:r>
                <a:endParaRPr lang="en-DK"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D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DK"/>
          </a:p>
        </c:txPr>
        <c:crossAx val="175643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DK"/>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tx>
            <c:strRef>
              <c:f>'I6. Energy mix'!$A$5</c:f>
              <c:strCache>
                <c:ptCount val="1"/>
                <c:pt idx="0">
                  <c:v>Fossil fuels</c:v>
                </c:pt>
              </c:strCache>
            </c:strRef>
          </c:tx>
          <c:spPr>
            <a:solidFill>
              <a:srgbClr val="2E422F"/>
            </a:solidFill>
            <a:ln>
              <a:noFill/>
            </a:ln>
            <a:effectLst/>
          </c:spPr>
          <c:invertIfNegative val="0"/>
          <c:cat>
            <c:numRef>
              <c:f>'I6. Energy mix'!$D$2:$T$2</c:f>
              <c:numCache>
                <c:formatCode>General</c:formatCode>
                <c:ptCount val="17"/>
                <c:pt idx="0">
                  <c:v>2005</c:v>
                </c:pt>
                <c:pt idx="5">
                  <c:v>2010</c:v>
                </c:pt>
                <c:pt idx="10">
                  <c:v>2015</c:v>
                </c:pt>
                <c:pt idx="15">
                  <c:v>2020</c:v>
                </c:pt>
              </c:numCache>
            </c:numRef>
          </c:cat>
          <c:val>
            <c:numRef>
              <c:f>'I6. Energy mix'!$D$5:$T$5</c:f>
              <c:numCache>
                <c:formatCode>0</c:formatCode>
                <c:ptCount val="17"/>
                <c:pt idx="0">
                  <c:v>153.973433</c:v>
                </c:pt>
                <c:pt idx="1">
                  <c:v>147.170885</c:v>
                </c:pt>
                <c:pt idx="2">
                  <c:v>148.63916800000001</c:v>
                </c:pt>
                <c:pt idx="3">
                  <c:v>142.21975499999999</c:v>
                </c:pt>
                <c:pt idx="4">
                  <c:v>119.206153</c:v>
                </c:pt>
                <c:pt idx="5">
                  <c:v>126.45740899999998</c:v>
                </c:pt>
                <c:pt idx="6">
                  <c:v>125.23791</c:v>
                </c:pt>
                <c:pt idx="7">
                  <c:v>122.01802600000001</c:v>
                </c:pt>
                <c:pt idx="8">
                  <c:v>119.61184399999999</c:v>
                </c:pt>
                <c:pt idx="9">
                  <c:v>116.21046399999999</c:v>
                </c:pt>
                <c:pt idx="10">
                  <c:v>115.37357</c:v>
                </c:pt>
                <c:pt idx="11">
                  <c:v>116.904408</c:v>
                </c:pt>
                <c:pt idx="12">
                  <c:v>117.57363399999998</c:v>
                </c:pt>
                <c:pt idx="13">
                  <c:v>118.727169</c:v>
                </c:pt>
                <c:pt idx="14">
                  <c:v>115.696699</c:v>
                </c:pt>
                <c:pt idx="15">
                  <c:v>112.32516599999998</c:v>
                </c:pt>
                <c:pt idx="16">
                  <c:v>117.67025000000001</c:v>
                </c:pt>
              </c:numCache>
            </c:numRef>
          </c:val>
          <c:extLst>
            <c:ext xmlns:c16="http://schemas.microsoft.com/office/drawing/2014/chart" uri="{C3380CC4-5D6E-409C-BE32-E72D297353CC}">
              <c16:uniqueId val="{00000002-834F-464F-829F-4B3250840D81}"/>
            </c:ext>
          </c:extLst>
        </c:ser>
        <c:ser>
          <c:idx val="3"/>
          <c:order val="1"/>
          <c:tx>
            <c:strRef>
              <c:f>'I6. Energy mix'!$A$6</c:f>
              <c:strCache>
                <c:ptCount val="1"/>
                <c:pt idx="0">
                  <c:v>renewables (mainly biomass)</c:v>
                </c:pt>
              </c:strCache>
            </c:strRef>
          </c:tx>
          <c:spPr>
            <a:solidFill>
              <a:srgbClr val="FFC4A7"/>
            </a:solidFill>
            <a:ln>
              <a:noFill/>
            </a:ln>
            <a:effectLst/>
          </c:spPr>
          <c:invertIfNegative val="0"/>
          <c:cat>
            <c:numRef>
              <c:f>'I6. Energy mix'!$D$2:$T$2</c:f>
              <c:numCache>
                <c:formatCode>General</c:formatCode>
                <c:ptCount val="17"/>
                <c:pt idx="0">
                  <c:v>2005</c:v>
                </c:pt>
                <c:pt idx="5">
                  <c:v>2010</c:v>
                </c:pt>
                <c:pt idx="10">
                  <c:v>2015</c:v>
                </c:pt>
                <c:pt idx="15">
                  <c:v>2020</c:v>
                </c:pt>
              </c:numCache>
            </c:numRef>
          </c:cat>
          <c:val>
            <c:numRef>
              <c:f>'I6. Energy mix'!$D$6:$T$6</c:f>
              <c:numCache>
                <c:formatCode>0</c:formatCode>
                <c:ptCount val="17"/>
                <c:pt idx="0">
                  <c:v>17.624980999999998</c:v>
                </c:pt>
                <c:pt idx="1">
                  <c:v>18.387065999999997</c:v>
                </c:pt>
                <c:pt idx="2">
                  <c:v>19.316372999999999</c:v>
                </c:pt>
                <c:pt idx="3">
                  <c:v>18.262627999999999</c:v>
                </c:pt>
                <c:pt idx="4">
                  <c:v>18.020872999999998</c:v>
                </c:pt>
                <c:pt idx="5">
                  <c:v>19.552827000000001</c:v>
                </c:pt>
                <c:pt idx="6">
                  <c:v>19.657035</c:v>
                </c:pt>
                <c:pt idx="7">
                  <c:v>19.047060000000002</c:v>
                </c:pt>
                <c:pt idx="8">
                  <c:v>19.584087</c:v>
                </c:pt>
                <c:pt idx="9">
                  <c:v>19.985261999999999</c:v>
                </c:pt>
                <c:pt idx="10">
                  <c:v>20.803288000000002</c:v>
                </c:pt>
                <c:pt idx="11">
                  <c:v>21.709893000000001</c:v>
                </c:pt>
                <c:pt idx="12">
                  <c:v>22.055516999999998</c:v>
                </c:pt>
                <c:pt idx="13">
                  <c:v>22.601830999999997</c:v>
                </c:pt>
                <c:pt idx="14">
                  <c:v>23.106380000000001</c:v>
                </c:pt>
                <c:pt idx="15">
                  <c:v>23.181768000000002</c:v>
                </c:pt>
                <c:pt idx="16">
                  <c:v>23.310920999999997</c:v>
                </c:pt>
              </c:numCache>
            </c:numRef>
          </c:val>
          <c:extLst>
            <c:ext xmlns:c16="http://schemas.microsoft.com/office/drawing/2014/chart" uri="{C3380CC4-5D6E-409C-BE32-E72D297353CC}">
              <c16:uniqueId val="{00000003-834F-464F-829F-4B3250840D81}"/>
            </c:ext>
          </c:extLst>
        </c:ser>
        <c:ser>
          <c:idx val="4"/>
          <c:order val="2"/>
          <c:tx>
            <c:strRef>
              <c:f>'I6. Energy mix'!$A$7</c:f>
              <c:strCache>
                <c:ptCount val="1"/>
                <c:pt idx="0">
                  <c:v>electricity</c:v>
                </c:pt>
              </c:strCache>
            </c:strRef>
          </c:tx>
          <c:spPr>
            <a:solidFill>
              <a:srgbClr val="98C9EE"/>
            </a:solidFill>
            <a:ln>
              <a:noFill/>
            </a:ln>
            <a:effectLst/>
          </c:spPr>
          <c:invertIfNegative val="0"/>
          <c:cat>
            <c:numRef>
              <c:f>'I6. Energy mix'!$D$2:$T$2</c:f>
              <c:numCache>
                <c:formatCode>General</c:formatCode>
                <c:ptCount val="17"/>
                <c:pt idx="0">
                  <c:v>2005</c:v>
                </c:pt>
                <c:pt idx="5">
                  <c:v>2010</c:v>
                </c:pt>
                <c:pt idx="10">
                  <c:v>2015</c:v>
                </c:pt>
                <c:pt idx="15">
                  <c:v>2020</c:v>
                </c:pt>
              </c:numCache>
            </c:numRef>
          </c:cat>
          <c:val>
            <c:numRef>
              <c:f>'I6. Energy mix'!$D$7:$T$7</c:f>
              <c:numCache>
                <c:formatCode>0</c:formatCode>
                <c:ptCount val="17"/>
                <c:pt idx="0">
                  <c:v>87.252589999999998</c:v>
                </c:pt>
                <c:pt idx="1">
                  <c:v>87.20215300000001</c:v>
                </c:pt>
                <c:pt idx="2">
                  <c:v>88.358376000000007</c:v>
                </c:pt>
                <c:pt idx="3">
                  <c:v>86.265145000000004</c:v>
                </c:pt>
                <c:pt idx="4">
                  <c:v>74.300823999999992</c:v>
                </c:pt>
                <c:pt idx="5">
                  <c:v>79.588030000000003</c:v>
                </c:pt>
                <c:pt idx="6">
                  <c:v>80.528220000000005</c:v>
                </c:pt>
                <c:pt idx="7">
                  <c:v>79.129937000000012</c:v>
                </c:pt>
                <c:pt idx="8">
                  <c:v>77.933982999999998</c:v>
                </c:pt>
                <c:pt idx="9">
                  <c:v>78.251376999999991</c:v>
                </c:pt>
                <c:pt idx="10">
                  <c:v>78.580681999999996</c:v>
                </c:pt>
                <c:pt idx="11">
                  <c:v>79.617354999999989</c:v>
                </c:pt>
                <c:pt idx="12">
                  <c:v>81.03699499999999</c:v>
                </c:pt>
                <c:pt idx="13">
                  <c:v>81.292179000000004</c:v>
                </c:pt>
                <c:pt idx="14">
                  <c:v>80.233557000000005</c:v>
                </c:pt>
                <c:pt idx="15">
                  <c:v>76.037876999999995</c:v>
                </c:pt>
                <c:pt idx="16">
                  <c:v>79.831362999999996</c:v>
                </c:pt>
              </c:numCache>
            </c:numRef>
          </c:val>
          <c:extLst>
            <c:ext xmlns:c16="http://schemas.microsoft.com/office/drawing/2014/chart" uri="{C3380CC4-5D6E-409C-BE32-E72D297353CC}">
              <c16:uniqueId val="{00000004-834F-464F-829F-4B3250840D81}"/>
            </c:ext>
          </c:extLst>
        </c:ser>
        <c:ser>
          <c:idx val="5"/>
          <c:order val="3"/>
          <c:tx>
            <c:strRef>
              <c:f>'I6. Energy mix'!$A$8</c:f>
              <c:strCache>
                <c:ptCount val="1"/>
                <c:pt idx="0">
                  <c:v>Others (heat and waste)</c:v>
                </c:pt>
              </c:strCache>
            </c:strRef>
          </c:tx>
          <c:spPr>
            <a:solidFill>
              <a:srgbClr val="F26119"/>
            </a:solidFill>
            <a:ln>
              <a:noFill/>
            </a:ln>
            <a:effectLst/>
          </c:spPr>
          <c:invertIfNegative val="0"/>
          <c:cat>
            <c:numRef>
              <c:f>'I6. Energy mix'!$D$2:$T$2</c:f>
              <c:numCache>
                <c:formatCode>General</c:formatCode>
                <c:ptCount val="17"/>
                <c:pt idx="0">
                  <c:v>2005</c:v>
                </c:pt>
                <c:pt idx="5">
                  <c:v>2010</c:v>
                </c:pt>
                <c:pt idx="10">
                  <c:v>2015</c:v>
                </c:pt>
                <c:pt idx="15">
                  <c:v>2020</c:v>
                </c:pt>
              </c:numCache>
            </c:numRef>
          </c:cat>
          <c:val>
            <c:numRef>
              <c:f>'I6. Energy mix'!$D$8:$T$8</c:f>
              <c:numCache>
                <c:formatCode>0</c:formatCode>
                <c:ptCount val="17"/>
                <c:pt idx="0">
                  <c:v>16.207034</c:v>
                </c:pt>
                <c:pt idx="1">
                  <c:v>16.764237000000001</c:v>
                </c:pt>
                <c:pt idx="2">
                  <c:v>17.887464999999999</c:v>
                </c:pt>
                <c:pt idx="3">
                  <c:v>18.290436</c:v>
                </c:pt>
                <c:pt idx="4">
                  <c:v>17.620159999999998</c:v>
                </c:pt>
                <c:pt idx="5">
                  <c:v>18.230786000000002</c:v>
                </c:pt>
                <c:pt idx="6">
                  <c:v>18.820171999999999</c:v>
                </c:pt>
                <c:pt idx="7">
                  <c:v>19.466152000000001</c:v>
                </c:pt>
                <c:pt idx="8">
                  <c:v>19.582330999999996</c:v>
                </c:pt>
                <c:pt idx="9">
                  <c:v>18.816755000000001</c:v>
                </c:pt>
                <c:pt idx="10">
                  <c:v>18.735153</c:v>
                </c:pt>
                <c:pt idx="11">
                  <c:v>19.557802000000002</c:v>
                </c:pt>
                <c:pt idx="12">
                  <c:v>19.377378</c:v>
                </c:pt>
                <c:pt idx="13">
                  <c:v>19.822710999999998</c:v>
                </c:pt>
                <c:pt idx="14">
                  <c:v>20.183070999999998</c:v>
                </c:pt>
                <c:pt idx="15">
                  <c:v>19.377115</c:v>
                </c:pt>
                <c:pt idx="16">
                  <c:v>19.531317000000001</c:v>
                </c:pt>
              </c:numCache>
            </c:numRef>
          </c:val>
          <c:extLst>
            <c:ext xmlns:c16="http://schemas.microsoft.com/office/drawing/2014/chart" uri="{C3380CC4-5D6E-409C-BE32-E72D297353CC}">
              <c16:uniqueId val="{00000005-834F-464F-829F-4B3250840D81}"/>
            </c:ext>
          </c:extLst>
        </c:ser>
        <c:ser>
          <c:idx val="0"/>
          <c:order val="5"/>
          <c:tx>
            <c:strRef>
              <c:f>'I6. Energy mix'!$A$3</c:f>
              <c:strCache>
                <c:ptCount val="1"/>
                <c:pt idx="0">
                  <c:v>Non-energy fossil fuels</c:v>
                </c:pt>
              </c:strCache>
            </c:strRef>
          </c:tx>
          <c:spPr>
            <a:solidFill>
              <a:srgbClr val="F0CBD9"/>
            </a:solidFill>
            <a:ln>
              <a:noFill/>
            </a:ln>
            <a:effectLst/>
          </c:spPr>
          <c:invertIfNegative val="0"/>
          <c:cat>
            <c:numRef>
              <c:f>'I6. Energy mix'!$D$2:$T$2</c:f>
              <c:numCache>
                <c:formatCode>General</c:formatCode>
                <c:ptCount val="17"/>
                <c:pt idx="0">
                  <c:v>2005</c:v>
                </c:pt>
                <c:pt idx="5">
                  <c:v>2010</c:v>
                </c:pt>
                <c:pt idx="10">
                  <c:v>2015</c:v>
                </c:pt>
                <c:pt idx="15">
                  <c:v>2020</c:v>
                </c:pt>
              </c:numCache>
            </c:numRef>
          </c:cat>
          <c:val>
            <c:numRef>
              <c:f>'I6. Energy mix'!$D$3:$T$3</c:f>
              <c:numCache>
                <c:formatCode>0</c:formatCode>
                <c:ptCount val="17"/>
                <c:pt idx="0">
                  <c:v>99.990622999999999</c:v>
                </c:pt>
                <c:pt idx="1">
                  <c:v>99.997191999999998</c:v>
                </c:pt>
                <c:pt idx="2">
                  <c:v>100.088221</c:v>
                </c:pt>
                <c:pt idx="3">
                  <c:v>97.473406000000011</c:v>
                </c:pt>
                <c:pt idx="4">
                  <c:v>88.569503999999995</c:v>
                </c:pt>
                <c:pt idx="5">
                  <c:v>93.214571000000007</c:v>
                </c:pt>
                <c:pt idx="6">
                  <c:v>91.250167000000005</c:v>
                </c:pt>
                <c:pt idx="7">
                  <c:v>87.860120999999992</c:v>
                </c:pt>
                <c:pt idx="8">
                  <c:v>85.120678999999996</c:v>
                </c:pt>
                <c:pt idx="9">
                  <c:v>87.033583000000007</c:v>
                </c:pt>
                <c:pt idx="10">
                  <c:v>84.302239000000014</c:v>
                </c:pt>
                <c:pt idx="11">
                  <c:v>84.01866099999998</c:v>
                </c:pt>
                <c:pt idx="12">
                  <c:v>90.634032000000005</c:v>
                </c:pt>
                <c:pt idx="13">
                  <c:v>87.111025999999995</c:v>
                </c:pt>
                <c:pt idx="14">
                  <c:v>86.765967000000003</c:v>
                </c:pt>
                <c:pt idx="15">
                  <c:v>86.237262000000001</c:v>
                </c:pt>
                <c:pt idx="16">
                  <c:v>90.078306999999995</c:v>
                </c:pt>
              </c:numCache>
            </c:numRef>
          </c:val>
          <c:extLst>
            <c:ext xmlns:c16="http://schemas.microsoft.com/office/drawing/2014/chart" uri="{C3380CC4-5D6E-409C-BE32-E72D297353CC}">
              <c16:uniqueId val="{00000000-834F-464F-829F-4B3250840D81}"/>
            </c:ext>
          </c:extLst>
        </c:ser>
        <c:dLbls>
          <c:showLegendKey val="0"/>
          <c:showVal val="0"/>
          <c:showCatName val="0"/>
          <c:showSerName val="0"/>
          <c:showPercent val="0"/>
          <c:showBubbleSize val="0"/>
        </c:dLbls>
        <c:gapWidth val="219"/>
        <c:overlap val="100"/>
        <c:axId val="1981954591"/>
        <c:axId val="1981958431"/>
      </c:barChart>
      <c:lineChart>
        <c:grouping val="standard"/>
        <c:varyColors val="0"/>
        <c:ser>
          <c:idx val="1"/>
          <c:order val="4"/>
          <c:tx>
            <c:strRef>
              <c:f>'I6. Energy mix'!$A$4</c:f>
              <c:strCache>
                <c:ptCount val="1"/>
                <c:pt idx="0">
                  <c:v>Total energy use</c:v>
                </c:pt>
              </c:strCache>
            </c:strRef>
          </c:tx>
          <c:spPr>
            <a:ln w="19050" cap="rnd">
              <a:solidFill>
                <a:sysClr val="windowText" lastClr="000000"/>
              </a:solidFill>
              <a:round/>
            </a:ln>
            <a:effectLst/>
          </c:spPr>
          <c:marker>
            <c:symbol val="none"/>
          </c:marker>
          <c:cat>
            <c:numRef>
              <c:f>'I6. Energy mix'!$D$2:$T$2</c:f>
              <c:numCache>
                <c:formatCode>General</c:formatCode>
                <c:ptCount val="17"/>
                <c:pt idx="0">
                  <c:v>2005</c:v>
                </c:pt>
                <c:pt idx="5">
                  <c:v>2010</c:v>
                </c:pt>
                <c:pt idx="10">
                  <c:v>2015</c:v>
                </c:pt>
                <c:pt idx="15">
                  <c:v>2020</c:v>
                </c:pt>
              </c:numCache>
            </c:numRef>
          </c:cat>
          <c:val>
            <c:numRef>
              <c:f>'I6. Energy mix'!$D$4:$T$4</c:f>
              <c:numCache>
                <c:formatCode>0</c:formatCode>
                <c:ptCount val="17"/>
                <c:pt idx="0">
                  <c:v>275.12525400000004</c:v>
                </c:pt>
                <c:pt idx="1">
                  <c:v>269.57638299999996</c:v>
                </c:pt>
                <c:pt idx="2">
                  <c:v>274.275846</c:v>
                </c:pt>
                <c:pt idx="3">
                  <c:v>265.10807400000004</c:v>
                </c:pt>
                <c:pt idx="4">
                  <c:v>229.18045999999998</c:v>
                </c:pt>
                <c:pt idx="5">
                  <c:v>243.87311099999999</c:v>
                </c:pt>
                <c:pt idx="6">
                  <c:v>244.295556</c:v>
                </c:pt>
                <c:pt idx="7">
                  <c:v>239.70269500000001</c:v>
                </c:pt>
                <c:pt idx="8">
                  <c:v>236.748516</c:v>
                </c:pt>
                <c:pt idx="9">
                  <c:v>233.29776699999999</c:v>
                </c:pt>
                <c:pt idx="10">
                  <c:v>233.50766300000001</c:v>
                </c:pt>
                <c:pt idx="11">
                  <c:v>237.79920300000001</c:v>
                </c:pt>
                <c:pt idx="12">
                  <c:v>240.06350800000001</c:v>
                </c:pt>
                <c:pt idx="13">
                  <c:v>242.46632</c:v>
                </c:pt>
                <c:pt idx="14">
                  <c:v>239.23959500000001</c:v>
                </c:pt>
                <c:pt idx="15">
                  <c:v>230.92330799999999</c:v>
                </c:pt>
                <c:pt idx="16">
                  <c:v>240.34384899999998</c:v>
                </c:pt>
              </c:numCache>
            </c:numRef>
          </c:val>
          <c:smooth val="0"/>
          <c:extLst>
            <c:ext xmlns:c16="http://schemas.microsoft.com/office/drawing/2014/chart" uri="{C3380CC4-5D6E-409C-BE32-E72D297353CC}">
              <c16:uniqueId val="{00000001-834F-464F-829F-4B3250840D81}"/>
            </c:ext>
          </c:extLst>
        </c:ser>
        <c:dLbls>
          <c:showLegendKey val="0"/>
          <c:showVal val="0"/>
          <c:showCatName val="0"/>
          <c:showSerName val="0"/>
          <c:showPercent val="0"/>
          <c:showBubbleSize val="0"/>
        </c:dLbls>
        <c:marker val="1"/>
        <c:smooth val="0"/>
        <c:axId val="1981954591"/>
        <c:axId val="1981958431"/>
      </c:lineChart>
      <c:catAx>
        <c:axId val="198195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981958431"/>
        <c:crosses val="autoZero"/>
        <c:auto val="1"/>
        <c:lblAlgn val="ctr"/>
        <c:lblOffset val="100"/>
        <c:noMultiLvlLbl val="0"/>
      </c:catAx>
      <c:valAx>
        <c:axId val="198195843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DK"/>
                  <a:t>Mtoe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981954591"/>
        <c:crosses val="autoZero"/>
        <c:crossBetween val="between"/>
        <c:majorUnit val="1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pPr>
      <a:endParaRPr lang="en-DK"/>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tx>
            <c:strRef>
              <c:f>'I6. Energy mix'!$A$5</c:f>
              <c:strCache>
                <c:ptCount val="1"/>
                <c:pt idx="0">
                  <c:v>Fossil fuels</c:v>
                </c:pt>
              </c:strCache>
            </c:strRef>
          </c:tx>
          <c:spPr>
            <a:solidFill>
              <a:srgbClr val="2E422F"/>
            </a:solidFill>
            <a:ln>
              <a:noFill/>
            </a:ln>
            <a:effectLst/>
          </c:spPr>
          <c:invertIfNegative val="0"/>
          <c:cat>
            <c:numRef>
              <c:f>'I6. Energy mix'!$D$2:$T$2</c:f>
              <c:numCache>
                <c:formatCode>General</c:formatCode>
                <c:ptCount val="17"/>
                <c:pt idx="0">
                  <c:v>2005</c:v>
                </c:pt>
                <c:pt idx="5">
                  <c:v>2010</c:v>
                </c:pt>
                <c:pt idx="10">
                  <c:v>2015</c:v>
                </c:pt>
                <c:pt idx="15">
                  <c:v>2020</c:v>
                </c:pt>
              </c:numCache>
            </c:numRef>
          </c:cat>
          <c:val>
            <c:numRef>
              <c:f>'I6. Energy mix'!$D$5:$T$5</c:f>
              <c:numCache>
                <c:formatCode>0</c:formatCode>
                <c:ptCount val="17"/>
                <c:pt idx="0">
                  <c:v>153.973433</c:v>
                </c:pt>
                <c:pt idx="1">
                  <c:v>147.170885</c:v>
                </c:pt>
                <c:pt idx="2">
                  <c:v>148.63916800000001</c:v>
                </c:pt>
                <c:pt idx="3">
                  <c:v>142.21975499999999</c:v>
                </c:pt>
                <c:pt idx="4">
                  <c:v>119.206153</c:v>
                </c:pt>
                <c:pt idx="5">
                  <c:v>126.45740899999998</c:v>
                </c:pt>
                <c:pt idx="6">
                  <c:v>125.23791</c:v>
                </c:pt>
                <c:pt idx="7">
                  <c:v>122.01802600000001</c:v>
                </c:pt>
                <c:pt idx="8">
                  <c:v>119.61184399999999</c:v>
                </c:pt>
                <c:pt idx="9">
                  <c:v>116.21046399999999</c:v>
                </c:pt>
                <c:pt idx="10">
                  <c:v>115.37357</c:v>
                </c:pt>
                <c:pt idx="11">
                  <c:v>116.904408</c:v>
                </c:pt>
                <c:pt idx="12">
                  <c:v>117.57363399999998</c:v>
                </c:pt>
                <c:pt idx="13">
                  <c:v>118.727169</c:v>
                </c:pt>
                <c:pt idx="14">
                  <c:v>115.696699</c:v>
                </c:pt>
                <c:pt idx="15">
                  <c:v>112.32516599999998</c:v>
                </c:pt>
                <c:pt idx="16">
                  <c:v>117.67025000000001</c:v>
                </c:pt>
              </c:numCache>
            </c:numRef>
          </c:val>
          <c:extLst>
            <c:ext xmlns:c16="http://schemas.microsoft.com/office/drawing/2014/chart" uri="{C3380CC4-5D6E-409C-BE32-E72D297353CC}">
              <c16:uniqueId val="{00000000-2F23-47BE-8EDB-D21FD4D9F20A}"/>
            </c:ext>
          </c:extLst>
        </c:ser>
        <c:ser>
          <c:idx val="3"/>
          <c:order val="1"/>
          <c:tx>
            <c:strRef>
              <c:f>'I6. Energy mix'!$A$6</c:f>
              <c:strCache>
                <c:ptCount val="1"/>
                <c:pt idx="0">
                  <c:v>renewables (mainly biomass)</c:v>
                </c:pt>
              </c:strCache>
            </c:strRef>
          </c:tx>
          <c:spPr>
            <a:solidFill>
              <a:srgbClr val="FFC4A7"/>
            </a:solidFill>
            <a:ln>
              <a:noFill/>
            </a:ln>
            <a:effectLst/>
          </c:spPr>
          <c:invertIfNegative val="0"/>
          <c:cat>
            <c:numRef>
              <c:f>'I6. Energy mix'!$D$2:$T$2</c:f>
              <c:numCache>
                <c:formatCode>General</c:formatCode>
                <c:ptCount val="17"/>
                <c:pt idx="0">
                  <c:v>2005</c:v>
                </c:pt>
                <c:pt idx="5">
                  <c:v>2010</c:v>
                </c:pt>
                <c:pt idx="10">
                  <c:v>2015</c:v>
                </c:pt>
                <c:pt idx="15">
                  <c:v>2020</c:v>
                </c:pt>
              </c:numCache>
            </c:numRef>
          </c:cat>
          <c:val>
            <c:numRef>
              <c:f>'I6. Energy mix'!$D$6:$T$6</c:f>
              <c:numCache>
                <c:formatCode>0</c:formatCode>
                <c:ptCount val="17"/>
                <c:pt idx="0">
                  <c:v>17.624980999999998</c:v>
                </c:pt>
                <c:pt idx="1">
                  <c:v>18.387065999999997</c:v>
                </c:pt>
                <c:pt idx="2">
                  <c:v>19.316372999999999</c:v>
                </c:pt>
                <c:pt idx="3">
                  <c:v>18.262627999999999</c:v>
                </c:pt>
                <c:pt idx="4">
                  <c:v>18.020872999999998</c:v>
                </c:pt>
                <c:pt idx="5">
                  <c:v>19.552827000000001</c:v>
                </c:pt>
                <c:pt idx="6">
                  <c:v>19.657035</c:v>
                </c:pt>
                <c:pt idx="7">
                  <c:v>19.047060000000002</c:v>
                </c:pt>
                <c:pt idx="8">
                  <c:v>19.584087</c:v>
                </c:pt>
                <c:pt idx="9">
                  <c:v>19.985261999999999</c:v>
                </c:pt>
                <c:pt idx="10">
                  <c:v>20.803288000000002</c:v>
                </c:pt>
                <c:pt idx="11">
                  <c:v>21.709893000000001</c:v>
                </c:pt>
                <c:pt idx="12">
                  <c:v>22.055516999999998</c:v>
                </c:pt>
                <c:pt idx="13">
                  <c:v>22.601830999999997</c:v>
                </c:pt>
                <c:pt idx="14">
                  <c:v>23.106380000000001</c:v>
                </c:pt>
                <c:pt idx="15">
                  <c:v>23.181768000000002</c:v>
                </c:pt>
                <c:pt idx="16">
                  <c:v>23.310920999999997</c:v>
                </c:pt>
              </c:numCache>
            </c:numRef>
          </c:val>
          <c:extLst>
            <c:ext xmlns:c16="http://schemas.microsoft.com/office/drawing/2014/chart" uri="{C3380CC4-5D6E-409C-BE32-E72D297353CC}">
              <c16:uniqueId val="{00000001-2F23-47BE-8EDB-D21FD4D9F20A}"/>
            </c:ext>
          </c:extLst>
        </c:ser>
        <c:ser>
          <c:idx val="4"/>
          <c:order val="2"/>
          <c:tx>
            <c:strRef>
              <c:f>'I6. Energy mix'!$A$7</c:f>
              <c:strCache>
                <c:ptCount val="1"/>
                <c:pt idx="0">
                  <c:v>electricity</c:v>
                </c:pt>
              </c:strCache>
            </c:strRef>
          </c:tx>
          <c:spPr>
            <a:solidFill>
              <a:srgbClr val="98C9EE"/>
            </a:solidFill>
            <a:ln>
              <a:noFill/>
            </a:ln>
            <a:effectLst/>
          </c:spPr>
          <c:invertIfNegative val="0"/>
          <c:cat>
            <c:numRef>
              <c:f>'I6. Energy mix'!$D$2:$T$2</c:f>
              <c:numCache>
                <c:formatCode>General</c:formatCode>
                <c:ptCount val="17"/>
                <c:pt idx="0">
                  <c:v>2005</c:v>
                </c:pt>
                <c:pt idx="5">
                  <c:v>2010</c:v>
                </c:pt>
                <c:pt idx="10">
                  <c:v>2015</c:v>
                </c:pt>
                <c:pt idx="15">
                  <c:v>2020</c:v>
                </c:pt>
              </c:numCache>
            </c:numRef>
          </c:cat>
          <c:val>
            <c:numRef>
              <c:f>'I6. Energy mix'!$D$7:$T$7</c:f>
              <c:numCache>
                <c:formatCode>0</c:formatCode>
                <c:ptCount val="17"/>
                <c:pt idx="0">
                  <c:v>87.252589999999998</c:v>
                </c:pt>
                <c:pt idx="1">
                  <c:v>87.20215300000001</c:v>
                </c:pt>
                <c:pt idx="2">
                  <c:v>88.358376000000007</c:v>
                </c:pt>
                <c:pt idx="3">
                  <c:v>86.265145000000004</c:v>
                </c:pt>
                <c:pt idx="4">
                  <c:v>74.300823999999992</c:v>
                </c:pt>
                <c:pt idx="5">
                  <c:v>79.588030000000003</c:v>
                </c:pt>
                <c:pt idx="6">
                  <c:v>80.528220000000005</c:v>
                </c:pt>
                <c:pt idx="7">
                  <c:v>79.129937000000012</c:v>
                </c:pt>
                <c:pt idx="8">
                  <c:v>77.933982999999998</c:v>
                </c:pt>
                <c:pt idx="9">
                  <c:v>78.251376999999991</c:v>
                </c:pt>
                <c:pt idx="10">
                  <c:v>78.580681999999996</c:v>
                </c:pt>
                <c:pt idx="11">
                  <c:v>79.617354999999989</c:v>
                </c:pt>
                <c:pt idx="12">
                  <c:v>81.03699499999999</c:v>
                </c:pt>
                <c:pt idx="13">
                  <c:v>81.292179000000004</c:v>
                </c:pt>
                <c:pt idx="14">
                  <c:v>80.233557000000005</c:v>
                </c:pt>
                <c:pt idx="15">
                  <c:v>76.037876999999995</c:v>
                </c:pt>
                <c:pt idx="16">
                  <c:v>79.831362999999996</c:v>
                </c:pt>
              </c:numCache>
            </c:numRef>
          </c:val>
          <c:extLst>
            <c:ext xmlns:c16="http://schemas.microsoft.com/office/drawing/2014/chart" uri="{C3380CC4-5D6E-409C-BE32-E72D297353CC}">
              <c16:uniqueId val="{00000002-2F23-47BE-8EDB-D21FD4D9F20A}"/>
            </c:ext>
          </c:extLst>
        </c:ser>
        <c:ser>
          <c:idx val="5"/>
          <c:order val="3"/>
          <c:tx>
            <c:strRef>
              <c:f>'I6. Energy mix'!$A$8</c:f>
              <c:strCache>
                <c:ptCount val="1"/>
                <c:pt idx="0">
                  <c:v>Others (heat and waste)</c:v>
                </c:pt>
              </c:strCache>
            </c:strRef>
          </c:tx>
          <c:spPr>
            <a:solidFill>
              <a:srgbClr val="F26119"/>
            </a:solidFill>
            <a:ln>
              <a:noFill/>
            </a:ln>
            <a:effectLst/>
          </c:spPr>
          <c:invertIfNegative val="0"/>
          <c:cat>
            <c:numRef>
              <c:f>'I6. Energy mix'!$D$2:$T$2</c:f>
              <c:numCache>
                <c:formatCode>General</c:formatCode>
                <c:ptCount val="17"/>
                <c:pt idx="0">
                  <c:v>2005</c:v>
                </c:pt>
                <c:pt idx="5">
                  <c:v>2010</c:v>
                </c:pt>
                <c:pt idx="10">
                  <c:v>2015</c:v>
                </c:pt>
                <c:pt idx="15">
                  <c:v>2020</c:v>
                </c:pt>
              </c:numCache>
            </c:numRef>
          </c:cat>
          <c:val>
            <c:numRef>
              <c:f>'I6. Energy mix'!$D$8:$T$8</c:f>
              <c:numCache>
                <c:formatCode>0</c:formatCode>
                <c:ptCount val="17"/>
                <c:pt idx="0">
                  <c:v>16.207034</c:v>
                </c:pt>
                <c:pt idx="1">
                  <c:v>16.764237000000001</c:v>
                </c:pt>
                <c:pt idx="2">
                  <c:v>17.887464999999999</c:v>
                </c:pt>
                <c:pt idx="3">
                  <c:v>18.290436</c:v>
                </c:pt>
                <c:pt idx="4">
                  <c:v>17.620159999999998</c:v>
                </c:pt>
                <c:pt idx="5">
                  <c:v>18.230786000000002</c:v>
                </c:pt>
                <c:pt idx="6">
                  <c:v>18.820171999999999</c:v>
                </c:pt>
                <c:pt idx="7">
                  <c:v>19.466152000000001</c:v>
                </c:pt>
                <c:pt idx="8">
                  <c:v>19.582330999999996</c:v>
                </c:pt>
                <c:pt idx="9">
                  <c:v>18.816755000000001</c:v>
                </c:pt>
                <c:pt idx="10">
                  <c:v>18.735153</c:v>
                </c:pt>
                <c:pt idx="11">
                  <c:v>19.557802000000002</c:v>
                </c:pt>
                <c:pt idx="12">
                  <c:v>19.377378</c:v>
                </c:pt>
                <c:pt idx="13">
                  <c:v>19.822710999999998</c:v>
                </c:pt>
                <c:pt idx="14">
                  <c:v>20.183070999999998</c:v>
                </c:pt>
                <c:pt idx="15">
                  <c:v>19.377115</c:v>
                </c:pt>
                <c:pt idx="16">
                  <c:v>19.531317000000001</c:v>
                </c:pt>
              </c:numCache>
            </c:numRef>
          </c:val>
          <c:extLst>
            <c:ext xmlns:c16="http://schemas.microsoft.com/office/drawing/2014/chart" uri="{C3380CC4-5D6E-409C-BE32-E72D297353CC}">
              <c16:uniqueId val="{00000003-2F23-47BE-8EDB-D21FD4D9F20A}"/>
            </c:ext>
          </c:extLst>
        </c:ser>
        <c:ser>
          <c:idx val="0"/>
          <c:order val="5"/>
          <c:tx>
            <c:strRef>
              <c:f>'I6. Energy mix'!$A$3</c:f>
              <c:strCache>
                <c:ptCount val="1"/>
                <c:pt idx="0">
                  <c:v>Non-energy fossil fuels</c:v>
                </c:pt>
              </c:strCache>
            </c:strRef>
          </c:tx>
          <c:spPr>
            <a:solidFill>
              <a:srgbClr val="F0CBD9"/>
            </a:solidFill>
            <a:ln>
              <a:noFill/>
            </a:ln>
            <a:effectLst/>
          </c:spPr>
          <c:invertIfNegative val="0"/>
          <c:cat>
            <c:numRef>
              <c:f>'I6. Energy mix'!$D$2:$T$2</c:f>
              <c:numCache>
                <c:formatCode>General</c:formatCode>
                <c:ptCount val="17"/>
                <c:pt idx="0">
                  <c:v>2005</c:v>
                </c:pt>
                <c:pt idx="5">
                  <c:v>2010</c:v>
                </c:pt>
                <c:pt idx="10">
                  <c:v>2015</c:v>
                </c:pt>
                <c:pt idx="15">
                  <c:v>2020</c:v>
                </c:pt>
              </c:numCache>
            </c:numRef>
          </c:cat>
          <c:val>
            <c:numRef>
              <c:f>'I6. Energy mix'!$D$3:$T$3</c:f>
              <c:numCache>
                <c:formatCode>0</c:formatCode>
                <c:ptCount val="17"/>
                <c:pt idx="0">
                  <c:v>99.990622999999999</c:v>
                </c:pt>
                <c:pt idx="1">
                  <c:v>99.997191999999998</c:v>
                </c:pt>
                <c:pt idx="2">
                  <c:v>100.088221</c:v>
                </c:pt>
                <c:pt idx="3">
                  <c:v>97.473406000000011</c:v>
                </c:pt>
                <c:pt idx="4">
                  <c:v>88.569503999999995</c:v>
                </c:pt>
                <c:pt idx="5">
                  <c:v>93.214571000000007</c:v>
                </c:pt>
                <c:pt idx="6">
                  <c:v>91.250167000000005</c:v>
                </c:pt>
                <c:pt idx="7">
                  <c:v>87.860120999999992</c:v>
                </c:pt>
                <c:pt idx="8">
                  <c:v>85.120678999999996</c:v>
                </c:pt>
                <c:pt idx="9">
                  <c:v>87.033583000000007</c:v>
                </c:pt>
                <c:pt idx="10">
                  <c:v>84.302239000000014</c:v>
                </c:pt>
                <c:pt idx="11">
                  <c:v>84.01866099999998</c:v>
                </c:pt>
                <c:pt idx="12">
                  <c:v>90.634032000000005</c:v>
                </c:pt>
                <c:pt idx="13">
                  <c:v>87.111025999999995</c:v>
                </c:pt>
                <c:pt idx="14">
                  <c:v>86.765967000000003</c:v>
                </c:pt>
                <c:pt idx="15">
                  <c:v>86.237262000000001</c:v>
                </c:pt>
                <c:pt idx="16">
                  <c:v>90.078306999999995</c:v>
                </c:pt>
              </c:numCache>
            </c:numRef>
          </c:val>
          <c:extLst>
            <c:ext xmlns:c16="http://schemas.microsoft.com/office/drawing/2014/chart" uri="{C3380CC4-5D6E-409C-BE32-E72D297353CC}">
              <c16:uniqueId val="{00000004-2F23-47BE-8EDB-D21FD4D9F20A}"/>
            </c:ext>
          </c:extLst>
        </c:ser>
        <c:dLbls>
          <c:showLegendKey val="0"/>
          <c:showVal val="0"/>
          <c:showCatName val="0"/>
          <c:showSerName val="0"/>
          <c:showPercent val="0"/>
          <c:showBubbleSize val="0"/>
        </c:dLbls>
        <c:gapWidth val="219"/>
        <c:overlap val="100"/>
        <c:axId val="1981954591"/>
        <c:axId val="1981958431"/>
      </c:barChart>
      <c:lineChart>
        <c:grouping val="standard"/>
        <c:varyColors val="0"/>
        <c:ser>
          <c:idx val="1"/>
          <c:order val="4"/>
          <c:tx>
            <c:strRef>
              <c:f>'I6. Energy mix'!$A$4</c:f>
              <c:strCache>
                <c:ptCount val="1"/>
                <c:pt idx="0">
                  <c:v>Total energy use</c:v>
                </c:pt>
              </c:strCache>
            </c:strRef>
          </c:tx>
          <c:spPr>
            <a:ln w="19050" cap="rnd">
              <a:solidFill>
                <a:sysClr val="windowText" lastClr="000000"/>
              </a:solidFill>
              <a:round/>
            </a:ln>
            <a:effectLst/>
          </c:spPr>
          <c:marker>
            <c:symbol val="none"/>
          </c:marker>
          <c:cat>
            <c:numRef>
              <c:f>'I6. Energy mix'!$D$2:$T$2</c:f>
              <c:numCache>
                <c:formatCode>General</c:formatCode>
                <c:ptCount val="17"/>
                <c:pt idx="0">
                  <c:v>2005</c:v>
                </c:pt>
                <c:pt idx="5">
                  <c:v>2010</c:v>
                </c:pt>
                <c:pt idx="10">
                  <c:v>2015</c:v>
                </c:pt>
                <c:pt idx="15">
                  <c:v>2020</c:v>
                </c:pt>
              </c:numCache>
            </c:numRef>
          </c:cat>
          <c:val>
            <c:numRef>
              <c:f>'I6. Energy mix'!$D$4:$T$4</c:f>
              <c:numCache>
                <c:formatCode>0</c:formatCode>
                <c:ptCount val="17"/>
                <c:pt idx="0">
                  <c:v>275.12525400000004</c:v>
                </c:pt>
                <c:pt idx="1">
                  <c:v>269.57638299999996</c:v>
                </c:pt>
                <c:pt idx="2">
                  <c:v>274.275846</c:v>
                </c:pt>
                <c:pt idx="3">
                  <c:v>265.10807400000004</c:v>
                </c:pt>
                <c:pt idx="4">
                  <c:v>229.18045999999998</c:v>
                </c:pt>
                <c:pt idx="5">
                  <c:v>243.87311099999999</c:v>
                </c:pt>
                <c:pt idx="6">
                  <c:v>244.295556</c:v>
                </c:pt>
                <c:pt idx="7">
                  <c:v>239.70269500000001</c:v>
                </c:pt>
                <c:pt idx="8">
                  <c:v>236.748516</c:v>
                </c:pt>
                <c:pt idx="9">
                  <c:v>233.29776699999999</c:v>
                </c:pt>
                <c:pt idx="10">
                  <c:v>233.50766300000001</c:v>
                </c:pt>
                <c:pt idx="11">
                  <c:v>237.79920300000001</c:v>
                </c:pt>
                <c:pt idx="12">
                  <c:v>240.06350800000001</c:v>
                </c:pt>
                <c:pt idx="13">
                  <c:v>242.46632</c:v>
                </c:pt>
                <c:pt idx="14">
                  <c:v>239.23959500000001</c:v>
                </c:pt>
                <c:pt idx="15">
                  <c:v>230.92330799999999</c:v>
                </c:pt>
                <c:pt idx="16">
                  <c:v>240.34384899999998</c:v>
                </c:pt>
              </c:numCache>
            </c:numRef>
          </c:val>
          <c:smooth val="0"/>
          <c:extLst>
            <c:ext xmlns:c16="http://schemas.microsoft.com/office/drawing/2014/chart" uri="{C3380CC4-5D6E-409C-BE32-E72D297353CC}">
              <c16:uniqueId val="{00000005-2F23-47BE-8EDB-D21FD4D9F20A}"/>
            </c:ext>
          </c:extLst>
        </c:ser>
        <c:dLbls>
          <c:showLegendKey val="0"/>
          <c:showVal val="0"/>
          <c:showCatName val="0"/>
          <c:showSerName val="0"/>
          <c:showPercent val="0"/>
          <c:showBubbleSize val="0"/>
        </c:dLbls>
        <c:marker val="1"/>
        <c:smooth val="0"/>
        <c:axId val="1981954591"/>
        <c:axId val="1981958431"/>
      </c:lineChart>
      <c:catAx>
        <c:axId val="198195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981958431"/>
        <c:crosses val="autoZero"/>
        <c:auto val="1"/>
        <c:lblAlgn val="ctr"/>
        <c:lblOffset val="100"/>
        <c:noMultiLvlLbl val="0"/>
      </c:catAx>
      <c:valAx>
        <c:axId val="198195843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DK"/>
                  <a:t>Mtoe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981954591"/>
        <c:crosses val="autoZero"/>
        <c:crossBetween val="between"/>
        <c:majorUnit val="1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pPr>
      <a:endParaRPr lang="en-DK"/>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'I6. Energy mix'!$A$31</c:f>
              <c:strCache>
                <c:ptCount val="1"/>
                <c:pt idx="0">
                  <c:v>% of fossils</c:v>
                </c:pt>
              </c:strCache>
            </c:strRef>
          </c:tx>
          <c:spPr>
            <a:ln w="19050" cap="rnd">
              <a:solidFill>
                <a:srgbClr val="2E422F"/>
              </a:solidFill>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mix'!$D$31:$AW$31</c:f>
              <c:numCache>
                <c:formatCode>0%</c:formatCode>
                <c:ptCount val="46"/>
                <c:pt idx="0">
                  <c:v>0.5596484901382407</c:v>
                </c:pt>
                <c:pt idx="1">
                  <c:v>0.54593389584873253</c:v>
                </c:pt>
                <c:pt idx="2">
                  <c:v>0.54193313107126473</c:v>
                </c:pt>
                <c:pt idx="3">
                  <c:v>0.53645953838433447</c:v>
                </c:pt>
                <c:pt idx="4">
                  <c:v>0.52014099718623485</c:v>
                </c:pt>
                <c:pt idx="5">
                  <c:v>0.51853772841729973</c:v>
                </c:pt>
                <c:pt idx="6">
                  <c:v>0.51264915355234708</c:v>
                </c:pt>
                <c:pt idx="7">
                  <c:v>0.50903902436307613</c:v>
                </c:pt>
                <c:pt idx="8">
                  <c:v>0.50522742875397786</c:v>
                </c:pt>
                <c:pt idx="9">
                  <c:v>0.49812077284048756</c:v>
                </c:pt>
                <c:pt idx="10">
                  <c:v>0.49408900983262377</c:v>
                </c:pt>
                <c:pt idx="11">
                  <c:v>0.4916097553110807</c:v>
                </c:pt>
                <c:pt idx="12">
                  <c:v>0.48976054286434895</c:v>
                </c:pt>
                <c:pt idx="13">
                  <c:v>0.48966458104366828</c:v>
                </c:pt>
                <c:pt idx="14">
                  <c:v>0.48360180094770683</c:v>
                </c:pt>
                <c:pt idx="15">
                  <c:v>0.48641762052014248</c:v>
                </c:pt>
                <c:pt idx="16">
                  <c:v>0.48959126888244192</c:v>
                </c:pt>
              </c:numCache>
            </c:numRef>
          </c:val>
          <c:smooth val="0"/>
          <c:extLst>
            <c:ext xmlns:c16="http://schemas.microsoft.com/office/drawing/2014/chart" uri="{C3380CC4-5D6E-409C-BE32-E72D297353CC}">
              <c16:uniqueId val="{00000000-B64F-40FA-8686-A79AE7F42C9E}"/>
            </c:ext>
          </c:extLst>
        </c:ser>
        <c:ser>
          <c:idx val="1"/>
          <c:order val="1"/>
          <c:tx>
            <c:strRef>
              <c:f>'I6. Energy mix'!$A$32</c:f>
              <c:strCache>
                <c:ptCount val="1"/>
                <c:pt idx="0">
                  <c:v>% of renewables</c:v>
                </c:pt>
              </c:strCache>
            </c:strRef>
          </c:tx>
          <c:spPr>
            <a:ln w="19050" cap="rnd">
              <a:solidFill>
                <a:srgbClr val="FFC4A7"/>
              </a:solidFill>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mix'!$D$32:$AW$32</c:f>
              <c:numCache>
                <c:formatCode>0%</c:formatCode>
                <c:ptCount val="46"/>
                <c:pt idx="0">
                  <c:v>6.4061661893095409E-2</c:v>
                </c:pt>
                <c:pt idx="1">
                  <c:v>6.8207258348740432E-2</c:v>
                </c:pt>
                <c:pt idx="2">
                  <c:v>7.0426810387087452E-2</c:v>
                </c:pt>
                <c:pt idx="3">
                  <c:v>6.8887483223162779E-2</c:v>
                </c:pt>
                <c:pt idx="4">
                  <c:v>7.8631803950476406E-2</c:v>
                </c:pt>
                <c:pt idx="5">
                  <c:v>8.0176231482937052E-2</c:v>
                </c:pt>
                <c:pt idx="6">
                  <c:v>8.0464153019631682E-2</c:v>
                </c:pt>
                <c:pt idx="7">
                  <c:v>7.9461184197365836E-2</c:v>
                </c:pt>
                <c:pt idx="8">
                  <c:v>8.272105494422613E-2</c:v>
                </c:pt>
                <c:pt idx="9">
                  <c:v>8.5664180403406939E-2</c:v>
                </c:pt>
                <c:pt idx="10">
                  <c:v>8.9090386725338436E-2</c:v>
                </c:pt>
                <c:pt idx="11">
                  <c:v>9.1295062078067604E-2</c:v>
                </c:pt>
                <c:pt idx="12">
                  <c:v>9.187367619405111E-2</c:v>
                </c:pt>
                <c:pt idx="13">
                  <c:v>9.3216373309084735E-2</c:v>
                </c:pt>
                <c:pt idx="14">
                  <c:v>9.6582591188553057E-2</c:v>
                </c:pt>
                <c:pt idx="15">
                  <c:v>0.10038730261044071</c:v>
                </c:pt>
                <c:pt idx="16">
                  <c:v>9.6989879695236134E-2</c:v>
                </c:pt>
              </c:numCache>
            </c:numRef>
          </c:val>
          <c:smooth val="0"/>
          <c:extLst>
            <c:ext xmlns:c16="http://schemas.microsoft.com/office/drawing/2014/chart" uri="{C3380CC4-5D6E-409C-BE32-E72D297353CC}">
              <c16:uniqueId val="{00000001-B64F-40FA-8686-A79AE7F42C9E}"/>
            </c:ext>
          </c:extLst>
        </c:ser>
        <c:ser>
          <c:idx val="2"/>
          <c:order val="2"/>
          <c:tx>
            <c:strRef>
              <c:f>'I6. Energy mix'!$A$33</c:f>
              <c:strCache>
                <c:ptCount val="1"/>
                <c:pt idx="0">
                  <c:v>% of electricity</c:v>
                </c:pt>
              </c:strCache>
            </c:strRef>
          </c:tx>
          <c:spPr>
            <a:ln w="19050" cap="rnd">
              <a:solidFill>
                <a:srgbClr val="98C9EE"/>
              </a:solidFill>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mix'!$D$33:$AW$33</c:f>
              <c:numCache>
                <c:formatCode>0%</c:formatCode>
                <c:ptCount val="46"/>
                <c:pt idx="0">
                  <c:v>0.31713769903507288</c:v>
                </c:pt>
                <c:pt idx="1">
                  <c:v>0.32347845916457757</c:v>
                </c:pt>
                <c:pt idx="2">
                  <c:v>0.32215150290704053</c:v>
                </c:pt>
                <c:pt idx="3">
                  <c:v>0.32539614391374588</c:v>
                </c:pt>
                <c:pt idx="4">
                  <c:v>0.32420226401500374</c:v>
                </c:pt>
                <c:pt idx="5">
                  <c:v>0.32635016494294855</c:v>
                </c:pt>
                <c:pt idx="6">
                  <c:v>0.32963440399218724</c:v>
                </c:pt>
                <c:pt idx="7">
                  <c:v>0.33011701015710321</c:v>
                </c:pt>
                <c:pt idx="8">
                  <c:v>0.32918467374891591</c:v>
                </c:pt>
                <c:pt idx="9">
                  <c:v>0.33541417050939881</c:v>
                </c:pt>
                <c:pt idx="10">
                  <c:v>0.33652292601635087</c:v>
                </c:pt>
                <c:pt idx="11">
                  <c:v>0.33480917511737829</c:v>
                </c:pt>
                <c:pt idx="12">
                  <c:v>0.33756482055573389</c:v>
                </c:pt>
                <c:pt idx="13">
                  <c:v>0.33527204520611359</c:v>
                </c:pt>
                <c:pt idx="14">
                  <c:v>0.33536905544418766</c:v>
                </c:pt>
                <c:pt idx="15">
                  <c:v>0.32927761887076379</c:v>
                </c:pt>
                <c:pt idx="16">
                  <c:v>0.33215479960129957</c:v>
                </c:pt>
              </c:numCache>
            </c:numRef>
          </c:val>
          <c:smooth val="0"/>
          <c:extLst>
            <c:ext xmlns:c16="http://schemas.microsoft.com/office/drawing/2014/chart" uri="{C3380CC4-5D6E-409C-BE32-E72D297353CC}">
              <c16:uniqueId val="{00000002-B64F-40FA-8686-A79AE7F42C9E}"/>
            </c:ext>
          </c:extLst>
        </c:ser>
        <c:ser>
          <c:idx val="3"/>
          <c:order val="3"/>
          <c:tx>
            <c:strRef>
              <c:f>'I6. Energy mix'!$A$35</c:f>
              <c:strCache>
                <c:ptCount val="1"/>
                <c:pt idx="0">
                  <c:v>benchmark - fossils</c:v>
                </c:pt>
              </c:strCache>
            </c:strRef>
          </c:tx>
          <c:spPr>
            <a:ln w="28575" cap="rnd">
              <a:noFill/>
              <a:round/>
            </a:ln>
            <a:effectLst/>
          </c:spPr>
          <c:marker>
            <c:symbol val="circle"/>
            <c:size val="5"/>
            <c:spPr>
              <a:solidFill>
                <a:srgbClr val="2E422F"/>
              </a:solidFill>
              <a:ln w="9525">
                <a:noFill/>
              </a:ln>
              <a:effectLst/>
            </c:spPr>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mix'!$D$35:$AW$35</c:f>
              <c:numCache>
                <c:formatCode>General</c:formatCode>
                <c:ptCount val="46"/>
                <c:pt idx="25" formatCode="0%">
                  <c:v>0.45456358436429828</c:v>
                </c:pt>
                <c:pt idx="45" formatCode="0%">
                  <c:v>5.2532890386167777E-2</c:v>
                </c:pt>
              </c:numCache>
            </c:numRef>
          </c:val>
          <c:smooth val="0"/>
          <c:extLst>
            <c:ext xmlns:c16="http://schemas.microsoft.com/office/drawing/2014/chart" uri="{C3380CC4-5D6E-409C-BE32-E72D297353CC}">
              <c16:uniqueId val="{00000003-B64F-40FA-8686-A79AE7F42C9E}"/>
            </c:ext>
          </c:extLst>
        </c:ser>
        <c:ser>
          <c:idx val="4"/>
          <c:order val="4"/>
          <c:tx>
            <c:strRef>
              <c:f>'I6. Energy mix'!$A$36</c:f>
              <c:strCache>
                <c:ptCount val="1"/>
                <c:pt idx="0">
                  <c:v>benchmark - renewables</c:v>
                </c:pt>
              </c:strCache>
            </c:strRef>
          </c:tx>
          <c:spPr>
            <a:ln w="28575" cap="rnd">
              <a:noFill/>
              <a:round/>
            </a:ln>
            <a:effectLst/>
          </c:spPr>
          <c:marker>
            <c:symbol val="circle"/>
            <c:size val="5"/>
            <c:spPr>
              <a:solidFill>
                <a:srgbClr val="FFC4A7"/>
              </a:solidFill>
              <a:ln w="9525">
                <a:noFill/>
              </a:ln>
              <a:effectLst/>
            </c:spPr>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mix'!$D$36:$AW$36</c:f>
              <c:numCache>
                <c:formatCode>General</c:formatCode>
                <c:ptCount val="46"/>
                <c:pt idx="25" formatCode="0%">
                  <c:v>0.11407479054954639</c:v>
                </c:pt>
                <c:pt idx="45" formatCode="0%">
                  <c:v>0.14709472337428131</c:v>
                </c:pt>
              </c:numCache>
            </c:numRef>
          </c:val>
          <c:smooth val="0"/>
          <c:extLst>
            <c:ext xmlns:c16="http://schemas.microsoft.com/office/drawing/2014/chart" uri="{C3380CC4-5D6E-409C-BE32-E72D297353CC}">
              <c16:uniqueId val="{00000004-B64F-40FA-8686-A79AE7F42C9E}"/>
            </c:ext>
          </c:extLst>
        </c:ser>
        <c:ser>
          <c:idx val="5"/>
          <c:order val="5"/>
          <c:tx>
            <c:strRef>
              <c:f>'I6. Energy mix'!$A$37</c:f>
              <c:strCache>
                <c:ptCount val="1"/>
                <c:pt idx="0">
                  <c:v>benchmark - electricity</c:v>
                </c:pt>
              </c:strCache>
            </c:strRef>
          </c:tx>
          <c:spPr>
            <a:ln w="28575" cap="rnd">
              <a:noFill/>
              <a:round/>
            </a:ln>
            <a:effectLst/>
          </c:spPr>
          <c:marker>
            <c:symbol val="circle"/>
            <c:size val="5"/>
            <c:spPr>
              <a:solidFill>
                <a:srgbClr val="98C9EE"/>
              </a:solidFill>
              <a:ln w="9525">
                <a:noFill/>
              </a:ln>
              <a:effectLst/>
            </c:spPr>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mix'!$D$37:$AW$37</c:f>
              <c:numCache>
                <c:formatCode>General</c:formatCode>
                <c:ptCount val="46"/>
                <c:pt idx="25" formatCode="0%">
                  <c:v>0.35814718253669403</c:v>
                </c:pt>
                <c:pt idx="45" formatCode="0%">
                  <c:v>0.50615666101579848</c:v>
                </c:pt>
              </c:numCache>
            </c:numRef>
          </c:val>
          <c:smooth val="0"/>
          <c:extLst>
            <c:ext xmlns:c16="http://schemas.microsoft.com/office/drawing/2014/chart" uri="{C3380CC4-5D6E-409C-BE32-E72D297353CC}">
              <c16:uniqueId val="{00000005-B64F-40FA-8686-A79AE7F42C9E}"/>
            </c:ext>
          </c:extLst>
        </c:ser>
        <c:ser>
          <c:idx val="6"/>
          <c:order val="6"/>
          <c:tx>
            <c:strRef>
              <c:f>'I6. Energy mix'!$A$39</c:f>
              <c:strCache>
                <c:ptCount val="1"/>
                <c:pt idx="0">
                  <c:v>linear trajectory - fossils</c:v>
                </c:pt>
              </c:strCache>
            </c:strRef>
          </c:tx>
          <c:spPr>
            <a:ln w="12700" cap="rnd">
              <a:solidFill>
                <a:sysClr val="windowText" lastClr="000000"/>
              </a:solidFill>
              <a:prstDash val="dash"/>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mix'!$D$39:$AW$39</c:f>
              <c:numCache>
                <c:formatCode>General</c:formatCode>
                <c:ptCount val="46"/>
                <c:pt idx="16" formatCode="0%">
                  <c:v>0.48959126888244192</c:v>
                </c:pt>
                <c:pt idx="17" formatCode="0%">
                  <c:v>0.48569930393598149</c:v>
                </c:pt>
                <c:pt idx="18" formatCode="0%">
                  <c:v>0.48180733898952111</c:v>
                </c:pt>
                <c:pt idx="19" formatCode="0%">
                  <c:v>0.47791537404306067</c:v>
                </c:pt>
                <c:pt idx="20" formatCode="0%">
                  <c:v>0.47402340909660029</c:v>
                </c:pt>
                <c:pt idx="21" formatCode="0%">
                  <c:v>0.47013144415013985</c:v>
                </c:pt>
                <c:pt idx="22" formatCode="0%">
                  <c:v>0.46623947920367947</c:v>
                </c:pt>
                <c:pt idx="23" formatCode="0%">
                  <c:v>0.46234751425721904</c:v>
                </c:pt>
                <c:pt idx="24" formatCode="0%">
                  <c:v>0.45845554931075866</c:v>
                </c:pt>
                <c:pt idx="25" formatCode="0%">
                  <c:v>0.454563584364298</c:v>
                </c:pt>
                <c:pt idx="26" formatCode="0%">
                  <c:v>0.4344620496653917</c:v>
                </c:pt>
                <c:pt idx="27" formatCode="0%">
                  <c:v>0.41436051496648518</c:v>
                </c:pt>
                <c:pt idx="28" formatCode="0%">
                  <c:v>0.39425898026757866</c:v>
                </c:pt>
                <c:pt idx="29" formatCode="0%">
                  <c:v>0.37415744556867214</c:v>
                </c:pt>
                <c:pt idx="30" formatCode="0%">
                  <c:v>0.35405591086976562</c:v>
                </c:pt>
                <c:pt idx="31" formatCode="0%">
                  <c:v>0.3339543761708591</c:v>
                </c:pt>
                <c:pt idx="32" formatCode="0%">
                  <c:v>0.31385284147195258</c:v>
                </c:pt>
                <c:pt idx="33" formatCode="0%">
                  <c:v>0.29375130677304606</c:v>
                </c:pt>
                <c:pt idx="34" formatCode="0%">
                  <c:v>0.27364977207413954</c:v>
                </c:pt>
                <c:pt idx="35" formatCode="0%">
                  <c:v>0.25354823737523302</c:v>
                </c:pt>
                <c:pt idx="36" formatCode="0%">
                  <c:v>0.23344670267632656</c:v>
                </c:pt>
                <c:pt idx="37" formatCode="0%">
                  <c:v>0.21334516797742004</c:v>
                </c:pt>
                <c:pt idx="38" formatCode="0%">
                  <c:v>0.19324363327851352</c:v>
                </c:pt>
                <c:pt idx="39" formatCode="0%">
                  <c:v>0.173142098579607</c:v>
                </c:pt>
                <c:pt idx="40" formatCode="0%">
                  <c:v>0.15304056388070048</c:v>
                </c:pt>
                <c:pt idx="41" formatCode="0%">
                  <c:v>0.13293902918179396</c:v>
                </c:pt>
                <c:pt idx="42" formatCode="0%">
                  <c:v>0.11283749448288743</c:v>
                </c:pt>
                <c:pt idx="43" formatCode="0%">
                  <c:v>9.2735959783980915E-2</c:v>
                </c:pt>
                <c:pt idx="44" formatCode="0%">
                  <c:v>7.2634425085074394E-2</c:v>
                </c:pt>
                <c:pt idx="45" formatCode="0%">
                  <c:v>5.2532890386167874E-2</c:v>
                </c:pt>
              </c:numCache>
            </c:numRef>
          </c:val>
          <c:smooth val="0"/>
          <c:extLst>
            <c:ext xmlns:c16="http://schemas.microsoft.com/office/drawing/2014/chart" uri="{C3380CC4-5D6E-409C-BE32-E72D297353CC}">
              <c16:uniqueId val="{00000006-B64F-40FA-8686-A79AE7F42C9E}"/>
            </c:ext>
          </c:extLst>
        </c:ser>
        <c:ser>
          <c:idx val="7"/>
          <c:order val="7"/>
          <c:tx>
            <c:strRef>
              <c:f>'I6. Energy mix'!$A$40</c:f>
              <c:strCache>
                <c:ptCount val="1"/>
                <c:pt idx="0">
                  <c:v>linear trajectory - renewables</c:v>
                </c:pt>
              </c:strCache>
            </c:strRef>
          </c:tx>
          <c:spPr>
            <a:ln w="12700" cap="rnd">
              <a:solidFill>
                <a:sysClr val="windowText" lastClr="000000"/>
              </a:solidFill>
              <a:prstDash val="dash"/>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mix'!$D$40:$AW$40</c:f>
              <c:numCache>
                <c:formatCode>General</c:formatCode>
                <c:ptCount val="46"/>
                <c:pt idx="16" formatCode="0%">
                  <c:v>9.6989879695236147E-2</c:v>
                </c:pt>
                <c:pt idx="17" formatCode="0%">
                  <c:v>9.8888203123492835E-2</c:v>
                </c:pt>
                <c:pt idx="18" formatCode="0%">
                  <c:v>0.10078652655174954</c:v>
                </c:pt>
                <c:pt idx="19" formatCode="0%">
                  <c:v>0.10268484998000622</c:v>
                </c:pt>
                <c:pt idx="20" formatCode="0%">
                  <c:v>0.10458317340826292</c:v>
                </c:pt>
                <c:pt idx="21" formatCode="0%">
                  <c:v>0.10648149683651961</c:v>
                </c:pt>
                <c:pt idx="22" formatCode="0%">
                  <c:v>0.10837982026477631</c:v>
                </c:pt>
                <c:pt idx="23" formatCode="0%">
                  <c:v>0.110278143693033</c:v>
                </c:pt>
                <c:pt idx="24" formatCode="0%">
                  <c:v>0.1121764671212897</c:v>
                </c:pt>
                <c:pt idx="25" formatCode="0%">
                  <c:v>0.11407479054954639</c:v>
                </c:pt>
                <c:pt idx="26" formatCode="0%">
                  <c:v>0.11572578719078314</c:v>
                </c:pt>
                <c:pt idx="27" formatCode="0%">
                  <c:v>0.11737678383201988</c:v>
                </c:pt>
                <c:pt idx="28" formatCode="0%">
                  <c:v>0.11902778047325663</c:v>
                </c:pt>
                <c:pt idx="29" formatCode="0%">
                  <c:v>0.12067877711449337</c:v>
                </c:pt>
                <c:pt idx="30" formatCode="0%">
                  <c:v>0.12232977375573012</c:v>
                </c:pt>
                <c:pt idx="31" formatCode="0%">
                  <c:v>0.12398077039696687</c:v>
                </c:pt>
                <c:pt idx="32" formatCode="0%">
                  <c:v>0.12563176703820361</c:v>
                </c:pt>
                <c:pt idx="33" formatCode="0%">
                  <c:v>0.12728276367944036</c:v>
                </c:pt>
                <c:pt idx="34" formatCode="0%">
                  <c:v>0.1289337603206771</c:v>
                </c:pt>
                <c:pt idx="35" formatCode="0%">
                  <c:v>0.13058475696191385</c:v>
                </c:pt>
                <c:pt idx="36" formatCode="0%">
                  <c:v>0.1322357536031506</c:v>
                </c:pt>
                <c:pt idx="37" formatCode="0%">
                  <c:v>0.13388675024438734</c:v>
                </c:pt>
                <c:pt idx="38" formatCode="0%">
                  <c:v>0.13553774688562409</c:v>
                </c:pt>
                <c:pt idx="39" formatCode="0%">
                  <c:v>0.13718874352686083</c:v>
                </c:pt>
                <c:pt idx="40" formatCode="0%">
                  <c:v>0.13883974016809758</c:v>
                </c:pt>
                <c:pt idx="41" formatCode="0%">
                  <c:v>0.14049073680933433</c:v>
                </c:pt>
                <c:pt idx="42" formatCode="0%">
                  <c:v>0.14214173345057107</c:v>
                </c:pt>
                <c:pt idx="43" formatCode="0%">
                  <c:v>0.14379273009180782</c:v>
                </c:pt>
                <c:pt idx="44" formatCode="0%">
                  <c:v>0.14544372673304456</c:v>
                </c:pt>
                <c:pt idx="45" formatCode="0%">
                  <c:v>0.14709472337428131</c:v>
                </c:pt>
              </c:numCache>
            </c:numRef>
          </c:val>
          <c:smooth val="0"/>
          <c:extLst>
            <c:ext xmlns:c16="http://schemas.microsoft.com/office/drawing/2014/chart" uri="{C3380CC4-5D6E-409C-BE32-E72D297353CC}">
              <c16:uniqueId val="{00000007-B64F-40FA-8686-A79AE7F42C9E}"/>
            </c:ext>
          </c:extLst>
        </c:ser>
        <c:ser>
          <c:idx val="8"/>
          <c:order val="8"/>
          <c:tx>
            <c:strRef>
              <c:f>'I6. Energy mix'!$A$41</c:f>
              <c:strCache>
                <c:ptCount val="1"/>
                <c:pt idx="0">
                  <c:v>linear trajectory - electricity</c:v>
                </c:pt>
              </c:strCache>
            </c:strRef>
          </c:tx>
          <c:spPr>
            <a:ln w="12700" cap="rnd">
              <a:solidFill>
                <a:sysClr val="windowText" lastClr="000000"/>
              </a:solidFill>
              <a:prstDash val="dash"/>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mix'!$D$41:$AW$41</c:f>
              <c:numCache>
                <c:formatCode>General</c:formatCode>
                <c:ptCount val="46"/>
                <c:pt idx="16" formatCode="0%">
                  <c:v>0.33215479960129957</c:v>
                </c:pt>
                <c:pt idx="17" formatCode="0%">
                  <c:v>0.33504284214967672</c:v>
                </c:pt>
                <c:pt idx="18" formatCode="0%">
                  <c:v>0.33793088469805388</c:v>
                </c:pt>
                <c:pt idx="19" formatCode="0%">
                  <c:v>0.34081892724643104</c:v>
                </c:pt>
                <c:pt idx="20" formatCode="0%">
                  <c:v>0.34370696979480825</c:v>
                </c:pt>
                <c:pt idx="21" formatCode="0%">
                  <c:v>0.3465950123431854</c:v>
                </c:pt>
                <c:pt idx="22" formatCode="0%">
                  <c:v>0.34948305489156256</c:v>
                </c:pt>
                <c:pt idx="23" formatCode="0%">
                  <c:v>0.35237109743993972</c:v>
                </c:pt>
                <c:pt idx="24" formatCode="0%">
                  <c:v>0.35525913998831687</c:v>
                </c:pt>
                <c:pt idx="25" formatCode="0%">
                  <c:v>0.35814718253669409</c:v>
                </c:pt>
                <c:pt idx="26" formatCode="0%">
                  <c:v>0.3655476564606493</c:v>
                </c:pt>
                <c:pt idx="27" formatCode="0%">
                  <c:v>0.37294813038460456</c:v>
                </c:pt>
                <c:pt idx="28" formatCode="0%">
                  <c:v>0.38034860430855977</c:v>
                </c:pt>
                <c:pt idx="29" formatCode="0%">
                  <c:v>0.38774907823251498</c:v>
                </c:pt>
                <c:pt idx="30" formatCode="0%">
                  <c:v>0.39514955215647019</c:v>
                </c:pt>
                <c:pt idx="31" formatCode="0%">
                  <c:v>0.40255002608042539</c:v>
                </c:pt>
                <c:pt idx="32" formatCode="0%">
                  <c:v>0.40995050000438066</c:v>
                </c:pt>
                <c:pt idx="33" formatCode="0%">
                  <c:v>0.41735097392833587</c:v>
                </c:pt>
                <c:pt idx="34" formatCode="0%">
                  <c:v>0.42475144785229108</c:v>
                </c:pt>
                <c:pt idx="35" formatCode="0%">
                  <c:v>0.43215192177624628</c:v>
                </c:pt>
                <c:pt idx="36" formatCode="0%">
                  <c:v>0.43955239570020155</c:v>
                </c:pt>
                <c:pt idx="37" formatCode="0%">
                  <c:v>0.44695286962415676</c:v>
                </c:pt>
                <c:pt idx="38" formatCode="0%">
                  <c:v>0.45435334354811197</c:v>
                </c:pt>
                <c:pt idx="39" formatCode="0%">
                  <c:v>0.46175381747206717</c:v>
                </c:pt>
                <c:pt idx="40" formatCode="0%">
                  <c:v>0.46915429139602238</c:v>
                </c:pt>
                <c:pt idx="41" formatCode="0%">
                  <c:v>0.47655476531997765</c:v>
                </c:pt>
                <c:pt idx="42" formatCode="0%">
                  <c:v>0.4839552392439328</c:v>
                </c:pt>
                <c:pt idx="43" formatCode="0%">
                  <c:v>0.49135571316788806</c:v>
                </c:pt>
                <c:pt idx="44" formatCode="0%">
                  <c:v>0.49875618709184327</c:v>
                </c:pt>
                <c:pt idx="45" formatCode="0%">
                  <c:v>0.50615666101579848</c:v>
                </c:pt>
              </c:numCache>
            </c:numRef>
          </c:val>
          <c:smooth val="0"/>
          <c:extLst>
            <c:ext xmlns:c16="http://schemas.microsoft.com/office/drawing/2014/chart" uri="{C3380CC4-5D6E-409C-BE32-E72D297353CC}">
              <c16:uniqueId val="{00000008-B64F-40FA-8686-A79AE7F42C9E}"/>
            </c:ext>
          </c:extLst>
        </c:ser>
        <c:ser>
          <c:idx val="9"/>
          <c:order val="9"/>
          <c:tx>
            <c:strRef>
              <c:f>'I6. Energy mix'!$A$43</c:f>
              <c:strCache>
                <c:ptCount val="1"/>
                <c:pt idx="0">
                  <c:v>2040 advice scenarios - fossils</c:v>
                </c:pt>
              </c:strCache>
            </c:strRef>
          </c:tx>
          <c:spPr>
            <a:ln w="28575" cap="rnd">
              <a:noFill/>
              <a:round/>
            </a:ln>
            <a:effectLst/>
          </c:spPr>
          <c:marker>
            <c:symbol val="triangle"/>
            <c:size val="5"/>
            <c:spPr>
              <a:solidFill>
                <a:srgbClr val="2C2D2D"/>
              </a:solidFill>
              <a:ln w="9525">
                <a:noFill/>
              </a:ln>
              <a:effectLst/>
            </c:spPr>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mix'!$D$43:$AW$43</c:f>
              <c:numCache>
                <c:formatCode>General</c:formatCode>
                <c:ptCount val="46"/>
                <c:pt idx="25" formatCode="0%">
                  <c:v>0.46673361382793255</c:v>
                </c:pt>
                <c:pt idx="35" formatCode="0%">
                  <c:v>0.22283393301712273</c:v>
                </c:pt>
                <c:pt idx="45" formatCode="0%">
                  <c:v>6.8479246481394737E-2</c:v>
                </c:pt>
              </c:numCache>
            </c:numRef>
          </c:val>
          <c:smooth val="0"/>
          <c:extLst>
            <c:ext xmlns:c16="http://schemas.microsoft.com/office/drawing/2014/chart" uri="{C3380CC4-5D6E-409C-BE32-E72D297353CC}">
              <c16:uniqueId val="{00000009-B64F-40FA-8686-A79AE7F42C9E}"/>
            </c:ext>
          </c:extLst>
        </c:ser>
        <c:ser>
          <c:idx val="10"/>
          <c:order val="10"/>
          <c:tx>
            <c:strRef>
              <c:f>'I6. Energy mix'!$A$44</c:f>
              <c:strCache>
                <c:ptCount val="1"/>
                <c:pt idx="0">
                  <c:v>2040 advice scenarios - renewables</c:v>
                </c:pt>
              </c:strCache>
            </c:strRef>
          </c:tx>
          <c:spPr>
            <a:ln w="28575" cap="rnd">
              <a:noFill/>
              <a:round/>
            </a:ln>
            <a:effectLst/>
          </c:spPr>
          <c:marker>
            <c:symbol val="triangle"/>
            <c:size val="5"/>
            <c:spPr>
              <a:solidFill>
                <a:srgbClr val="FFC4A7"/>
              </a:solidFill>
              <a:ln w="9525">
                <a:noFill/>
              </a:ln>
              <a:effectLst/>
            </c:spPr>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mix'!$D$44:$AW$44</c:f>
              <c:numCache>
                <c:formatCode>General</c:formatCode>
                <c:ptCount val="46"/>
                <c:pt idx="25" formatCode="0%">
                  <c:v>0.1707813638975022</c:v>
                </c:pt>
                <c:pt idx="35" formatCode="0%">
                  <c:v>0.1976997335922355</c:v>
                </c:pt>
                <c:pt idx="45" formatCode="0%">
                  <c:v>0.19428401650154259</c:v>
                </c:pt>
              </c:numCache>
            </c:numRef>
          </c:val>
          <c:smooth val="0"/>
          <c:extLst>
            <c:ext xmlns:c16="http://schemas.microsoft.com/office/drawing/2014/chart" uri="{C3380CC4-5D6E-409C-BE32-E72D297353CC}">
              <c16:uniqueId val="{0000000A-B64F-40FA-8686-A79AE7F42C9E}"/>
            </c:ext>
          </c:extLst>
        </c:ser>
        <c:ser>
          <c:idx val="11"/>
          <c:order val="11"/>
          <c:tx>
            <c:strRef>
              <c:f>'I6. Energy mix'!$A$45</c:f>
              <c:strCache>
                <c:ptCount val="1"/>
                <c:pt idx="0">
                  <c:v>2040 advice scenarios - electricity</c:v>
                </c:pt>
              </c:strCache>
            </c:strRef>
          </c:tx>
          <c:spPr>
            <a:ln w="28575" cap="rnd">
              <a:noFill/>
              <a:round/>
            </a:ln>
            <a:effectLst/>
          </c:spPr>
          <c:marker>
            <c:symbol val="triangle"/>
            <c:size val="5"/>
            <c:spPr>
              <a:solidFill>
                <a:srgbClr val="98C9EE"/>
              </a:solidFill>
              <a:ln w="9525">
                <a:noFill/>
              </a:ln>
              <a:effectLst/>
            </c:spPr>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mix'!$D$45:$AW$45</c:f>
              <c:numCache>
                <c:formatCode>General</c:formatCode>
                <c:ptCount val="46"/>
                <c:pt idx="25" formatCode="0%">
                  <c:v>0.29238379491417138</c:v>
                </c:pt>
                <c:pt idx="35" formatCode="0%">
                  <c:v>0.42109275829220488</c:v>
                </c:pt>
                <c:pt idx="45" formatCode="0%">
                  <c:v>0.47221191967596332</c:v>
                </c:pt>
              </c:numCache>
            </c:numRef>
          </c:val>
          <c:smooth val="0"/>
          <c:extLst>
            <c:ext xmlns:c16="http://schemas.microsoft.com/office/drawing/2014/chart" uri="{C3380CC4-5D6E-409C-BE32-E72D297353CC}">
              <c16:uniqueId val="{0000000B-B64F-40FA-8686-A79AE7F42C9E}"/>
            </c:ext>
          </c:extLst>
        </c:ser>
        <c:dLbls>
          <c:showLegendKey val="0"/>
          <c:showVal val="0"/>
          <c:showCatName val="0"/>
          <c:showSerName val="0"/>
          <c:showPercent val="0"/>
          <c:showBubbleSize val="0"/>
        </c:dLbls>
        <c:smooth val="0"/>
        <c:axId val="2006106591"/>
        <c:axId val="2006101791"/>
      </c:lineChart>
      <c:catAx>
        <c:axId val="2006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2006101791"/>
        <c:crosses val="autoZero"/>
        <c:auto val="1"/>
        <c:lblAlgn val="ctr"/>
        <c:lblOffset val="100"/>
        <c:noMultiLvlLbl val="0"/>
      </c:catAx>
      <c:valAx>
        <c:axId val="20061017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2006106591"/>
        <c:crosses val="autoZero"/>
        <c:crossBetween val="between"/>
      </c:valAx>
      <c:spPr>
        <a:noFill/>
        <a:ln>
          <a:noFill/>
        </a:ln>
        <a:effectLst/>
      </c:spPr>
    </c:plotArea>
    <c:legend>
      <c:legendPos val="r"/>
      <c:legendEntry>
        <c:idx val="6"/>
        <c:delete val="1"/>
      </c:legendEntry>
      <c:legendEntry>
        <c:idx val="7"/>
        <c:delete val="1"/>
      </c:legendEntry>
      <c:legendEntry>
        <c:idx val="8"/>
        <c:delete val="1"/>
      </c:legendEntry>
      <c:legendEntry>
        <c:idx val="10"/>
        <c:delete val="1"/>
      </c:legendEntry>
      <c:legendEntry>
        <c:idx val="1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DK"/>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'I6. Energy mix'!$A$31</c:f>
              <c:strCache>
                <c:ptCount val="1"/>
                <c:pt idx="0">
                  <c:v>% of fossils</c:v>
                </c:pt>
              </c:strCache>
            </c:strRef>
          </c:tx>
          <c:spPr>
            <a:ln w="19050" cap="rnd">
              <a:solidFill>
                <a:srgbClr val="2E422F"/>
              </a:solidFill>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mix'!$D$31:$AW$31</c:f>
              <c:numCache>
                <c:formatCode>0%</c:formatCode>
                <c:ptCount val="46"/>
                <c:pt idx="0">
                  <c:v>0.5596484901382407</c:v>
                </c:pt>
                <c:pt idx="1">
                  <c:v>0.54593389584873253</c:v>
                </c:pt>
                <c:pt idx="2">
                  <c:v>0.54193313107126473</c:v>
                </c:pt>
                <c:pt idx="3">
                  <c:v>0.53645953838433447</c:v>
                </c:pt>
                <c:pt idx="4">
                  <c:v>0.52014099718623485</c:v>
                </c:pt>
                <c:pt idx="5">
                  <c:v>0.51853772841729973</c:v>
                </c:pt>
                <c:pt idx="6">
                  <c:v>0.51264915355234708</c:v>
                </c:pt>
                <c:pt idx="7">
                  <c:v>0.50903902436307613</c:v>
                </c:pt>
                <c:pt idx="8">
                  <c:v>0.50522742875397786</c:v>
                </c:pt>
                <c:pt idx="9">
                  <c:v>0.49812077284048756</c:v>
                </c:pt>
                <c:pt idx="10">
                  <c:v>0.49408900983262377</c:v>
                </c:pt>
                <c:pt idx="11">
                  <c:v>0.4916097553110807</c:v>
                </c:pt>
                <c:pt idx="12">
                  <c:v>0.48976054286434895</c:v>
                </c:pt>
                <c:pt idx="13">
                  <c:v>0.48966458104366828</c:v>
                </c:pt>
                <c:pt idx="14">
                  <c:v>0.48360180094770683</c:v>
                </c:pt>
                <c:pt idx="15">
                  <c:v>0.48641762052014248</c:v>
                </c:pt>
                <c:pt idx="16">
                  <c:v>0.48959126888244192</c:v>
                </c:pt>
              </c:numCache>
            </c:numRef>
          </c:val>
          <c:smooth val="0"/>
          <c:extLst>
            <c:ext xmlns:c16="http://schemas.microsoft.com/office/drawing/2014/chart" uri="{C3380CC4-5D6E-409C-BE32-E72D297353CC}">
              <c16:uniqueId val="{00000000-0870-4D26-BA8B-E5E21027EDAD}"/>
            </c:ext>
          </c:extLst>
        </c:ser>
        <c:ser>
          <c:idx val="1"/>
          <c:order val="1"/>
          <c:tx>
            <c:strRef>
              <c:f>'I6. Energy mix'!$A$32</c:f>
              <c:strCache>
                <c:ptCount val="1"/>
                <c:pt idx="0">
                  <c:v>% of renewables</c:v>
                </c:pt>
              </c:strCache>
            </c:strRef>
          </c:tx>
          <c:spPr>
            <a:ln w="19050" cap="rnd">
              <a:solidFill>
                <a:srgbClr val="FFC4A7"/>
              </a:solidFill>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mix'!$D$32:$AW$32</c:f>
              <c:numCache>
                <c:formatCode>0%</c:formatCode>
                <c:ptCount val="46"/>
                <c:pt idx="0">
                  <c:v>6.4061661893095409E-2</c:v>
                </c:pt>
                <c:pt idx="1">
                  <c:v>6.8207258348740432E-2</c:v>
                </c:pt>
                <c:pt idx="2">
                  <c:v>7.0426810387087452E-2</c:v>
                </c:pt>
                <c:pt idx="3">
                  <c:v>6.8887483223162779E-2</c:v>
                </c:pt>
                <c:pt idx="4">
                  <c:v>7.8631803950476406E-2</c:v>
                </c:pt>
                <c:pt idx="5">
                  <c:v>8.0176231482937052E-2</c:v>
                </c:pt>
                <c:pt idx="6">
                  <c:v>8.0464153019631682E-2</c:v>
                </c:pt>
                <c:pt idx="7">
                  <c:v>7.9461184197365836E-2</c:v>
                </c:pt>
                <c:pt idx="8">
                  <c:v>8.272105494422613E-2</c:v>
                </c:pt>
                <c:pt idx="9">
                  <c:v>8.5664180403406939E-2</c:v>
                </c:pt>
                <c:pt idx="10">
                  <c:v>8.9090386725338436E-2</c:v>
                </c:pt>
                <c:pt idx="11">
                  <c:v>9.1295062078067604E-2</c:v>
                </c:pt>
                <c:pt idx="12">
                  <c:v>9.187367619405111E-2</c:v>
                </c:pt>
                <c:pt idx="13">
                  <c:v>9.3216373309084735E-2</c:v>
                </c:pt>
                <c:pt idx="14">
                  <c:v>9.6582591188553057E-2</c:v>
                </c:pt>
                <c:pt idx="15">
                  <c:v>0.10038730261044071</c:v>
                </c:pt>
                <c:pt idx="16">
                  <c:v>9.6989879695236134E-2</c:v>
                </c:pt>
              </c:numCache>
            </c:numRef>
          </c:val>
          <c:smooth val="0"/>
          <c:extLst>
            <c:ext xmlns:c16="http://schemas.microsoft.com/office/drawing/2014/chart" uri="{C3380CC4-5D6E-409C-BE32-E72D297353CC}">
              <c16:uniqueId val="{00000001-0870-4D26-BA8B-E5E21027EDAD}"/>
            </c:ext>
          </c:extLst>
        </c:ser>
        <c:ser>
          <c:idx val="2"/>
          <c:order val="2"/>
          <c:tx>
            <c:strRef>
              <c:f>'I6. Energy mix'!$A$33</c:f>
              <c:strCache>
                <c:ptCount val="1"/>
                <c:pt idx="0">
                  <c:v>% of electricity</c:v>
                </c:pt>
              </c:strCache>
            </c:strRef>
          </c:tx>
          <c:spPr>
            <a:ln w="19050" cap="rnd">
              <a:solidFill>
                <a:srgbClr val="98C9EE"/>
              </a:solidFill>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mix'!$D$33:$AW$33</c:f>
              <c:numCache>
                <c:formatCode>0%</c:formatCode>
                <c:ptCount val="46"/>
                <c:pt idx="0">
                  <c:v>0.31713769903507288</c:v>
                </c:pt>
                <c:pt idx="1">
                  <c:v>0.32347845916457757</c:v>
                </c:pt>
                <c:pt idx="2">
                  <c:v>0.32215150290704053</c:v>
                </c:pt>
                <c:pt idx="3">
                  <c:v>0.32539614391374588</c:v>
                </c:pt>
                <c:pt idx="4">
                  <c:v>0.32420226401500374</c:v>
                </c:pt>
                <c:pt idx="5">
                  <c:v>0.32635016494294855</c:v>
                </c:pt>
                <c:pt idx="6">
                  <c:v>0.32963440399218724</c:v>
                </c:pt>
                <c:pt idx="7">
                  <c:v>0.33011701015710321</c:v>
                </c:pt>
                <c:pt idx="8">
                  <c:v>0.32918467374891591</c:v>
                </c:pt>
                <c:pt idx="9">
                  <c:v>0.33541417050939881</c:v>
                </c:pt>
                <c:pt idx="10">
                  <c:v>0.33652292601635087</c:v>
                </c:pt>
                <c:pt idx="11">
                  <c:v>0.33480917511737829</c:v>
                </c:pt>
                <c:pt idx="12">
                  <c:v>0.33756482055573389</c:v>
                </c:pt>
                <c:pt idx="13">
                  <c:v>0.33527204520611359</c:v>
                </c:pt>
                <c:pt idx="14">
                  <c:v>0.33536905544418766</c:v>
                </c:pt>
                <c:pt idx="15">
                  <c:v>0.32927761887076379</c:v>
                </c:pt>
                <c:pt idx="16">
                  <c:v>0.33215479960129957</c:v>
                </c:pt>
              </c:numCache>
            </c:numRef>
          </c:val>
          <c:smooth val="0"/>
          <c:extLst>
            <c:ext xmlns:c16="http://schemas.microsoft.com/office/drawing/2014/chart" uri="{C3380CC4-5D6E-409C-BE32-E72D297353CC}">
              <c16:uniqueId val="{00000002-0870-4D26-BA8B-E5E21027EDAD}"/>
            </c:ext>
          </c:extLst>
        </c:ser>
        <c:ser>
          <c:idx val="3"/>
          <c:order val="3"/>
          <c:tx>
            <c:strRef>
              <c:f>'I6. Energy mix'!$A$34</c:f>
              <c:strCache>
                <c:ptCount val="1"/>
                <c:pt idx="0">
                  <c:v>% of other (incl. hydrogen &amp; marketed heat)</c:v>
                </c:pt>
              </c:strCache>
            </c:strRef>
          </c:tx>
          <c:spPr>
            <a:ln w="19050" cap="rnd">
              <a:solidFill>
                <a:srgbClr val="B04545"/>
              </a:solidFill>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mix'!$D$34:$AW$34</c:f>
              <c:numCache>
                <c:formatCode>0%</c:formatCode>
                <c:ptCount val="46"/>
                <c:pt idx="0">
                  <c:v>5.8907838391309572E-2</c:v>
                </c:pt>
                <c:pt idx="1">
                  <c:v>6.2187335602021207E-2</c:v>
                </c:pt>
                <c:pt idx="2">
                  <c:v>6.5217062533461295E-2</c:v>
                </c:pt>
                <c:pt idx="3">
                  <c:v>6.8992376294054317E-2</c:v>
                </c:pt>
                <c:pt idx="4">
                  <c:v>7.6883343370547377E-2</c:v>
                </c:pt>
                <c:pt idx="5">
                  <c:v>7.4755211532935267E-2</c:v>
                </c:pt>
                <c:pt idx="6">
                  <c:v>7.7038536059165968E-2</c:v>
                </c:pt>
                <c:pt idx="7">
                  <c:v>8.1209566709293773E-2</c:v>
                </c:pt>
                <c:pt idx="8">
                  <c:v>8.2713637791081221E-2</c:v>
                </c:pt>
                <c:pt idx="9">
                  <c:v>8.0655529806249709E-2</c:v>
                </c:pt>
                <c:pt idx="10">
                  <c:v>8.0233568180586856E-2</c:v>
                </c:pt>
                <c:pt idx="11">
                  <c:v>8.2245027541156229E-2</c:v>
                </c:pt>
                <c:pt idx="12">
                  <c:v>8.0717715747118043E-2</c:v>
                </c:pt>
                <c:pt idx="13">
                  <c:v>8.175449274769378E-2</c:v>
                </c:pt>
                <c:pt idx="14">
                  <c:v>8.4363422367438795E-2</c:v>
                </c:pt>
                <c:pt idx="15">
                  <c:v>8.3911473327759542E-2</c:v>
                </c:pt>
                <c:pt idx="16">
                  <c:v>8.1264060142433703E-2</c:v>
                </c:pt>
              </c:numCache>
            </c:numRef>
          </c:val>
          <c:smooth val="0"/>
          <c:extLst>
            <c:ext xmlns:c16="http://schemas.microsoft.com/office/drawing/2014/chart" uri="{C3380CC4-5D6E-409C-BE32-E72D297353CC}">
              <c16:uniqueId val="{00000003-0870-4D26-BA8B-E5E21027EDAD}"/>
            </c:ext>
          </c:extLst>
        </c:ser>
        <c:ser>
          <c:idx val="4"/>
          <c:order val="4"/>
          <c:tx>
            <c:strRef>
              <c:f>'I6. Energy mix'!$A$35</c:f>
              <c:strCache>
                <c:ptCount val="1"/>
                <c:pt idx="0">
                  <c:v>benchmark - fossils</c:v>
                </c:pt>
              </c:strCache>
            </c:strRef>
          </c:tx>
          <c:spPr>
            <a:ln w="28575" cap="rnd">
              <a:noFill/>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mix'!$D$35:$AW$35</c:f>
              <c:numCache>
                <c:formatCode>General</c:formatCode>
                <c:ptCount val="46"/>
                <c:pt idx="25" formatCode="0%">
                  <c:v>0.45456358436429828</c:v>
                </c:pt>
                <c:pt idx="45" formatCode="0%">
                  <c:v>5.2532890386167777E-2</c:v>
                </c:pt>
              </c:numCache>
            </c:numRef>
          </c:val>
          <c:smooth val="0"/>
          <c:extLst>
            <c:ext xmlns:c16="http://schemas.microsoft.com/office/drawing/2014/chart" uri="{C3380CC4-5D6E-409C-BE32-E72D297353CC}">
              <c16:uniqueId val="{00000004-0870-4D26-BA8B-E5E21027EDAD}"/>
            </c:ext>
          </c:extLst>
        </c:ser>
        <c:ser>
          <c:idx val="5"/>
          <c:order val="5"/>
          <c:tx>
            <c:strRef>
              <c:f>'I6. Energy mix'!$A$36</c:f>
              <c:strCache>
                <c:ptCount val="1"/>
                <c:pt idx="0">
                  <c:v>benchmark - renewables</c:v>
                </c:pt>
              </c:strCache>
            </c:strRef>
          </c:tx>
          <c:spPr>
            <a:ln w="28575" cap="rnd">
              <a:noFill/>
              <a:round/>
            </a:ln>
            <a:effectLst/>
          </c:spPr>
          <c:marker>
            <c:symbol val="circle"/>
            <c:size val="5"/>
            <c:spPr>
              <a:solidFill>
                <a:srgbClr val="FFC4A7"/>
              </a:solidFill>
              <a:ln w="9525">
                <a:noFill/>
              </a:ln>
              <a:effectLst/>
            </c:spPr>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mix'!$D$36:$AW$36</c:f>
              <c:numCache>
                <c:formatCode>General</c:formatCode>
                <c:ptCount val="46"/>
                <c:pt idx="25" formatCode="0%">
                  <c:v>0.11407479054954639</c:v>
                </c:pt>
                <c:pt idx="45" formatCode="0%">
                  <c:v>0.14709472337428131</c:v>
                </c:pt>
              </c:numCache>
            </c:numRef>
          </c:val>
          <c:smooth val="0"/>
          <c:extLst>
            <c:ext xmlns:c16="http://schemas.microsoft.com/office/drawing/2014/chart" uri="{C3380CC4-5D6E-409C-BE32-E72D297353CC}">
              <c16:uniqueId val="{00000005-0870-4D26-BA8B-E5E21027EDAD}"/>
            </c:ext>
          </c:extLst>
        </c:ser>
        <c:ser>
          <c:idx val="6"/>
          <c:order val="6"/>
          <c:tx>
            <c:strRef>
              <c:f>'I6. Energy mix'!$A$37</c:f>
              <c:strCache>
                <c:ptCount val="1"/>
                <c:pt idx="0">
                  <c:v>benchmark - electricity</c:v>
                </c:pt>
              </c:strCache>
            </c:strRef>
          </c:tx>
          <c:spPr>
            <a:ln w="28575" cap="rnd">
              <a:noFill/>
              <a:round/>
            </a:ln>
            <a:effectLst/>
          </c:spPr>
          <c:marker>
            <c:symbol val="circle"/>
            <c:size val="5"/>
            <c:spPr>
              <a:solidFill>
                <a:srgbClr val="98C9EE"/>
              </a:solidFill>
              <a:ln w="9525">
                <a:noFill/>
              </a:ln>
              <a:effectLst/>
            </c:spPr>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mix'!$D$37:$AW$37</c:f>
              <c:numCache>
                <c:formatCode>General</c:formatCode>
                <c:ptCount val="46"/>
                <c:pt idx="25" formatCode="0%">
                  <c:v>0.35814718253669403</c:v>
                </c:pt>
                <c:pt idx="45" formatCode="0%">
                  <c:v>0.50615666101579848</c:v>
                </c:pt>
              </c:numCache>
            </c:numRef>
          </c:val>
          <c:smooth val="0"/>
          <c:extLst>
            <c:ext xmlns:c16="http://schemas.microsoft.com/office/drawing/2014/chart" uri="{C3380CC4-5D6E-409C-BE32-E72D297353CC}">
              <c16:uniqueId val="{00000006-0870-4D26-BA8B-E5E21027EDAD}"/>
            </c:ext>
          </c:extLst>
        </c:ser>
        <c:ser>
          <c:idx val="7"/>
          <c:order val="7"/>
          <c:tx>
            <c:strRef>
              <c:f>'I6. Energy mix'!$A$38</c:f>
              <c:strCache>
                <c:ptCount val="1"/>
                <c:pt idx="0">
                  <c:v>benchmark - other</c:v>
                </c:pt>
              </c:strCache>
            </c:strRef>
          </c:tx>
          <c:spPr>
            <a:ln w="28575" cap="rnd">
              <a:solidFill>
                <a:schemeClr val="accent2">
                  <a:lumMod val="60000"/>
                </a:schemeClr>
              </a:solidFill>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mix'!$D$38:$AW$38</c:f>
              <c:numCache>
                <c:formatCode>General</c:formatCode>
                <c:ptCount val="46"/>
                <c:pt idx="25" formatCode="0%">
                  <c:v>7.3214442549461342E-2</c:v>
                </c:pt>
                <c:pt idx="45" formatCode="0%">
                  <c:v>0.29421572522375244</c:v>
                </c:pt>
              </c:numCache>
            </c:numRef>
          </c:val>
          <c:smooth val="0"/>
          <c:extLst>
            <c:ext xmlns:c16="http://schemas.microsoft.com/office/drawing/2014/chart" uri="{C3380CC4-5D6E-409C-BE32-E72D297353CC}">
              <c16:uniqueId val="{00000007-0870-4D26-BA8B-E5E21027EDAD}"/>
            </c:ext>
          </c:extLst>
        </c:ser>
        <c:ser>
          <c:idx val="8"/>
          <c:order val="8"/>
          <c:tx>
            <c:strRef>
              <c:f>'I6. Energy mix'!$A$39</c:f>
              <c:strCache>
                <c:ptCount val="1"/>
                <c:pt idx="0">
                  <c:v>linear trajectory - fossils</c:v>
                </c:pt>
              </c:strCache>
            </c:strRef>
          </c:tx>
          <c:spPr>
            <a:ln w="12700" cap="rnd">
              <a:solidFill>
                <a:sysClr val="windowText" lastClr="000000"/>
              </a:solidFill>
              <a:prstDash val="dash"/>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mix'!$D$39:$AW$39</c:f>
              <c:numCache>
                <c:formatCode>General</c:formatCode>
                <c:ptCount val="46"/>
                <c:pt idx="16" formatCode="0%">
                  <c:v>0.48959126888244192</c:v>
                </c:pt>
                <c:pt idx="17" formatCode="0%">
                  <c:v>0.48569930393598149</c:v>
                </c:pt>
                <c:pt idx="18" formatCode="0%">
                  <c:v>0.48180733898952111</c:v>
                </c:pt>
                <c:pt idx="19" formatCode="0%">
                  <c:v>0.47791537404306067</c:v>
                </c:pt>
                <c:pt idx="20" formatCode="0%">
                  <c:v>0.47402340909660029</c:v>
                </c:pt>
                <c:pt idx="21" formatCode="0%">
                  <c:v>0.47013144415013985</c:v>
                </c:pt>
                <c:pt idx="22" formatCode="0%">
                  <c:v>0.46623947920367947</c:v>
                </c:pt>
                <c:pt idx="23" formatCode="0%">
                  <c:v>0.46234751425721904</c:v>
                </c:pt>
                <c:pt idx="24" formatCode="0%">
                  <c:v>0.45845554931075866</c:v>
                </c:pt>
                <c:pt idx="25" formatCode="0%">
                  <c:v>0.454563584364298</c:v>
                </c:pt>
                <c:pt idx="26" formatCode="0%">
                  <c:v>0.4344620496653917</c:v>
                </c:pt>
                <c:pt idx="27" formatCode="0%">
                  <c:v>0.41436051496648518</c:v>
                </c:pt>
                <c:pt idx="28" formatCode="0%">
                  <c:v>0.39425898026757866</c:v>
                </c:pt>
                <c:pt idx="29" formatCode="0%">
                  <c:v>0.37415744556867214</c:v>
                </c:pt>
                <c:pt idx="30" formatCode="0%">
                  <c:v>0.35405591086976562</c:v>
                </c:pt>
                <c:pt idx="31" formatCode="0%">
                  <c:v>0.3339543761708591</c:v>
                </c:pt>
                <c:pt idx="32" formatCode="0%">
                  <c:v>0.31385284147195258</c:v>
                </c:pt>
                <c:pt idx="33" formatCode="0%">
                  <c:v>0.29375130677304606</c:v>
                </c:pt>
                <c:pt idx="34" formatCode="0%">
                  <c:v>0.27364977207413954</c:v>
                </c:pt>
                <c:pt idx="35" formatCode="0%">
                  <c:v>0.25354823737523302</c:v>
                </c:pt>
                <c:pt idx="36" formatCode="0%">
                  <c:v>0.23344670267632656</c:v>
                </c:pt>
                <c:pt idx="37" formatCode="0%">
                  <c:v>0.21334516797742004</c:v>
                </c:pt>
                <c:pt idx="38" formatCode="0%">
                  <c:v>0.19324363327851352</c:v>
                </c:pt>
                <c:pt idx="39" formatCode="0%">
                  <c:v>0.173142098579607</c:v>
                </c:pt>
                <c:pt idx="40" formatCode="0%">
                  <c:v>0.15304056388070048</c:v>
                </c:pt>
                <c:pt idx="41" formatCode="0%">
                  <c:v>0.13293902918179396</c:v>
                </c:pt>
                <c:pt idx="42" formatCode="0%">
                  <c:v>0.11283749448288743</c:v>
                </c:pt>
                <c:pt idx="43" formatCode="0%">
                  <c:v>9.2735959783980915E-2</c:v>
                </c:pt>
                <c:pt idx="44" formatCode="0%">
                  <c:v>7.2634425085074394E-2</c:v>
                </c:pt>
                <c:pt idx="45" formatCode="0%">
                  <c:v>5.2532890386167874E-2</c:v>
                </c:pt>
              </c:numCache>
            </c:numRef>
          </c:val>
          <c:smooth val="0"/>
          <c:extLst>
            <c:ext xmlns:c16="http://schemas.microsoft.com/office/drawing/2014/chart" uri="{C3380CC4-5D6E-409C-BE32-E72D297353CC}">
              <c16:uniqueId val="{00000008-0870-4D26-BA8B-E5E21027EDAD}"/>
            </c:ext>
          </c:extLst>
        </c:ser>
        <c:ser>
          <c:idx val="9"/>
          <c:order val="9"/>
          <c:tx>
            <c:strRef>
              <c:f>'I6. Energy mix'!$A$40</c:f>
              <c:strCache>
                <c:ptCount val="1"/>
                <c:pt idx="0">
                  <c:v>linear trajectory - renewables</c:v>
                </c:pt>
              </c:strCache>
            </c:strRef>
          </c:tx>
          <c:spPr>
            <a:ln w="12700" cap="rnd">
              <a:solidFill>
                <a:srgbClr val="FFC4A7"/>
              </a:solidFill>
              <a:prstDash val="dash"/>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mix'!$D$40:$AW$40</c:f>
              <c:numCache>
                <c:formatCode>General</c:formatCode>
                <c:ptCount val="46"/>
                <c:pt idx="16" formatCode="0%">
                  <c:v>9.6989879695236147E-2</c:v>
                </c:pt>
                <c:pt idx="17" formatCode="0%">
                  <c:v>9.8888203123492835E-2</c:v>
                </c:pt>
                <c:pt idx="18" formatCode="0%">
                  <c:v>0.10078652655174954</c:v>
                </c:pt>
                <c:pt idx="19" formatCode="0%">
                  <c:v>0.10268484998000622</c:v>
                </c:pt>
                <c:pt idx="20" formatCode="0%">
                  <c:v>0.10458317340826292</c:v>
                </c:pt>
                <c:pt idx="21" formatCode="0%">
                  <c:v>0.10648149683651961</c:v>
                </c:pt>
                <c:pt idx="22" formatCode="0%">
                  <c:v>0.10837982026477631</c:v>
                </c:pt>
                <c:pt idx="23" formatCode="0%">
                  <c:v>0.110278143693033</c:v>
                </c:pt>
                <c:pt idx="24" formatCode="0%">
                  <c:v>0.1121764671212897</c:v>
                </c:pt>
                <c:pt idx="25" formatCode="0%">
                  <c:v>0.11407479054954639</c:v>
                </c:pt>
                <c:pt idx="26" formatCode="0%">
                  <c:v>0.11572578719078314</c:v>
                </c:pt>
                <c:pt idx="27" formatCode="0%">
                  <c:v>0.11737678383201988</c:v>
                </c:pt>
                <c:pt idx="28" formatCode="0%">
                  <c:v>0.11902778047325663</c:v>
                </c:pt>
                <c:pt idx="29" formatCode="0%">
                  <c:v>0.12067877711449337</c:v>
                </c:pt>
                <c:pt idx="30" formatCode="0%">
                  <c:v>0.12232977375573012</c:v>
                </c:pt>
                <c:pt idx="31" formatCode="0%">
                  <c:v>0.12398077039696687</c:v>
                </c:pt>
                <c:pt idx="32" formatCode="0%">
                  <c:v>0.12563176703820361</c:v>
                </c:pt>
                <c:pt idx="33" formatCode="0%">
                  <c:v>0.12728276367944036</c:v>
                </c:pt>
                <c:pt idx="34" formatCode="0%">
                  <c:v>0.1289337603206771</c:v>
                </c:pt>
                <c:pt idx="35" formatCode="0%">
                  <c:v>0.13058475696191385</c:v>
                </c:pt>
                <c:pt idx="36" formatCode="0%">
                  <c:v>0.1322357536031506</c:v>
                </c:pt>
                <c:pt idx="37" formatCode="0%">
                  <c:v>0.13388675024438734</c:v>
                </c:pt>
                <c:pt idx="38" formatCode="0%">
                  <c:v>0.13553774688562409</c:v>
                </c:pt>
                <c:pt idx="39" formatCode="0%">
                  <c:v>0.13718874352686083</c:v>
                </c:pt>
                <c:pt idx="40" formatCode="0%">
                  <c:v>0.13883974016809758</c:v>
                </c:pt>
                <c:pt idx="41" formatCode="0%">
                  <c:v>0.14049073680933433</c:v>
                </c:pt>
                <c:pt idx="42" formatCode="0%">
                  <c:v>0.14214173345057107</c:v>
                </c:pt>
                <c:pt idx="43" formatCode="0%">
                  <c:v>0.14379273009180782</c:v>
                </c:pt>
                <c:pt idx="44" formatCode="0%">
                  <c:v>0.14544372673304456</c:v>
                </c:pt>
                <c:pt idx="45" formatCode="0%">
                  <c:v>0.14709472337428131</c:v>
                </c:pt>
              </c:numCache>
            </c:numRef>
          </c:val>
          <c:smooth val="0"/>
          <c:extLst>
            <c:ext xmlns:c16="http://schemas.microsoft.com/office/drawing/2014/chart" uri="{C3380CC4-5D6E-409C-BE32-E72D297353CC}">
              <c16:uniqueId val="{00000009-0870-4D26-BA8B-E5E21027EDAD}"/>
            </c:ext>
          </c:extLst>
        </c:ser>
        <c:ser>
          <c:idx val="10"/>
          <c:order val="10"/>
          <c:tx>
            <c:strRef>
              <c:f>'I6. Energy mix'!$A$41</c:f>
              <c:strCache>
                <c:ptCount val="1"/>
                <c:pt idx="0">
                  <c:v>linear trajectory - electricity</c:v>
                </c:pt>
              </c:strCache>
            </c:strRef>
          </c:tx>
          <c:spPr>
            <a:ln w="12700" cap="rnd">
              <a:solidFill>
                <a:srgbClr val="98C9EE"/>
              </a:solidFill>
              <a:prstDash val="dash"/>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mix'!$D$41:$AW$41</c:f>
              <c:numCache>
                <c:formatCode>General</c:formatCode>
                <c:ptCount val="46"/>
                <c:pt idx="16" formatCode="0%">
                  <c:v>0.33215479960129957</c:v>
                </c:pt>
                <c:pt idx="17" formatCode="0%">
                  <c:v>0.33504284214967672</c:v>
                </c:pt>
                <c:pt idx="18" formatCode="0%">
                  <c:v>0.33793088469805388</c:v>
                </c:pt>
                <c:pt idx="19" formatCode="0%">
                  <c:v>0.34081892724643104</c:v>
                </c:pt>
                <c:pt idx="20" formatCode="0%">
                  <c:v>0.34370696979480825</c:v>
                </c:pt>
                <c:pt idx="21" formatCode="0%">
                  <c:v>0.3465950123431854</c:v>
                </c:pt>
                <c:pt idx="22" formatCode="0%">
                  <c:v>0.34948305489156256</c:v>
                </c:pt>
                <c:pt idx="23" formatCode="0%">
                  <c:v>0.35237109743993972</c:v>
                </c:pt>
                <c:pt idx="24" formatCode="0%">
                  <c:v>0.35525913998831687</c:v>
                </c:pt>
                <c:pt idx="25" formatCode="0%">
                  <c:v>0.35814718253669409</c:v>
                </c:pt>
                <c:pt idx="26" formatCode="0%">
                  <c:v>0.3655476564606493</c:v>
                </c:pt>
                <c:pt idx="27" formatCode="0%">
                  <c:v>0.37294813038460456</c:v>
                </c:pt>
                <c:pt idx="28" formatCode="0%">
                  <c:v>0.38034860430855977</c:v>
                </c:pt>
                <c:pt idx="29" formatCode="0%">
                  <c:v>0.38774907823251498</c:v>
                </c:pt>
                <c:pt idx="30" formatCode="0%">
                  <c:v>0.39514955215647019</c:v>
                </c:pt>
                <c:pt idx="31" formatCode="0%">
                  <c:v>0.40255002608042539</c:v>
                </c:pt>
                <c:pt idx="32" formatCode="0%">
                  <c:v>0.40995050000438066</c:v>
                </c:pt>
                <c:pt idx="33" formatCode="0%">
                  <c:v>0.41735097392833587</c:v>
                </c:pt>
                <c:pt idx="34" formatCode="0%">
                  <c:v>0.42475144785229108</c:v>
                </c:pt>
                <c:pt idx="35" formatCode="0%">
                  <c:v>0.43215192177624628</c:v>
                </c:pt>
                <c:pt idx="36" formatCode="0%">
                  <c:v>0.43955239570020155</c:v>
                </c:pt>
                <c:pt idx="37" formatCode="0%">
                  <c:v>0.44695286962415676</c:v>
                </c:pt>
                <c:pt idx="38" formatCode="0%">
                  <c:v>0.45435334354811197</c:v>
                </c:pt>
                <c:pt idx="39" formatCode="0%">
                  <c:v>0.46175381747206717</c:v>
                </c:pt>
                <c:pt idx="40" formatCode="0%">
                  <c:v>0.46915429139602238</c:v>
                </c:pt>
                <c:pt idx="41" formatCode="0%">
                  <c:v>0.47655476531997765</c:v>
                </c:pt>
                <c:pt idx="42" formatCode="0%">
                  <c:v>0.4839552392439328</c:v>
                </c:pt>
                <c:pt idx="43" formatCode="0%">
                  <c:v>0.49135571316788806</c:v>
                </c:pt>
                <c:pt idx="44" formatCode="0%">
                  <c:v>0.49875618709184327</c:v>
                </c:pt>
                <c:pt idx="45" formatCode="0%">
                  <c:v>0.50615666101579848</c:v>
                </c:pt>
              </c:numCache>
            </c:numRef>
          </c:val>
          <c:smooth val="0"/>
          <c:extLst>
            <c:ext xmlns:c16="http://schemas.microsoft.com/office/drawing/2014/chart" uri="{C3380CC4-5D6E-409C-BE32-E72D297353CC}">
              <c16:uniqueId val="{0000000A-0870-4D26-BA8B-E5E21027EDAD}"/>
            </c:ext>
          </c:extLst>
        </c:ser>
        <c:ser>
          <c:idx val="11"/>
          <c:order val="11"/>
          <c:tx>
            <c:strRef>
              <c:f>'I6. Energy mix'!$A$42</c:f>
              <c:strCache>
                <c:ptCount val="1"/>
                <c:pt idx="0">
                  <c:v>linear trajectory - other</c:v>
                </c:pt>
              </c:strCache>
            </c:strRef>
          </c:tx>
          <c:spPr>
            <a:ln w="19050" cap="rnd">
              <a:solidFill>
                <a:srgbClr val="B04545"/>
              </a:solidFill>
              <a:prstDash val="sysDash"/>
              <a:round/>
            </a:ln>
            <a:effectLst/>
          </c:spPr>
          <c:marker>
            <c:symbol val="none"/>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mix'!$D$42:$AW$42</c:f>
              <c:numCache>
                <c:formatCode>General</c:formatCode>
                <c:ptCount val="46"/>
                <c:pt idx="16" formatCode="0%">
                  <c:v>8.1264060142433703E-2</c:v>
                </c:pt>
                <c:pt idx="17" formatCode="0%">
                  <c:v>8.0369658187658996E-2</c:v>
                </c:pt>
                <c:pt idx="18" formatCode="0%">
                  <c:v>7.9475256232884289E-2</c:v>
                </c:pt>
                <c:pt idx="19" formatCode="0%">
                  <c:v>7.8580854278109583E-2</c:v>
                </c:pt>
                <c:pt idx="20" formatCode="0%">
                  <c:v>7.7686452323334876E-2</c:v>
                </c:pt>
                <c:pt idx="21" formatCode="0%">
                  <c:v>7.6792050368560169E-2</c:v>
                </c:pt>
                <c:pt idx="22" formatCode="0%">
                  <c:v>7.5897648413785462E-2</c:v>
                </c:pt>
                <c:pt idx="23" formatCode="0%">
                  <c:v>7.5003246459010756E-2</c:v>
                </c:pt>
                <c:pt idx="24" formatCode="0%">
                  <c:v>7.4108844504236049E-2</c:v>
                </c:pt>
                <c:pt idx="25" formatCode="0%">
                  <c:v>7.3214442549461342E-2</c:v>
                </c:pt>
                <c:pt idx="26" formatCode="0%">
                  <c:v>8.4264506683175894E-2</c:v>
                </c:pt>
                <c:pt idx="27" formatCode="0%">
                  <c:v>9.5314570816890445E-2</c:v>
                </c:pt>
                <c:pt idx="28" formatCode="0%">
                  <c:v>0.106364634950605</c:v>
                </c:pt>
                <c:pt idx="29" formatCode="0%">
                  <c:v>0.11741469908431955</c:v>
                </c:pt>
                <c:pt idx="30" formatCode="0%">
                  <c:v>0.1284647632180341</c:v>
                </c:pt>
                <c:pt idx="31" formatCode="0%">
                  <c:v>0.13951482735174867</c:v>
                </c:pt>
                <c:pt idx="32" formatCode="0%">
                  <c:v>0.15056489148546323</c:v>
                </c:pt>
                <c:pt idx="33" formatCode="0%">
                  <c:v>0.1616149556191778</c:v>
                </c:pt>
                <c:pt idx="34" formatCode="0%">
                  <c:v>0.17266501975289236</c:v>
                </c:pt>
                <c:pt idx="35" formatCode="0%">
                  <c:v>0.18371508388660693</c:v>
                </c:pt>
                <c:pt idx="36" formatCode="0%">
                  <c:v>0.19476514802032149</c:v>
                </c:pt>
                <c:pt idx="37" formatCode="0%">
                  <c:v>0.20581521215403606</c:v>
                </c:pt>
                <c:pt idx="38" formatCode="0%">
                  <c:v>0.21686527628775062</c:v>
                </c:pt>
                <c:pt idx="39" formatCode="0%">
                  <c:v>0.22791534042146519</c:v>
                </c:pt>
                <c:pt idx="40" formatCode="0%">
                  <c:v>0.23896540455517976</c:v>
                </c:pt>
                <c:pt idx="41" formatCode="0%">
                  <c:v>0.25001546868889429</c:v>
                </c:pt>
                <c:pt idx="42" formatCode="0%">
                  <c:v>0.26106553282260886</c:v>
                </c:pt>
                <c:pt idx="43" formatCode="0%">
                  <c:v>0.27211559695632342</c:v>
                </c:pt>
                <c:pt idx="44" formatCode="0%">
                  <c:v>0.28316566109003799</c:v>
                </c:pt>
                <c:pt idx="45" formatCode="0%">
                  <c:v>0.29421572522375244</c:v>
                </c:pt>
              </c:numCache>
            </c:numRef>
          </c:val>
          <c:smooth val="0"/>
          <c:extLst>
            <c:ext xmlns:c16="http://schemas.microsoft.com/office/drawing/2014/chart" uri="{C3380CC4-5D6E-409C-BE32-E72D297353CC}">
              <c16:uniqueId val="{0000000B-0870-4D26-BA8B-E5E21027EDAD}"/>
            </c:ext>
          </c:extLst>
        </c:ser>
        <c:ser>
          <c:idx val="12"/>
          <c:order val="12"/>
          <c:tx>
            <c:strRef>
              <c:f>'I6. Energy mix'!$A$43</c:f>
              <c:strCache>
                <c:ptCount val="1"/>
                <c:pt idx="0">
                  <c:v>2040 advice scenarios - fossils</c:v>
                </c:pt>
              </c:strCache>
            </c:strRef>
          </c:tx>
          <c:spPr>
            <a:ln w="28575" cap="rnd">
              <a:noFill/>
              <a:round/>
            </a:ln>
            <a:effectLst/>
          </c:spPr>
          <c:marker>
            <c:symbol val="triangle"/>
            <c:size val="5"/>
            <c:spPr>
              <a:solidFill>
                <a:srgbClr val="2C2D2D"/>
              </a:solidFill>
              <a:ln w="9525">
                <a:noFill/>
              </a:ln>
              <a:effectLst/>
            </c:spPr>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mix'!$D$43:$AW$43</c:f>
              <c:numCache>
                <c:formatCode>General</c:formatCode>
                <c:ptCount val="46"/>
                <c:pt idx="25" formatCode="0%">
                  <c:v>0.46673361382793255</c:v>
                </c:pt>
                <c:pt idx="35" formatCode="0%">
                  <c:v>0.22283393301712273</c:v>
                </c:pt>
                <c:pt idx="45" formatCode="0%">
                  <c:v>6.8479246481394737E-2</c:v>
                </c:pt>
              </c:numCache>
            </c:numRef>
          </c:val>
          <c:smooth val="0"/>
          <c:extLst>
            <c:ext xmlns:c16="http://schemas.microsoft.com/office/drawing/2014/chart" uri="{C3380CC4-5D6E-409C-BE32-E72D297353CC}">
              <c16:uniqueId val="{00000011-0870-4D26-BA8B-E5E21027EDAD}"/>
            </c:ext>
          </c:extLst>
        </c:ser>
        <c:ser>
          <c:idx val="13"/>
          <c:order val="13"/>
          <c:tx>
            <c:strRef>
              <c:f>'I6. Energy mix'!$A$44</c:f>
              <c:strCache>
                <c:ptCount val="1"/>
                <c:pt idx="0">
                  <c:v>2040 advice scenarios - renewables</c:v>
                </c:pt>
              </c:strCache>
            </c:strRef>
          </c:tx>
          <c:spPr>
            <a:ln w="28575" cap="rnd">
              <a:noFill/>
              <a:round/>
            </a:ln>
            <a:effectLst/>
          </c:spPr>
          <c:marker>
            <c:symbol val="triangle"/>
            <c:size val="5"/>
            <c:spPr>
              <a:solidFill>
                <a:srgbClr val="FFC4A7"/>
              </a:solidFill>
              <a:ln w="9525">
                <a:noFill/>
              </a:ln>
              <a:effectLst/>
            </c:spPr>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mix'!$D$44:$AW$44</c:f>
              <c:numCache>
                <c:formatCode>General</c:formatCode>
                <c:ptCount val="46"/>
                <c:pt idx="25" formatCode="0%">
                  <c:v>0.1707813638975022</c:v>
                </c:pt>
                <c:pt idx="35" formatCode="0%">
                  <c:v>0.1976997335922355</c:v>
                </c:pt>
                <c:pt idx="45" formatCode="0%">
                  <c:v>0.19428401650154259</c:v>
                </c:pt>
              </c:numCache>
            </c:numRef>
          </c:val>
          <c:smooth val="0"/>
          <c:extLst>
            <c:ext xmlns:c16="http://schemas.microsoft.com/office/drawing/2014/chart" uri="{C3380CC4-5D6E-409C-BE32-E72D297353CC}">
              <c16:uniqueId val="{00000012-0870-4D26-BA8B-E5E21027EDAD}"/>
            </c:ext>
          </c:extLst>
        </c:ser>
        <c:ser>
          <c:idx val="14"/>
          <c:order val="14"/>
          <c:tx>
            <c:strRef>
              <c:f>'I6. Energy mix'!$A$45</c:f>
              <c:strCache>
                <c:ptCount val="1"/>
                <c:pt idx="0">
                  <c:v>2040 advice scenarios - electricity</c:v>
                </c:pt>
              </c:strCache>
            </c:strRef>
          </c:tx>
          <c:spPr>
            <a:ln w="28575" cap="rnd">
              <a:noFill/>
              <a:round/>
            </a:ln>
            <a:effectLst/>
          </c:spPr>
          <c:marker>
            <c:symbol val="triangle"/>
            <c:size val="5"/>
            <c:spPr>
              <a:solidFill>
                <a:srgbClr val="98C9EE"/>
              </a:solidFill>
              <a:ln w="9525">
                <a:noFill/>
              </a:ln>
              <a:effectLst/>
            </c:spPr>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mix'!$D$45:$AW$45</c:f>
              <c:numCache>
                <c:formatCode>General</c:formatCode>
                <c:ptCount val="46"/>
                <c:pt idx="25" formatCode="0%">
                  <c:v>0.29238379491417138</c:v>
                </c:pt>
                <c:pt idx="35" formatCode="0%">
                  <c:v>0.42109275829220488</c:v>
                </c:pt>
                <c:pt idx="45" formatCode="0%">
                  <c:v>0.47221191967596332</c:v>
                </c:pt>
              </c:numCache>
            </c:numRef>
          </c:val>
          <c:smooth val="0"/>
          <c:extLst>
            <c:ext xmlns:c16="http://schemas.microsoft.com/office/drawing/2014/chart" uri="{C3380CC4-5D6E-409C-BE32-E72D297353CC}">
              <c16:uniqueId val="{00000013-0870-4D26-BA8B-E5E21027EDAD}"/>
            </c:ext>
          </c:extLst>
        </c:ser>
        <c:ser>
          <c:idx val="15"/>
          <c:order val="15"/>
          <c:tx>
            <c:strRef>
              <c:f>'I6. Energy mix'!$A$46</c:f>
              <c:strCache>
                <c:ptCount val="1"/>
                <c:pt idx="0">
                  <c:v>2040 advice - other</c:v>
                </c:pt>
              </c:strCache>
            </c:strRef>
          </c:tx>
          <c:spPr>
            <a:ln w="28575" cap="rnd">
              <a:solidFill>
                <a:schemeClr val="accent4">
                  <a:lumMod val="80000"/>
                  <a:lumOff val="20000"/>
                </a:schemeClr>
              </a:solidFill>
              <a:round/>
            </a:ln>
            <a:effectLst/>
          </c:spPr>
          <c:marker>
            <c:symbol val="triangle"/>
            <c:size val="5"/>
            <c:spPr>
              <a:solidFill>
                <a:srgbClr val="B04545"/>
              </a:solidFill>
              <a:ln w="9525">
                <a:noFill/>
              </a:ln>
              <a:effectLst/>
            </c:spPr>
          </c:marker>
          <c:cat>
            <c:numRef>
              <c:f>'I6. Energy mix'!$D$30:$AW$30</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'I6. Energy mix'!$D$46:$AW$46</c:f>
              <c:numCache>
                <c:formatCode>General</c:formatCode>
                <c:ptCount val="46"/>
                <c:pt idx="25" formatCode="0%">
                  <c:v>7.0104923107641423E-2</c:v>
                </c:pt>
                <c:pt idx="35" formatCode="0%">
                  <c:v>0.15836865853073123</c:v>
                </c:pt>
                <c:pt idx="45" formatCode="0%">
                  <c:v>0.23539492171674273</c:v>
                </c:pt>
              </c:numCache>
            </c:numRef>
          </c:val>
          <c:smooth val="0"/>
          <c:extLst>
            <c:ext xmlns:c16="http://schemas.microsoft.com/office/drawing/2014/chart" uri="{C3380CC4-5D6E-409C-BE32-E72D297353CC}">
              <c16:uniqueId val="{00000014-0870-4D26-BA8B-E5E21027EDAD}"/>
            </c:ext>
          </c:extLst>
        </c:ser>
        <c:dLbls>
          <c:showLegendKey val="0"/>
          <c:showVal val="0"/>
          <c:showCatName val="0"/>
          <c:showSerName val="0"/>
          <c:showPercent val="0"/>
          <c:showBubbleSize val="0"/>
        </c:dLbls>
        <c:smooth val="0"/>
        <c:axId val="2006106591"/>
        <c:axId val="2006101791"/>
      </c:lineChart>
      <c:catAx>
        <c:axId val="2006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2006101791"/>
        <c:crosses val="autoZero"/>
        <c:auto val="1"/>
        <c:lblAlgn val="ctr"/>
        <c:lblOffset val="100"/>
        <c:noMultiLvlLbl val="0"/>
      </c:catAx>
      <c:valAx>
        <c:axId val="20061017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2006106591"/>
        <c:crosses val="autoZero"/>
        <c:crossBetween val="between"/>
      </c:valAx>
      <c:spPr>
        <a:noFill/>
        <a:ln>
          <a:noFill/>
        </a:ln>
        <a:effectLst/>
      </c:spPr>
    </c:plotArea>
    <c:legend>
      <c:legendPos val="r"/>
      <c:legendEntry>
        <c:idx val="6"/>
        <c:delete val="1"/>
      </c:legendEntry>
      <c:legendEntry>
        <c:idx val="7"/>
        <c:delete val="1"/>
      </c:legendEntry>
      <c:legendEntry>
        <c:idx val="8"/>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DK"/>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'I7a,b&amp;c. Low carbon projects'!$A$6</c:f>
              <c:strCache>
                <c:ptCount val="1"/>
                <c:pt idx="0">
                  <c:v>full scale</c:v>
                </c:pt>
              </c:strCache>
            </c:strRef>
          </c:tx>
          <c:spPr>
            <a:solidFill>
              <a:srgbClr val="3D5584"/>
            </a:solidFill>
            <a:ln>
              <a:noFill/>
            </a:ln>
            <a:effectLst/>
          </c:spPr>
          <c:invertIfNegative val="0"/>
          <c:cat>
            <c:strRef>
              <c:f>'I7a,b&amp;c. Low carbon projects'!$B$2:$F$2</c:f>
              <c:strCache>
                <c:ptCount val="5"/>
                <c:pt idx="0">
                  <c:v>DRI</c:v>
                </c:pt>
                <c:pt idx="1">
                  <c:v>H2 production</c:v>
                </c:pt>
                <c:pt idx="2">
                  <c:v>EAF</c:v>
                </c:pt>
                <c:pt idx="3">
                  <c:v>other</c:v>
                </c:pt>
                <c:pt idx="4">
                  <c:v>CCS/CCU</c:v>
                </c:pt>
              </c:strCache>
            </c:strRef>
          </c:cat>
          <c:val>
            <c:numRef>
              <c:f>'I7a,b&amp;c. Low carbon projects'!$B$6:$F$6</c:f>
              <c:numCache>
                <c:formatCode>General</c:formatCode>
                <c:ptCount val="5"/>
                <c:pt idx="0">
                  <c:v>15</c:v>
                </c:pt>
                <c:pt idx="1">
                  <c:v>7</c:v>
                </c:pt>
                <c:pt idx="2">
                  <c:v>5</c:v>
                </c:pt>
                <c:pt idx="3">
                  <c:v>1</c:v>
                </c:pt>
                <c:pt idx="4">
                  <c:v>1</c:v>
                </c:pt>
              </c:numCache>
            </c:numRef>
          </c:val>
          <c:extLst>
            <c:ext xmlns:c16="http://schemas.microsoft.com/office/drawing/2014/chart" uri="{C3380CC4-5D6E-409C-BE32-E72D297353CC}">
              <c16:uniqueId val="{00000003-E228-4B68-A53E-337421F2FC85}"/>
            </c:ext>
          </c:extLst>
        </c:ser>
        <c:ser>
          <c:idx val="2"/>
          <c:order val="1"/>
          <c:tx>
            <c:strRef>
              <c:f>'I7a,b&amp;c. Low carbon projects'!$A$5</c:f>
              <c:strCache>
                <c:ptCount val="1"/>
                <c:pt idx="0">
                  <c:v>demo</c:v>
                </c:pt>
              </c:strCache>
            </c:strRef>
          </c:tx>
          <c:spPr>
            <a:solidFill>
              <a:srgbClr val="648ECA"/>
            </a:solidFill>
            <a:ln>
              <a:noFill/>
            </a:ln>
            <a:effectLst/>
          </c:spPr>
          <c:invertIfNegative val="0"/>
          <c:cat>
            <c:strRef>
              <c:f>'I7a,b&amp;c. Low carbon projects'!$B$2:$F$2</c:f>
              <c:strCache>
                <c:ptCount val="5"/>
                <c:pt idx="0">
                  <c:v>DRI</c:v>
                </c:pt>
                <c:pt idx="1">
                  <c:v>H2 production</c:v>
                </c:pt>
                <c:pt idx="2">
                  <c:v>EAF</c:v>
                </c:pt>
                <c:pt idx="3">
                  <c:v>other</c:v>
                </c:pt>
                <c:pt idx="4">
                  <c:v>CCS/CCU</c:v>
                </c:pt>
              </c:strCache>
            </c:strRef>
          </c:cat>
          <c:val>
            <c:numRef>
              <c:f>'I7a,b&amp;c. Low carbon projects'!$B$5:$F$5</c:f>
              <c:numCache>
                <c:formatCode>General</c:formatCode>
                <c:ptCount val="5"/>
                <c:pt idx="0">
                  <c:v>3</c:v>
                </c:pt>
                <c:pt idx="1">
                  <c:v>2</c:v>
                </c:pt>
              </c:numCache>
            </c:numRef>
          </c:val>
          <c:extLst>
            <c:ext xmlns:c16="http://schemas.microsoft.com/office/drawing/2014/chart" uri="{C3380CC4-5D6E-409C-BE32-E72D297353CC}">
              <c16:uniqueId val="{00000002-E228-4B68-A53E-337421F2FC85}"/>
            </c:ext>
          </c:extLst>
        </c:ser>
        <c:ser>
          <c:idx val="1"/>
          <c:order val="2"/>
          <c:tx>
            <c:strRef>
              <c:f>'I7a,b&amp;c. Low carbon projects'!$A$4</c:f>
              <c:strCache>
                <c:ptCount val="1"/>
                <c:pt idx="0">
                  <c:v>pilot</c:v>
                </c:pt>
              </c:strCache>
            </c:strRef>
          </c:tx>
          <c:spPr>
            <a:solidFill>
              <a:srgbClr val="98C9EE"/>
            </a:solidFill>
            <a:ln>
              <a:noFill/>
            </a:ln>
            <a:effectLst/>
          </c:spPr>
          <c:invertIfNegative val="0"/>
          <c:cat>
            <c:strRef>
              <c:f>'I7a,b&amp;c. Low carbon projects'!$B$2:$F$2</c:f>
              <c:strCache>
                <c:ptCount val="5"/>
                <c:pt idx="0">
                  <c:v>DRI</c:v>
                </c:pt>
                <c:pt idx="1">
                  <c:v>H2 production</c:v>
                </c:pt>
                <c:pt idx="2">
                  <c:v>EAF</c:v>
                </c:pt>
                <c:pt idx="3">
                  <c:v>other</c:v>
                </c:pt>
                <c:pt idx="4">
                  <c:v>CCS/CCU</c:v>
                </c:pt>
              </c:strCache>
            </c:strRef>
          </c:cat>
          <c:val>
            <c:numRef>
              <c:f>'I7a,b&amp;c. Low carbon projects'!$B$4:$F$4</c:f>
              <c:numCache>
                <c:formatCode>General</c:formatCode>
                <c:ptCount val="5"/>
                <c:pt idx="0">
                  <c:v>3</c:v>
                </c:pt>
                <c:pt idx="1">
                  <c:v>1</c:v>
                </c:pt>
                <c:pt idx="3">
                  <c:v>3</c:v>
                </c:pt>
                <c:pt idx="4">
                  <c:v>1</c:v>
                </c:pt>
              </c:numCache>
            </c:numRef>
          </c:val>
          <c:extLst>
            <c:ext xmlns:c16="http://schemas.microsoft.com/office/drawing/2014/chart" uri="{C3380CC4-5D6E-409C-BE32-E72D297353CC}">
              <c16:uniqueId val="{00000001-E228-4B68-A53E-337421F2FC85}"/>
            </c:ext>
          </c:extLst>
        </c:ser>
        <c:ser>
          <c:idx val="0"/>
          <c:order val="3"/>
          <c:tx>
            <c:strRef>
              <c:f>'I7a,b&amp;c. Low carbon projects'!$A$3</c:f>
              <c:strCache>
                <c:ptCount val="1"/>
                <c:pt idx="0">
                  <c:v>R&amp;D</c:v>
                </c:pt>
              </c:strCache>
            </c:strRef>
          </c:tx>
          <c:spPr>
            <a:solidFill>
              <a:srgbClr val="FFC4A7"/>
            </a:solidFill>
            <a:ln>
              <a:noFill/>
            </a:ln>
            <a:effectLst/>
          </c:spPr>
          <c:invertIfNegative val="0"/>
          <c:cat>
            <c:strRef>
              <c:f>'I7a,b&amp;c. Low carbon projects'!$B$2:$F$2</c:f>
              <c:strCache>
                <c:ptCount val="5"/>
                <c:pt idx="0">
                  <c:v>DRI</c:v>
                </c:pt>
                <c:pt idx="1">
                  <c:v>H2 production</c:v>
                </c:pt>
                <c:pt idx="2">
                  <c:v>EAF</c:v>
                </c:pt>
                <c:pt idx="3">
                  <c:v>other</c:v>
                </c:pt>
                <c:pt idx="4">
                  <c:v>CCS/CCU</c:v>
                </c:pt>
              </c:strCache>
            </c:strRef>
          </c:cat>
          <c:val>
            <c:numRef>
              <c:f>'I7a,b&amp;c. Low carbon projects'!$B$3:$F$3</c:f>
              <c:numCache>
                <c:formatCode>General</c:formatCode>
                <c:ptCount val="5"/>
                <c:pt idx="0">
                  <c:v>2</c:v>
                </c:pt>
                <c:pt idx="1">
                  <c:v>2</c:v>
                </c:pt>
                <c:pt idx="3">
                  <c:v>2</c:v>
                </c:pt>
              </c:numCache>
            </c:numRef>
          </c:val>
          <c:extLst>
            <c:ext xmlns:c16="http://schemas.microsoft.com/office/drawing/2014/chart" uri="{C3380CC4-5D6E-409C-BE32-E72D297353CC}">
              <c16:uniqueId val="{00000000-E228-4B68-A53E-337421F2FC85}"/>
            </c:ext>
          </c:extLst>
        </c:ser>
        <c:dLbls>
          <c:showLegendKey val="0"/>
          <c:showVal val="0"/>
          <c:showCatName val="0"/>
          <c:showSerName val="0"/>
          <c:showPercent val="0"/>
          <c:showBubbleSize val="0"/>
        </c:dLbls>
        <c:gapWidth val="150"/>
        <c:overlap val="100"/>
        <c:axId val="1320781296"/>
        <c:axId val="1320783216"/>
      </c:barChart>
      <c:catAx>
        <c:axId val="132078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320783216"/>
        <c:crosses val="autoZero"/>
        <c:auto val="1"/>
        <c:lblAlgn val="ctr"/>
        <c:lblOffset val="100"/>
        <c:noMultiLvlLbl val="0"/>
      </c:catAx>
      <c:valAx>
        <c:axId val="132078321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 of projects</a:t>
                </a:r>
                <a:endParaRPr lang="en-DK"/>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320781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pPr>
      <a:endParaRPr lang="en-DK"/>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91264493246892"/>
          <c:y val="5.1542228710320097E-2"/>
          <c:w val="0.87451492761775507"/>
          <c:h val="0.59598571575991111"/>
        </c:manualLayout>
      </c:layout>
      <c:barChart>
        <c:barDir val="col"/>
        <c:grouping val="stacked"/>
        <c:varyColors val="0"/>
        <c:ser>
          <c:idx val="4"/>
          <c:order val="0"/>
          <c:tx>
            <c:strRef>
              <c:f>'I7a,b&amp;c. Low carbon projects'!$A$71</c:f>
              <c:strCache>
                <c:ptCount val="1"/>
                <c:pt idx="0">
                  <c:v>full scale</c:v>
                </c:pt>
              </c:strCache>
            </c:strRef>
          </c:tx>
          <c:spPr>
            <a:solidFill>
              <a:srgbClr val="3D5584"/>
            </a:solidFill>
            <a:ln>
              <a:noFill/>
            </a:ln>
            <a:effectLst/>
          </c:spPr>
          <c:invertIfNegative val="0"/>
          <c:cat>
            <c:strRef>
              <c:extLst>
                <c:ext xmlns:c15="http://schemas.microsoft.com/office/drawing/2012/chart" uri="{02D57815-91ED-43cb-92C2-25804820EDAC}">
                  <c15:fullRef>
                    <c15:sqref>'I7a,b&amp;c. Low carbon projects'!$B$66:$G$66</c15:sqref>
                  </c15:fullRef>
                </c:ext>
              </c:extLst>
              <c:f>'I7a,b&amp;c. Low carbon projects'!$B$66:$F$66</c:f>
              <c:strCache>
                <c:ptCount val="5"/>
                <c:pt idx="0">
                  <c:v>CCS/CCU</c:v>
                </c:pt>
                <c:pt idx="1">
                  <c:v>material substitution/recycling</c:v>
                </c:pt>
                <c:pt idx="2">
                  <c:v>fuel switch/electriciation</c:v>
                </c:pt>
                <c:pt idx="3">
                  <c:v>energy efficiency</c:v>
                </c:pt>
                <c:pt idx="4">
                  <c:v>mineralization</c:v>
                </c:pt>
              </c:strCache>
            </c:strRef>
          </c:cat>
          <c:val>
            <c:numRef>
              <c:extLst>
                <c:ext xmlns:c15="http://schemas.microsoft.com/office/drawing/2012/chart" uri="{02D57815-91ED-43cb-92C2-25804820EDAC}">
                  <c15:fullRef>
                    <c15:sqref>'I7a,b&amp;c. Low carbon projects'!$B$71:$G$71</c15:sqref>
                  </c15:fullRef>
                </c:ext>
              </c:extLst>
              <c:f>'I7a,b&amp;c. Low carbon projects'!$B$71:$F$71</c:f>
              <c:numCache>
                <c:formatCode>General</c:formatCode>
                <c:ptCount val="5"/>
                <c:pt idx="0">
                  <c:v>2</c:v>
                </c:pt>
                <c:pt idx="2">
                  <c:v>1</c:v>
                </c:pt>
                <c:pt idx="3">
                  <c:v>1</c:v>
                </c:pt>
              </c:numCache>
            </c:numRef>
          </c:val>
          <c:extLst>
            <c:ext xmlns:c16="http://schemas.microsoft.com/office/drawing/2014/chart" uri="{C3380CC4-5D6E-409C-BE32-E72D297353CC}">
              <c16:uniqueId val="{00000004-3A41-403B-8155-F8C09089ED41}"/>
            </c:ext>
          </c:extLst>
        </c:ser>
        <c:ser>
          <c:idx val="3"/>
          <c:order val="1"/>
          <c:tx>
            <c:strRef>
              <c:f>'I7a,b&amp;c. Low carbon projects'!$A$70</c:f>
              <c:strCache>
                <c:ptCount val="1"/>
                <c:pt idx="0">
                  <c:v>demo</c:v>
                </c:pt>
              </c:strCache>
            </c:strRef>
          </c:tx>
          <c:spPr>
            <a:solidFill>
              <a:srgbClr val="648ECA"/>
            </a:solidFill>
            <a:ln>
              <a:noFill/>
            </a:ln>
            <a:effectLst/>
          </c:spPr>
          <c:invertIfNegative val="0"/>
          <c:cat>
            <c:strRef>
              <c:extLst>
                <c:ext xmlns:c15="http://schemas.microsoft.com/office/drawing/2012/chart" uri="{02D57815-91ED-43cb-92C2-25804820EDAC}">
                  <c15:fullRef>
                    <c15:sqref>'I7a,b&amp;c. Low carbon projects'!$B$66:$G$66</c15:sqref>
                  </c15:fullRef>
                </c:ext>
              </c:extLst>
              <c:f>'I7a,b&amp;c. Low carbon projects'!$B$66:$F$66</c:f>
              <c:strCache>
                <c:ptCount val="5"/>
                <c:pt idx="0">
                  <c:v>CCS/CCU</c:v>
                </c:pt>
                <c:pt idx="1">
                  <c:v>material substitution/recycling</c:v>
                </c:pt>
                <c:pt idx="2">
                  <c:v>fuel switch/electriciation</c:v>
                </c:pt>
                <c:pt idx="3">
                  <c:v>energy efficiency</c:v>
                </c:pt>
                <c:pt idx="4">
                  <c:v>mineralization</c:v>
                </c:pt>
              </c:strCache>
            </c:strRef>
          </c:cat>
          <c:val>
            <c:numRef>
              <c:extLst>
                <c:ext xmlns:c15="http://schemas.microsoft.com/office/drawing/2012/chart" uri="{02D57815-91ED-43cb-92C2-25804820EDAC}">
                  <c15:fullRef>
                    <c15:sqref>'I7a,b&amp;c. Low carbon projects'!$B$70:$G$70</c15:sqref>
                  </c15:fullRef>
                </c:ext>
              </c:extLst>
              <c:f>'I7a,b&amp;c. Low carbon projects'!$B$70:$F$70</c:f>
              <c:numCache>
                <c:formatCode>General</c:formatCode>
                <c:ptCount val="5"/>
                <c:pt idx="0">
                  <c:v>6</c:v>
                </c:pt>
                <c:pt idx="1">
                  <c:v>1</c:v>
                </c:pt>
              </c:numCache>
            </c:numRef>
          </c:val>
          <c:extLst>
            <c:ext xmlns:c16="http://schemas.microsoft.com/office/drawing/2014/chart" uri="{C3380CC4-5D6E-409C-BE32-E72D297353CC}">
              <c16:uniqueId val="{00000003-3A41-403B-8155-F8C09089ED41}"/>
            </c:ext>
          </c:extLst>
        </c:ser>
        <c:ser>
          <c:idx val="2"/>
          <c:order val="2"/>
          <c:tx>
            <c:strRef>
              <c:f>'I7a,b&amp;c. Low carbon projects'!$A$69</c:f>
              <c:strCache>
                <c:ptCount val="1"/>
                <c:pt idx="0">
                  <c:v>pilot</c:v>
                </c:pt>
              </c:strCache>
            </c:strRef>
          </c:tx>
          <c:spPr>
            <a:solidFill>
              <a:srgbClr val="98C9EE"/>
            </a:solidFill>
            <a:ln>
              <a:noFill/>
            </a:ln>
            <a:effectLst/>
          </c:spPr>
          <c:invertIfNegative val="0"/>
          <c:cat>
            <c:strRef>
              <c:extLst>
                <c:ext xmlns:c15="http://schemas.microsoft.com/office/drawing/2012/chart" uri="{02D57815-91ED-43cb-92C2-25804820EDAC}">
                  <c15:fullRef>
                    <c15:sqref>'I7a,b&amp;c. Low carbon projects'!$B$66:$G$66</c15:sqref>
                  </c15:fullRef>
                </c:ext>
              </c:extLst>
              <c:f>'I7a,b&amp;c. Low carbon projects'!$B$66:$F$66</c:f>
              <c:strCache>
                <c:ptCount val="5"/>
                <c:pt idx="0">
                  <c:v>CCS/CCU</c:v>
                </c:pt>
                <c:pt idx="1">
                  <c:v>material substitution/recycling</c:v>
                </c:pt>
                <c:pt idx="2">
                  <c:v>fuel switch/electriciation</c:v>
                </c:pt>
                <c:pt idx="3">
                  <c:v>energy efficiency</c:v>
                </c:pt>
                <c:pt idx="4">
                  <c:v>mineralization</c:v>
                </c:pt>
              </c:strCache>
            </c:strRef>
          </c:cat>
          <c:val>
            <c:numRef>
              <c:extLst>
                <c:ext xmlns:c15="http://schemas.microsoft.com/office/drawing/2012/chart" uri="{02D57815-91ED-43cb-92C2-25804820EDAC}">
                  <c15:fullRef>
                    <c15:sqref>'I7a,b&amp;c. Low carbon projects'!$B$69:$G$69</c15:sqref>
                  </c15:fullRef>
                </c:ext>
              </c:extLst>
              <c:f>'I7a,b&amp;c. Low carbon projects'!$B$69:$F$69</c:f>
              <c:numCache>
                <c:formatCode>General</c:formatCode>
                <c:ptCount val="5"/>
                <c:pt idx="0">
                  <c:v>13</c:v>
                </c:pt>
                <c:pt idx="1">
                  <c:v>6</c:v>
                </c:pt>
                <c:pt idx="2">
                  <c:v>4</c:v>
                </c:pt>
                <c:pt idx="4">
                  <c:v>1</c:v>
                </c:pt>
              </c:numCache>
            </c:numRef>
          </c:val>
          <c:extLst>
            <c:ext xmlns:c16="http://schemas.microsoft.com/office/drawing/2014/chart" uri="{C3380CC4-5D6E-409C-BE32-E72D297353CC}">
              <c16:uniqueId val="{00000002-3A41-403B-8155-F8C09089ED41}"/>
            </c:ext>
          </c:extLst>
        </c:ser>
        <c:ser>
          <c:idx val="1"/>
          <c:order val="3"/>
          <c:tx>
            <c:strRef>
              <c:f>'I7a,b&amp;c. Low carbon projects'!$A$68</c:f>
              <c:strCache>
                <c:ptCount val="1"/>
                <c:pt idx="0">
                  <c:v>R&amp;D</c:v>
                </c:pt>
              </c:strCache>
            </c:strRef>
          </c:tx>
          <c:spPr>
            <a:solidFill>
              <a:srgbClr val="FFC4A7"/>
            </a:solidFill>
            <a:ln>
              <a:noFill/>
            </a:ln>
            <a:effectLst/>
          </c:spPr>
          <c:invertIfNegative val="0"/>
          <c:cat>
            <c:strRef>
              <c:extLst>
                <c:ext xmlns:c15="http://schemas.microsoft.com/office/drawing/2012/chart" uri="{02D57815-91ED-43cb-92C2-25804820EDAC}">
                  <c15:fullRef>
                    <c15:sqref>'I7a,b&amp;c. Low carbon projects'!$B$66:$G$66</c15:sqref>
                  </c15:fullRef>
                </c:ext>
              </c:extLst>
              <c:f>'I7a,b&amp;c. Low carbon projects'!$B$66:$F$66</c:f>
              <c:strCache>
                <c:ptCount val="5"/>
                <c:pt idx="0">
                  <c:v>CCS/CCU</c:v>
                </c:pt>
                <c:pt idx="1">
                  <c:v>material substitution/recycling</c:v>
                </c:pt>
                <c:pt idx="2">
                  <c:v>fuel switch/electriciation</c:v>
                </c:pt>
                <c:pt idx="3">
                  <c:v>energy efficiency</c:v>
                </c:pt>
                <c:pt idx="4">
                  <c:v>mineralization</c:v>
                </c:pt>
              </c:strCache>
            </c:strRef>
          </c:cat>
          <c:val>
            <c:numRef>
              <c:extLst>
                <c:ext xmlns:c15="http://schemas.microsoft.com/office/drawing/2012/chart" uri="{02D57815-91ED-43cb-92C2-25804820EDAC}">
                  <c15:fullRef>
                    <c15:sqref>'I7a,b&amp;c. Low carbon projects'!$B$68:$G$68</c15:sqref>
                  </c15:fullRef>
                </c:ext>
              </c:extLst>
              <c:f>'I7a,b&amp;c. Low carbon projects'!$B$68:$F$68</c:f>
              <c:numCache>
                <c:formatCode>General</c:formatCode>
                <c:ptCount val="5"/>
                <c:pt idx="0">
                  <c:v>9</c:v>
                </c:pt>
                <c:pt idx="1">
                  <c:v>8</c:v>
                </c:pt>
                <c:pt idx="2">
                  <c:v>2</c:v>
                </c:pt>
                <c:pt idx="3">
                  <c:v>1</c:v>
                </c:pt>
                <c:pt idx="4">
                  <c:v>2</c:v>
                </c:pt>
              </c:numCache>
            </c:numRef>
          </c:val>
          <c:extLst>
            <c:ext xmlns:c16="http://schemas.microsoft.com/office/drawing/2014/chart" uri="{C3380CC4-5D6E-409C-BE32-E72D297353CC}">
              <c16:uniqueId val="{00000001-3A41-403B-8155-F8C09089ED41}"/>
            </c:ext>
          </c:extLst>
        </c:ser>
        <c:ser>
          <c:idx val="0"/>
          <c:order val="4"/>
          <c:tx>
            <c:strRef>
              <c:f>'I7a,b&amp;c. Low carbon projects'!$A$67</c:f>
              <c:strCache>
                <c:ptCount val="1"/>
                <c:pt idx="0">
                  <c:v>unspecified</c:v>
                </c:pt>
              </c:strCache>
            </c:strRef>
          </c:tx>
          <c:spPr>
            <a:solidFill>
              <a:srgbClr val="FEC200"/>
            </a:solidFill>
            <a:ln>
              <a:noFill/>
            </a:ln>
            <a:effectLst/>
          </c:spPr>
          <c:invertIfNegative val="0"/>
          <c:cat>
            <c:strRef>
              <c:extLst>
                <c:ext xmlns:c15="http://schemas.microsoft.com/office/drawing/2012/chart" uri="{02D57815-91ED-43cb-92C2-25804820EDAC}">
                  <c15:fullRef>
                    <c15:sqref>'I7a,b&amp;c. Low carbon projects'!$B$66:$G$66</c15:sqref>
                  </c15:fullRef>
                </c:ext>
              </c:extLst>
              <c:f>'I7a,b&amp;c. Low carbon projects'!$B$66:$F$66</c:f>
              <c:strCache>
                <c:ptCount val="5"/>
                <c:pt idx="0">
                  <c:v>CCS/CCU</c:v>
                </c:pt>
                <c:pt idx="1">
                  <c:v>material substitution/recycling</c:v>
                </c:pt>
                <c:pt idx="2">
                  <c:v>fuel switch/electriciation</c:v>
                </c:pt>
                <c:pt idx="3">
                  <c:v>energy efficiency</c:v>
                </c:pt>
                <c:pt idx="4">
                  <c:v>mineralization</c:v>
                </c:pt>
              </c:strCache>
            </c:strRef>
          </c:cat>
          <c:val>
            <c:numRef>
              <c:extLst>
                <c:ext xmlns:c15="http://schemas.microsoft.com/office/drawing/2012/chart" uri="{02D57815-91ED-43cb-92C2-25804820EDAC}">
                  <c15:fullRef>
                    <c15:sqref>'I7a,b&amp;c. Low carbon projects'!$B$67:$G$67</c15:sqref>
                  </c15:fullRef>
                </c:ext>
              </c:extLst>
              <c:f>'I7a,b&amp;c. Low carbon projects'!$B$67:$F$67</c:f>
              <c:numCache>
                <c:formatCode>General</c:formatCode>
                <c:ptCount val="5"/>
                <c:pt idx="0">
                  <c:v>5</c:v>
                </c:pt>
              </c:numCache>
            </c:numRef>
          </c:val>
          <c:extLst>
            <c:ext xmlns:c16="http://schemas.microsoft.com/office/drawing/2014/chart" uri="{C3380CC4-5D6E-409C-BE32-E72D297353CC}">
              <c16:uniqueId val="{00000000-3A41-403B-8155-F8C09089ED41}"/>
            </c:ext>
          </c:extLst>
        </c:ser>
        <c:dLbls>
          <c:showLegendKey val="0"/>
          <c:showVal val="0"/>
          <c:showCatName val="0"/>
          <c:showSerName val="0"/>
          <c:showPercent val="0"/>
          <c:showBubbleSize val="0"/>
        </c:dLbls>
        <c:gapWidth val="150"/>
        <c:overlap val="100"/>
        <c:axId val="1232591888"/>
        <c:axId val="1232595728"/>
      </c:barChart>
      <c:catAx>
        <c:axId val="123259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232595728"/>
        <c:crosses val="autoZero"/>
        <c:auto val="1"/>
        <c:lblAlgn val="ctr"/>
        <c:lblOffset val="100"/>
        <c:noMultiLvlLbl val="0"/>
      </c:catAx>
      <c:valAx>
        <c:axId val="12325957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projects</a:t>
                </a:r>
                <a:endParaRPr lang="en-DK"/>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232591888"/>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DK"/>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strRef>
              <c:f>'I7a,b&amp;c. Low carbon projects'!$C$84</c:f>
              <c:strCache>
                <c:ptCount val="1"/>
                <c:pt idx="0">
                  <c:v>Started</c:v>
                </c:pt>
              </c:strCache>
            </c:strRef>
          </c:tx>
          <c:spPr>
            <a:solidFill>
              <a:srgbClr val="3D5584"/>
            </a:solidFill>
            <a:ln>
              <a:noFill/>
            </a:ln>
            <a:effectLst/>
          </c:spPr>
          <c:invertIfNegative val="0"/>
          <c:cat>
            <c:strRef>
              <c:f>'I7a,b&amp;c. Low carbon projects'!$A$85:$A$92</c:f>
              <c:strCache>
                <c:ptCount val="8"/>
                <c:pt idx="0">
                  <c:v>Renewables</c:v>
                </c:pt>
                <c:pt idx="1">
                  <c:v>Chemical recycling</c:v>
                </c:pt>
                <c:pt idx="2">
                  <c:v>H2 and derivatives</c:v>
                </c:pt>
                <c:pt idx="3">
                  <c:v>CCS/CCU</c:v>
                </c:pt>
                <c:pt idx="4">
                  <c:v>Efficiency</c:v>
                </c:pt>
                <c:pt idx="5">
                  <c:v>Biochemicals</c:v>
                </c:pt>
                <c:pt idx="6">
                  <c:v>Mechanical recycling</c:v>
                </c:pt>
                <c:pt idx="7">
                  <c:v>E-cracker</c:v>
                </c:pt>
              </c:strCache>
            </c:strRef>
          </c:cat>
          <c:val>
            <c:numRef>
              <c:f>'I7a,b&amp;c. Low carbon projects'!$C$85:$C$92</c:f>
              <c:numCache>
                <c:formatCode>General</c:formatCode>
                <c:ptCount val="8"/>
                <c:pt idx="0">
                  <c:v>24</c:v>
                </c:pt>
                <c:pt idx="1">
                  <c:v>14</c:v>
                </c:pt>
                <c:pt idx="2">
                  <c:v>7</c:v>
                </c:pt>
                <c:pt idx="3">
                  <c:v>6</c:v>
                </c:pt>
                <c:pt idx="4">
                  <c:v>10</c:v>
                </c:pt>
                <c:pt idx="5">
                  <c:v>12</c:v>
                </c:pt>
                <c:pt idx="6">
                  <c:v>11</c:v>
                </c:pt>
                <c:pt idx="7">
                  <c:v>1</c:v>
                </c:pt>
              </c:numCache>
            </c:numRef>
          </c:val>
          <c:extLst>
            <c:ext xmlns:c16="http://schemas.microsoft.com/office/drawing/2014/chart" uri="{C3380CC4-5D6E-409C-BE32-E72D297353CC}">
              <c16:uniqueId val="{00000001-0CB3-4520-A6CA-F35BCD5FDD6A}"/>
            </c:ext>
          </c:extLst>
        </c:ser>
        <c:ser>
          <c:idx val="0"/>
          <c:order val="1"/>
          <c:tx>
            <c:strRef>
              <c:f>'I7a,b&amp;c. Low carbon projects'!$B$84</c:f>
              <c:strCache>
                <c:ptCount val="1"/>
                <c:pt idx="0">
                  <c:v>Planned</c:v>
                </c:pt>
              </c:strCache>
            </c:strRef>
          </c:tx>
          <c:spPr>
            <a:solidFill>
              <a:srgbClr val="98C9EE"/>
            </a:solidFill>
            <a:ln>
              <a:noFill/>
            </a:ln>
            <a:effectLst/>
          </c:spPr>
          <c:invertIfNegative val="0"/>
          <c:cat>
            <c:strRef>
              <c:f>'I7a,b&amp;c. Low carbon projects'!$A$85:$A$92</c:f>
              <c:strCache>
                <c:ptCount val="8"/>
                <c:pt idx="0">
                  <c:v>Renewables</c:v>
                </c:pt>
                <c:pt idx="1">
                  <c:v>Chemical recycling</c:v>
                </c:pt>
                <c:pt idx="2">
                  <c:v>H2 and derivatives</c:v>
                </c:pt>
                <c:pt idx="3">
                  <c:v>CCS/CCU</c:v>
                </c:pt>
                <c:pt idx="4">
                  <c:v>Efficiency</c:v>
                </c:pt>
                <c:pt idx="5">
                  <c:v>Biochemicals</c:v>
                </c:pt>
                <c:pt idx="6">
                  <c:v>Mechanical recycling</c:v>
                </c:pt>
                <c:pt idx="7">
                  <c:v>E-cracker</c:v>
                </c:pt>
              </c:strCache>
            </c:strRef>
          </c:cat>
          <c:val>
            <c:numRef>
              <c:f>'I7a,b&amp;c. Low carbon projects'!$B$85:$B$92</c:f>
              <c:numCache>
                <c:formatCode>General</c:formatCode>
                <c:ptCount val="8"/>
                <c:pt idx="0">
                  <c:v>30</c:v>
                </c:pt>
                <c:pt idx="1">
                  <c:v>14</c:v>
                </c:pt>
                <c:pt idx="2">
                  <c:v>20</c:v>
                </c:pt>
                <c:pt idx="3">
                  <c:v>12</c:v>
                </c:pt>
                <c:pt idx="4">
                  <c:v>5</c:v>
                </c:pt>
                <c:pt idx="5">
                  <c:v>2</c:v>
                </c:pt>
                <c:pt idx="6">
                  <c:v>2</c:v>
                </c:pt>
                <c:pt idx="7">
                  <c:v>1</c:v>
                </c:pt>
              </c:numCache>
            </c:numRef>
          </c:val>
          <c:extLst>
            <c:ext xmlns:c16="http://schemas.microsoft.com/office/drawing/2014/chart" uri="{C3380CC4-5D6E-409C-BE32-E72D297353CC}">
              <c16:uniqueId val="{00000000-0CB3-4520-A6CA-F35BCD5FDD6A}"/>
            </c:ext>
          </c:extLst>
        </c:ser>
        <c:dLbls>
          <c:showLegendKey val="0"/>
          <c:showVal val="0"/>
          <c:showCatName val="0"/>
          <c:showSerName val="0"/>
          <c:showPercent val="0"/>
          <c:showBubbleSize val="0"/>
        </c:dLbls>
        <c:gapWidth val="150"/>
        <c:overlap val="100"/>
        <c:axId val="875018592"/>
        <c:axId val="875019072"/>
      </c:barChart>
      <c:catAx>
        <c:axId val="87501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875019072"/>
        <c:crosses val="autoZero"/>
        <c:auto val="1"/>
        <c:lblAlgn val="ctr"/>
        <c:lblOffset val="100"/>
        <c:noMultiLvlLbl val="0"/>
      </c:catAx>
      <c:valAx>
        <c:axId val="87501907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 of projects</a:t>
                </a:r>
                <a:endParaRPr lang="en-DK"/>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875018592"/>
        <c:crosses val="autoZero"/>
        <c:crossBetween val="between"/>
        <c:maj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pPr>
      <a:endParaRPr lang="en-DK"/>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'3. Material footprint'!$A$4</c:f>
              <c:strCache>
                <c:ptCount val="1"/>
                <c:pt idx="0">
                  <c:v>Biomass</c:v>
                </c:pt>
              </c:strCache>
            </c:strRef>
          </c:tx>
          <c:spPr>
            <a:solidFill>
              <a:srgbClr val="2E422F"/>
            </a:solidFill>
            <a:ln>
              <a:noFill/>
            </a:ln>
            <a:effectLst/>
          </c:spPr>
          <c:cat>
            <c:numRef>
              <c:f>'3. Material footprint'!$D$2:$AC$2</c:f>
              <c:numCache>
                <c:formatCode>General</c:formatCode>
                <c:ptCount val="26"/>
                <c:pt idx="0">
                  <c:v>2005</c:v>
                </c:pt>
                <c:pt idx="5">
                  <c:v>2010</c:v>
                </c:pt>
                <c:pt idx="10">
                  <c:v>2015</c:v>
                </c:pt>
                <c:pt idx="15">
                  <c:v>2020</c:v>
                </c:pt>
                <c:pt idx="20">
                  <c:v>2025</c:v>
                </c:pt>
                <c:pt idx="25">
                  <c:v>2030</c:v>
                </c:pt>
              </c:numCache>
            </c:numRef>
          </c:cat>
          <c:val>
            <c:numRef>
              <c:f>'3. Material footprint'!$D$4:$AC$4</c:f>
              <c:numCache>
                <c:formatCode>General</c:formatCode>
                <c:ptCount val="26"/>
                <c:pt idx="0">
                  <c:v>1491.542342</c:v>
                </c:pt>
                <c:pt idx="1">
                  <c:v>1425.1868089999998</c:v>
                </c:pt>
                <c:pt idx="2">
                  <c:v>1479.841291</c:v>
                </c:pt>
                <c:pt idx="3">
                  <c:v>1487.7784939999999</c:v>
                </c:pt>
                <c:pt idx="4">
                  <c:v>1423.6950379999998</c:v>
                </c:pt>
                <c:pt idx="5">
                  <c:v>1367.3808980000001</c:v>
                </c:pt>
                <c:pt idx="6">
                  <c:v>1422.629304</c:v>
                </c:pt>
                <c:pt idx="7">
                  <c:v>1365.563042</c:v>
                </c:pt>
                <c:pt idx="8">
                  <c:v>1396.4906289999999</c:v>
                </c:pt>
                <c:pt idx="9">
                  <c:v>1487.9839010000001</c:v>
                </c:pt>
                <c:pt idx="10">
                  <c:v>1380.932438</c:v>
                </c:pt>
                <c:pt idx="11">
                  <c:v>1406.297769</c:v>
                </c:pt>
                <c:pt idx="12">
                  <c:v>1459.9954290000001</c:v>
                </c:pt>
                <c:pt idx="13">
                  <c:v>1412.4576010000001</c:v>
                </c:pt>
                <c:pt idx="14">
                  <c:v>1429.352985</c:v>
                </c:pt>
                <c:pt idx="15">
                  <c:v>1384.0926569999999</c:v>
                </c:pt>
              </c:numCache>
            </c:numRef>
          </c:val>
          <c:extLst>
            <c:ext xmlns:c16="http://schemas.microsoft.com/office/drawing/2014/chart" uri="{C3380CC4-5D6E-409C-BE32-E72D297353CC}">
              <c16:uniqueId val="{00000000-828A-4764-A43F-D41591F79E70}"/>
            </c:ext>
          </c:extLst>
        </c:ser>
        <c:ser>
          <c:idx val="1"/>
          <c:order val="1"/>
          <c:tx>
            <c:strRef>
              <c:f>'3. Material footprint'!$A$5</c:f>
              <c:strCache>
                <c:ptCount val="1"/>
                <c:pt idx="0">
                  <c:v>Metal ores</c:v>
                </c:pt>
              </c:strCache>
            </c:strRef>
          </c:tx>
          <c:spPr>
            <a:solidFill>
              <a:srgbClr val="3D5584"/>
            </a:solidFill>
            <a:ln>
              <a:noFill/>
            </a:ln>
            <a:effectLst/>
          </c:spPr>
          <c:cat>
            <c:numRef>
              <c:f>'3. Material footprint'!$D$2:$AC$2</c:f>
              <c:numCache>
                <c:formatCode>General</c:formatCode>
                <c:ptCount val="26"/>
                <c:pt idx="0">
                  <c:v>2005</c:v>
                </c:pt>
                <c:pt idx="5">
                  <c:v>2010</c:v>
                </c:pt>
                <c:pt idx="10">
                  <c:v>2015</c:v>
                </c:pt>
                <c:pt idx="15">
                  <c:v>2020</c:v>
                </c:pt>
                <c:pt idx="20">
                  <c:v>2025</c:v>
                </c:pt>
                <c:pt idx="25">
                  <c:v>2030</c:v>
                </c:pt>
              </c:numCache>
            </c:numRef>
          </c:cat>
          <c:val>
            <c:numRef>
              <c:f>'3. Material footprint'!$D$5:$AC$5</c:f>
              <c:numCache>
                <c:formatCode>General</c:formatCode>
                <c:ptCount val="26"/>
                <c:pt idx="0">
                  <c:v>862.52496099999996</c:v>
                </c:pt>
                <c:pt idx="1">
                  <c:v>938.99530500000003</c:v>
                </c:pt>
                <c:pt idx="2">
                  <c:v>923.54728300000011</c:v>
                </c:pt>
                <c:pt idx="3">
                  <c:v>886.27760000000001</c:v>
                </c:pt>
                <c:pt idx="4">
                  <c:v>587.15222699999993</c:v>
                </c:pt>
                <c:pt idx="5">
                  <c:v>637.62623199999996</c:v>
                </c:pt>
                <c:pt idx="6">
                  <c:v>630.23303099999998</c:v>
                </c:pt>
                <c:pt idx="7">
                  <c:v>578.34135800000001</c:v>
                </c:pt>
                <c:pt idx="8">
                  <c:v>596.61450400000001</c:v>
                </c:pt>
                <c:pt idx="9">
                  <c:v>597.44264499999997</c:v>
                </c:pt>
                <c:pt idx="10">
                  <c:v>616.63172199999997</c:v>
                </c:pt>
                <c:pt idx="11">
                  <c:v>622.84058700000003</c:v>
                </c:pt>
                <c:pt idx="12">
                  <c:v>645.35605099999998</c:v>
                </c:pt>
                <c:pt idx="13">
                  <c:v>636.18564300000003</c:v>
                </c:pt>
                <c:pt idx="14">
                  <c:v>599.40436699999998</c:v>
                </c:pt>
                <c:pt idx="15">
                  <c:v>549.9487979999999</c:v>
                </c:pt>
              </c:numCache>
            </c:numRef>
          </c:val>
          <c:extLst>
            <c:ext xmlns:c16="http://schemas.microsoft.com/office/drawing/2014/chart" uri="{C3380CC4-5D6E-409C-BE32-E72D297353CC}">
              <c16:uniqueId val="{00000001-828A-4764-A43F-D41591F79E70}"/>
            </c:ext>
          </c:extLst>
        </c:ser>
        <c:ser>
          <c:idx val="2"/>
          <c:order val="2"/>
          <c:tx>
            <c:strRef>
              <c:f>'3. Material footprint'!$A$6</c:f>
              <c:strCache>
                <c:ptCount val="1"/>
                <c:pt idx="0">
                  <c:v>Non-metalic minerals</c:v>
                </c:pt>
              </c:strCache>
            </c:strRef>
          </c:tx>
          <c:spPr>
            <a:solidFill>
              <a:srgbClr val="98C9EE"/>
            </a:solidFill>
            <a:ln>
              <a:noFill/>
            </a:ln>
            <a:effectLst/>
          </c:spPr>
          <c:cat>
            <c:numRef>
              <c:f>'3. Material footprint'!$D$2:$AC$2</c:f>
              <c:numCache>
                <c:formatCode>General</c:formatCode>
                <c:ptCount val="26"/>
                <c:pt idx="0">
                  <c:v>2005</c:v>
                </c:pt>
                <c:pt idx="5">
                  <c:v>2010</c:v>
                </c:pt>
                <c:pt idx="10">
                  <c:v>2015</c:v>
                </c:pt>
                <c:pt idx="15">
                  <c:v>2020</c:v>
                </c:pt>
                <c:pt idx="20">
                  <c:v>2025</c:v>
                </c:pt>
                <c:pt idx="25">
                  <c:v>2030</c:v>
                </c:pt>
              </c:numCache>
            </c:numRef>
          </c:cat>
          <c:val>
            <c:numRef>
              <c:f>'3. Material footprint'!$D$6:$AC$6</c:f>
              <c:numCache>
                <c:formatCode>General</c:formatCode>
                <c:ptCount val="26"/>
                <c:pt idx="0">
                  <c:v>3663.20228</c:v>
                </c:pt>
                <c:pt idx="1">
                  <c:v>3924.118876</c:v>
                </c:pt>
                <c:pt idx="2">
                  <c:v>4153.8056889999998</c:v>
                </c:pt>
                <c:pt idx="3">
                  <c:v>4000.5974740000001</c:v>
                </c:pt>
                <c:pt idx="4">
                  <c:v>3336.9698560000002</c:v>
                </c:pt>
                <c:pt idx="5">
                  <c:v>3019.5863960000001</c:v>
                </c:pt>
                <c:pt idx="6">
                  <c:v>3259.7704290000001</c:v>
                </c:pt>
                <c:pt idx="7">
                  <c:v>2882.7695869999998</c:v>
                </c:pt>
                <c:pt idx="8">
                  <c:v>2711.808356</c:v>
                </c:pt>
                <c:pt idx="9">
                  <c:v>2717.0374710000001</c:v>
                </c:pt>
                <c:pt idx="10">
                  <c:v>2794.2754950000003</c:v>
                </c:pt>
                <c:pt idx="11">
                  <c:v>2812.9570269999999</c:v>
                </c:pt>
                <c:pt idx="12">
                  <c:v>2837.7498919999998</c:v>
                </c:pt>
                <c:pt idx="13">
                  <c:v>3013.5041260000003</c:v>
                </c:pt>
                <c:pt idx="14">
                  <c:v>3086.9764829999999</c:v>
                </c:pt>
                <c:pt idx="15">
                  <c:v>3037.1228689999998</c:v>
                </c:pt>
              </c:numCache>
            </c:numRef>
          </c:val>
          <c:extLst>
            <c:ext xmlns:c16="http://schemas.microsoft.com/office/drawing/2014/chart" uri="{C3380CC4-5D6E-409C-BE32-E72D297353CC}">
              <c16:uniqueId val="{00000002-828A-4764-A43F-D41591F79E70}"/>
            </c:ext>
          </c:extLst>
        </c:ser>
        <c:ser>
          <c:idx val="3"/>
          <c:order val="3"/>
          <c:tx>
            <c:strRef>
              <c:f>'3. Material footprint'!$A$7</c:f>
              <c:strCache>
                <c:ptCount val="1"/>
                <c:pt idx="0">
                  <c:v>Fossil fuels and feedstocks</c:v>
                </c:pt>
              </c:strCache>
            </c:strRef>
          </c:tx>
          <c:spPr>
            <a:solidFill>
              <a:srgbClr val="608C95"/>
            </a:solidFill>
            <a:ln>
              <a:noFill/>
            </a:ln>
            <a:effectLst/>
          </c:spPr>
          <c:cat>
            <c:numRef>
              <c:f>'3. Material footprint'!$D$2:$AC$2</c:f>
              <c:numCache>
                <c:formatCode>General</c:formatCode>
                <c:ptCount val="26"/>
                <c:pt idx="0">
                  <c:v>2005</c:v>
                </c:pt>
                <c:pt idx="5">
                  <c:v>2010</c:v>
                </c:pt>
                <c:pt idx="10">
                  <c:v>2015</c:v>
                </c:pt>
                <c:pt idx="15">
                  <c:v>2020</c:v>
                </c:pt>
                <c:pt idx="20">
                  <c:v>2025</c:v>
                </c:pt>
                <c:pt idx="25">
                  <c:v>2030</c:v>
                </c:pt>
              </c:numCache>
            </c:numRef>
          </c:cat>
          <c:val>
            <c:numRef>
              <c:f>'3. Material footprint'!$D$7:$AC$7</c:f>
              <c:numCache>
                <c:formatCode>General</c:formatCode>
                <c:ptCount val="26"/>
                <c:pt idx="0">
                  <c:v>1784.4341769999999</c:v>
                </c:pt>
                <c:pt idx="1">
                  <c:v>1824.7983470000001</c:v>
                </c:pt>
                <c:pt idx="2">
                  <c:v>1759.405315</c:v>
                </c:pt>
                <c:pt idx="3">
                  <c:v>1766.6515139999999</c:v>
                </c:pt>
                <c:pt idx="4">
                  <c:v>1783.9803240000001</c:v>
                </c:pt>
                <c:pt idx="5">
                  <c:v>1487.1000730000001</c:v>
                </c:pt>
                <c:pt idx="6">
                  <c:v>1500.8180249999998</c:v>
                </c:pt>
                <c:pt idx="7">
                  <c:v>1463.0094669999999</c:v>
                </c:pt>
                <c:pt idx="8">
                  <c:v>1453.6989390000001</c:v>
                </c:pt>
                <c:pt idx="9">
                  <c:v>1401.2303959999999</c:v>
                </c:pt>
                <c:pt idx="10">
                  <c:v>1432.1893</c:v>
                </c:pt>
                <c:pt idx="11">
                  <c:v>1396.164847</c:v>
                </c:pt>
                <c:pt idx="12">
                  <c:v>1399.9060530000002</c:v>
                </c:pt>
                <c:pt idx="13">
                  <c:v>1401.8686</c:v>
                </c:pt>
                <c:pt idx="14">
                  <c:v>1353.7204650000001</c:v>
                </c:pt>
                <c:pt idx="15">
                  <c:v>1137.0788580000001</c:v>
                </c:pt>
              </c:numCache>
            </c:numRef>
          </c:val>
          <c:extLst>
            <c:ext xmlns:c16="http://schemas.microsoft.com/office/drawing/2014/chart" uri="{C3380CC4-5D6E-409C-BE32-E72D297353CC}">
              <c16:uniqueId val="{00000003-828A-4764-A43F-D41591F79E70}"/>
            </c:ext>
          </c:extLst>
        </c:ser>
        <c:dLbls>
          <c:showLegendKey val="0"/>
          <c:showVal val="0"/>
          <c:showCatName val="0"/>
          <c:showSerName val="0"/>
          <c:showPercent val="0"/>
          <c:showBubbleSize val="0"/>
        </c:dLbls>
        <c:axId val="2082899839"/>
        <c:axId val="2082903199"/>
      </c:areaChart>
      <c:barChart>
        <c:barDir val="col"/>
        <c:grouping val="clustered"/>
        <c:varyColors val="0"/>
        <c:ser>
          <c:idx val="4"/>
          <c:order val="4"/>
          <c:tx>
            <c:strRef>
              <c:f>'3. Material footprint'!$A$8</c:f>
              <c:strCache>
                <c:ptCount val="1"/>
                <c:pt idx="0">
                  <c:v>2030 benchmark</c:v>
                </c:pt>
              </c:strCache>
            </c:strRef>
          </c:tx>
          <c:spPr>
            <a:gradFill flip="none" rotWithShape="1">
              <a:gsLst>
                <a:gs pos="0">
                  <a:srgbClr val="F26119">
                    <a:shade val="30000"/>
                    <a:satMod val="115000"/>
                  </a:srgbClr>
                </a:gs>
                <a:gs pos="50000">
                  <a:srgbClr val="F26119">
                    <a:shade val="67500"/>
                    <a:satMod val="115000"/>
                  </a:srgbClr>
                </a:gs>
                <a:gs pos="100000">
                  <a:schemeClr val="bg1"/>
                </a:gs>
              </a:gsLst>
              <a:lin ang="16200000" scaled="1"/>
              <a:tileRect/>
            </a:gradFill>
            <a:ln>
              <a:noFill/>
            </a:ln>
            <a:effectLst/>
          </c:spPr>
          <c:invertIfNegative val="0"/>
          <c:cat>
            <c:numRef>
              <c:f>'3. Material footprint'!$D$2:$AC$2</c:f>
              <c:numCache>
                <c:formatCode>General</c:formatCode>
                <c:ptCount val="26"/>
                <c:pt idx="0">
                  <c:v>2005</c:v>
                </c:pt>
                <c:pt idx="5">
                  <c:v>2010</c:v>
                </c:pt>
                <c:pt idx="10">
                  <c:v>2015</c:v>
                </c:pt>
                <c:pt idx="15">
                  <c:v>2020</c:v>
                </c:pt>
                <c:pt idx="20">
                  <c:v>2025</c:v>
                </c:pt>
                <c:pt idx="25">
                  <c:v>2030</c:v>
                </c:pt>
              </c:numCache>
            </c:numRef>
          </c:cat>
          <c:val>
            <c:numRef>
              <c:f>'3. Material footprint'!$D$8:$AC$8</c:f>
              <c:numCache>
                <c:formatCode>General</c:formatCode>
                <c:ptCount val="26"/>
                <c:pt idx="25">
                  <c:v>4500</c:v>
                </c:pt>
              </c:numCache>
            </c:numRef>
          </c:val>
          <c:extLst>
            <c:ext xmlns:c16="http://schemas.microsoft.com/office/drawing/2014/chart" uri="{C3380CC4-5D6E-409C-BE32-E72D297353CC}">
              <c16:uniqueId val="{00000004-828A-4764-A43F-D41591F79E70}"/>
            </c:ext>
          </c:extLst>
        </c:ser>
        <c:dLbls>
          <c:showLegendKey val="0"/>
          <c:showVal val="0"/>
          <c:showCatName val="0"/>
          <c:showSerName val="0"/>
          <c:showPercent val="0"/>
          <c:showBubbleSize val="0"/>
        </c:dLbls>
        <c:gapWidth val="150"/>
        <c:axId val="2082899839"/>
        <c:axId val="2082903199"/>
      </c:barChart>
      <c:catAx>
        <c:axId val="2082899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2082903199"/>
        <c:crosses val="autoZero"/>
        <c:auto val="1"/>
        <c:lblAlgn val="ctr"/>
        <c:lblOffset val="100"/>
        <c:noMultiLvlLbl val="0"/>
      </c:catAx>
      <c:valAx>
        <c:axId val="20829031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2082899839"/>
        <c:crosses val="autoZero"/>
        <c:crossBetween val="between"/>
        <c:majorUnit val="2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zero"/>
    <c:showDLblsOverMax val="0"/>
  </c:chart>
  <c:spPr>
    <a:solidFill>
      <a:schemeClr val="bg1"/>
    </a:solidFill>
    <a:ln w="9525" cap="flat" cmpd="sng" algn="ctr">
      <a:noFill/>
      <a:round/>
    </a:ln>
    <a:effectLst/>
  </c:spPr>
  <c:txPr>
    <a:bodyPr/>
    <a:lstStyle/>
    <a:p>
      <a:pPr>
        <a:defRPr/>
      </a:pPr>
      <a:endParaRPr lang="en-DK"/>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'8. GHG intensity energy use'!$A$3</c:f>
              <c:strCache>
                <c:ptCount val="1"/>
                <c:pt idx="0">
                  <c:v>Historic</c:v>
                </c:pt>
              </c:strCache>
            </c:strRef>
          </c:tx>
          <c:spPr>
            <a:ln w="19050" cap="rnd">
              <a:solidFill>
                <a:sysClr val="windowText" lastClr="000000"/>
              </a:solidFill>
              <a:round/>
            </a:ln>
            <a:effectLst/>
          </c:spPr>
          <c:marker>
            <c:symbol val="none"/>
          </c:marker>
          <c:cat>
            <c:numRef>
              <c:f>'8. GHG intensity energy use'!$D$2:$AW$2</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'8. GHG intensity energy use'!$D$3:$AW$3</c:f>
              <c:numCache>
                <c:formatCode>0%</c:formatCode>
                <c:ptCount val="46"/>
                <c:pt idx="0">
                  <c:v>1</c:v>
                </c:pt>
                <c:pt idx="1">
                  <c:v>1.0013310299378999</c:v>
                </c:pt>
                <c:pt idx="2">
                  <c:v>1.0072387906949984</c:v>
                </c:pt>
                <c:pt idx="3">
                  <c:v>1.0056642682220394</c:v>
                </c:pt>
                <c:pt idx="4">
                  <c:v>0.96569048362809973</c:v>
                </c:pt>
                <c:pt idx="5">
                  <c:v>0.97449468457527477</c:v>
                </c:pt>
                <c:pt idx="6">
                  <c:v>0.94845288713003506</c:v>
                </c:pt>
                <c:pt idx="7">
                  <c:v>0.92992274426488997</c:v>
                </c:pt>
                <c:pt idx="8">
                  <c:v>0.90381027200821507</c:v>
                </c:pt>
                <c:pt idx="9">
                  <c:v>0.8899634744722601</c:v>
                </c:pt>
                <c:pt idx="10">
                  <c:v>0.9082334843013502</c:v>
                </c:pt>
                <c:pt idx="11">
                  <c:v>0.90253611464658401</c:v>
                </c:pt>
                <c:pt idx="12">
                  <c:v>0.90886486733510508</c:v>
                </c:pt>
                <c:pt idx="13">
                  <c:v>0.90194671404142257</c:v>
                </c:pt>
                <c:pt idx="14">
                  <c:v>0.88561599351463494</c:v>
                </c:pt>
                <c:pt idx="15">
                  <c:v>0.88366782799983157</c:v>
                </c:pt>
                <c:pt idx="16">
                  <c:v>0.90409119131193116</c:v>
                </c:pt>
              </c:numCache>
            </c:numRef>
          </c:val>
          <c:smooth val="0"/>
          <c:extLst>
            <c:ext xmlns:c16="http://schemas.microsoft.com/office/drawing/2014/chart" uri="{C3380CC4-5D6E-409C-BE32-E72D297353CC}">
              <c16:uniqueId val="{00000000-1CB4-4CDA-AF82-57A880185DCD}"/>
            </c:ext>
          </c:extLst>
        </c:ser>
        <c:ser>
          <c:idx val="1"/>
          <c:order val="1"/>
          <c:tx>
            <c:strRef>
              <c:f>'8. GHG intensity energy use'!$A$4</c:f>
              <c:strCache>
                <c:ptCount val="1"/>
                <c:pt idx="0">
                  <c:v>2030 benchmark</c:v>
                </c:pt>
              </c:strCache>
            </c:strRef>
          </c:tx>
          <c:spPr>
            <a:ln w="28575" cap="rnd">
              <a:noFill/>
              <a:round/>
            </a:ln>
            <a:effectLst/>
          </c:spPr>
          <c:marker>
            <c:symbol val="circle"/>
            <c:size val="5"/>
            <c:spPr>
              <a:solidFill>
                <a:srgbClr val="F26119"/>
              </a:solidFill>
              <a:ln w="9525">
                <a:noFill/>
              </a:ln>
              <a:effectLst/>
            </c:spPr>
          </c:marker>
          <c:cat>
            <c:numRef>
              <c:f>'8. GHG intensity energy use'!$D$2:$AW$2</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'8. GHG intensity energy use'!$D$4:$AW$4</c:f>
              <c:numCache>
                <c:formatCode>General</c:formatCode>
                <c:ptCount val="46"/>
                <c:pt idx="25" formatCode="0%">
                  <c:v>0.68484848484848482</c:v>
                </c:pt>
              </c:numCache>
            </c:numRef>
          </c:val>
          <c:smooth val="0"/>
          <c:extLst>
            <c:ext xmlns:c16="http://schemas.microsoft.com/office/drawing/2014/chart" uri="{C3380CC4-5D6E-409C-BE32-E72D297353CC}">
              <c16:uniqueId val="{00000001-1CB4-4CDA-AF82-57A880185DCD}"/>
            </c:ext>
          </c:extLst>
        </c:ser>
        <c:ser>
          <c:idx val="2"/>
          <c:order val="2"/>
          <c:tx>
            <c:strRef>
              <c:f>'8. GHG intensity energy use'!$A$5</c:f>
              <c:strCache>
                <c:ptCount val="1"/>
                <c:pt idx="0">
                  <c:v>2050 benchmark</c:v>
                </c:pt>
              </c:strCache>
            </c:strRef>
          </c:tx>
          <c:spPr>
            <a:ln w="28575" cap="rnd">
              <a:noFill/>
              <a:round/>
            </a:ln>
            <a:effectLst/>
          </c:spPr>
          <c:marker>
            <c:symbol val="circle"/>
            <c:size val="5"/>
            <c:spPr>
              <a:solidFill>
                <a:srgbClr val="3D5584"/>
              </a:solidFill>
              <a:ln w="9525">
                <a:noFill/>
              </a:ln>
              <a:effectLst/>
            </c:spPr>
          </c:marker>
          <c:cat>
            <c:numRef>
              <c:f>'8. GHG intensity energy use'!$D$2:$AW$2</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'8. GHG intensity energy use'!$D$5:$AW$5</c:f>
              <c:numCache>
                <c:formatCode>General</c:formatCode>
                <c:ptCount val="46"/>
                <c:pt idx="45" formatCode="0%">
                  <c:v>5.4138593587515264E-2</c:v>
                </c:pt>
              </c:numCache>
            </c:numRef>
          </c:val>
          <c:smooth val="0"/>
          <c:extLst>
            <c:ext xmlns:c16="http://schemas.microsoft.com/office/drawing/2014/chart" uri="{C3380CC4-5D6E-409C-BE32-E72D297353CC}">
              <c16:uniqueId val="{00000002-1CB4-4CDA-AF82-57A880185DCD}"/>
            </c:ext>
          </c:extLst>
        </c:ser>
        <c:ser>
          <c:idx val="3"/>
          <c:order val="3"/>
          <c:tx>
            <c:strRef>
              <c:f>'8. GHG intensity energy use'!$A$6</c:f>
              <c:strCache>
                <c:ptCount val="1"/>
                <c:pt idx="0">
                  <c:v>linear trajectory</c:v>
                </c:pt>
              </c:strCache>
            </c:strRef>
          </c:tx>
          <c:spPr>
            <a:ln w="12700" cap="rnd">
              <a:solidFill>
                <a:sysClr val="windowText" lastClr="000000"/>
              </a:solidFill>
              <a:prstDash val="sysDot"/>
              <a:round/>
            </a:ln>
            <a:effectLst/>
          </c:spPr>
          <c:marker>
            <c:symbol val="none"/>
          </c:marker>
          <c:cat>
            <c:numRef>
              <c:f>'8. GHG intensity energy use'!$D$2:$AW$2</c:f>
              <c:numCache>
                <c:formatCode>General</c:formatCode>
                <c:ptCount val="46"/>
                <c:pt idx="0">
                  <c:v>2005</c:v>
                </c:pt>
                <c:pt idx="5">
                  <c:v>2010</c:v>
                </c:pt>
                <c:pt idx="10">
                  <c:v>2015</c:v>
                </c:pt>
                <c:pt idx="15">
                  <c:v>2020</c:v>
                </c:pt>
                <c:pt idx="20">
                  <c:v>2025</c:v>
                </c:pt>
                <c:pt idx="25">
                  <c:v>2030</c:v>
                </c:pt>
                <c:pt idx="30">
                  <c:v>2035</c:v>
                </c:pt>
                <c:pt idx="35">
                  <c:v>2040</c:v>
                </c:pt>
                <c:pt idx="40">
                  <c:v>2045</c:v>
                </c:pt>
                <c:pt idx="45">
                  <c:v>2050</c:v>
                </c:pt>
              </c:numCache>
            </c:numRef>
          </c:cat>
          <c:val>
            <c:numRef>
              <c:f>'8. GHG intensity energy use'!$D$6:$AW$6</c:f>
              <c:numCache>
                <c:formatCode>General</c:formatCode>
                <c:ptCount val="46"/>
                <c:pt idx="16" formatCode="0%">
                  <c:v>0.90409119131193094</c:v>
                </c:pt>
                <c:pt idx="17" formatCode="0%">
                  <c:v>0.8797308905937703</c:v>
                </c:pt>
                <c:pt idx="18" formatCode="0%">
                  <c:v>0.85537058987560954</c:v>
                </c:pt>
                <c:pt idx="19" formatCode="0%">
                  <c:v>0.8310102891574489</c:v>
                </c:pt>
                <c:pt idx="20" formatCode="0%">
                  <c:v>0.80664998843928815</c:v>
                </c:pt>
                <c:pt idx="21" formatCode="0%">
                  <c:v>0.78228968772112739</c:v>
                </c:pt>
                <c:pt idx="22" formatCode="0%">
                  <c:v>0.75792938700296675</c:v>
                </c:pt>
                <c:pt idx="23" formatCode="0%">
                  <c:v>0.7335690862848061</c:v>
                </c:pt>
                <c:pt idx="24" formatCode="0%">
                  <c:v>0.70920878556664535</c:v>
                </c:pt>
                <c:pt idx="25" formatCode="0%">
                  <c:v>0.6848484848484846</c:v>
                </c:pt>
                <c:pt idx="26" formatCode="0%">
                  <c:v>0.65331299028543621</c:v>
                </c:pt>
                <c:pt idx="27" formatCode="0%">
                  <c:v>0.62177749572238783</c:v>
                </c:pt>
                <c:pt idx="28" formatCode="0%">
                  <c:v>0.59024200115933934</c:v>
                </c:pt>
                <c:pt idx="29" formatCode="0%">
                  <c:v>0.55870650659629084</c:v>
                </c:pt>
                <c:pt idx="30" formatCode="0%">
                  <c:v>0.52717101203324235</c:v>
                </c:pt>
                <c:pt idx="31" formatCode="0%">
                  <c:v>0.49563551747019385</c:v>
                </c:pt>
                <c:pt idx="32" formatCode="0%">
                  <c:v>0.46410002290714542</c:v>
                </c:pt>
                <c:pt idx="33" formatCode="0%">
                  <c:v>0.43256452834409692</c:v>
                </c:pt>
                <c:pt idx="34" formatCode="0%">
                  <c:v>0.40102903378104848</c:v>
                </c:pt>
                <c:pt idx="35" formatCode="0%">
                  <c:v>0.36949353921799999</c:v>
                </c:pt>
                <c:pt idx="36" formatCode="0%">
                  <c:v>0.33795804465495149</c:v>
                </c:pt>
                <c:pt idx="37" formatCode="0%">
                  <c:v>0.30642255009190306</c:v>
                </c:pt>
                <c:pt idx="38" formatCode="0%">
                  <c:v>0.27488705552885456</c:v>
                </c:pt>
                <c:pt idx="39" formatCode="0%">
                  <c:v>0.24335156096580612</c:v>
                </c:pt>
                <c:pt idx="40" formatCode="0%">
                  <c:v>0.21181606640275763</c:v>
                </c:pt>
                <c:pt idx="41" formatCode="0%">
                  <c:v>0.18028057183970914</c:v>
                </c:pt>
                <c:pt idx="42" formatCode="0%">
                  <c:v>0.14874507727666064</c:v>
                </c:pt>
                <c:pt idx="43" formatCode="0%">
                  <c:v>0.11720958271361226</c:v>
                </c:pt>
                <c:pt idx="44" formatCode="0%">
                  <c:v>8.5674088150563765E-2</c:v>
                </c:pt>
                <c:pt idx="45" formatCode="0%">
                  <c:v>5.4138593587515271E-2</c:v>
                </c:pt>
              </c:numCache>
            </c:numRef>
          </c:val>
          <c:smooth val="0"/>
          <c:extLst>
            <c:ext xmlns:c16="http://schemas.microsoft.com/office/drawing/2014/chart" uri="{C3380CC4-5D6E-409C-BE32-E72D297353CC}">
              <c16:uniqueId val="{00000003-1CB4-4CDA-AF82-57A880185DCD}"/>
            </c:ext>
          </c:extLst>
        </c:ser>
        <c:dLbls>
          <c:showLegendKey val="0"/>
          <c:showVal val="0"/>
          <c:showCatName val="0"/>
          <c:showSerName val="0"/>
          <c:showPercent val="0"/>
          <c:showBubbleSize val="0"/>
        </c:dLbls>
        <c:smooth val="0"/>
        <c:axId val="1169688096"/>
        <c:axId val="1169689056"/>
      </c:lineChart>
      <c:catAx>
        <c:axId val="116968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169689056"/>
        <c:crosses val="autoZero"/>
        <c:auto val="1"/>
        <c:lblAlgn val="ctr"/>
        <c:lblOffset val="100"/>
        <c:noMultiLvlLbl val="0"/>
      </c:catAx>
      <c:valAx>
        <c:axId val="11696890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2005</a:t>
                </a:r>
                <a:endParaRPr lang="en-DK"/>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169688096"/>
        <c:crosses val="autoZero"/>
        <c:crossBetween val="between"/>
      </c:valAx>
      <c:spPr>
        <a:noFill/>
        <a:ln>
          <a:noFill/>
        </a:ln>
        <a:effectLst/>
      </c:spPr>
    </c:plotArea>
    <c:legend>
      <c:legendPos val="b"/>
      <c:legendEntry>
        <c:idx val="3"/>
        <c:delete val="1"/>
      </c:legendEntry>
      <c:layout>
        <c:manualLayout>
          <c:xMode val="edge"/>
          <c:yMode val="edge"/>
          <c:x val="0.22884073206572439"/>
          <c:y val="0.89948580629263164"/>
          <c:w val="0.58950569619089022"/>
          <c:h val="9.89018139429065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27</xdr:row>
      <xdr:rowOff>0</xdr:rowOff>
    </xdr:from>
    <xdr:to>
      <xdr:col>13</xdr:col>
      <xdr:colOff>323850</xdr:colOff>
      <xdr:row>43</xdr:row>
      <xdr:rowOff>95250</xdr:rowOff>
    </xdr:to>
    <xdr:pic>
      <xdr:nvPicPr>
        <xdr:cNvPr id="2" name="Picture 1">
          <a:extLst>
            <a:ext uri="{FF2B5EF4-FFF2-40B4-BE49-F238E27FC236}">
              <a16:creationId xmlns:a16="http://schemas.microsoft.com/office/drawing/2014/main" id="{8377A0D8-8543-431E-9836-4C6BFCC61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5153025"/>
          <a:ext cx="5810250" cy="314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xdr:row>
      <xdr:rowOff>0</xdr:rowOff>
    </xdr:from>
    <xdr:to>
      <xdr:col>8</xdr:col>
      <xdr:colOff>504825</xdr:colOff>
      <xdr:row>21</xdr:row>
      <xdr:rowOff>104775</xdr:rowOff>
    </xdr:to>
    <xdr:pic>
      <xdr:nvPicPr>
        <xdr:cNvPr id="3" name="Picture 2">
          <a:extLst>
            <a:ext uri="{FF2B5EF4-FFF2-40B4-BE49-F238E27FC236}">
              <a16:creationId xmlns:a16="http://schemas.microsoft.com/office/drawing/2014/main" id="{B9754B40-F31E-4706-AAE2-2E2E90A7D2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952500"/>
          <a:ext cx="2943225" cy="316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607734</xdr:colOff>
      <xdr:row>20</xdr:row>
      <xdr:rowOff>174921</xdr:rowOff>
    </xdr:from>
    <xdr:to>
      <xdr:col>20</xdr:col>
      <xdr:colOff>99218</xdr:colOff>
      <xdr:row>36</xdr:row>
      <xdr:rowOff>59531</xdr:rowOff>
    </xdr:to>
    <xdr:graphicFrame macro="">
      <xdr:nvGraphicFramePr>
        <xdr:cNvPr id="6" name="Chart 5">
          <a:extLst>
            <a:ext uri="{FF2B5EF4-FFF2-40B4-BE49-F238E27FC236}">
              <a16:creationId xmlns:a16="http://schemas.microsoft.com/office/drawing/2014/main" id="{861AC599-F18F-5E19-B518-72160757F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7327</xdr:colOff>
      <xdr:row>13</xdr:row>
      <xdr:rowOff>161193</xdr:rowOff>
    </xdr:from>
    <xdr:to>
      <xdr:col>34</xdr:col>
      <xdr:colOff>404279</xdr:colOff>
      <xdr:row>33</xdr:row>
      <xdr:rowOff>0</xdr:rowOff>
    </xdr:to>
    <xdr:graphicFrame macro="">
      <xdr:nvGraphicFramePr>
        <xdr:cNvPr id="2" name="Chart 1">
          <a:extLst>
            <a:ext uri="{FF2B5EF4-FFF2-40B4-BE49-F238E27FC236}">
              <a16:creationId xmlns:a16="http://schemas.microsoft.com/office/drawing/2014/main" id="{E9758524-59E5-48CD-9571-9F95F3A3F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0</xdr:colOff>
      <xdr:row>24</xdr:row>
      <xdr:rowOff>0</xdr:rowOff>
    </xdr:from>
    <xdr:to>
      <xdr:col>46</xdr:col>
      <xdr:colOff>547688</xdr:colOff>
      <xdr:row>39</xdr:row>
      <xdr:rowOff>57150</xdr:rowOff>
    </xdr:to>
    <xdr:graphicFrame macro="">
      <xdr:nvGraphicFramePr>
        <xdr:cNvPr id="4" name="Chart 3">
          <a:extLst>
            <a:ext uri="{FF2B5EF4-FFF2-40B4-BE49-F238E27FC236}">
              <a16:creationId xmlns:a16="http://schemas.microsoft.com/office/drawing/2014/main" id="{36A1CC1B-C474-4C46-AF61-8184516A7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1333500</xdr:colOff>
      <xdr:row>20</xdr:row>
      <xdr:rowOff>71437</xdr:rowOff>
    </xdr:from>
    <xdr:to>
      <xdr:col>14</xdr:col>
      <xdr:colOff>1228725</xdr:colOff>
      <xdr:row>34</xdr:row>
      <xdr:rowOff>147637</xdr:rowOff>
    </xdr:to>
    <xdr:graphicFrame macro="">
      <xdr:nvGraphicFramePr>
        <xdr:cNvPr id="7" name="Chart 6">
          <a:extLst>
            <a:ext uri="{FF2B5EF4-FFF2-40B4-BE49-F238E27FC236}">
              <a16:creationId xmlns:a16="http://schemas.microsoft.com/office/drawing/2014/main" id="{9B6AFEB5-A537-FA7B-4671-1E904550F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707573</xdr:colOff>
      <xdr:row>58</xdr:row>
      <xdr:rowOff>71438</xdr:rowOff>
    </xdr:from>
    <xdr:to>
      <xdr:col>7</xdr:col>
      <xdr:colOff>27216</xdr:colOff>
      <xdr:row>74</xdr:row>
      <xdr:rowOff>183931</xdr:rowOff>
    </xdr:to>
    <xdr:graphicFrame macro="">
      <xdr:nvGraphicFramePr>
        <xdr:cNvPr id="4" name="Chart 3">
          <a:extLst>
            <a:ext uri="{FF2B5EF4-FFF2-40B4-BE49-F238E27FC236}">
              <a16:creationId xmlns:a16="http://schemas.microsoft.com/office/drawing/2014/main" id="{875E1FBB-B562-7461-9FB8-C1EAA2CBE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75870</xdr:colOff>
      <xdr:row>58</xdr:row>
      <xdr:rowOff>71494</xdr:rowOff>
    </xdr:from>
    <xdr:to>
      <xdr:col>12</xdr:col>
      <xdr:colOff>639532</xdr:colOff>
      <xdr:row>74</xdr:row>
      <xdr:rowOff>188260</xdr:rowOff>
    </xdr:to>
    <xdr:graphicFrame macro="">
      <xdr:nvGraphicFramePr>
        <xdr:cNvPr id="5" name="Chart 4">
          <a:extLst>
            <a:ext uri="{FF2B5EF4-FFF2-40B4-BE49-F238E27FC236}">
              <a16:creationId xmlns:a16="http://schemas.microsoft.com/office/drawing/2014/main" id="{2000F266-BCB9-7A6C-243F-BC444F6C2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76839</xdr:colOff>
      <xdr:row>58</xdr:row>
      <xdr:rowOff>64229</xdr:rowOff>
    </xdr:from>
    <xdr:to>
      <xdr:col>19</xdr:col>
      <xdr:colOff>1</xdr:colOff>
      <xdr:row>75</xdr:row>
      <xdr:rowOff>0</xdr:rowOff>
    </xdr:to>
    <xdr:graphicFrame macro="">
      <xdr:nvGraphicFramePr>
        <xdr:cNvPr id="6" name="Chart 5">
          <a:extLst>
            <a:ext uri="{FF2B5EF4-FFF2-40B4-BE49-F238E27FC236}">
              <a16:creationId xmlns:a16="http://schemas.microsoft.com/office/drawing/2014/main" id="{4D3F6575-17B0-6E9B-7C95-F2F58F910D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210379</xdr:colOff>
      <xdr:row>74</xdr:row>
      <xdr:rowOff>98977</xdr:rowOff>
    </xdr:from>
    <xdr:to>
      <xdr:col>12</xdr:col>
      <xdr:colOff>260023</xdr:colOff>
      <xdr:row>76</xdr:row>
      <xdr:rowOff>60924</xdr:rowOff>
    </xdr:to>
    <xdr:pic>
      <xdr:nvPicPr>
        <xdr:cNvPr id="2" name="Picture 1">
          <a:extLst>
            <a:ext uri="{FF2B5EF4-FFF2-40B4-BE49-F238E27FC236}">
              <a16:creationId xmlns:a16="http://schemas.microsoft.com/office/drawing/2014/main" id="{39C5E68C-2A0F-112A-E5C4-85611349D81C}"/>
            </a:ext>
          </a:extLst>
        </xdr:cNvPr>
        <xdr:cNvPicPr>
          <a:picLocks noChangeAspect="1"/>
        </xdr:cNvPicPr>
      </xdr:nvPicPr>
      <xdr:blipFill>
        <a:blip xmlns:r="http://schemas.openxmlformats.org/officeDocument/2006/relationships" r:embed="rId4"/>
        <a:stretch>
          <a:fillRect/>
        </a:stretch>
      </xdr:blipFill>
      <xdr:spPr>
        <a:xfrm>
          <a:off x="5249104" y="13605427"/>
          <a:ext cx="2602344" cy="3429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601174</xdr:colOff>
      <xdr:row>11</xdr:row>
      <xdr:rowOff>130786</xdr:rowOff>
    </xdr:from>
    <xdr:to>
      <xdr:col>7</xdr:col>
      <xdr:colOff>400050</xdr:colOff>
      <xdr:row>25</xdr:row>
      <xdr:rowOff>10701</xdr:rowOff>
    </xdr:to>
    <xdr:graphicFrame macro="">
      <xdr:nvGraphicFramePr>
        <xdr:cNvPr id="2" name="Chart 1">
          <a:extLst>
            <a:ext uri="{FF2B5EF4-FFF2-40B4-BE49-F238E27FC236}">
              <a16:creationId xmlns:a16="http://schemas.microsoft.com/office/drawing/2014/main" id="{0FB17743-8D36-688C-BA0B-A6021E44D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310100</xdr:colOff>
      <xdr:row>42</xdr:row>
      <xdr:rowOff>95723</xdr:rowOff>
    </xdr:from>
    <xdr:to>
      <xdr:col>13</xdr:col>
      <xdr:colOff>328419</xdr:colOff>
      <xdr:row>54</xdr:row>
      <xdr:rowOff>56891</xdr:rowOff>
    </xdr:to>
    <xdr:graphicFrame macro="">
      <xdr:nvGraphicFramePr>
        <xdr:cNvPr id="4" name="Chart 3">
          <a:extLst>
            <a:ext uri="{FF2B5EF4-FFF2-40B4-BE49-F238E27FC236}">
              <a16:creationId xmlns:a16="http://schemas.microsoft.com/office/drawing/2014/main" id="{23195C1D-A669-CA00-5D90-0B9CC17F8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475994</xdr:colOff>
      <xdr:row>29</xdr:row>
      <xdr:rowOff>29444</xdr:rowOff>
    </xdr:from>
    <xdr:to>
      <xdr:col>17</xdr:col>
      <xdr:colOff>102932</xdr:colOff>
      <xdr:row>41</xdr:row>
      <xdr:rowOff>178856</xdr:rowOff>
    </xdr:to>
    <xdr:graphicFrame macro="">
      <xdr:nvGraphicFramePr>
        <xdr:cNvPr id="9" name="Chart 1">
          <a:extLst>
            <a:ext uri="{FF2B5EF4-FFF2-40B4-BE49-F238E27FC236}">
              <a16:creationId xmlns:a16="http://schemas.microsoft.com/office/drawing/2014/main" id="{0E07AA9B-BCCF-5B51-43C9-1E93FA536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161925</xdr:colOff>
      <xdr:row>10</xdr:row>
      <xdr:rowOff>90487</xdr:rowOff>
    </xdr:from>
    <xdr:to>
      <xdr:col>5</xdr:col>
      <xdr:colOff>133350</xdr:colOff>
      <xdr:row>24</xdr:row>
      <xdr:rowOff>142875</xdr:rowOff>
    </xdr:to>
    <xdr:graphicFrame macro="">
      <xdr:nvGraphicFramePr>
        <xdr:cNvPr id="3" name="Chart 2">
          <a:extLst>
            <a:ext uri="{FF2B5EF4-FFF2-40B4-BE49-F238E27FC236}">
              <a16:creationId xmlns:a16="http://schemas.microsoft.com/office/drawing/2014/main" id="{D50F0A77-9D76-66F3-1E4B-B44ED6738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156854</xdr:colOff>
      <xdr:row>10</xdr:row>
      <xdr:rowOff>182218</xdr:rowOff>
    </xdr:from>
    <xdr:to>
      <xdr:col>17</xdr:col>
      <xdr:colOff>373652</xdr:colOff>
      <xdr:row>25</xdr:row>
      <xdr:rowOff>44106</xdr:rowOff>
    </xdr:to>
    <xdr:graphicFrame macro="">
      <xdr:nvGraphicFramePr>
        <xdr:cNvPr id="2" name="Chart 1">
          <a:extLst>
            <a:ext uri="{FF2B5EF4-FFF2-40B4-BE49-F238E27FC236}">
              <a16:creationId xmlns:a16="http://schemas.microsoft.com/office/drawing/2014/main" id="{E05623D1-1342-4D8D-87F8-C025ACB37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627408</xdr:colOff>
      <xdr:row>46</xdr:row>
      <xdr:rowOff>46189</xdr:rowOff>
    </xdr:from>
    <xdr:to>
      <xdr:col>20</xdr:col>
      <xdr:colOff>595332</xdr:colOff>
      <xdr:row>59</xdr:row>
      <xdr:rowOff>135578</xdr:rowOff>
    </xdr:to>
    <xdr:graphicFrame macro="">
      <xdr:nvGraphicFramePr>
        <xdr:cNvPr id="5" name="Chart 3">
          <a:extLst>
            <a:ext uri="{FF2B5EF4-FFF2-40B4-BE49-F238E27FC236}">
              <a16:creationId xmlns:a16="http://schemas.microsoft.com/office/drawing/2014/main" id="{32FF592E-A2D7-4CBD-8F98-9D7FF849B658}"/>
            </a:ext>
            <a:ext uri="{147F2762-F138-4A5C-976F-8EAC2B608ADB}">
              <a16:predDERef xmlns:a16="http://schemas.microsoft.com/office/drawing/2014/main" pred="{E05623D1-1342-4D8D-87F8-C025ACB37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0</xdr:colOff>
      <xdr:row>47</xdr:row>
      <xdr:rowOff>0</xdr:rowOff>
    </xdr:from>
    <xdr:to>
      <xdr:col>31</xdr:col>
      <xdr:colOff>253259</xdr:colOff>
      <xdr:row>60</xdr:row>
      <xdr:rowOff>89389</xdr:rowOff>
    </xdr:to>
    <xdr:graphicFrame macro="">
      <xdr:nvGraphicFramePr>
        <xdr:cNvPr id="6" name="Chart 5">
          <a:extLst>
            <a:ext uri="{FF2B5EF4-FFF2-40B4-BE49-F238E27FC236}">
              <a16:creationId xmlns:a16="http://schemas.microsoft.com/office/drawing/2014/main" id="{676D955E-431E-48B7-807A-0A6F9529A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176212</xdr:colOff>
      <xdr:row>2</xdr:row>
      <xdr:rowOff>19179</xdr:rowOff>
    </xdr:from>
    <xdr:to>
      <xdr:col>14</xdr:col>
      <xdr:colOff>481012</xdr:colOff>
      <xdr:row>9</xdr:row>
      <xdr:rowOff>745904</xdr:rowOff>
    </xdr:to>
    <xdr:graphicFrame macro="">
      <xdr:nvGraphicFramePr>
        <xdr:cNvPr id="3" name="Chart 2">
          <a:extLst>
            <a:ext uri="{FF2B5EF4-FFF2-40B4-BE49-F238E27FC236}">
              <a16:creationId xmlns:a16="http://schemas.microsoft.com/office/drawing/2014/main" id="{94657045-8E0D-9D71-C6D3-37C964179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404813</xdr:colOff>
      <xdr:row>67</xdr:row>
      <xdr:rowOff>89298</xdr:rowOff>
    </xdr:from>
    <xdr:to>
      <xdr:col>17</xdr:col>
      <xdr:colOff>589359</xdr:colOff>
      <xdr:row>80</xdr:row>
      <xdr:rowOff>146538</xdr:rowOff>
    </xdr:to>
    <xdr:graphicFrame macro="">
      <xdr:nvGraphicFramePr>
        <xdr:cNvPr id="4" name="Chart 3">
          <a:extLst>
            <a:ext uri="{FF2B5EF4-FFF2-40B4-BE49-F238E27FC236}">
              <a16:creationId xmlns:a16="http://schemas.microsoft.com/office/drawing/2014/main" id="{330808A3-ECD0-003D-9D79-407CA4A78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59529</xdr:colOff>
      <xdr:row>95</xdr:row>
      <xdr:rowOff>185141</xdr:rowOff>
    </xdr:from>
    <xdr:to>
      <xdr:col>9</xdr:col>
      <xdr:colOff>65483</xdr:colOff>
      <xdr:row>107</xdr:row>
      <xdr:rowOff>184546</xdr:rowOff>
    </xdr:to>
    <xdr:graphicFrame macro="">
      <xdr:nvGraphicFramePr>
        <xdr:cNvPr id="5" name="Chart 4">
          <a:extLst>
            <a:ext uri="{FF2B5EF4-FFF2-40B4-BE49-F238E27FC236}">
              <a16:creationId xmlns:a16="http://schemas.microsoft.com/office/drawing/2014/main" id="{CE4AFCD2-7583-4075-1DFE-656E011F2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80962</xdr:colOff>
      <xdr:row>9</xdr:row>
      <xdr:rowOff>0</xdr:rowOff>
    </xdr:from>
    <xdr:to>
      <xdr:col>14</xdr:col>
      <xdr:colOff>361950</xdr:colOff>
      <xdr:row>22</xdr:row>
      <xdr:rowOff>17859</xdr:rowOff>
    </xdr:to>
    <xdr:graphicFrame macro="">
      <xdr:nvGraphicFramePr>
        <xdr:cNvPr id="2" name="Chart 1">
          <a:extLst>
            <a:ext uri="{FF2B5EF4-FFF2-40B4-BE49-F238E27FC236}">
              <a16:creationId xmlns:a16="http://schemas.microsoft.com/office/drawing/2014/main" id="{0F189D2D-F240-FD4D-689D-1B00C52DB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35719</xdr:colOff>
      <xdr:row>11</xdr:row>
      <xdr:rowOff>178594</xdr:rowOff>
    </xdr:from>
    <xdr:to>
      <xdr:col>12</xdr:col>
      <xdr:colOff>381000</xdr:colOff>
      <xdr:row>18</xdr:row>
      <xdr:rowOff>184547</xdr:rowOff>
    </xdr:to>
    <xdr:sp macro="" textlink="">
      <xdr:nvSpPr>
        <xdr:cNvPr id="4" name="Rectangle 3">
          <a:extLst>
            <a:ext uri="{FF2B5EF4-FFF2-40B4-BE49-F238E27FC236}">
              <a16:creationId xmlns:a16="http://schemas.microsoft.com/office/drawing/2014/main" id="{58BE6F22-6F7A-42E3-15A2-27664CC9567C}"/>
            </a:ext>
          </a:extLst>
        </xdr:cNvPr>
        <xdr:cNvSpPr/>
      </xdr:nvSpPr>
      <xdr:spPr>
        <a:xfrm>
          <a:off x="5500688" y="2083594"/>
          <a:ext cx="952500" cy="13394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K" sz="1100"/>
        </a:p>
      </xdr:txBody>
    </xdr:sp>
    <xdr:clientData/>
  </xdr:twoCellAnchor>
  <xdr:twoCellAnchor>
    <xdr:from>
      <xdr:col>13</xdr:col>
      <xdr:colOff>56745</xdr:colOff>
      <xdr:row>13</xdr:row>
      <xdr:rowOff>132094</xdr:rowOff>
    </xdr:from>
    <xdr:to>
      <xdr:col>15</xdr:col>
      <xdr:colOff>162129</xdr:colOff>
      <xdr:row>14</xdr:row>
      <xdr:rowOff>136147</xdr:rowOff>
    </xdr:to>
    <xdr:sp macro="" textlink="">
      <xdr:nvSpPr>
        <xdr:cNvPr id="3" name="TextBox 2">
          <a:extLst>
            <a:ext uri="{FF2B5EF4-FFF2-40B4-BE49-F238E27FC236}">
              <a16:creationId xmlns:a16="http://schemas.microsoft.com/office/drawing/2014/main" id="{F7908639-B59D-261A-9DB9-49D88846B4EB}"/>
            </a:ext>
          </a:extLst>
        </xdr:cNvPr>
        <xdr:cNvSpPr txBox="1"/>
      </xdr:nvSpPr>
      <xdr:spPr>
        <a:xfrm>
          <a:off x="6771870" y="2608594"/>
          <a:ext cx="1326316" cy="1945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rgbClr val="F26119"/>
              </a:solidFill>
            </a:rPr>
            <a:t>significant reduction</a:t>
          </a:r>
          <a:endParaRPr lang="en-DK" sz="900">
            <a:solidFill>
              <a:srgbClr val="F26119"/>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317227</xdr:colOff>
      <xdr:row>5</xdr:row>
      <xdr:rowOff>119063</xdr:rowOff>
    </xdr:from>
    <xdr:to>
      <xdr:col>17</xdr:col>
      <xdr:colOff>351262</xdr:colOff>
      <xdr:row>17</xdr:row>
      <xdr:rowOff>0</xdr:rowOff>
    </xdr:to>
    <xdr:graphicFrame macro="">
      <xdr:nvGraphicFramePr>
        <xdr:cNvPr id="2" name="Chart 1">
          <a:extLst>
            <a:ext uri="{FF2B5EF4-FFF2-40B4-BE49-F238E27FC236}">
              <a16:creationId xmlns:a16="http://schemas.microsoft.com/office/drawing/2014/main" id="{6799775A-0A38-884D-6C69-F61BA1F05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mmens\Downloads\(Chart)%20Historical%20emissions%20(4).xlsx" TargetMode="External"/><Relationship Id="rId1" Type="http://schemas.openxmlformats.org/officeDocument/2006/relationships/externalLinkPath" Target="file:///C:\Users\Lemmens\Downloads\(Chart)%20Historical%20emissions%20(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eea1.sharepoint.com/teams/SecretariattotheAdvisoryBoard/Shared%20Documents/General/Modelling/EC%20Modelling%20for%20Impact%20Assessments/CTP2030/2030_climate_target_plan_figures_en.xlsx" TargetMode="External"/><Relationship Id="rId1" Type="http://schemas.openxmlformats.org/officeDocument/2006/relationships/externalLinkPath" Target="/teams/SecretariattotheAdvisoryBoard/Shared%20Documents/General/Modelling/EC%20Modelling%20for%20Impact%20Assessments/CTP2030/2030_climate_target_plan_figures_en.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https://eea1.sharepoint.com/teams/EuropeanScientificAdvisoryBoardonClimateChange2/Shared%20Documents/General/Subgroups/1b.%20Consistency%20EU%20measures/Drafts/underlying%20excels%20and%20flowcharts/background%20data/ESABCC_Energy_Snapshots.xlsx" TargetMode="External"/><Relationship Id="rId2" Type="http://schemas.microsoft.com/office/2019/04/relationships/externalLinkLongPath" Target="/teams/EuropeanScientificAdvisoryBoardonClimateChange2/Shared%20Documents/General/Subgroups/1b.%20Consistency%20EU%20measures/Drafts/underlying%20excels%20and%20flowcharts/background%20data/ESABCC_Energy_Snapshots.xlsx?AC963AB7" TargetMode="External"/><Relationship Id="rId1" Type="http://schemas.openxmlformats.org/officeDocument/2006/relationships/externalLinkPath" Target="file:///\\AC963AB7\ESABCC_Energy_Snapsho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1"/>
    </sheetNames>
    <sheetDataSet>
      <sheetData sheetId="0">
        <row r="4">
          <cell r="C4">
            <v>143411945</v>
          </cell>
          <cell r="D4">
            <v>147152606</v>
          </cell>
          <cell r="E4">
            <v>163114981</v>
          </cell>
          <cell r="F4">
            <v>150489906</v>
          </cell>
          <cell r="G4">
            <v>121311887</v>
          </cell>
          <cell r="H4">
            <v>119341118</v>
          </cell>
          <cell r="I4">
            <v>116976625</v>
          </cell>
          <cell r="J4">
            <v>109895055</v>
          </cell>
          <cell r="K4">
            <v>105817395</v>
          </cell>
          <cell r="L4">
            <v>110731250</v>
          </cell>
          <cell r="M4">
            <v>109014028</v>
          </cell>
          <cell r="N4">
            <v>109109779</v>
          </cell>
          <cell r="O4">
            <v>111867166</v>
          </cell>
          <cell r="P4">
            <v>113695574</v>
          </cell>
          <cell r="Q4">
            <v>113098703</v>
          </cell>
          <cell r="R4">
            <v>107416447</v>
          </cell>
          <cell r="S4">
            <v>110223272</v>
          </cell>
          <cell r="T4">
            <v>102239741</v>
          </cell>
          <cell r="U4">
            <v>31876890</v>
          </cell>
          <cell r="V4">
            <v>31567279</v>
          </cell>
          <cell r="W4">
            <v>33124661</v>
          </cell>
          <cell r="X4">
            <v>32120333</v>
          </cell>
          <cell r="Y4">
            <v>25718958</v>
          </cell>
          <cell r="Z4">
            <v>28450774</v>
          </cell>
          <cell r="AA4">
            <v>29433932</v>
          </cell>
          <cell r="AB4">
            <v>27603986</v>
          </cell>
          <cell r="AC4">
            <v>28543430</v>
          </cell>
          <cell r="AD4">
            <v>28531129</v>
          </cell>
          <cell r="AE4">
            <v>27846622</v>
          </cell>
          <cell r="AF4">
            <v>27523875</v>
          </cell>
          <cell r="AG4">
            <v>28784769</v>
          </cell>
          <cell r="AH4">
            <v>28953836</v>
          </cell>
          <cell r="AI4">
            <v>27258191</v>
          </cell>
          <cell r="AJ4">
            <v>24769488</v>
          </cell>
          <cell r="AK4">
            <v>27340073</v>
          </cell>
          <cell r="AL4">
            <v>25196237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Overview"/>
      <sheetName val="Fig 1"/>
      <sheetName val="Fig 4"/>
      <sheetName val="Fig 5 and 36"/>
      <sheetName val="Fig 6 and 37"/>
      <sheetName val="Fig 7 and 40"/>
      <sheetName val="Fig 8 and 41"/>
      <sheetName val="Fig 9"/>
      <sheetName val="Fig 10"/>
      <sheetName val="Fig 11"/>
      <sheetName val="Fig 12"/>
      <sheetName val="Fig 13"/>
      <sheetName val="Fig 14"/>
      <sheetName val="Fig 15"/>
      <sheetName val="Fig 16"/>
      <sheetName val="Fig 17"/>
      <sheetName val="Fig 18"/>
      <sheetName val="Fig 19"/>
      <sheetName val="Fig 20"/>
      <sheetName val="Fig 24"/>
      <sheetName val="Fig 25"/>
      <sheetName val="Fig 26"/>
      <sheetName val="Fig 27"/>
      <sheetName val="Fig 28"/>
      <sheetName val="Fig 29"/>
      <sheetName val="Fig 30"/>
      <sheetName val="Fig 31"/>
      <sheetName val="Fig 32"/>
      <sheetName val="Fig 33"/>
      <sheetName val="Fig 34"/>
      <sheetName val="Fig 35"/>
      <sheetName val="Fig 38"/>
      <sheetName val="Fig 39"/>
      <sheetName val="Fig 42"/>
      <sheetName val="Fig 43"/>
      <sheetName val="Fig 44"/>
      <sheetName val="Fig 45"/>
      <sheetName val="Fig 46"/>
      <sheetName val="Fig 47"/>
      <sheetName val="Fig 48"/>
      <sheetName val="Fig 49"/>
      <sheetName val="Fig 50"/>
      <sheetName val="Fig 51"/>
      <sheetName val="Fig 52"/>
      <sheetName val="Fig 53"/>
      <sheetName val="Fig 54"/>
      <sheetName val="Fig 55"/>
      <sheetName val="Fig 56"/>
      <sheetName val="Fig 58"/>
      <sheetName val="Fig 57"/>
      <sheetName val="Fig 59"/>
      <sheetName val="Fig 60"/>
      <sheetName val="Fig 61"/>
      <sheetName val="Fig 62"/>
      <sheetName val="Fig 63"/>
      <sheetName val="Fig 64"/>
      <sheetName val="Fig 65"/>
      <sheetName val="Fig 66"/>
      <sheetName val="Fig 67"/>
      <sheetName val="Fig 68"/>
      <sheetName val="Fig 69"/>
      <sheetName val="Fig 70"/>
      <sheetName val="Fig 71"/>
      <sheetName val="Fig 72"/>
      <sheetName val="Fig 73"/>
      <sheetName val="Fig 74"/>
      <sheetName val="Fig 75"/>
      <sheetName val="Fig 76"/>
      <sheetName val="Fig 77"/>
      <sheetName val="Fig 78"/>
      <sheetName val="Fig 79"/>
      <sheetName val="Fig 80"/>
      <sheetName val="Fig 81"/>
      <sheetName val="Fig 83"/>
      <sheetName val="Fig 85"/>
      <sheetName val="Fig 86"/>
      <sheetName val="Fig 87"/>
      <sheetName val="Fig 88"/>
      <sheetName val="Fig 90"/>
      <sheetName val="Fig 91"/>
      <sheetName val="Fig 95"/>
      <sheetName val="Fig 96"/>
      <sheetName val="Fig 99"/>
      <sheetName val="Fig 100"/>
      <sheetName val="Fig 103"/>
    </sheetNames>
    <sheetDataSet>
      <sheetData sheetId="0"/>
      <sheetData sheetId="1"/>
      <sheetData sheetId="2"/>
      <sheetData sheetId="3"/>
      <sheetData sheetId="4"/>
      <sheetData sheetId="5"/>
      <sheetData sheetId="6"/>
      <sheetData sheetId="7"/>
      <sheetData sheetId="8">
        <row r="7">
          <cell r="B7">
            <v>36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4">
          <cell r="B4">
            <v>267.75122979709363</v>
          </cell>
        </row>
        <row r="5">
          <cell r="B5">
            <v>100.85738113355137</v>
          </cell>
        </row>
        <row r="6">
          <cell r="B6">
            <v>71.308157055054892</v>
          </cell>
        </row>
        <row r="7">
          <cell r="B7">
            <v>69.334692687700809</v>
          </cell>
        </row>
        <row r="8">
          <cell r="B8">
            <v>10.451851736728866</v>
          </cell>
        </row>
        <row r="9">
          <cell r="B9">
            <v>21.086485546971666</v>
          </cell>
        </row>
        <row r="10">
          <cell r="B10">
            <v>38.729436581776476</v>
          </cell>
        </row>
        <row r="11">
          <cell r="B11">
            <v>22.969374423611221</v>
          </cell>
        </row>
        <row r="12">
          <cell r="B12">
            <v>4.7334775676158607</v>
          </cell>
        </row>
        <row r="13">
          <cell r="B13">
            <v>28.437179451427561</v>
          </cell>
        </row>
        <row r="14">
          <cell r="B14">
            <v>85.203660215207236</v>
          </cell>
        </row>
      </sheetData>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EnerSupplyEmissions"/>
      <sheetName val="Final&amp;Elec"/>
      <sheetName val="Primary"/>
      <sheetName val="PrimaryComposition"/>
      <sheetName val="GridIntensity"/>
      <sheetName val="CDR &amp; Electricity"/>
      <sheetName val="CH4Ener"/>
      <sheetName val="RES%2030"/>
      <sheetName val="RES%2035"/>
      <sheetName val="RES%IP2only"/>
      <sheetName val="ElecMix"/>
      <sheetName val="FinalEnerShares"/>
      <sheetName val="Hydrogen"/>
      <sheetName val="RES_FF55vs2040"/>
      <sheetName val="CapacityWindSolar"/>
      <sheetName val="WindCapacityFactor"/>
      <sheetName val="ResComm&amp;Agri"/>
      <sheetName val="HeatPumps"/>
      <sheetName val="Industry"/>
      <sheetName val="Agriculture"/>
      <sheetName val="LULUCF"/>
      <sheetName val="Sheet2"/>
      <sheetName val="Transport"/>
    </sheetNames>
    <sheetDataSet>
      <sheetData sheetId="0"/>
      <sheetData sheetId="1">
        <row r="168">
          <cell r="I168">
            <v>1193.282093753824</v>
          </cell>
        </row>
      </sheetData>
      <sheetData sheetId="2">
        <row r="10">
          <cell r="U10">
            <v>1472.5667976399998</v>
          </cell>
        </row>
      </sheetData>
      <sheetData sheetId="3"/>
      <sheetData sheetId="4"/>
      <sheetData sheetId="5"/>
      <sheetData sheetId="6"/>
      <sheetData sheetId="7"/>
      <sheetData sheetId="8"/>
      <sheetData sheetId="9"/>
      <sheetData sheetId="10">
        <row r="102">
          <cell r="AN102">
            <v>0.60321447774681525</v>
          </cell>
        </row>
      </sheetData>
      <sheetData sheetId="11"/>
      <sheetData sheetId="12"/>
      <sheetData sheetId="13"/>
      <sheetData sheetId="14"/>
      <sheetData sheetId="15"/>
      <sheetData sheetId="16">
        <row r="138">
          <cell r="AO138">
            <v>261.24919999999997</v>
          </cell>
        </row>
      </sheetData>
      <sheetData sheetId="17"/>
      <sheetData sheetId="18">
        <row r="24">
          <cell r="AA24">
            <v>760.88289999999995</v>
          </cell>
          <cell r="AF24">
            <v>715.61069999999995</v>
          </cell>
          <cell r="AK24">
            <v>639.7804000000001</v>
          </cell>
          <cell r="AP24">
            <v>455.4076</v>
          </cell>
          <cell r="AU24">
            <v>239.4605</v>
          </cell>
          <cell r="AZ24">
            <v>88.569699999999997</v>
          </cell>
          <cell r="BE24">
            <v>18.998699999999999</v>
          </cell>
          <cell r="BJ24">
            <v>5.2356999999999978</v>
          </cell>
        </row>
        <row r="25">
          <cell r="AA25">
            <v>760.88289999999995</v>
          </cell>
          <cell r="AF25">
            <v>715.61069999999995</v>
          </cell>
          <cell r="AK25">
            <v>643.80939999999998</v>
          </cell>
          <cell r="AP25">
            <v>471.55219999999997</v>
          </cell>
          <cell r="AU25">
            <v>332.70870000000002</v>
          </cell>
          <cell r="AZ25">
            <v>128.749</v>
          </cell>
          <cell r="BE25">
            <v>58.303300000000007</v>
          </cell>
          <cell r="BJ25">
            <v>21.707699999999999</v>
          </cell>
        </row>
        <row r="42">
          <cell r="V42">
            <v>403.73572455999999</v>
          </cell>
          <cell r="AA42">
            <v>397.66187078000002</v>
          </cell>
          <cell r="AF42">
            <v>389.83966427999997</v>
          </cell>
          <cell r="AK42">
            <v>383.92344886000001</v>
          </cell>
          <cell r="AP42">
            <v>323.02966115999999</v>
          </cell>
          <cell r="AU42">
            <v>272.69286665999999</v>
          </cell>
          <cell r="AZ42">
            <v>239.02752296</v>
          </cell>
          <cell r="BE42">
            <v>232.96083456</v>
          </cell>
          <cell r="BJ42">
            <v>231.86930834</v>
          </cell>
        </row>
        <row r="43">
          <cell r="V43">
            <v>403.73572455999999</v>
          </cell>
          <cell r="AA43">
            <v>397.66187078000002</v>
          </cell>
          <cell r="AF43">
            <v>389.83966427999997</v>
          </cell>
          <cell r="AK43">
            <v>384.92182513999995</v>
          </cell>
          <cell r="AP43">
            <v>324.98103297999995</v>
          </cell>
          <cell r="AU43">
            <v>283.26896754000001</v>
          </cell>
          <cell r="AZ43">
            <v>251.71263402</v>
          </cell>
          <cell r="BE43">
            <v>245.22318819999998</v>
          </cell>
          <cell r="BJ43">
            <v>249.31223172</v>
          </cell>
        </row>
        <row r="44">
          <cell r="V44">
            <v>403.73572455999999</v>
          </cell>
          <cell r="AA44">
            <v>397.66187078000002</v>
          </cell>
          <cell r="AF44">
            <v>389.83966427999997</v>
          </cell>
          <cell r="AK44">
            <v>384.28888324000002</v>
          </cell>
          <cell r="AP44">
            <v>324.98103297999995</v>
          </cell>
          <cell r="AU44">
            <v>283.26896754000001</v>
          </cell>
          <cell r="AZ44">
            <v>251.71263402</v>
          </cell>
          <cell r="BE44">
            <v>238.64775781999998</v>
          </cell>
          <cell r="BJ44">
            <v>232.17741968000001</v>
          </cell>
        </row>
        <row r="219">
          <cell r="AP219">
            <v>0.46673361382793255</v>
          </cell>
          <cell r="AZ219">
            <v>0.22283393301712273</v>
          </cell>
          <cell r="BJ219">
            <v>6.8479246481394737E-2</v>
          </cell>
        </row>
        <row r="220">
          <cell r="AP220">
            <v>0.1707813638975022</v>
          </cell>
          <cell r="AZ220">
            <v>0.1976997335922355</v>
          </cell>
          <cell r="BJ220">
            <v>0.19428401650154259</v>
          </cell>
        </row>
        <row r="221">
          <cell r="AP221">
            <v>0.29238379491417138</v>
          </cell>
          <cell r="AZ221">
            <v>0.42109275829220488</v>
          </cell>
          <cell r="BJ221">
            <v>0.47221191967596332</v>
          </cell>
        </row>
        <row r="222">
          <cell r="AP222">
            <v>7.0104923107641423E-2</v>
          </cell>
          <cell r="AZ222">
            <v>0.15836865853073123</v>
          </cell>
          <cell r="BJ222">
            <v>0.23539492171674273</v>
          </cell>
        </row>
      </sheetData>
      <sheetData sheetId="19">
        <row r="36">
          <cell r="AP36">
            <v>318.13536699999997</v>
          </cell>
        </row>
      </sheetData>
      <sheetData sheetId="20">
        <row r="2">
          <cell r="AO2">
            <v>-293.89269999999999</v>
          </cell>
        </row>
      </sheetData>
      <sheetData sheetId="21"/>
      <sheetData sheetId="22">
        <row r="2">
          <cell r="U2">
            <v>765.86789999999996</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eter Lemmens" refreshedDate="45132.421340277775" createdVersion="8" refreshedVersion="8" minRefreshableVersion="3" recordCount="54" xr:uid="{1A3E4F7B-C51D-491F-B313-647280AF4D02}">
  <cacheSource type="worksheet">
    <worksheetSource ref="A1:H55" sheet="Figure 21. emissions profile"/>
  </cacheSource>
  <cacheFields count="8">
    <cacheField name="Sector 1" numFmtId="0">
      <sharedItems/>
    </cacheField>
    <cacheField name="Source" numFmtId="0">
      <sharedItems containsBlank="1"/>
    </cacheField>
    <cacheField name="2019 (kt CO2e)" numFmtId="3">
      <sharedItems containsString="0" containsBlank="1" containsNumber="1" minValue="0.98787000000000003" maxValue="428579.89530152688"/>
    </cacheField>
    <cacheField name="2019 (Mt CO2e)" numFmtId="3">
      <sharedItems containsSemiMixedTypes="0" containsString="0" containsNumber="1" minValue="0" maxValue="428.5798953015269"/>
    </cacheField>
    <cacheField name="2021 (kt CO2e)" numFmtId="3">
      <sharedItems containsString="0" containsBlank="1" containsNumber="1" minValue="25.470479999999998" maxValue="439540.13245647895"/>
    </cacheField>
    <cacheField name="2021 (Mt CO2e)" numFmtId="3">
      <sharedItems containsSemiMixedTypes="0" containsString="0" containsNumber="1" minValue="0" maxValue="439.54013245647894"/>
    </cacheField>
    <cacheField name="Sector 2" numFmtId="0">
      <sharedItems count="5">
        <s v="aggregate"/>
        <s v="Iron and steel"/>
        <s v="other"/>
        <s v="Chemicals"/>
        <s v="cement and lime"/>
      </sharedItems>
    </cacheField>
    <cacheField name="Sector 3" numFmtId="0">
      <sharedItems count="10">
        <s v="aggregate"/>
        <s v="iron and steel"/>
        <s v="other ferrous and non-ferrous"/>
        <s v="chemicals"/>
        <s v="pulp and paper"/>
        <s v="food, beverages and tobacco"/>
        <s v="cement and lime"/>
        <s v="other non-metalic minerals"/>
        <s v="other"/>
        <s v="F-gas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eter Lemmens" refreshedDate="45134.423517361109" createdVersion="8" refreshedVersion="8" minRefreshableVersion="3" recordCount="48" xr:uid="{A3B70EC2-9DE4-48A8-A9F7-FEEA22AFB85C}">
  <cacheSource type="worksheet">
    <worksheetSource ref="A14:AN62" sheet="I7a,b&amp;c. Low carbon projects"/>
  </cacheSource>
  <cacheFields count="40">
    <cacheField name="Company" numFmtId="0">
      <sharedItems/>
    </cacheField>
    <cacheField name="Project name (if applicable)" numFmtId="0">
      <sharedItems/>
    </cacheField>
    <cacheField name="Project website" numFmtId="0">
      <sharedItems/>
    </cacheField>
    <cacheField name="GEM Project ID" numFmtId="0">
      <sharedItems/>
    </cacheField>
    <cacheField name="2030 climate target" numFmtId="0">
      <sharedItems/>
    </cacheField>
    <cacheField name="2050 climate target" numFmtId="0">
      <sharedItems/>
    </cacheField>
    <cacheField name="[ref] Climate target " numFmtId="0">
      <sharedItems/>
    </cacheField>
    <cacheField name="2021 company production (Mtpa, million tonnes steel p.a.) (source: World Steel in Figures 2022)" numFmtId="0">
      <sharedItems containsMixedTypes="1" containsNumber="1" minValue="0" maxValue="79.260000000000005"/>
    </cacheField>
    <cacheField name="Country (in which project/investment is taking place)" numFmtId="0">
      <sharedItems/>
    </cacheField>
    <cacheField name="Location" numFmtId="0">
      <sharedItems/>
    </cacheField>
    <cacheField name="Latitude" numFmtId="172">
      <sharedItems containsSemiMixedTypes="0" containsString="0" containsNumber="1" minValue="38.687399999999997" maxValue="67.139064410000003"/>
    </cacheField>
    <cacheField name="Longitude" numFmtId="172">
      <sharedItems containsSemiMixedTypes="0" containsString="0" containsNumber="1" minValue="-5.8639999999999999" maxValue="27.976244000000001"/>
    </cacheField>
    <cacheField name="Coordinate accuracy" numFmtId="0">
      <sharedItems/>
    </cacheField>
    <cacheField name="Continent (in which project/investment is taking place)" numFmtId="0">
      <sharedItems/>
    </cacheField>
    <cacheField name=" [ref] Location" numFmtId="0">
      <sharedItems/>
    </cacheField>
    <cacheField name="Project scale" numFmtId="0">
      <sharedItems count="4">
        <s v="full scale"/>
        <s v="pilot"/>
        <s v="demo"/>
        <s v="R&amp;D partnership"/>
      </sharedItems>
    </cacheField>
    <cacheField name="[ref] Project scale " numFmtId="0">
      <sharedItems/>
    </cacheField>
    <cacheField name="Technology category" numFmtId="0">
      <sharedItems/>
    </cacheField>
    <cacheField name="technology group" numFmtId="0">
      <sharedItems count="5">
        <s v="DRI"/>
        <s v="CCS/CCU"/>
        <s v="other"/>
        <s v="H2 production"/>
        <s v="EAF"/>
      </sharedItems>
    </cacheField>
    <cacheField name="Hydrogen type (if applicable)" numFmtId="0">
      <sharedItems/>
    </cacheField>
    <cacheField name="Specific technology" numFmtId="0">
      <sharedItems/>
    </cacheField>
    <cacheField name=" [ref] Technology" numFmtId="0">
      <sharedItems/>
    </cacheField>
    <cacheField name="Year online" numFmtId="1">
      <sharedItems containsMixedTypes="1" containsNumber="1" containsInteger="1" minValue="2017" maxValue="2033"/>
    </cacheField>
    <cacheField name="[ref] Year online " numFmtId="0">
      <sharedItems longText="1"/>
    </cacheField>
    <cacheField name="Size (m USD)" numFmtId="2">
      <sharedItems containsMixedTypes="1" containsNumber="1" minValue="0.75" maxValue="32500"/>
    </cacheField>
    <cacheField name="[ref] Size " numFmtId="0">
      <sharedItems/>
    </cacheField>
    <cacheField name="Steel production capacity (million tonnes per year)" numFmtId="2">
      <sharedItems containsMixedTypes="1" containsNumber="1" minValue="1.825E-5" maxValue="5"/>
    </cacheField>
    <cacheField name="[ref] Steel production capacity " numFmtId="0">
      <sharedItems/>
    </cacheField>
    <cacheField name="Iron production capacity (million tonnes per year)" numFmtId="2">
      <sharedItems containsMixedTypes="1" containsNumber="1" minValue="0" maxValue="24.4"/>
    </cacheField>
    <cacheField name="[ref] Iron production capacity " numFmtId="0">
      <sharedItems/>
    </cacheField>
    <cacheField name="Hydrogen generation capacity (MW)" numFmtId="2">
      <sharedItems containsMixedTypes="1" containsNumber="1" minValue="0.72" maxValue="7400"/>
    </cacheField>
    <cacheField name="[ref] Hydrogen generation capacity " numFmtId="0">
      <sharedItems/>
    </cacheField>
    <cacheField name="Carbon capture capacity (million tonnes CO2 per year)" numFmtId="2">
      <sharedItems containsMixedTypes="1" containsNumber="1" minValue="4.3800000000000002E-3" maxValue="0.125"/>
    </cacheField>
    <cacheField name="[ref] Carbon capture capacity " numFmtId="0">
      <sharedItems/>
    </cacheField>
    <cacheField name="Partners" numFmtId="0">
      <sharedItems containsBlank="1"/>
    </cacheField>
    <cacheField name="[ref] Partners" numFmtId="0">
      <sharedItems containsBlank="1" longText="1"/>
    </cacheField>
    <cacheField name="Comments" numFmtId="0">
      <sharedItems longText="1"/>
    </cacheField>
    <cacheField name="[ref] Comments" numFmtId="0">
      <sharedItems longText="1"/>
    </cacheField>
    <cacheField name="Last update_x000a_(year-month-day)" numFmtId="14">
      <sharedItems containsSemiMixedTypes="0" containsNonDate="0" containsDate="1" containsString="0" minDate="2022-10-17T00:00:00" maxDate="2023-04-21T00:00:00"/>
    </cacheField>
    <cacheField name="Date of announcement (year-month-day)" numFmtId="14">
      <sharedItems containsSemiMixedTypes="0" containsNonDate="0" containsDate="1" containsString="0" minDate="2011-05-25T00:00:00" maxDate="2023-03-23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s v="1.A.2 - Manufacturing Industries and Construction"/>
    <s v="EEA GHG data viewer"/>
    <n v="428579.89530152688"/>
    <n v="428.5798953015269"/>
    <n v="439540.13245647895"/>
    <n v="439.54013245647894"/>
    <x v="0"/>
    <x v="0"/>
  </r>
  <r>
    <s v="1.A.2.a - Iron and Steel"/>
    <s v="EEA GHG data viewer"/>
    <n v="78548.166730805082"/>
    <n v="78.548166730805079"/>
    <n v="79592.43490907563"/>
    <n v="79.592434909075635"/>
    <x v="1"/>
    <x v="1"/>
  </r>
  <r>
    <s v="1.A.2.b - Non-Ferrous Metals"/>
    <s v="EEA GHG data viewer"/>
    <n v="8881.1902546650708"/>
    <n v="8.8811902546650714"/>
    <n v="9496.5355822698348"/>
    <n v="9.4965355822698356"/>
    <x v="2"/>
    <x v="2"/>
  </r>
  <r>
    <s v="1.A.2.c - Chemicals"/>
    <s v="EEA GHG data viewer"/>
    <n v="65596.111385736862"/>
    <n v="65.596111385736862"/>
    <n v="71819.845451372574"/>
    <n v="71.819845451372572"/>
    <x v="3"/>
    <x v="3"/>
  </r>
  <r>
    <s v="1.A.2.d - Pulp, Paper and Print"/>
    <s v="EEA GHG data viewer"/>
    <n v="24727.017692540565"/>
    <n v="24.727017692540564"/>
    <n v="23774.5763724512"/>
    <n v="23.7745763724512"/>
    <x v="2"/>
    <x v="4"/>
  </r>
  <r>
    <s v="1.A.2.e - Food Processing, Beverages and Tobacco"/>
    <s v="EEA GHG data viewer"/>
    <n v="36263.171644049522"/>
    <n v="36.263171644049521"/>
    <n v="36843.584531521999"/>
    <n v="36.843584531521998"/>
    <x v="2"/>
    <x v="5"/>
  </r>
  <r>
    <s v="1.A.2.f - Non-metallic minerals"/>
    <s v="EEA GHG data viewer"/>
    <n v="85877.741679636412"/>
    <n v="85.877741679636415"/>
    <n v="84372.778620151614"/>
    <n v="84.372778620151607"/>
    <x v="0"/>
    <x v="0"/>
  </r>
  <r>
    <s v="- of which cement and lime"/>
    <m/>
    <n v="53916.400395150311"/>
    <n v="53.916400395150312"/>
    <n v="28595.393280644388"/>
    <n v="28.595393280644387"/>
    <x v="4"/>
    <x v="6"/>
  </r>
  <r>
    <s v="- of which other non-metalic minerals"/>
    <m/>
    <n v="31961.341284486101"/>
    <n v="31.961341284486103"/>
    <n v="55777.385339507222"/>
    <n v="55.777385339507219"/>
    <x v="2"/>
    <x v="7"/>
  </r>
  <r>
    <s v="1.A.2.g - Other Manufacturing Industries and Constructions"/>
    <s v="EEA GHG data viewer"/>
    <n v="128686.49591409335"/>
    <n v="128.68649591409334"/>
    <n v="133640.37698963605"/>
    <n v="133.64037698963605"/>
    <x v="2"/>
    <x v="8"/>
  </r>
  <r>
    <s v="2 - Industrial Processes and Product Use"/>
    <s v="EEA GHG data viewer"/>
    <n v="331548.23411447776"/>
    <n v="331.54823411447774"/>
    <n v="317933.96133956104"/>
    <n v="317.93396133956105"/>
    <x v="0"/>
    <x v="0"/>
  </r>
  <r>
    <s v="2.A - Mineral Industry"/>
    <s v="EEA GHG data viewer"/>
    <n v="105196.88859696107"/>
    <n v="105.19688859696107"/>
    <n v="104085.6353282105"/>
    <n v="104.0856353282105"/>
    <x v="0"/>
    <x v="0"/>
  </r>
  <r>
    <s v="2.A.1 - Cement Production"/>
    <s v="EEA GHG data viewer"/>
    <n v="73556.099877739558"/>
    <n v="73.556099877739555"/>
    <n v="72419.613292998023"/>
    <n v="72.419613292998022"/>
    <x v="4"/>
    <x v="6"/>
  </r>
  <r>
    <s v="2.A.2 - Lime Production"/>
    <s v="EEA GHG data viewer"/>
    <n v="17703.412727110128"/>
    <n v="17.703412727110127"/>
    <n v="17728.138426357593"/>
    <n v="17.728138426357592"/>
    <x v="4"/>
    <x v="6"/>
  </r>
  <r>
    <s v="2.A.3 - Glass production"/>
    <s v="EEA GHG data viewer"/>
    <n v="3969.1734976424004"/>
    <n v="3.9691734976424002"/>
    <n v="4064.7184127660585"/>
    <n v="4.0647184127660587"/>
    <x v="2"/>
    <x v="7"/>
  </r>
  <r>
    <s v="2.A.4 - Other Process Uses of Carbonates"/>
    <s v="EEA GHG data viewer"/>
    <n v="9968.2024944689601"/>
    <n v="9.9682024944689598"/>
    <n v="9873.1651960888321"/>
    <n v="9.8731651960888325"/>
    <x v="2"/>
    <x v="7"/>
  </r>
  <r>
    <s v="2.B - Chemical Industry"/>
    <s v="EEA GHG data viewer"/>
    <n v="55714.869323474144"/>
    <n v="55.714869323474147"/>
    <n v="52045.29287477328"/>
    <n v="52.045292874773281"/>
    <x v="0"/>
    <x v="0"/>
  </r>
  <r>
    <s v="2.B.1 - Ammonia Production"/>
    <s v="EEA GHG data viewer"/>
    <n v="19943.800860870513"/>
    <n v="19.943800860870514"/>
    <n v="19301.4601380491"/>
    <n v="19.301460138049102"/>
    <x v="3"/>
    <x v="3"/>
  </r>
  <r>
    <s v="2.B.2 - Nitric Acid Production"/>
    <s v="EEA GHG data viewer"/>
    <n v="2745.4540247965019"/>
    <n v="2.7454540247965018"/>
    <n v="2397.6388557050673"/>
    <n v="2.3976388557050674"/>
    <x v="3"/>
    <x v="3"/>
  </r>
  <r>
    <s v="2.B.3 - Adipic Acid Production"/>
    <s v="EEA GHG data viewer"/>
    <n v="283.23686574907759"/>
    <n v="0.28323686574907758"/>
    <n v="143.74206055109971"/>
    <n v="0.1437420605510997"/>
    <x v="3"/>
    <x v="3"/>
  </r>
  <r>
    <s v="2.B.4 - Caprolactam, Glyoxal and Glyoxylic Acid Production"/>
    <s v="EEA GHG data viewer"/>
    <n v="1508.009188945"/>
    <n v="1.508009188945"/>
    <n v="1035.4030582800001"/>
    <n v="1.03540305828"/>
    <x v="3"/>
    <x v="3"/>
  </r>
  <r>
    <s v="2.B.5 - Carbide Production"/>
    <s v="EEA GHG data viewer"/>
    <n v="270.93929033011773"/>
    <n v="0.27093929033011771"/>
    <n v="262.11688764137131"/>
    <n v="0.26211688764137131"/>
    <x v="3"/>
    <x v="3"/>
  </r>
  <r>
    <s v="2.B.6 - Titanium Dioxide Production"/>
    <s v="EEA GHG data viewer"/>
    <n v="120.0983662238"/>
    <n v="0.1200983662238"/>
    <n v="123.50909324"/>
    <n v="0.12350909323999999"/>
    <x v="3"/>
    <x v="3"/>
  </r>
  <r>
    <s v="2.B.7 - Soda Ash Production"/>
    <s v="EEA GHG data viewer"/>
    <n v="1948.8550612818208"/>
    <n v="1.9488550612818207"/>
    <n v="1832.150967278757"/>
    <n v="1.832150967278757"/>
    <x v="3"/>
    <x v="3"/>
  </r>
  <r>
    <s v="2.B.8 - Petrochemical and Carbon Black Production"/>
    <s v="EEA GHG data viewer"/>
    <n v="12895.283582661827"/>
    <n v="12.895283582661827"/>
    <n v="13207.576563026958"/>
    <n v="13.207576563026958"/>
    <x v="3"/>
    <x v="3"/>
  </r>
  <r>
    <s v="2.B.9 - Fluorochemical Production"/>
    <s v="EEA GHG data viewer"/>
    <n v="2662.6250084984613"/>
    <n v="2.6626250084984613"/>
    <n v="1051.1049277281634"/>
    <n v="1.0511049277281634"/>
    <x v="3"/>
    <x v="3"/>
  </r>
  <r>
    <s v="2.B.10 - Other chemical industry"/>
    <s v="EEA GHG data viewer"/>
    <n v="13336.567074116929"/>
    <n v="13.336567074116928"/>
    <n v="12690.590323272878"/>
    <n v="12.690590323272877"/>
    <x v="3"/>
    <x v="3"/>
  </r>
  <r>
    <s v="2.C - Metal Industry"/>
    <s v="EEA GHG data viewer"/>
    <n v="74906.840789959635"/>
    <n v="74.906840789959631"/>
    <n v="74664.26758996697"/>
    <n v="74.664267589966968"/>
    <x v="0"/>
    <x v="0"/>
  </r>
  <r>
    <s v="2.C.1 - Iron and Steel Production"/>
    <s v="EEA GHG data viewer"/>
    <n v="66815.249566039172"/>
    <n v="66.815249566039171"/>
    <n v="67422.420057336611"/>
    <n v="67.422420057336609"/>
    <x v="1"/>
    <x v="1"/>
  </r>
  <r>
    <s v="2.C.2 - Ferroalloys Production"/>
    <s v="EEA GHG data viewer"/>
    <n v="2609.3177792333195"/>
    <n v="2.6093177792333195"/>
    <n v="2189.1354453742538"/>
    <n v="2.1891354453742538"/>
    <x v="2"/>
    <x v="2"/>
  </r>
  <r>
    <s v="2.C.3 - Aluminium Production"/>
    <s v="EEA GHG data viewer"/>
    <n v="3434.1316379304781"/>
    <n v="3.434131637930478"/>
    <n v="3215.5850853629172"/>
    <n v="3.2155850853629171"/>
    <x v="2"/>
    <x v="2"/>
  </r>
  <r>
    <s v="2.C.4 - Magnesium Production"/>
    <s v="EEA GHG data viewer"/>
    <n v="70.649640361445734"/>
    <n v="7.0649640361445734E-2"/>
    <n v="68.727014999999994"/>
    <n v="6.8727014999999989E-2"/>
    <x v="2"/>
    <x v="2"/>
  </r>
  <r>
    <s v="2.C.5 - Lead Production"/>
    <s v="EEA GHG data viewer"/>
    <n v="202.97435505708023"/>
    <n v="0.20297435505708022"/>
    <n v="204.42807844468899"/>
    <n v="0.20442807844468899"/>
    <x v="2"/>
    <x v="2"/>
  </r>
  <r>
    <s v="2.C.6 - Zinc Production"/>
    <s v="EEA GHG data viewer"/>
    <n v="1062.3407114966801"/>
    <n v="1.0623407114966801"/>
    <n v="1017.5232117510143"/>
    <n v="1.0175232117510142"/>
    <x v="2"/>
    <x v="2"/>
  </r>
  <r>
    <s v="2.C.7 - Other Metal Industry"/>
    <s v="EEA GHG data viewer"/>
    <n v="712.1770998415376"/>
    <n v="0.71217709984153754"/>
    <n v="546.44869669748016"/>
    <n v="0.5464486966974802"/>
    <x v="2"/>
    <x v="2"/>
  </r>
  <r>
    <s v="2.D - Non-energy Products from Fuels and Solvent Use"/>
    <s v="EEA GHG data viewer"/>
    <n v="7233.6302384787405"/>
    <n v="7.2336302384787405"/>
    <n v="7723.1542300165811"/>
    <n v="7.723154230016581"/>
    <x v="0"/>
    <x v="0"/>
  </r>
  <r>
    <s v="2.D.1 - Lubricant Use"/>
    <s v="EEA GHG data viewer"/>
    <n v="2272.8986779942047"/>
    <n v="2.2728986779942049"/>
    <n v="1965.924935071778"/>
    <n v="1.965924935071778"/>
    <x v="2"/>
    <x v="8"/>
  </r>
  <r>
    <s v="2.D.2 - Paraffin Wax Use"/>
    <s v="EEA GHG data viewer"/>
    <n v="1042.0915200021325"/>
    <n v="1.0420915200021326"/>
    <n v="1116.0717748774418"/>
    <n v="1.1160717748774418"/>
    <x v="2"/>
    <x v="8"/>
  </r>
  <r>
    <s v="2.D.3 - Other non energy products"/>
    <s v="EEA GHG data viewer"/>
    <n v="3918.6400404824035"/>
    <n v="3.9186400404824036"/>
    <n v="4641.1575200673615"/>
    <n v="4.6411575200673614"/>
    <x v="2"/>
    <x v="8"/>
  </r>
  <r>
    <s v="2.E - Electronics Industry"/>
    <s v="EEA GHG data viewer"/>
    <n v="793.39719993542849"/>
    <n v="0.79339719993542845"/>
    <n v="767.67389461209575"/>
    <n v="0.76767389461209579"/>
    <x v="0"/>
    <x v="0"/>
  </r>
  <r>
    <s v="2.E.1 - Integrated Circuit or Semiconductor"/>
    <s v="EEA GHG data viewer"/>
    <n v="769.11721493542848"/>
    <n v="0.76911721493542851"/>
    <n v="742.20341461209568"/>
    <n v="0.74220341461209571"/>
    <x v="2"/>
    <x v="8"/>
  </r>
  <r>
    <s v="2.E.2 - TFT Flat Panel Display"/>
    <s v="EEA GHG data viewer"/>
    <m/>
    <n v="0"/>
    <m/>
    <n v="0"/>
    <x v="2"/>
    <x v="8"/>
  </r>
  <r>
    <s v="2.E.3 - Photovoltaics"/>
    <s v="EEA GHG data viewer"/>
    <m/>
    <n v="0"/>
    <m/>
    <n v="0"/>
    <x v="2"/>
    <x v="8"/>
  </r>
  <r>
    <s v="2.E.4 - Heat Transfer Fluid"/>
    <s v="EEA GHG data viewer"/>
    <n v="23.292115000000003"/>
    <n v="2.3292115000000002E-2"/>
    <n v="25.470479999999998"/>
    <n v="2.5470479999999997E-2"/>
    <x v="2"/>
    <x v="8"/>
  </r>
  <r>
    <s v="2.E.5 - Other electronics industry"/>
    <s v="EEA GHG data viewer"/>
    <n v="0.98787000000000003"/>
    <n v="9.8787000000000007E-4"/>
    <m/>
    <n v="0"/>
    <x v="2"/>
    <x v="8"/>
  </r>
  <r>
    <s v="2.F - Product Uses as Substitutes for ODS"/>
    <s v="EEA GHG data viewer"/>
    <n v="78104.078323960901"/>
    <n v="78.104078323960906"/>
    <n v="70842.224861149269"/>
    <n v="70.842224861149262"/>
    <x v="0"/>
    <x v="0"/>
  </r>
  <r>
    <s v="2.F.1 - Refrigeration and Air conditioning"/>
    <s v="EEA GHG data viewer"/>
    <n v="71756.134994041175"/>
    <n v="71.756134994041176"/>
    <n v="65043.871152967047"/>
    <n v="65.043871152967043"/>
    <x v="2"/>
    <x v="9"/>
  </r>
  <r>
    <s v="2.F.2 - Foam Blowing Agents"/>
    <s v="EEA GHG data viewer"/>
    <n v="1828.9242758980402"/>
    <n v="1.8289242758980402"/>
    <n v="1634.5317176040251"/>
    <n v="1.634531717604025"/>
    <x v="2"/>
    <x v="9"/>
  </r>
  <r>
    <s v="2.F.3 - Fire Protection"/>
    <s v="EEA GHG data viewer"/>
    <n v="2403.7241102733619"/>
    <n v="2.403724110273362"/>
    <n v="2383.2846552475826"/>
    <n v="2.3832846552475826"/>
    <x v="2"/>
    <x v="9"/>
  </r>
  <r>
    <s v="2.F.4 - Aerosols"/>
    <s v="EEA GHG data viewer"/>
    <n v="1948.0514051170717"/>
    <n v="1.9480514051170716"/>
    <n v="1619.8323444836074"/>
    <n v="1.6198323444836074"/>
    <x v="2"/>
    <x v="9"/>
  </r>
  <r>
    <s v="2.F.5 - Solvents"/>
    <s v="EEA GHG data viewer"/>
    <n v="33.560718000000001"/>
    <n v="3.3560718000000003E-2"/>
    <n v="30.522549600000001"/>
    <n v="3.0522549600000001E-2"/>
    <x v="2"/>
    <x v="9"/>
  </r>
  <r>
    <s v="2.F.6 - Other Applications"/>
    <s v="EEA GHG data viewer"/>
    <n v="133.68282063125199"/>
    <n v="0.13368282063125198"/>
    <n v="130.18244124698703"/>
    <n v="0.13018244124698702"/>
    <x v="2"/>
    <x v="9"/>
  </r>
  <r>
    <s v="2.G - Other Product Manufacture and Use"/>
    <s v="EEA GHG data viewer"/>
    <n v="9224.8451978579869"/>
    <n v="9.2248451978579862"/>
    <n v="7473.034007553606"/>
    <n v="7.4730340075536059"/>
    <x v="2"/>
    <x v="8"/>
  </r>
  <r>
    <s v="2.H - Other Industrial Process and Product Use"/>
    <s v="EEA GHG data viewer"/>
    <n v="373.68444384989874"/>
    <n v="0.37368444384989874"/>
    <n v="332.67855327873514"/>
    <n v="0.33267855327873513"/>
    <x v="2"/>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ArcelorMittal"/>
    <s v="N/A"/>
    <s v="N/A"/>
    <s v="SBE00001-1"/>
    <s v="35% reduction in Europe (baseline 2018)"/>
    <s v="carbon neutrality"/>
    <s v="https://corporate-media.arcelormittal.com/media/ob3lpdom/car_2.pdf"/>
    <n v="79.260000000000005"/>
    <s v="Belgium"/>
    <s v="Ghent"/>
    <n v="51.169929000000003"/>
    <n v="3.804462"/>
    <s v="TBC"/>
    <s v="Europe"/>
    <s v="https://corporate.arcelormittal.com/media/press-releases/arcelormittal-signs-letter-of-intent-with-the-governments-of-belgium-and-flanders-supporting-1-1-billion-investment-in-decarbonisation-technologies-at-its-flagship-gent-plant"/>
    <x v="0"/>
    <s v="https://corporate.arcelormittal.com/media/press-releases/arcelormittal-signs-letter-of-intent-with-the-governments-of-belgium-and-flanders-supporting-1-1-billion-investment-in-decarbonisation-technologies-at-its-flagship-gent-plant"/>
    <s v="NG-DR --&gt; H-DR &amp; EAF"/>
    <x v="0"/>
    <s v="Green electrolytic"/>
    <s v="NG-DR --&gt; H-DR &amp; EAF"/>
    <s v="https://corporate.arcelormittal.com/media/press-releases/arcelormittal-signs-letter-of-intent-with-the-governments-of-belgium-and-flanders-supporting-1-1-billion-investment-in-decarbonisation-technologies-at-its-flagship-gent-plant"/>
    <n v="2030"/>
    <s v="https://corporate.arcelormittal.com/media/press-releases/arcelormittal-signs-letter-of-intent-with-the-governments-of-belgium-and-flanders-supporting-1-1-billion-investment-in-decarbonisation-technologies-at-its-flagship-gent-plant"/>
    <n v="1237"/>
    <s v="https://corporate.arcelormittal.com/media/press-releases/arcelormittal-signs-letter-of-intent-with-the-governments-of-belgium-and-flanders-supporting-1-1-billion-investment-in-decarbonisation-technologies-at-its-flagship-gent-plant"/>
    <s v="Not stated"/>
    <s v="https://corporate.arcelormittal.com/media/press-releases/arcelormittal-signs-letter-of-intent-with-the-governments-of-belgium-and-flanders-supporting-1-1-billion-investment-in-decarbonisation-technologies-at-its-flagship-gent-plant"/>
    <n v="2.5"/>
    <s v="https://corporate.arcelormittal.com/media/press-releases/arcelormittal-signs-letter-of-intent-with-the-governments-of-belgium-and-flanders-supporting-1-1-billion-investment-in-decarbonisation-technologies-at-its-flagship-gent-plant"/>
    <s v="N/A"/>
    <s v="https://corporate.arcelormittal.com/media/press-releases/arcelormittal-signs-letter-of-intent-with-the-governments-of-belgium-and-flanders-supporting-1-1-billion-investment-in-decarbonisation-technologies-at-its-flagship-gent-plant"/>
    <s v="N/A"/>
    <s v="https://corporate.arcelormittal.com/media/press-releases/arcelormittal-signs-letter-of-intent-with-the-governments-of-belgium-and-flanders-supporting-1-1-billion-investment-in-decarbonisation-technologies-at-its-flagship-gent-plant"/>
    <s v="N/A"/>
    <s v="https://corporate.arcelormittal.com/media/press-releases/arcelormittal-signs-letter-of-intent-with-the-governments-of-belgium-and-flanders-supporting-1-1-billion-investment-in-decarbonisation-technologies-at-its-flagship-gent-plant"/>
    <s v="2022-10-17 No further comment_x000a__x000a_Letters of intent signed between ArcelorMittal and Belgium and Flanders governments "/>
    <s v="https://corporate.arcelormittal.com/media/press-releases/arcelormittal-signs-letter-of-intent-with-the-governments-of-belgium-and-flanders-supporting-1-1-billion-investment-in-decarbonisation-technologies-at-its-flagship-gent-plant"/>
    <d v="2022-10-17T00:00:00"/>
    <d v="2021-09-28T00:00:00"/>
  </r>
  <r>
    <s v="ArcelorMittal"/>
    <s v="3D"/>
    <s v="https://3d-ccus.com/"/>
    <s v="SFR00001"/>
    <s v="35% reduction in Europe (baseline 2018)"/>
    <s v="carbon neutrality"/>
    <s v="https://corporate-media.arcelormittal.com/media/ob3lpdom/car_2.pdf"/>
    <n v="79.260000000000005"/>
    <s v="France"/>
    <s v="Dunkirk"/>
    <n v="51.041274000000001"/>
    <n v="2.292948"/>
    <s v="exact"/>
    <s v="Europe"/>
    <s v="https://flateurope.arcelormittal.com/ourmills/704/dunkerque"/>
    <x v="1"/>
    <s v="https://3d-ccus.com/3d-publications/#press"/>
    <s v="CCS"/>
    <x v="1"/>
    <s v="N/A"/>
    <s v="CCS"/>
    <s v="https://3d-ccus.com/3d-overview/"/>
    <n v="2021"/>
    <s v="https://3d-ccus.com/3d-overview/"/>
    <n v="22.8"/>
    <s v="https://3d-ccus.com/"/>
    <s v="N/A"/>
    <s v="https://3d-ccus.com/3d-overview/"/>
    <s v="N/A"/>
    <s v="https://3d-ccus.com/3d-overview/"/>
    <s v="N/A"/>
    <s v="https://3d-ccus.com/3d-overview/"/>
    <n v="5.0000000000000001E-3"/>
    <s v="https://3d-ccus.com/3d-overview/"/>
    <s v="Axens, Total, Air Products, Brevik Engineering, CMI, DTU, Gassco, RWTH and Uetikon."/>
    <s v="https://3d-ccus.com/3d-project-partners/"/>
    <s v="2022-10-17 No further comment // 2022-05-25: No further comment  // Horizon 2020 project; aims to scale up to 1MtCO2 by 2025 and 10MtCO2 by 2035. // 02/03: Pilot running. Scheduled to last for 12 to 18 months, is the final stage before the technology’s full-scale deployment. "/>
    <s v="https://totalenergies.com/media/news/press-releases/france-start-3d-carbon-capture-pilot-dunkirk"/>
    <d v="2022-10-17T00:00:00"/>
    <d v="2019-03-06T00:00:00"/>
  </r>
  <r>
    <s v="ArcelorMittal"/>
    <s v="N/A"/>
    <s v="N/A"/>
    <s v="SFR00001"/>
    <s v="35% reduction in Europe (baseline 2018)"/>
    <s v="carbon neutrality"/>
    <s v="https://corporate-media.arcelormittal.com/media/ob3lpdom/car_2.pdf"/>
    <n v="79.260000000000005"/>
    <s v="France"/>
    <s v="Dunkirk"/>
    <n v="51.041274000000001"/>
    <n v="2.292948"/>
    <s v="exact"/>
    <s v="Europe"/>
    <s v="https://flateurope.arcelormittal.com/ourmills/704/dunkerque"/>
    <x v="0"/>
    <s v="https://corporate.arcelormittal.com/media/news-articles/air-liquide-and-arcelormittal-join-forces-to-accelerate-the-decarbonisation-of-steel-production-in-the-dunkirk-industrial-basin"/>
    <s v="H-DR"/>
    <x v="0"/>
    <s v="Blue"/>
    <s v="H-DR + EAF &amp; CCS"/>
    <s v="https://corporate.arcelormittal.com/media/news-articles/air-liquide-and-arcelormittal-join-forces-to-accelerate-the-decarbonisation-of-steel-production-in-the-dunkirk-industrial-basin"/>
    <n v="2027"/>
    <s v="https://corporate.arcelormittal.com/media/press-releases/arcelormittal-accelerates-its-decarbonisation-with-a-1-7-billion-investment-programme-in-france-supported-by-the-french-government"/>
    <s v="Not stated"/>
    <s v="https://corporate.arcelormittal.com/media/news-articles/air-liquide-and-arcelormittal-join-forces-to-accelerate-the-decarbonisation-of-steel-production-in-the-dunkirk-industrial-basin"/>
    <s v="Not stated"/>
    <s v="https://corporate.arcelormittal.com/media/news-articles/air-liquide-and-arcelormittal-join-forces-to-accelerate-the-decarbonisation-of-steel-production-in-the-dunkirk-industrial-basin"/>
    <n v="2.5"/>
    <s v="https://corporate.arcelormittal.com/media/press-releases/arcelormittal-accelerates-its-decarbonisation-with-a-1-7-billion-investment-programme-in-france-supported-by-the-french-government"/>
    <s v="N/A"/>
    <s v="https://www.steelorbis.com/steel-news/latest-news/arcelormittal-and-air-liquide-join-forces-for-decarbonization-of-steelmaking-in-dunkirk-1191099.htm"/>
    <n v="4.3800000000000002E-3"/>
    <s v="https://france.arcelormittal.com/news/2019/dec/arcelormittal-europe-se-fixe-comme-objectif-de-reduire-ses-emissions-de-co2.aspx"/>
    <s v="Air Liquide"/>
    <s v="https://corporate.arcelormittal.com/media/news-articles/air-liquide-and-arcelormittal-join-forces-to-accelerate-the-decarbonisation-of-steel-production-in-the-dunkirk-industrial-basin"/>
    <s v="2022-10-17 No further comments //  2022-05-17 No further comments. // 2022-02-04: Support from the French Government for ArcelorMittal’s decarbonization programme in France, which involves a €1.7 billion investment in its Fos-sur-Mer and Dunkirk sites in France. The partnership between ArcelorMittal and the French government for the projects is subject to EU approval, which is anticipated by the second quarter of this year, as well as the availability of economically viable energy infrastructure and supply. https://corporate.arcelormittal.com/media/press-releases/arcelormittal-accelerates-its-decarbonisation-with-a-1-7-billion-investment-programme-in-france-supported-by-the-french-government. _x000a__x000a_Using &quot;low-carbon&quot; hydrogen. MoU signed. Applied for Important Project of Common European Interest (IPCEI). The new industrial facilities will be operational starting in 2027 and will gradually replace 3 out of 5 of ArcelorMittal’s blast furnaces in France by 2030 (2 out of 3 in Dunkirk, 1 out of 2 in Fos). "/>
    <s v="https://corporate.arcelormittal.com/media/news-articles/air-liquide-and-arcelormittal-join-forces-to-accelerate-the-decarbonisation-of-steel-production-in-the-dunkirk-industrial-basin // https://corporate.arcelormittal.com/media/press-releases/arcelormittal-accelerates-its-decarbonisation-with-a-1-7-billion-investment-programme-in-france-supported-by-the-french-government#"/>
    <d v="2022-10-17T00:00:00"/>
    <d v="2021-03-17T00:00:00"/>
  </r>
  <r>
    <s v="ArcelorMittal"/>
    <s v="SIDERWIN"/>
    <s v="https://www.siderwin-spire.eu/content/home"/>
    <s v="TBD"/>
    <s v="35% reduction in Europe (baseline 2018)"/>
    <s v="carbon neutrality"/>
    <s v="https://corporate-media.arcelormittal.com/media/ob3lpdom/car_2.pdf"/>
    <n v="79.260000000000005"/>
    <s v="France"/>
    <s v="Maizières-lès-Metz"/>
    <n v="49.20014802"/>
    <n v="6.1521337579999997"/>
    <s v="exact"/>
    <s v="Europe"/>
    <s v="https://www.google.com/maps/place/ArcelorMittal+Maizi%C3%A8res+Research+SA/@49.2001901,6.1498485,1012m/data=!3m2!1e3!4b1!4m5!3m4!1s0x47952763712f4885:0x3c31c2bfb0413f7c!8m2!3d49.2001901!4d6.1520372"/>
    <x v="1"/>
    <s v="https://www.siderwin-spire.eu/content/home"/>
    <s v="Other"/>
    <x v="2"/>
    <s v="N/A"/>
    <s v="Electrowinning"/>
    <s v="https://www.siderwin-spire.eu/content/home"/>
    <n v="2022"/>
    <s v="https://www.siderwin-spire.eu/content/home"/>
    <n v="9"/>
    <s v="https://www.siderwin-spire.eu/sites/siderwin.drupal.pulsartecnalia.com/files/documents/Massive%20production%20of%20primary%20steel_presentation_DECHEMA_23_11_2018.pdf"/>
    <n v="1.825E-5"/>
    <s v="https://zenodo.org/record/4327314#.X9oWA7N7nIU"/>
    <s v="N/A"/>
    <s v="https://www.siderwin-spire.eu/sites/siderwin.drupal.pulsartecnalia.com/files/documents/Massive%20production%20of%20primary%20steel_presentation_DECHEMA_23_11_2018.pdf"/>
    <s v="N/A"/>
    <s v="https://www.siderwin-spire.eu/sites/siderwin.drupal.pulsartecnalia.com/files/documents/Massive%20production%20of%20primary%20steel_presentation_DECHEMA_23_11_2018.pdf"/>
    <s v="N/A"/>
    <s v="https://www.siderwin-spire.eu/sites/siderwin.drupal.pulsartecnalia.com/files/documents/Massive%20production%20of%20primary%20steel_presentation_DECHEMA_23_11_2018.pdf"/>
    <s v="JohnCockerill (Belgium), EDF (France), CFD-Numerics (France), QUANTIS (Switzerland), TECNALIA (Spain), UAVR (Portugal), Mytilineos (Greece), NTUA (Greece), N-Side (Belgium), Dynergie (France), NTNU (Norway)"/>
    <s v="https://www.siderwin-spire.eu/content/home"/>
    <s v="2022-10-17 No further comments // 25/05: No further comments // Duration: October 2017 - September 2022 (60 months) 24/03: First trials are expected for middle of April 2022. "/>
    <s v="https://www.siderwin-spire.eu/news"/>
    <d v="2022-10-17T00:00:00"/>
    <d v="2017-10-01T00:00:00"/>
  </r>
  <r>
    <s v="ArcelorMittal"/>
    <s v="HyBit - Hydrogen for Bremen’s industrial transformation"/>
    <s v="N/A"/>
    <s v="SDE00006"/>
    <s v="35% reduction in Europe (baseline 2018)"/>
    <s v="carbon neutrality"/>
    <s v="https://corporate-media.arcelormittal.com/media/ob3lpdom/car_2.pdf"/>
    <n v="79.260000000000005"/>
    <s v="Germany"/>
    <s v="Bremen"/>
    <n v="53.133305"/>
    <n v="8.6881930000000001"/>
    <s v="exact"/>
    <s v="Europe"/>
    <s v="https://bremen.arcelormittal.com/Ueber-uns/"/>
    <x v="0"/>
    <s v="https://www.ewe.com/de/presse/pressemitteilungen/2020/07/ewe-mit-tochter-swb-und-arcelormittal-kooperieren-bei-grner-stahlerzeugung-ewe-ag"/>
    <s v="Hydrogen production"/>
    <x v="3"/>
    <s v="Green electrolytic"/>
    <s v="Hydrogen production (green hydrogen)"/>
    <s v="https://www.ewe.com/de/presse/pressemitteilungen/2020/07/ewe-mit-tochter-swb-und-arcelormittal-kooperieren-bei-grner-stahlerzeugung-ewe-ag"/>
    <n v="2024"/>
    <s v="https://www.steeltimesint.com/news/largest-industrial-hydrogen-project-in-germany-and-europe-contracted-for-construction"/>
    <n v="19"/>
    <s v="https://www.greencarcongress.com/2022/07/20220711-apex.html"/>
    <s v="N/A"/>
    <s v="https://www.ewe.com/de/presse/pressemitteilungen/2020/07/ewe-mit-tochter-swb-und-arcelormittal-kooperieren-bei-grner-stahlerzeugung-ewe-ag"/>
    <s v="N/A"/>
    <s v="https://www.ewe.com/de/presse/pressemitteilungen/2020/07/ewe-mit-tochter-swb-und-arcelormittal-kooperieren-bei-grner-stahlerzeugung-ewe-ag"/>
    <n v="24"/>
    <s v="https://www.ewe.com/de/presse/pressemitteilungen/2020/07/ewe-mit-tochter-swb-und-arcelormittal-kooperieren-bei-grner-stahlerzeugung-ewe-ag"/>
    <s v="N/A"/>
    <s v="https://www.ewe.com/de/presse/pressemitteilungen/2020/07/ewe-mit-tochter-swb-und-arcelormittal-kooperieren-bei-grner-stahlerzeugung-ewe-ag"/>
    <s v="EWE AG"/>
    <s v="https://www.ewe.com/de/presse/pressemitteilungen/2020/07/ewe-mit-tochter-swb-und-arcelormittal-kooperieren-bei-grner-stahlerzeugung-ewe-ag"/>
    <s v="2022-10-17 The electrolyzer is expected to come into operation in 2024 ;  The project costs will amount to approximately €20 million, with €10 million coming from the state of Bremen. ; The electrolysis plant capacity will gradually increase up to 300 MW at the later stages //  2022-05-25: No further comments //  2022-01-04: Project received funding of over €10 million from the state of Bremen"/>
    <s v="https://www.h2bulletin.com/arcelormittal-bremen-receives-10m-funding-for-hybit-hydrogen-project/"/>
    <d v="2022-10-17T00:00:00"/>
    <d v="2020-07-13T00:00:00"/>
  </r>
  <r>
    <s v="ArcelorMittal"/>
    <s v="Steel4Future"/>
    <s v="N/A"/>
    <s v="SDE00006"/>
    <s v="35% reduction in Europe (baseline 2018)"/>
    <s v="carbon neutrality"/>
    <s v="https://corporate-media.arcelormittal.com/media/ob3lpdom/car_2.pdf"/>
    <n v="79.260000000000005"/>
    <s v="Germany"/>
    <s v="Bremen"/>
    <n v="53.133305"/>
    <n v="8.6881930000000001"/>
    <s v="exact"/>
    <s v="Europe"/>
    <s v="https://bremen.arcelormittal.com/Ueber-uns/"/>
    <x v="0"/>
    <s v="https://corporate.arcelormittal.com/media/news-articles/arcelormittal-plans-major-investment-in-german-sites-to-accelerate-co2-emissions-reduction-strategy-and-leverage-the-hydrogen-grid"/>
    <s v="NG-DR --&gt; H-DR"/>
    <x v="0"/>
    <s v="Green electrolytic"/>
    <s v="NG-DR --&gt; H-DR"/>
    <s v="https://corporate.arcelormittal.com/media/news-articles/arcelormittal-plans-major-investment-in-german-sites-to-accelerate-co2-emissions-reduction-strategy-and-leverage-the-hydrogen-grid"/>
    <n v="2026"/>
    <s v="https://bremen.arcelormittal.com/Nachhaltigkeit/Auf-dem-Weg-zum-gruenen-Stahl/"/>
    <n v="0.75"/>
    <s v="https://corporate.arcelormittal.com/media/news-articles/arcelormittal-plans-major-investment-in-german-sites-to-accelerate-co2-emissions-reduction-strategy-and-leverage-the-hydrogen-grid"/>
    <n v="1.75"/>
    <s v="https://corporate.arcelormittal.com/media/news-articles/arcelormittal-plans-major-investment-in-german-sites-to-accelerate-co2-emissions-reduction-strategy-and-leverage-the-hydrogen-grid"/>
    <s v="Not stated"/>
    <s v="https://bremen.arcelormittal.com/Nachhaltigkeit/Auf-dem-Weg-zum-gruenen-Stahl/"/>
    <s v="Not stated"/>
    <s v="https://bremen.arcelormittal.com/Nachhaltigkeit/Auf-dem-Weg-zum-gruenen-Stahl/"/>
    <s v="N/A"/>
    <s v="https://bremen.arcelormittal.com/Nachhaltigkeit/Auf-dem-Weg-zum-gruenen-Stahl/"/>
    <s v="N/A"/>
    <s v="https://bremen.arcelormittal.com/Nachhaltigkeit/Auf-dem-Weg-zum-gruenen-Stahl/"/>
    <s v="2022-10-17 No further comments // 2022-05-25: No further comments_x000a__x000a_Using green hydrogen, up to 3.5 million tonnes of steel could be produced by the Bremen and Eisenhuttenstadt sites by 2030, with significantly lower CO2 emissions. The technology conversion requires investments in the range of €1-1.5 billion. In Bremen, ArcelorMittal initially plans to use natural gas for the DRI, and later hydrogen from electrolysis; the hydrogen is to be made available as part of the regional North German Clean Hydrogen Coastline network. https://corporate.arcelormittal.com/media/news-articles/arcelormittal-plans-major-investment-in-german-sites-to-accelerate-co2-emissions-reduction-strategy-and-leverage-the-hydrogen-grid#  "/>
    <s v="https://bremen.arcelormittal.com/Nachhaltigkeit/Auf-dem-Weg-zum-gruenen-Stahl/"/>
    <d v="2022-10-17T00:00:00"/>
    <d v="2021-03-05T00:00:00"/>
  </r>
  <r>
    <s v="ArcelorMittal"/>
    <s v="Steel4Future"/>
    <s v="N/A"/>
    <s v="SDE00005"/>
    <s v="35% reduction in Europe (baseline 2018)"/>
    <s v="carbon neutrality"/>
    <s v="https://corporate-media.arcelormittal.com/media/ob3lpdom/car_2.pdf"/>
    <n v="79.260000000000005"/>
    <s v="Germany"/>
    <s v="Eisenhüttenstadt"/>
    <n v="52.168649000000002"/>
    <n v="14.623473000000001"/>
    <s v="exact"/>
    <s v="Europe"/>
    <s v="https://eisenhuettenstadt.arcelormittal.com/Ueber-uns/"/>
    <x v="1"/>
    <s v="https://bremen.arcelormittal.com/Nachhaltigkeit/Auf-dem-Weg-zum-gruenen-Stahl/"/>
    <s v="H-DR"/>
    <x v="0"/>
    <s v="Green electrolytic"/>
    <s v="H-DR"/>
    <s v="https://germany.arcelormittal.com/icc/arcelor/broker.jsp?uMen=b4460b16-d5ab-c671-587e-7e978c4e5e0b&amp;uCon=8ac40a49-e039-f771-f0f6-ded50099481d&amp;uTem=aaaaaaaa-aaaa-aaaa-aaaa-000000000042"/>
    <n v="2026"/>
    <s v="https://bremen.arcelormittal.com/Nachhaltigkeit/Auf-dem-Weg-zum-gruenen-Stahl/"/>
    <n v="0.75"/>
    <s v="https://corporate.arcelormittal.com/media/news-articles/arcelormittal-plans-major-investment-in-german-sites-to-accelerate-co2-emissions-reduction-strategy-and-leverage-the-hydrogen-grid"/>
    <n v="1.75"/>
    <s v="https://corporate.arcelormittal.com/media/news-articles/arcelormittal-plans-major-investment-in-german-sites-to-accelerate-co2-emissions-reduction-strategy-and-leverage-the-hydrogen-grid"/>
    <s v="Not stated"/>
    <s v="https://corporate.arcelormittal.com/media/news-articles/arcelormittal-plans-major-investment-in-german-sites-to-accelerate-co2-emissions-reduction-strategy-and-leverage-the-hydrogen-grid"/>
    <s v="Not stated"/>
    <s v="https://corporate.arcelormittal.com/media/news-articles/arcelormittal-plans-major-investment-in-german-sites-to-accelerate-co2-emissions-reduction-strategy-and-leverage-the-hydrogen-grid"/>
    <s v="N/A"/>
    <s v="https://corporate.arcelormittal.com/media/news-articles/arcelormittal-plans-major-investment-in-german-sites-to-accelerate-co2-emissions-reduction-strategy-and-leverage-the-hydrogen-grid"/>
    <s v="N/A"/>
    <s v="https://corporate.arcelormittal.com/media/news-articles/arcelormittal-plans-major-investment-in-german-sites-to-accelerate-co2-emissions-reduction-strategy-and-leverage-the-hydrogen-grid"/>
    <s v="2022-10-17 No further comments // 2022-05-25 No further comments_x000a__x000a_The project will use hydrogen produced from natural gas (pyrolysis), until green hydrogen becomes available in the future. The sponge iron produced in the Bremen DRI unit will initially supply the steelworks in Bremen and Eisenhüttenstadt, until the regional hydrogen cluster in East Brandenburg can also supply the Eisenhüttenstadt site with sufficient hydrogen."/>
    <s v="https://corporate.arcelormittal.com/media/news-articles/arcelormittal-plans-major-investment-in-german-sites-to-accelerate-co2-emissions-reduction-strategy-and-leverage-the-hydrogen-grid"/>
    <d v="2022-10-17T00:00:00"/>
    <d v="2021-03-05T00:00:00"/>
  </r>
  <r>
    <s v="ArcelorMittal"/>
    <s v="Hamburg H2"/>
    <s v="https://future.hamburg/en/project-brief-hydrogen-arcelormittal"/>
    <s v="SDE00007"/>
    <s v="35% reduction in Europe (baseline 2018)"/>
    <s v="carbon neutrality"/>
    <s v="https://corporate-media.arcelormittal.com/media/ob3lpdom/car_2.pdf"/>
    <n v="79.260000000000005"/>
    <s v="Germany"/>
    <s v="Hamburg"/>
    <n v="53.522601000000002"/>
    <n v="9.9007489999999994"/>
    <s v="exact"/>
    <s v="Europe"/>
    <s v="https://hamburg.arcelormittal.com/Ueber-uns/"/>
    <x v="2"/>
    <s v="https://corporate.arcelormittal.com/media/case-studies/hydrogen-based-steelmaking-to-begin-in-hamburg"/>
    <s v="H-DR"/>
    <x v="0"/>
    <s v="Grey"/>
    <s v="H-DR (waste gas recovery) + Pressure swing adsorption"/>
    <s v="https://corporate.arcelormittal.com/media/case-studies/hydrogen-based-steelmaking-to-begin-in-hamburg"/>
    <n v="2024"/>
    <s v="https://corporate.arcelormittal.com/climate-action/decarbonisation-technologies/hamburg-h2-working-towards-the-production-of-zero-carbon-emissions-steel-with-hydrogen / https://www.globenewswire.com/news-release/2021/02/11/2173710/0/en/ArcelorMittal-reports-fourth-quarter-2020-and-twelve-months-2020-results.html"/>
    <n v="122"/>
    <s v="https://corporate.arcelormittal.com/climate-action/decarbonisation-technologies/hamburg-h2-working-towards-the-production-of-zero-carbon-emissions-steel-with-hydrogen"/>
    <n v="0.1"/>
    <s v="https://corporate.arcelormittal.com/media/case-studies/hydrogen-based-steelmaking-to-begin-in-hamburg"/>
    <n v="0.1"/>
    <s v="https://www.midrex.com/press-release/arcelormittal-commissions-midrex-to-design-demonstration-plant-for-hydrogen-steel-production-in-hamburg/"/>
    <s v="N/A"/>
    <s v="https://corporate.arcelormittal.com/media/case-studies/hydrogen-based-steelmaking-to-begin-in-hamburg"/>
    <s v="Not stated"/>
    <s v="https://www.midrex.com/press-release/arcelormittal-commissions-midrex-to-design-demonstration-plant-for-hydrogen-steel-production-in-hamburg/"/>
    <s v="Midrex"/>
    <s v="https://corporate.arcelormittal.com/media/case-studies/hydrogen-based-steelmaking-to-begin-in-hamburg"/>
    <s v="2022-10-17 The project initially will operate with grey hydrogen from natural gas and in a later stage with green hydrogen //  2022-05-25 Plans to now source green hydrogen from Vattenfall and then build up electrolysis capacity of its own_x000a_https://www.reuters.com/article/us-vattenfall-arcelormittal-germany-excl/exclusive-arcelormittal-vattenfall-form-hydrogen-consortium-with-shell-airbus-others-idUSKBN2CD0X9_x000a__x000a_2021-09-07: Federal Government has expressed its intention to provide €55 million of funding support towards the construction of the plant, which is half of the €110 million total capital expenditure required. The next step is for the European Commission to approve the Federal Government's intention to provide funding before the installation of the new plant can begin. https://corporate.arcelormittal.com/media/news-articles/german-federal-government-commits-its-intention-to-provide-55-million-of-funding-for-arcelormittal-s-hydrogen-dri-plant "/>
    <s v="https://corporate.arcelormittal.com/media/news-articles/german-federal-government-commits-its-intention-to-provide-55-million-of-funding-for-arcelormittal-s-hydrogen-dri-plant_x000a__x000a_https://future.hamburg/en/project-brief-hydrogen-arcelormittal"/>
    <d v="2022-10-17T00:00:00"/>
    <d v="2019-09-16T00:00:00"/>
  </r>
  <r>
    <s v="ArcelorMittal"/>
    <s v="SeaH2Land"/>
    <s v="https://seah2land.nl/en"/>
    <s v="SBE00001"/>
    <s v="35% reduction in Europe (baseline 2018)"/>
    <s v="carbon neutrality"/>
    <s v="https://corporate-media.arcelormittal.com/media/ob3lpdom/car_2.pdf"/>
    <n v="79.260000000000005"/>
    <s v="Netherlands"/>
    <s v="North Sea (Dutch region)"/>
    <n v="51.961733260000003"/>
    <n v="5.6900411420000001"/>
    <s v="approximate (country)"/>
    <s v="Europe"/>
    <s v="https://www.rechargenews.com/energy-transition/orsted-in-gigawatt-scale-offshore-wind-to-green-hydrogen-plan-with-steel-giant-arcelormittal/2-1-990058"/>
    <x v="0"/>
    <s v="https://www.rechargenews.com/energy-transition/orsted-in-gigawatt-scale-offshore-wind-to-green-hydrogen-plan-with-steel-giant-arcelormittal/2-1-990058"/>
    <s v="Hydrogen production"/>
    <x v="3"/>
    <s v="Green electrolytic"/>
    <s v="Hydrogen production (green hydrogen)"/>
    <s v="https://www.rechargenews.com/energy-transition/orsted-in-gigawatt-scale-offshore-wind-to-green-hydrogen-plan-with-steel-giant-arcelormittal/2-1-990058"/>
    <n v="2030"/>
    <s v="https://www.rechargenews.com/energy-transition/orsted-in-gigawatt-scale-offshore-wind-to-green-hydrogen-plan-with-steel-giant-arcelormittal/2-1-990058"/>
    <s v="Not stated"/>
    <s v="https://www.rechargenews.com/energy-transition/orsted-in-gigawatt-scale-offshore-wind-to-green-hydrogen-plan-with-steel-giant-arcelormittal/2-1-990058"/>
    <s v="N/A"/>
    <s v="https://www.rechargenews.com/energy-transition/orsted-in-gigawatt-scale-offshore-wind-to-green-hydrogen-plan-with-steel-giant-arcelormittal/2-1-990058"/>
    <s v="N/A"/>
    <s v="https://www.rechargenews.com/energy-transition/orsted-in-gigawatt-scale-offshore-wind-to-green-hydrogen-plan-with-steel-giant-arcelormittal/2-1-990058"/>
    <n v="1000"/>
    <s v="https://www.rechargenews.com/energy-transition/orsted-in-gigawatt-scale-offshore-wind-to-green-hydrogen-plan-with-steel-giant-arcelormittal/2-1-990058"/>
    <s v="N/A"/>
    <s v="https://www.rechargenews.com/energy-transition/orsted-in-gigawatt-scale-offshore-wind-to-green-hydrogen-plan-with-steel-giant-arcelormittal/2-1-990058"/>
    <s v="Orsted, Yara, Dow Benelux, Zeeland Refinery, North Sea Port, Smart Delta Resources"/>
    <s v="https://www.rechargenews.com/energy-transition/orsted-in-gigawatt-scale-offshore-wind-to-green-hydrogen-plan-with-steel-giant-arcelormittal/2-1-990058 // https://seah2land.nl/en/who"/>
    <s v="2022-10-17 No further comment // 2022-05-25 No further comment_x000a__x000a_Green H2 to be used by ArcelorMittal, Yara, Dow Benelux and Zeeland refinery"/>
    <s v="https://www.rechargenews.com/energy-transition/orsted-in-gigawatt-scale-offshore-wind-to-green-hydrogen-plan-with-steel-giant-arcelormittal/2-1-990058"/>
    <d v="2022-10-17T00:00:00"/>
    <d v="2021-03-31T00:00:00"/>
  </r>
  <r>
    <s v="ArcelorMittal"/>
    <s v="N/A"/>
    <s v="N/A"/>
    <s v="SES00001-1"/>
    <s v="35% reduction in Europe (baseline 2018)"/>
    <s v="carbon neutrality"/>
    <s v="https://corporate-media.arcelormittal.com/media/ob3lpdom/car_2.pdf"/>
    <n v="79.260000000000005"/>
    <s v="Spain"/>
    <s v="Gijon"/>
    <n v="43.525092000000001"/>
    <n v="-5.7319259999999996"/>
    <s v="exact"/>
    <s v="Europe"/>
    <s v="https://corporate.arcelormittal.com/media/press-releases/arcelormittal-signs-mou-with-the-spanish-government-supporting-1-billion-investment-in-decarbonisation-technologies"/>
    <x v="0"/>
    <s v="https://corporate.arcelormittal.com/media/press-releases/arcelormittal-signs-mou-with-the-spanish-government-supporting-1-billion-investment-in-decarbonisation-technologies"/>
    <s v="H-DR &amp; EAF"/>
    <x v="0"/>
    <s v="Green electrolytic"/>
    <s v="H-DR &amp; EAF"/>
    <s v="https://corporate.arcelormittal.com/media/press-releases/arcelormittal-signs-mou-with-the-spanish-government-supporting-1-billion-investment-in-decarbonisation-technologies"/>
    <n v="2025"/>
    <s v="https://corporate.arcelormittal.com/media/press-releases/arcelormittal-signs-mou-with-the-spanish-government-supporting-1-billion-investment-in-decarbonisation-technologies"/>
    <n v="1648.8"/>
    <s v="https://corporate.arcelormittal.com/media/press-releases/arcelormittal-signs-mou-with-the-spanish-government-supporting-1-billion-investment-in-decarbonisation-technologies"/>
    <n v="1.1000000000000001"/>
    <s v="https://corporate.arcelormittal.com/media/press-releases/arcelormittal-signs-mou-with-the-spanish-government-supporting-1-billion-investment-in-decarbonisation-technologies"/>
    <s v="N/A"/>
    <s v="https://corporate.arcelormittal.com/media/press-releases/arcelormittal-signs-mou-with-the-spanish-government-supporting-1-billion-investment-in-decarbonisation-technologies"/>
    <s v="Not stated"/>
    <s v="https://corporate.arcelormittal.com/media/press-releases/arcelormittal-signs-mou-with-the-spanish-government-supporting-1-billion-investment-in-decarbonisation-technologies"/>
    <s v="N/A"/>
    <s v="https://corporate.arcelormittal.com/media/press-releases/arcelormittal-signs-mou-with-the-spanish-government-supporting-1-billion-investment-in-decarbonisation-technologies"/>
    <s v="N/A"/>
    <s v="https://corporate.arcelormittal.com/media/press-releases/arcelormittal-signs-mou-with-the-spanish-government-supporting-1-billion-investment-in-decarbonisation-technologies"/>
    <s v="2023-02-20 EU Commission to fund 460 million EUR for this project_x000a_2022-10-17 1.1 Mtonne hybrid EAF for steel production // 25/05: No further comment_x000a_1) MOU signed with Spanish government for co-funding estimated to 50% 2) &quot;Should green hydrogen not be available at affordable rates at the end of 2025, natural gas would be use to power the DRI furnace&quot; "/>
    <s v="https://www.steelorbis.com/steel-news/latest-news/ec-approves-fundings-to-support-arcelormittals-decarbonization-1279571.htm_x000a_https://corporate.arcelormittal.com/media/press-releases/arcelormittal-signs-mou-with-the-spanish-government-supporting-1-billion-investment-in-decarbonisation-technologies"/>
    <d v="2023-04-04T00:00:00"/>
    <d v="2021-07-13T00:00:00"/>
  </r>
  <r>
    <s v="ArcelorMittal"/>
    <s v="N/A"/>
    <s v="N/A"/>
    <s v="SES00002"/>
    <s v="35% reduction in Europe (baseline 2018)"/>
    <s v="carbon neutrality"/>
    <s v="https://corporate-media.arcelormittal.com/media/ob3lpdom/car_2.pdf"/>
    <n v="79.260000000000005"/>
    <s v="Spain"/>
    <s v="Sestao"/>
    <n v="43.313144000000001"/>
    <n v="-2.998964"/>
    <s v="exact"/>
    <s v="Europe"/>
    <s v="https://corporate.arcelormittal.com/media/press-releases/arcelormittal-sestao-to-become-the-world-s-first-full-scale-zero-carbon-emissions-steel-plant"/>
    <x v="0"/>
    <s v="https://corporate.arcelormittal.com/media/press-releases/arcelormittal-sestao-to-become-the-world-s-first-full-scale-zero-carbon-emissions-steel-plant"/>
    <s v="Other"/>
    <x v="2"/>
    <s v="N/A"/>
    <s v="Hybrid EAF"/>
    <s v="https://corporate.arcelormittal.com/media/press-releases/arcelormittal-sestao-to-become-the-world-s-first-full-scale-zero-carbon-emissions-steel-plant"/>
    <n v="2025"/>
    <s v="https://corporate.arcelormittal.com/media/press-releases/arcelormittal-sestao-to-become-the-world-s-first-full-scale-zero-carbon-emissions-steel-plant"/>
    <n v="58"/>
    <s v="https://corporate.arcelormittal.com/media/press-releases/arcelormittal-sestao-to-become-the-world-s-first-full-scale-zero-carbon-emissions-steel-plant"/>
    <n v="1.6"/>
    <s v="https://corporate.arcelormittal.com/media/press-releases/arcelormittal-sestao-to-become-the-world-s-first-full-scale-zero-carbon-emissions-steel-plant"/>
    <s v="N/A"/>
    <s v="https://corporate.arcelormittal.com/media/press-releases/arcelormittal-sestao-to-become-the-world-s-first-full-scale-zero-carbon-emissions-steel-plant"/>
    <s v="Not stated"/>
    <s v="https://corporate.arcelormittal.com/media/press-releases/arcelormittal-sestao-to-become-the-world-s-first-full-scale-zero-carbon-emissions-steel-plant"/>
    <s v="N/A"/>
    <s v="https://corporate.arcelormittal.com/media/press-releases/arcelormittal-sestao-to-become-the-world-s-first-full-scale-zero-carbon-emissions-steel-plant"/>
    <s v="Not stated"/>
    <s v="https://corporate.arcelormittal.com/media/press-releases/arcelormittal-sestao-to-become-the-world-s-first-full-scale-zero-carbon-emissions-steel-plant"/>
    <s v="2022-10-17 No further comments // 2022-05-25 No further comment _x000a__x000a_Central to this development will be the construction of a 2.3 million-tonne green hydrogen DRI unit in Gijón. Around 1 million tonnes of DRI will be transported to Sestao to be used a feedstock for its two EAFs. "/>
    <s v="https://corporate.arcelormittal.com/media/press-releases/arcelormittal-sestao-to-become-the-world-s-first-full-scale-zero-carbon-emissions-steel-plant"/>
    <d v="2022-10-17T00:00:00"/>
    <d v="2021-07-13T00:00:00"/>
  </r>
  <r>
    <s v="Enagas"/>
    <s v="Green Crane - Western route (formerly Green Spider, Asturias Hub)"/>
    <s v="https://www.h2v.eu/hydrogen-valleys/green-crane-western-route"/>
    <s v="SES00001"/>
    <s v="N/A"/>
    <s v="N/A (carbon neutrality by 2040)"/>
    <s v="https://www.enagas.es/en/about-us/sustainability/environment/climate-action-energy-efficiency/"/>
    <s v="N/A"/>
    <s v="Spain"/>
    <s v="Asturias"/>
    <n v="43.525092000000001"/>
    <n v="-5.7319259999999996"/>
    <s v="exact"/>
    <s v="Europe"/>
    <s v="https://www.h2v.eu/hydrogen-valleys/green-crane-western-route"/>
    <x v="0"/>
    <s v="https://www.h2v.eu/hydrogen-valleys/green-crane-western-route"/>
    <s v="Hydrogen production"/>
    <x v="3"/>
    <s v="Green electrolytic"/>
    <s v="Hydrogen production (green hydrogen)"/>
    <s v="https://www.h2v.eu/hydrogen-valleys/green-crane-western-route"/>
    <n v="2024"/>
    <s v="https://www.h2v.eu/hydrogen-valleys/green-crane-western-route"/>
    <n v="1745"/>
    <s v="https://www.h2v.eu/hydrogen-valleys/green-crane-western-route"/>
    <s v="N/A"/>
    <s v="https://www.h2v.eu/hydrogen-valleys/green-crane-western-route"/>
    <s v="N/A"/>
    <s v="https://www.h2v.eu/hydrogen-valleys/green-crane-western-route"/>
    <s v="Not stated"/>
    <s v="https://www.h2v.eu/hydrogen-valleys/green-crane-western-route"/>
    <s v="N/A"/>
    <s v="https://www.h2v.eu/hydrogen-valleys/green-crane-western-route"/>
    <s v="Hydrogenious LOHC Technologies, Vopak, Térega, Petronor, Arcelor-Mittal I+D, Bosch, McPhy, Vestas, Falck Renewables, IGNIS Energía, H2V, Gransolar"/>
    <s v="https://www.h2v.eu/hydrogen-valleys/green-crane-western-route"/>
    <s v="2022-10-21 Investment of 1470 million EUR. The projected H2 production volume is 80 ton/day // 2022-05-25 Concrete plan agreed by main stakeholders_x000a__x000a_Green Crane website captures costs and production for whole multinational project - not possible to separate costs and production volumes for steel. Hydrogen hub that will supply Asturias steel plant (likely ArcelorMittal Asturias). Previous link to project no longer live: https://static1.squarespace.com/static/5d3f0387728026000121b2a2/t/5d9f24f459c7f056aca5a74f/1570710781671/4.A+Green+Spider+project.pdf"/>
    <s v="https://www.h2v.eu/hydrogen-valleys/green-crane-western-route"/>
    <d v="2022-10-21T00:00:00"/>
    <d v="2020-07-31T00:00:00"/>
  </r>
  <r>
    <s v="FerroSilva"/>
    <s v="FerroSilva"/>
    <s v="https://www.ferrosilva.com/english/"/>
    <s v="N/A"/>
    <s v="N/A"/>
    <s v="N/A"/>
    <s v="https://www.ferrosilva.com/english/"/>
    <s v="N/A"/>
    <s v="Sweden"/>
    <s v="Not applicable"/>
    <n v="62.94538584"/>
    <n v="17.186327439999999"/>
    <s v="approximate (country)"/>
    <s v="Europe"/>
    <s v="https://www.ferrosilva.com/english/"/>
    <x v="3"/>
    <s v="https://www.ferrosilva.com/english/"/>
    <s v="Other"/>
    <x v="2"/>
    <s v="N/A"/>
    <s v="Biogenic reduction gas"/>
    <s v="https://www.ferrosilva.com/english/"/>
    <n v="2022"/>
    <s v="https://www.ferrosilva.com/english/"/>
    <s v="Not stated"/>
    <s v="https://www.ferrosilva.com/english/"/>
    <s v="N/A"/>
    <s v="https://www.ferrosilva.com/english/"/>
    <s v="Not stated"/>
    <s v="https://www.ferrosilva.com/english/"/>
    <s v="N/A"/>
    <s v="https://www.ferrosilva.com/english/"/>
    <s v="N/A"/>
    <s v="https://www.ferrosilva.com/english/"/>
    <s v="Ovako, Sandvik Materials Technology, Uddeholm, Sveaskog and Lantmännen"/>
    <s v="https://www.ferrosilva.com/wp-content/themes/ferrosilva_theme/assets/FerroSilva_Pressrelease_210427.pdf"/>
    <s v="2022-10-21 No further comment_x000a__x000a_The applicant is MMM Advice, which is managing the project together with Kobolde &amp; Partners - R&amp;D project in association with Academia (KTH, Chalmers)"/>
    <s v="https://www.ferrosilva.com/wp-content/themes/ferrosilva_theme/assets/FerroSilva_Pressrelease_210427.pdf"/>
    <d v="2022-10-21T00:00:00"/>
    <d v="2021-04-27T00:00:00"/>
  </r>
  <r>
    <s v="H2 Green Steel"/>
    <s v="H2 Green Steel (H2GS)"/>
    <s v="https://www.h2greensteel.com/"/>
    <s v="TBD"/>
    <s v="N/A"/>
    <s v="N/A"/>
    <s v="https://www.h2greensteel.com/"/>
    <n v="0"/>
    <s v="Sweden"/>
    <s v="Svartbyn"/>
    <n v="66.258949380000004"/>
    <n v="22.834702610000001"/>
    <s v="approximate (city)"/>
    <s v="Europe"/>
    <s v="https://www.di.se/nyheter/northvolt-grundare-utmanar-ssab-med-25-miljarder-i-ryggen/"/>
    <x v="0"/>
    <s v="https://www.di.se/nyheter/northvolt-grundare-utmanar-ssab-med-25-miljarder-i-ryggen/"/>
    <s v="H-DR"/>
    <x v="0"/>
    <s v="Green electrolytic"/>
    <s v="H-DR"/>
    <s v="https://www.h2greensteel.com/about-us"/>
    <n v="2024"/>
    <s v="https://www.h2greensteel.com/green-steel"/>
    <n v="3000"/>
    <s v="https://www.di.se/nyheter/northvolt-grundare-utmanar-ssab-med-25-miljarder-i-ryggen/"/>
    <n v="5"/>
    <s v="https://www.di.se/nyheter/northvolt-grundare-utmanar-ssab-med-25-miljarder-i-ryggen/"/>
    <s v="Not stated"/>
    <s v="https://www.di.se/nyheter/northvolt-grundare-utmanar-ssab-med-25-miljarder-i-ryggen/"/>
    <s v="Not stated"/>
    <s v="https://www.di.se/nyheter/northvolt-grundare-utmanar-ssab-med-25-miljarder-i-ryggen/"/>
    <s v="N/A"/>
    <s v="https://www.di.se/nyheter/northvolt-grundare-utmanar-ssab-med-25-miljarder-i-ryggen/"/>
    <s v="IMAS Foundation, Vargas, Scania, InnoEnergy, Altor, Bilstein Group, SMS Group, Exor, Kingspan, FAM, Mercedez-Benz, Marcegaglia"/>
    <s v="https://www.h2greensteel.com/green-steel"/>
    <s v="2023-02-14 Just Climate, an investment business created by Generation Investment Management to address the net zero challenge at scale, has today announced (...) investments in (...) H2 Green Steel (...) Just Climate’s investment forms part of H2 Green Steel’s Series B fundraising announced in October 2022_x000a__x000a_2022-10-21 The main area of use for our green hydrogen will be to reduce iron ore to direct-reduced-iron, DRI (also referred to as iron sponge) ; After receiving the permissibility for its 5 million tonne steel plant in northern Sweden on July 1/2022, the company moves into the construction phase. Groundwork initiated. _x000a__x000a_New entrant, greenfield steel mill with hydrogen direct reduction, EAFs, producing flat steel for automotive, white goods, furniture. Plan to use 40% scrap and 60% virgin input"/>
    <s v="https://www.h2greensteel.com/green-steel_x000a_https://www.h2greensteel.com/articles/green-hydrogen-enables-the-decarbonization-of-steel-production_x000a_https://greensteelworld.com/just-climate-announces-investment-in-h2-green-steel-abb-e-mobility-and-meva-energy"/>
    <d v="2023-02-14T00:00:00"/>
    <d v="2021-02-28T00:00:00"/>
  </r>
  <r>
    <s v="Liberty Steel"/>
    <s v="TBD"/>
    <s v="TBD"/>
    <s v="N/A"/>
    <s v="carbon neutrality"/>
    <s v="N/A (see 2030 target)"/>
    <s v="https://libertysteelgroup.com/about/message-from-the-chairman/ https://libertysteelgroup.com/news/liberty-steel-plants-to-merge-into-one-global-group-setting-sights-on-carbon-neutral-operations-by-2030/"/>
    <s v="&lt;8"/>
    <s v="France"/>
    <s v="Dunkirk"/>
    <n v="51.000205739999998"/>
    <n v="2.1673107360000001"/>
    <s v="approximate (site)"/>
    <s v="Europe"/>
    <s v="https://www.thehindubusinessline.com/companies/liberty-steel-forms-joint-venture-for-hydrogen-based-steel-plant-in-france/article33902926.ece"/>
    <x v="0"/>
    <s v="https://libertysteelgroup.com/news/liberty-develop-hydrogen-steel-making-plant/"/>
    <s v="NG-DR --&gt; H-DR"/>
    <x v="0"/>
    <s v="Green electrolytic"/>
    <s v="NG-DR --&gt; H-DR"/>
    <s v="https://libertysteelgroup.com/news/liberty-develop-hydrogen-steel-making-plant/"/>
    <s v="Not stated"/>
    <s v="https://libertysteelgroup.com/news/liberty-develop-hydrogen-steel-making-plant/"/>
    <s v="Not stated"/>
    <s v="https://libertysteelgroup.com/news/liberty-develop-hydrogen-steel-making-plant/"/>
    <s v="Not stated"/>
    <s v="https://libertysteelgroup.com/news/liberty-develop-hydrogen-steel-making-plant/"/>
    <n v="2"/>
    <s v="https://libertysteelgroup.com/news/liberty-develop-hydrogen-steel-making-plant/"/>
    <n v="1000"/>
    <s v="https://libertysteelgroup.com/news/liberty-develop-hydrogen-steel-making-plant/"/>
    <s v="N/A"/>
    <s v="https://libertysteelgroup.com/news/liberty-develop-hydrogen-steel-making-plant/"/>
    <s v="Paul Wurth, Saar-Holding-Stahl"/>
    <s v="https://libertysteelgroup.com/news/liberty-develop-hydrogen-steel-making-plant/"/>
    <s v="2022-10-24 No further comments_x000a__x000a_MoU Signed - Initially mix of H2 and NG, transitioning to 100% hydrogen once (integrated) electrolysis production complete. Further asset acquisition might have happened after last company production capacity data point. "/>
    <s v="https://libertysteelgroup.com/news/liberty-develop-hydrogen-steel-making-plant/"/>
    <d v="2022-10-24T00:00:00"/>
    <d v="2021-02-22T00:00:00"/>
  </r>
  <r>
    <s v="Liberty Steel"/>
    <s v="TBD"/>
    <s v="TBD"/>
    <s v="SRO00001"/>
    <s v="carbon neutrality"/>
    <s v="N/A (see 2030 target)"/>
    <s v="https://libertysteelgroup.com/about/message-from-the-chairman/ https://libertysteelgroup.com/news/liberty-steel-plants-to-merge-into-one-global-group-setting-sights-on-carbon-neutral-operations-by-2030/"/>
    <s v="&lt;8"/>
    <s v="Romania"/>
    <s v="Galati"/>
    <n v="45.434119000000003"/>
    <n v="27.976244000000001"/>
    <s v="exact"/>
    <s v="Europe"/>
    <s v="https://libertysteelgroup.com/ro/?lang=en"/>
    <x v="0"/>
    <s v="https://libertysteelgroup.com/news/gfg-alliance-signs-mou-with-romanian-government-to-create-a-european-greensteel-flagship-at-liberty-galati/"/>
    <s v="NG-DR --&gt; H-DR"/>
    <x v="0"/>
    <s v="Not stated"/>
    <s v="NG-DR --&gt; H-DR"/>
    <s v="https://libertysteelgroup.com/news/gfg-alliance-signs-mou-with-romanian-government-to-create-a-european-greensteel-flagship-at-liberty-galati/"/>
    <n v="2024"/>
    <s v="https://www.spglobal.com/platts/en/market-insights/latest-news/natural-gas/061120-gfg-alliance-plans-to-revamp-romanian-galati-plant-into-green-steelmaker"/>
    <n v="1137"/>
    <s v="https://www.romania-insider.com/liberty-galati-decarbonization-too-far"/>
    <n v="4"/>
    <s v="https://libertysteelgroup.com/news/gfg-alliance-signs-mou-with-romanian-government-to-create-a-european-greensteel-flagship-at-liberty-galati/"/>
    <n v="2.5"/>
    <s v="https://libertysteelgroup.com/news/gfg-alliance-signs-mou-with-romanian-government-to-create-a-european-greensteel-flagship-at-liberty-galati/"/>
    <s v="Not stated"/>
    <s v="https://libertysteelgroup.com/news/gfg-alliance-signs-mou-with-romanian-government-to-create-a-european-greensteel-flagship-at-liberty-galati/"/>
    <s v="N/A"/>
    <s v="https://libertysteelgroup.com/news/gfg-alliance-signs-mou-with-romanian-government-to-create-a-european-greensteel-flagship-at-liberty-galati/"/>
    <s v="Romgaz, Eximbank"/>
    <s v="https://libertysteelgroup.com/news/gfg-alliance-signs-mou-with-romanian-government-to-create-a-european-greensteel-flagship-at-liberty-galati/"/>
    <s v="2022-10-24 We have an investment plan of EUR 1 bln for Romania [for Liberty Galati], we will initially build green energy units, about 200 MW solar and about 30 MW wind https://www.romania-insider.com/liberty-galati-decarbonization-too-far_x000a__x000a_Transitioning to H2 as H2 production technology &quot;becomes more cost effective&quot;; not clear yet whether BF/BOFs will retire. Further asset acquisition might have happened after last company production capacity data point."/>
    <s v="https://libertysteelgroup.com/news/gfg-alliance-signs-mou-with-romanian-government-to-create-a-european-greensteel-flagship-at-liberty-galati/"/>
    <d v="2022-10-24T00:00:00"/>
    <d v="2020-06-10T00:00:00"/>
  </r>
  <r>
    <s v="LKAB"/>
    <s v="TBD"/>
    <s v="TBD"/>
    <s v="TBD"/>
    <s v="Not stated"/>
    <s v="N/A (carbon neutrality by 2045)"/>
    <s v="https://www.lkab.com/en/about-lkab/lkab-in-brief/strategy-and-goals/"/>
    <s v="N/A"/>
    <s v="Sweden"/>
    <s v="Kiruna, Malmberget, Svappavaara"/>
    <n v="62.94538584"/>
    <n v="17.186327439999999"/>
    <s v="approximate (country)"/>
    <s v="Europe"/>
    <s v="https://mb.cision.com/Main/11419/3241684/1338565.pdf"/>
    <x v="0"/>
    <s v="https://www.lkab.com/en/news-room/news/up-to-3000-new-jobs-and-major-investment-in-malmfalten/?aid=5232"/>
    <s v="H-DR"/>
    <x v="0"/>
    <s v="Green electrolytic"/>
    <s v="H-DR (only ironmaking)"/>
    <s v="https://mb.cision.com/Main/11419/3241684/1338565.pdf"/>
    <n v="2029"/>
    <s v="https://www.lkab.com/en/news-room/news/up-to-3000-new-jobs-and-major-investment-in-malmfalten/?aid=5232"/>
    <n v="32500"/>
    <s v="https://mb.cision.com/Main/11419/3241684/1338565.pdf"/>
    <s v="N/A"/>
    <s v="https://mb.cision.com/Main/11419/3241684/1338565.pdf"/>
    <n v="24.4"/>
    <s v="https://mb.cision.com/Main/11419/3553029/1568944.pdf"/>
    <s v="Not stated"/>
    <s v="https://mb.cision.com/Main/11419/3241684/1338565.pdf"/>
    <s v="N/A"/>
    <s v="https://mb.cision.com/Main/11419/3241684/1338565.pdf"/>
    <s v="Not stated"/>
    <s v="https://mb.cision.com/Main/11419/3241684/1338565.pdf"/>
    <s v="2022-10-25 In March 2022 LKAB reported dramatically increased mineral reserves and mineral resources. This refers to deposits containing about 4 billion tonnes, which will enable production far beyond 2060 (..) by 2050, the target is for LKAB to produce 24.4 million tonnes of sponge iron per year with zero carbon dioxide emissions (...) LKAB's demand, needed mainly for hydrogen gas production, is 20 TWh/yr (2030) ; 50 TWh/yr (2040) ; 70 TWh/yr (2050) https://mb.cision.com/Main/11419/3553029/1568944.pdf // 2022-06-21 First hydrogen-reduced sponge iron produced at pilot scale_x000a__x000a_Investment over 15 to 20 years; shift from iron ore pellets to hydrogen-based sponge iron. "/>
    <s v="https://mb.cision.com/Main/11419/3241684/1338565.pdf https://www.lkab.com/en/news-room/press-releases/hybrit-ssab-lkab-and-vattenfall-first-in-the-world-with-hydrogen-reduced-sponge-iron/"/>
    <d v="2022-10-25T00:00:00"/>
    <d v="2020-11-22T00:00:00"/>
  </r>
  <r>
    <s v="Salzgitter"/>
    <s v="μDRAL"/>
    <s v="https://salcos.salzgitter-ag.com/en/mydral.html"/>
    <s v="SDE00004"/>
    <s v="50% reduction (baseline undefined)"/>
    <s v="95% reduction by 2050 (baseline undefined)"/>
    <s v="https://salcos.salzgitter-ag.com/en/salcos.html#c132333"/>
    <s v="&lt;8"/>
    <s v="Germany"/>
    <s v="Salzgitter"/>
    <n v="52.161794"/>
    <n v="10.409371"/>
    <s v="exact"/>
    <s v="Europe"/>
    <s v="https://www.salzgitter-flachstahl.de/en/index.html"/>
    <x v="2"/>
    <s v="https://www.salzgitter-ag.com/en/newsroom/press-releases/details/another-key-components-on-the-road-to-low-co2-steel-production-15046.html"/>
    <s v="NG-DR --&gt; H-DR"/>
    <x v="0"/>
    <s v="Not stated"/>
    <s v="NG-DR --&gt; H-DR"/>
    <s v="https://www.salzgitter-ag.com/en/newsroom/press-releases/details/another-key-components-on-the-road-to-low-co2-steel-production-15046.html"/>
    <n v="2022"/>
    <s v="https://www.salzgitter-ag.com/en/newsroom/press-releases/details/another-key-components-on-the-road-to-low-co2-steel-production-15046.html"/>
    <n v="16"/>
    <s v="https://www.salzgitter-ag.com/en/newsroom/press-releases/details/another-key-components-on-the-road-to-low-co2-steel-production-15046.html"/>
    <s v="N/A"/>
    <s v="https://www.salzgitter-ag.com/en/newsroom/press-releases/details/another-key-components-on-the-road-to-low-co2-steel-production-15046.html"/>
    <n v="1"/>
    <s v="https://www.salzgitter-ag.com/en/newsroom/press-releases/details/another-key-components-on-the-road-to-low-co2-steel-production-15046.html"/>
    <s v="N/A"/>
    <s v="https://www.salzgitter-ag.com/en/newsroom/press-releases/details/another-key-components-on-the-road-to-low-co2-steel-production-15046.html"/>
    <s v="N/A"/>
    <s v="https://www.salzgitter-ag.com/en/newsroom/press-releases/details/another-key-components-on-the-road-to-low-co2-steel-production-15046.html"/>
    <s v="Fraunhofer Gesellschaft, Tenova"/>
    <s v="https://www.salzgitter-ag.com/en/newsroom/press-releases/details/another-key-components-on-the-road-to-low-co2-steel-production-15046.html"/>
    <s v="2022-11-02 Production to commence in first half of 2022 but no further information found / Salzgitter aims to complete the first Salcos expansion stage, reducing CO2 emissions in its steel production by 30% by the end of 2025, with a second phase concluded by the end of 2030, along with a 50% carbon reduction. / The full project is due to completed by 31 December 2033, reducing CO2 emissions by more than 95%. // 2022-02-21: Cooperation agreement signed with Uniper to supply green hydrogen https://www.salzgitter-ag.com/en/newsroom/press-releases/details/uniper-and-salzgitter-agree-close-cooperation-in-supplying-the-salcosr-transformation-project-with-green-hydrogen-from-unipers-major-green-wilhelmshavenr-hydrogen-project-19249.html // 2021-05-19 Project breaks ground https://hydrogen-central.com/salzgitter-steel-production-hydrogen-natural-gas/_x000a__x000a_Operated flexibly by NG and H2. MoU signed with Tenova, 5mEUR support from German environment ministry. "/>
    <s v="https://www.salzgitter-ag.com/en/newsroom/press-releases/details/another-key-components-on-the-road-to-low-co2-steel-production-15046.html_x000a_https://www.rechargenews.com/energy-transition/largest-ever-green-steel-investment-salzgitter-approves-723m-spend-on-first-stage-of-hydrogen-focused-project/2-1-1261505"/>
    <d v="2022-11-02T00:00:00"/>
    <d v="2021-05-17T00:00:00"/>
  </r>
  <r>
    <s v="Salzgitter"/>
    <s v="GrInHy2.0 (Green Industrial Hydrogen)"/>
    <s v="https://www.green-industrial-hydrogen.com/"/>
    <s v="SDE00004"/>
    <s v="50% reduction (baseline undefined)"/>
    <s v="95% reduction by 2050 (baseline undefined)"/>
    <s v="https://salcos.salzgitter-ag.com/en/salcos.html#c132332"/>
    <s v="&lt;8"/>
    <s v="Germany"/>
    <s v="Salzgitter"/>
    <n v="52.161794"/>
    <n v="10.409371"/>
    <s v="exact"/>
    <s v="Europe"/>
    <s v="https://www.salzgitter-flachstahl.de/en/index.html"/>
    <x v="2"/>
    <s v="https://www.green-industrial-hydrogen.com/"/>
    <s v="Hydrogen production"/>
    <x v="3"/>
    <s v="Green electrolytic"/>
    <s v="hydrogen production (green hydrogen through SOEC electrolysis)"/>
    <s v="https://www.green-industrial-hydrogen.com/"/>
    <n v="2021"/>
    <s v="https://www.sunfire.de/de/news/detail/grinhy2-0-wasserstoff-fuer-eine-co2-arme-stahlproduktion"/>
    <n v="6.5"/>
    <s v="https://www.sunfire.de/de/news/detail/grinhy2-0-wasserstoff-fuer-eine-co2-arme-stahlproduktion"/>
    <s v="N/A"/>
    <s v="https://www.sunfire.de/de/news/detail/grinhy2-0-wasserstoff-fuer-eine-co2-arme-stahlproduktion"/>
    <s v="N/A"/>
    <s v="https://www.sunfire.de/de/news/detail/grinhy2-0-wasserstoff-fuer-eine-co2-arme-stahlproduktion"/>
    <n v="0.72"/>
    <s v="https://www.sunfire.de/de/news/detail/grinhy2-0-wasserstoff-fuer-eine-co2-arme-stahlproduktion"/>
    <s v="N/A"/>
    <s v="https://www.sunfire.de/de/news/detail/grinhy2-0-wasserstoff-fuer-eine-co2-arme-stahlproduktion"/>
    <s v="Sunfire GmbH, Paul Wurth S.A., Tenova S.p.A., CEA - Commissariat a l'Energie atomique"/>
    <s v="https://www.green-industrial-hydrogen.com/"/>
    <s v="2022-10-17 Project completed with a record production of almost 100 tons of green hydrogen for the climate-neutral production of green steel. https://www.salzgitter-ag.com/en/newsroom/press-releases/details/grinhy20-green-hydrogen-for-green-steel-20194.html_x000a__x000a_In (trial) operation as of March 2021. During the upcoming two years the system is to be operated for at least 13,000 hours and provide proof of plant availability in excess of 95%. Over this period, the electrolyzer is required to produce a minimum of 100 tons of green hydrogen and produce evidence of an electrical efficiency (without the Hydrogen Processing Unit) exceeding 84% LHV. Project partially funded by EU's Horizon 2020 research and innovation program under grant agreement No 826350 (Fuel Cells and Hydrogen 2 Joint Undertaking)."/>
    <s v="https://www.green-industrial-hydrogen.com/project/news/worlds-largest-high-temperature-electrolyser-first-hydrogen-injection https://www.salzgitter-ag.com/en/newsroom/press-releases/details/worlds-largest-high-temperature-electrolyzer-achieves-record-efficiency-19500.html https://www.salzgitter-ag.com/en/newsroom/press-releases/details/grinhy20-green-hydrogen-for-green-steel-20194.html"/>
    <d v="2022-10-17T00:00:00"/>
    <d v="2020-10-12T00:00:00"/>
  </r>
  <r>
    <s v="Salzgitter"/>
    <s v="WindH2"/>
    <s v="https://www.windh2.de/en.html"/>
    <s v="SDE00004"/>
    <s v="50% reduction (baseline undefined)"/>
    <s v="95% reduction by 2050 (baseline undefined)"/>
    <s v="https://salcos.salzgitter-ag.com/en/salcos.html#c132331"/>
    <s v="&lt;8"/>
    <s v="Germany"/>
    <s v="Salzgitter"/>
    <n v="52.172073730000001"/>
    <n v="10.430113410000001"/>
    <s v="exact"/>
    <s v="Europe"/>
    <s v="https://www.salzgitter-flachstahl.de/en/index.html"/>
    <x v="2"/>
    <s v="https://www.salzgitter-ag.com/en/newsroom/press-releases/details/wind-hydrogen-salzgitter-windh2-an-important-step-on-the-path-to-decarbonizing-the-steel-industry-14823.html"/>
    <s v="Hydrogen production"/>
    <x v="3"/>
    <s v="Green electrolytic"/>
    <s v="hydrogen production (green hydrogen through PEM electrolysis, wind energy powered)"/>
    <s v="https://www.salzgitter-ag.com/en/newsroom/press-releases/details/wind-hydrogen-salzgitter-windh2-an-important-step-on-the-path-to-decarbonizing-the-steel-industry-14823.html"/>
    <n v="2021"/>
    <s v="https://salcos.salzgitter-ag.com/en/index.html?no_cache=1"/>
    <n v="60"/>
    <s v="https://www.steelguru.com/steel/windwasserstoff-salzgitter-windh2-commissioned"/>
    <s v="N/A"/>
    <s v="https://www.steelguru.com/steel/windwasserstoff-salzgitter-windh2-commissioned"/>
    <s v="N/A"/>
    <s v="https://www.steelguru.com/steel/windwasserstoff-salzgitter-windh2-commissioned"/>
    <n v="2.5"/>
    <s v="https://www.salzgitter-ag.com/en/newsroom/press-releases/details/wind-hydrogen-salzgitter-windh2-an-important-step-on-the-path-to-decarbonizing-the-steel-industry-14823.html"/>
    <s v="N/A"/>
    <s v="https://www.steelguru.com/steel/windwasserstoff-salzgitter-windh2-commissioned"/>
    <s v="Avacon Natur GmbH, Siemens, Linde"/>
    <s v="https://www.salzgitter-ag.com/en/newsroom/press-releases/details/wind-hydrogen-salzgitter-windh2-an-important-step-on-the-path-to-decarbonizing-the-steel-industry-14823.html"/>
    <s v="2022-11-02 No further comments // In (trial) operation as of March 2021"/>
    <s v="https://www.salzgitter-ag.com/en/newsroom/press-releases/details/wind-hydrogen-salzgitter-windh2-an-important-step-on-the-path-to-decarbonizing-the-steel-industry-14823.html"/>
    <d v="2022-11-02T00:00:00"/>
    <d v="2021-03-11T00:00:00"/>
  </r>
  <r>
    <s v="Salzgitter"/>
    <s v="N/A"/>
    <s v="N/A"/>
    <s v="TBD"/>
    <s v="50% reduction (baseline undefined)"/>
    <s v="95% reduction by 2050 (baseline undefined)"/>
    <s v="https://salcos.salzgitter-ag.com/en/salcos.html#c132330"/>
    <s v="&lt;8"/>
    <s v="Germany"/>
    <s v="Wilhelmshaven"/>
    <n v="53.581142980000003"/>
    <n v="8.1357794860000006"/>
    <s v="approximate (city)"/>
    <s v="Europe"/>
    <s v="https://www.salzgitter-ag.com/en/newsroom/press-releases/details/project-organization-for-feasibility-study-direct-reduction-of-iron-ore-in-wilhelmshaven-now-established-14410.html"/>
    <x v="3"/>
    <s v="https://www.salzgitter-ag.com/en/newsroom/press-releases/details/project-organization-for-feasibility-study-direct-reduction-of-iron-ore-in-wilhelmshaven-now-established-14410.html"/>
    <s v="H-DR"/>
    <x v="0"/>
    <s v="Green electrolytic"/>
    <s v="H-DR"/>
    <s v="https://www.salzgitter-ag.com/en/newsroom/press-releases/details/project-organization-for-feasibility-study-direct-reduction-of-iron-ore-in-wilhelmshaven-now-established-14410.html"/>
    <s v="N/A"/>
    <s v="https://www.salzgitter-ag.com/en/newsroom/press-releases/details/project-organization-for-feasibility-study-direct-reduction-of-iron-ore-in-wilhelmshaven-now-established-14410.html"/>
    <s v="N/A"/>
    <s v="https://www.salzgitter-ag.com/en/newsroom/press-releases/details/project-organization-for-feasibility-study-direct-reduction-of-iron-ore-in-wilhelmshaven-now-established-14410.html"/>
    <s v="N/A"/>
    <s v="https://www.salzgitter-ag.com/en/newsroom/press-releases/details/project-organization-for-feasibility-study-direct-reduction-of-iron-ore-in-wilhelmshaven-now-established-14410.html"/>
    <n v="2"/>
    <s v="https://www.recyclingtoday.com/article/salzgitter-direct-reduced-iron-steel-germany/"/>
    <s v="N/A"/>
    <s v="https://www.salzgitter-ag.com/en/newsroom/press-releases/details/project-organization-for-feasibility-study-direct-reduction-of-iron-ore-in-wilhelmshaven-now-established-14410.html"/>
    <s v="N/A"/>
    <s v="https://www.salzgitter-ag.com/en/newsroom/press-releases/details/project-organization-for-feasibility-study-direct-reduction-of-iron-ore-in-wilhelmshaven-now-established-14410.html"/>
    <s v="Rhenus, Uniper"/>
    <s v="https://www.salzgitter-ag.com/en/newsroom/press-releases/details/project-organization-for-feasibility-study-direct-reduction-of-iron-ore-in-wilhelmshaven-now-established-14410.html"/>
    <s v="2022-11-03 No further comments // 2022-08-11 The consortium has applied for innovation funding backing from state sources for this project that could potentially provide 900€ million ($1.06 billion) or above 50% of its total cost, there is no clear timeline yet for this project to go ahead."/>
    <s v="https://www.spglobal.com/platts/en/market-insights/latest-news/metals/081121-gray-steel-to-become-obsolete-in-eu-once-green-steel-advances-salzgitter-ceo_x000a_https://www.salzgitter-ag.com/en/newsroom/press-releases/details/project-organization-for-feasibility-study-direct-reduction-of-iron-ore-in-wilhelmshaven-now-established-14410.html"/>
    <d v="2022-11-03T00:00:00"/>
    <d v="2020-06-24T00:00:00"/>
  </r>
  <r>
    <s v="SSAB"/>
    <s v="FFS - Towards Fossil-Free Steel"/>
    <s v="N/A"/>
    <s v="TBD"/>
    <s v="26% reduction (baseline 2018)"/>
    <s v="N/A (fossil-free by 2045)"/>
    <s v="https://www.ssab.com/company/sustainability/ssab-and-sustainability/sustainability-targets-beyond-2020"/>
    <n v="8.18"/>
    <s v="Finland"/>
    <s v="Raahe"/>
    <n v="64.651111"/>
    <n v="24.418544000000001"/>
    <s v="exact"/>
    <s v="Europe"/>
    <s v="https://www.ssab.com/news/2021/07/ssab-has-launched-an-extensive-research-project-in-finland-to-replace-fossil-fuels-with-renewable-en"/>
    <x v="3"/>
    <s v="https://www.ssab.com/news/2021/07/ssab-has-launched-an-extensive-research-project-in-finland-to-replace-fossil-fuels-with-renewable-en"/>
    <s v="Other"/>
    <x v="2"/>
    <s v="Not stated"/>
    <s v="Several incuding smelting of H2-reduced sponge iron"/>
    <s v="https://www.ssab.com/news/2021/07/ssab-has-launched-an-extensive-research-project-in-finland-to-replace-fossil-fuels-with-renewable-en"/>
    <n v="2023"/>
    <s v="https://www.ssab.com/news/2021/07/ssab-has-launched-an-extensive-research-project-in-finland-to-replace-fossil-fuels-with-renewable-en"/>
    <n v="12.4"/>
    <s v="https://www.ssab.com/news/2021/07/ssab-has-launched-an-extensive-research-project-in-finland-to-replace-fossil-fuels-with-renewable-en"/>
    <s v="Not stated"/>
    <s v="https://www.ssab.com/news/2021/07/ssab-has-launched-an-extensive-research-project-in-finland-to-replace-fossil-fuels-with-renewable-en"/>
    <s v="Not stated"/>
    <s v="https://www.ssab.com/news/2021/07/ssab-has-launched-an-extensive-research-project-in-finland-to-replace-fossil-fuels-with-renewable-en"/>
    <s v="Not stated"/>
    <s v="https://www.ssab.com/news/2021/07/ssab-has-launched-an-extensive-research-project-in-finland-to-replace-fossil-fuels-with-renewable-en"/>
    <s v="N/A"/>
    <s v="https://www.ssab.com/news/2021/07/ssab-has-launched-an-extensive-research-project-in-finland-to-replace-fossil-fuels-with-renewable-en"/>
    <s v="LKAB, Vattenfall"/>
    <s v="https://www.ssab.com/news/2021/07/ssab-has-launched-an-extensive-research-project-in-finland-to-replace-fossil-fuels-with-renewable-en"/>
    <s v="2022-11-03 Project ongoing (2021-08-01 – 2023-07-31). Project coordinated by University of Oulo, Finland._x000a__x000a_The FFS research project is a continuation of the 2020 Energy4HYBRIT prefeasibility project, which investigated the need and availability of biomaterial and bioenergy and the techno-economic possibilities to use these in the steel mill processes at SSAB Raahe. The FFS project will build on this work and the goal is to determine solutions to produce green forms of energy"/>
    <s v="https://www.ssab.com/news/2021/07/ssab-has-launched-an-extensive-research-project-in-finland-to-replace-fossil-fuels-with-renewable-en"/>
    <d v="2022-11-03T00:00:00"/>
    <d v="2021-07-15T00:00:00"/>
  </r>
  <r>
    <s v="SSAB"/>
    <s v="HYBRIT"/>
    <s v="https://www.hybritdevelopment.se/"/>
    <s v="TBD"/>
    <s v="26% reduction (baseline 2018)"/>
    <s v="N/A (fossil-free by 2045)"/>
    <s v="https://www.ssab.com/company/sustainability/ssab-and-sustainability/sustainability-targets-beyond-2020"/>
    <n v="8.18"/>
    <s v="Finland"/>
    <s v="Raahe"/>
    <n v="64.651111"/>
    <n v="24.418544000000001"/>
    <s v="exact"/>
    <s v="Europe"/>
    <s v="https://www.ssab.com/company/sustainability/sustainable-operations/hybrit-phases"/>
    <x v="0"/>
    <s v="https://www.ssab.com/company/sustainability/sustainable-operations/hybrit-phases"/>
    <s v="EAF"/>
    <x v="4"/>
    <s v="N/A"/>
    <s v="BF/BOF to scrap-EAF conversion"/>
    <s v="https://www.ssab.fi/ssab-konserni/tietoja-ssabsta/tuotantopaikkakunnat-suomessa/raahe/kohti-fossiilivapaata-terastuotantoa"/>
    <n v="2030"/>
    <s v="https://www.ssab.fi/ssab-konserni/tietoja-ssabsta/tuotantopaikkakunnat-suomessa/raahe/kohti-fossiilivapaata-terastuotantoa"/>
    <s v="Not stated"/>
    <s v="https://www.ssab.fi/ssab-konserni/tietoja-ssabsta/tuotantopaikkakunnat-suomessa/raahe/kohti-fossiilivapaata-terastuotantoa"/>
    <s v="Not stated"/>
    <s v="https://www.ssab.fi/ssab-konserni/tietoja-ssabsta/tuotantopaikkakunnat-suomessa/raahe/kohti-fossiilivapaata-terastuotantoa"/>
    <s v="Not stated"/>
    <s v="https://www.ssab.fi/ssab-konserni/tietoja-ssabsta/tuotantopaikkakunnat-suomessa/raahe/kohti-fossiilivapaata-terastuotantoa"/>
    <s v="Not stated"/>
    <s v="https://www.ssab.fi/ssab-konserni/tietoja-ssabsta/tuotantopaikkakunnat-suomessa/raahe/kohti-fossiilivapaata-terastuotantoa"/>
    <s v="N/A"/>
    <s v="https://www.ssab.fi/ssab-konserni/tietoja-ssabsta/tuotantopaikkakunnat-suomessa/raahe/kohti-fossiilivapaata-terastuotantoa"/>
    <s v="LKAB, Vattenfall"/>
    <s v="https://www.ssab.fi/ssab-konserni/tietoja-ssabsta/tuotantopaikkakunnat-suomessa/raahe/kohti-fossiilivapaata-terastuotantoa"/>
    <s v="2022-11-03 No further comments_x000a__x000a_2039 The second blast furnace will also be closed and replaced with an arc furnace-based production technology."/>
    <s v="https://www.ssab.fi/ssab-konserni/tietoja-ssabsta/tuotantopaikkakunnat-suomessa/raahe/kohti-fossiilivapaata-terastuotantoa"/>
    <d v="2022-11-03T00:00:00"/>
    <d v="2019-12-04T00:00:00"/>
  </r>
  <r>
    <s v="SSAB"/>
    <s v="HYBRIT"/>
    <s v="https://www.hybritdevelopment.se/"/>
    <s v="SSE00004"/>
    <s v="26% reduction (baseline 2018)"/>
    <s v="N/A (fossil-free by 2045)"/>
    <s v="https://www.ssab.com/company/sustainability/ssab-and-sustainability/sustainability-targets-beyond-2020"/>
    <n v="8.18"/>
    <s v="Sweden"/>
    <s v="Gällivare"/>
    <n v="67.139064410000003"/>
    <n v="20.659878419999998"/>
    <s v="approximate (city)"/>
    <s v="Europe"/>
    <s v="https://www.ssab.com/news/2021/03/hybrit-ssab-lkab-and-vattenfall-to-begin-industrialization-of-future-fossilfree-steelmaking-by-estab"/>
    <x v="2"/>
    <s v="https://www.hybritdevelopment.se/en/a-fossil-free-development/direct-reduction-hydrogen-demonstrationscale/"/>
    <s v="H-DR"/>
    <x v="0"/>
    <s v="Green electrolytic"/>
    <s v="H-DR"/>
    <s v="https://www.hybritdevelopment.se/en/a-fossil-free-development/direct-reduction-hydrogen-demonstrationscale/"/>
    <n v="2026"/>
    <s v="https://www.hybritdevelopment.se/en/a-fossil-free-development/direct-reduction-hydrogen-demonstrationscale/"/>
    <n v="1000"/>
    <s v="https://www.sei.org/wp-content/uploads/2020/07/bigger-is-sometimes-better.pdf"/>
    <s v="N/A"/>
    <s v="https://www.hybritdevelopment.se/en/march-24-2021-hybrit-ssab-lkab-and-vattenfall-to-begin-industrialization-of-future-fossil-free-steelmaking-by-establishing-the-worlds-first-production-plant-for-fossil-free-sponge-iron-in/"/>
    <n v="1.3"/>
    <s v="https://www.hybritdevelopment.se/en/march-24-2021-hybrit-ssab-lkab-and-vattenfall-to-begin-industrialization-of-future-fossil-free-steelmaking-by-establishing-the-worlds-first-production-plant-for-fossil-free-sponge-iron-in/"/>
    <s v="Not stated"/>
    <s v="https://www.hybritdevelopment.se/en/march-24-2021-hybrit-ssab-lkab-and-vattenfall-to-begin-industrialization-of-future-fossil-free-steelmaking-by-establishing-the-worlds-first-production-plant-for-fossil-free-sponge-iron-in/"/>
    <s v="N/A"/>
    <s v="https://www.hybritdevelopment.se/en/march-24-2021-hybrit-ssab-lkab-and-vattenfall-to-begin-industrialization-of-future-fossil-free-steelmaking-by-establishing-the-worlds-first-production-plant-for-fossil-free-sponge-iron-in/"/>
    <s v="LKAB, Vattenfall"/>
    <s v="https://www.hybritdevelopment.se/"/>
    <s v="2022-11-03 No further comments // 2022-04-01 The project receives in total €143 million from EU Innovation Fund_x000a__x000a_Goal to expand to 2.7 Mt by 2030 with another plant in Gällivare planned to operate in 2030"/>
    <s v="https://www.hybritdevelopment.se/en/march-24-2021-hybrit-ssab-lkab-and-vattenfall-to-begin-industrialization-of-future-fossil-free-steelmaking-by-establishing-the-worlds-first-production-plant-for-fossil-free-sponge-iron-in/ _x000a_https://www.ssab.com/en/news/2022/04/hybrit-receives-support-from-the-eu-innovation-fund"/>
    <d v="2022-11-03T00:00:00"/>
    <d v="2021-03-24T00:00:00"/>
  </r>
  <r>
    <s v="SSAB"/>
    <s v="HYBRIT"/>
    <s v="https://www.hybritdevelopment.se/"/>
    <s v="SSE00002"/>
    <s v="26% reduction (baseline 2018)"/>
    <s v="N/A (fossil-free by 2045)"/>
    <s v="https://www.ssab.com/company/sustainability/ssab-and-sustainability/sustainability-targets-beyond-2020"/>
    <n v="8.18"/>
    <s v="Sweden"/>
    <s v="Luleå"/>
    <n v="65.559719000000001"/>
    <n v="22.219698999999999"/>
    <s v="exact"/>
    <s v="Europe"/>
    <s v="https://www.ssab.com/contact"/>
    <x v="1"/>
    <s v="https://www.hybritdevelopment.se/en/a-fossil-free-development/direct-reduction-hydrogen-pilotscale/"/>
    <s v="H-DR"/>
    <x v="0"/>
    <s v="Green electrolytic"/>
    <s v="H-DR"/>
    <s v="https://www.hybritdevelopment.se/en/a-fossil-free-development/direct-reduction-hydrogen-pilotscale/"/>
    <n v="2021"/>
    <s v="https://www.hybritdevelopment.se/en/a-fossil-free-development/direct-reduction-hydrogen-pilotscale/"/>
    <n v="150"/>
    <s v="https://www.sei.org/wp-content/uploads/2020/07/bigger-is-sometimes-better.pdf"/>
    <s v="N/A"/>
    <s v="https://www.hybritdevelopment.se/en/a-fossil-free-development/direct-reduction-hydrogen-pilotscale/"/>
    <s v="Not stated"/>
    <s v="https://www.hybritdevelopment.se/en/a-fossil-free-development/direct-reduction-hydrogen-pilotscale/"/>
    <s v="Not stated"/>
    <s v="https://www.ssab.com/news/2021/04/hybrit-ssab-lkab-and-vattenfall-building-unique-pilot-project-in-lule-for-largescale-hydrogen-storag"/>
    <s v="N/A"/>
    <s v="https://www.hybritdevelopment.se/en/a-fossil-free-development/direct-reduction-hydrogen-pilotscale/"/>
    <s v="LKAB, Vattenfall"/>
    <s v="https://www.hybritdevelopment.se/"/>
    <s v="2202-11-03 No further comments // 2202-09-22 Pilot facility for hydrogen storage up and running https://www.ssab.com/en/news/2022/09/hybrit-milestone-reached--pilot-facility-for-hydrogen-storage-up-and-running_x000a__x000a_Starting with reduction using natural gas, will switch to electrolyzer H2 in 1st half of 2021. HYBRIT building unique pilot project in Luleå for large-scale hydrogen storage investing a quarter of a billion Swedish kronor (approx. $30m USD). 2030-2040: conversion of BFs to EAF"/>
    <s v="https://www.hybritdevelopment.se/en/hybrit-a-unique-hydrogen-storage-facility-in-lulea-is-taking-shape/ https://www.ssab.com/en/news/2022/09/hybrit-milestone-reached--pilot-facility-for-hydrogen-storage-up-and-running"/>
    <d v="2022-11-03T00:00:00"/>
    <d v="2021-04-07T00:00:00"/>
  </r>
  <r>
    <s v="SSAB"/>
    <s v="HYBRIT"/>
    <s v="https://www.hybritdevelopment.se/"/>
    <s v="SSE00001"/>
    <s v="26% reduction (baseline 2018)"/>
    <s v="N/A (fossil-free by 2045)"/>
    <s v="https://www.ssab.com/company/sustainability/ssab-and-sustainability/sustainability-targets-beyond-2020"/>
    <n v="8.18"/>
    <s v="Sweden"/>
    <s v="Oxelösund"/>
    <n v="58.670788999999999"/>
    <n v="17.127786"/>
    <s v="exact"/>
    <s v="Europe"/>
    <s v="https://www.ssab.com/contact"/>
    <x v="0"/>
    <s v="https://www.ssab.com/news/2020/12/green-light-for-fossilfree-steel-in-oxelsund"/>
    <s v="EAF"/>
    <x v="4"/>
    <s v="N/A"/>
    <s v="BF/BOF to scrap-EAF conversion"/>
    <s v="https://www.ssab.com/news/2020/12/green-light-for-fossilfree-steel-in-oxelsund"/>
    <n v="2025"/>
    <s v="https://www.ssab.com/news/2020/12/green-light-for-fossilfree-steel-in-oxelsund"/>
    <s v="Not stated"/>
    <s v="https://www.ssab.com/news/2020/12/green-light-for-fossilfree-steel-in-oxelsund"/>
    <s v="Not stated"/>
    <s v="https://www.ssab.com/news/2020/12/green-light-for-fossilfree-steel-in-oxelsund"/>
    <s v="Not stated"/>
    <s v="https://www.ssab.com/news/2020/12/green-light-for-fossilfree-steel-in-oxelsund"/>
    <s v="Not stated"/>
    <s v="https://www.ssab.com/news/2020/12/green-light-for-fossilfree-steel-in-oxelsund"/>
    <s v="N/A"/>
    <s v="https://www.ssab.com/news/2020/12/green-light-for-fossilfree-steel-in-oxelsund"/>
    <s v="LKAB, Vattenfall"/>
    <s v="https://www.hybritdevelopment.se/"/>
    <s v="2022-11-03 No further comments // 2022-06-23 Environmental permit to convert plant to EAF upheld"/>
    <s v="N/A"/>
    <d v="2022-11-03T00:00:00"/>
    <d v="2020-12-23T00:00:00"/>
  </r>
  <r>
    <s v="Tata Steel"/>
    <s v="N/A"/>
    <s v="N/A"/>
    <s v="SNL00001"/>
    <s v="30% reduction (baseline 2020)"/>
    <s v="carbon neutrality"/>
    <s v="https://www.tatasteeleurope.com/ts/sites/default/files/TSE%20Sustainability%20report%202019-20%20%28EN%29.pdf"/>
    <n v="30.59"/>
    <s v="Netherlands"/>
    <s v="Ijmuiden"/>
    <n v="52.484118000000002"/>
    <n v="4.6155840000000001"/>
    <s v="exact"/>
    <s v="Europe"/>
    <s v="https://www.tatasteeleurope.com/corporate/news/tata-steel-opts-for-hydrogen-route-at-its-ijmuiden-steelworks"/>
    <x v="0"/>
    <s v="https://www.tatasteeleurope.com/corporate/news/tata-steel-opts-for-hydrogen-route-at-its-ijmuiden-steelworks"/>
    <s v="H-DR"/>
    <x v="0"/>
    <s v="Not stated"/>
    <s v="H-DR"/>
    <s v="https://www.tatasteeleurope.com/corporate/news/tata-steel-opts-for-hydrogen-route-at-its-ijmuiden-steelworks"/>
    <n v="2030"/>
    <s v="https://www.tatasteeleurope.com/corporate/news/tata-steel-opts-for-hydrogen-route-at-its-ijmuiden-steelworks"/>
    <n v="64.8"/>
    <s v="https://www.tatasteeleurope.com/corporate/news/Tata-Steel-invests-65-million-euroin-next-phase-hydrogen-route"/>
    <s v="Not stated"/>
    <s v="https://www.tatasteeleurope.com/corporate/news/tata-steel-opts-for-hydrogen-route-at-its-ijmuiden-steelworks"/>
    <s v="Not stated"/>
    <s v="https://www.tatasteeleurope.com/corporate/news/tata-steel-opts-for-hydrogen-route-at-its-ijmuiden-steelworks"/>
    <s v="Not stated"/>
    <s v="https://www.tatasteeleurope.com/corporate/news/tata-steel-opts-for-hydrogen-route-at-its-ijmuiden-steelworks"/>
    <s v="N/A"/>
    <s v="https://www.tatasteeleurope.com/corporate/news/tata-steel-opts-for-hydrogen-route-at-its-ijmuiden-steelworks"/>
    <s v="McDermott, Danieli, Hatch"/>
    <s v="https://www.tatasteeleurope.com/corporate/news/Tata-Steel-invests-65-million-euroin-next-phase-hydrogen-route"/>
    <s v="2022-11-03 Announced on 30th August 2022: Tata Steel Nederland has signed contracts with three companies – McDermott, Danieli and Hatch – for the further technical preparations of the hydrogen route. (…) The cost for this first development step are in excess of 65 million euros and will result in an engineering package that forms the basis for a final permitting and project planning. (...) Project is led by the Tata Steel internal project and sustainability team. (...) McDermott is responsible for the construction input and support of the technical project management. Danieli is responsible for the engineering design for the  plant and technology that  delivers DRI. Hatch is the technology licensor  of the electric furnaces (REF) that melt the DRI. // Tata Steel Nederland has already signed a memorandum of understanding with Ford in Europe (...) makes Ford the first customer committed to offtake the green steel that Tata Steel plans to produce."/>
    <s v="https://www.tatasteeleurope.com/corporate/news/Tata-Steel-invests-65-million-euroin-next-phase-hydrogen-route_x000a_https://gmk.center/en/news/tata-steel-to-invest-e65-million-in-the-decarbonization-of-a-plant-in-the-netherlands/"/>
    <d v="2022-11-03T00:00:00"/>
    <d v="2021-09-16T00:00:00"/>
  </r>
  <r>
    <s v="Tata Steel"/>
    <s v="Project H2ermes"/>
    <s v="https://h2ermes.nl/project-en/"/>
    <s v="SNL00001"/>
    <s v="30% reduction (baseline 2020)"/>
    <s v="carbon neutrality"/>
    <s v="https://www.tatasteeleurope.com/ts/sites/default/files/TSE%20Sustainability%20report%202019-20%20%28EN%29.pdf"/>
    <n v="30.59"/>
    <s v="Netherlands"/>
    <s v="Ijmuiden"/>
    <n v="52.484118000000002"/>
    <n v="4.6155840000000001"/>
    <s v="exact"/>
    <s v="Europe"/>
    <s v="https://prtr.eea.europa.eu/#/facilitylevels"/>
    <x v="0"/>
    <s v="https://h2ermes.nl/project-en/"/>
    <s v="Hydrogen production"/>
    <x v="3"/>
    <s v="Green electrolytic"/>
    <s v="Hydrogen production (green hydrogen)"/>
    <s v="https://h2ermes.nl/project-en/"/>
    <n v="2025"/>
    <s v="https://h2ermes.nl/project-en/"/>
    <s v="Not stated"/>
    <s v="https://h2ermes.nl/project-en/"/>
    <s v="N/A"/>
    <s v="https://h2ermes.nl/project-en/"/>
    <s v="N/A"/>
    <s v="https://h2ermes.nl/project-en/"/>
    <n v="100"/>
    <s v="https://h2ermes.nl/project-en/"/>
    <s v="N/A"/>
    <s v="https://h2ermes.nl/project-en/"/>
    <s v="HyCC, Port of Amsterdam"/>
    <s v="https://h2ermes.nl/project-en/"/>
    <s v="2022-11-03 In 2022, the permitting phase of the project will be started so that the first hydrogen can be supplied to Tata Steel and the Amsterdam Metropolitan Area in 2025/2026._x000a__x000a_Electrolysis facility to be located in Amsterdam, producing 15,000 tons of hydrogen per year and oxygen for industrial use at Tata Steel IJmuiden Works"/>
    <s v="https://h2ermes.nl/project-en/"/>
    <d v="2022-11-03T00:00:00"/>
    <d v="2018-10-19T00:00:00"/>
  </r>
  <r>
    <s v="Tata Steel"/>
    <s v="Hlsarna"/>
    <s v="https://www.tatasteeleurope.com/ts/sustainability/carbon-neutral-steel"/>
    <s v="SNL00001"/>
    <s v="30% reduction (baseline 2020)"/>
    <s v="carbon neutrality"/>
    <s v="https://www.tatasteeleurope.com/ts/sites/default/files/TSE%20Sustainability%20report%202019-20%20%28EN%29.pdf"/>
    <n v="30.59"/>
    <s v="Netherlands"/>
    <s v="Ijmuiden"/>
    <n v="52.484118000000002"/>
    <n v="4.6155840000000001"/>
    <s v="exact"/>
    <s v="Europe"/>
    <s v="https://prtr.eea.europa.eu/#/facilitylevels"/>
    <x v="1"/>
    <s v="https://www.tatasteeleurope.com/ts/sites/default/files/TS%20Factsheet%20Hisarna%20ENG%20jan2020%20Vfinal03%204%20pag%20digital.pdf"/>
    <s v="Other"/>
    <x v="2"/>
    <s v="N/A"/>
    <s v="Smelting reduction"/>
    <s v="https://www.tatasteeleurope.com/ts/sites/default/files/TS%20Factsheet%20Hisarna%20ENG%20jan2020%20Vfinal03%204%20pag%20digital.pdf"/>
    <n v="2017"/>
    <s v="https://www.tatasteeleurope.com/ts/sites/default/files/TS%20Factsheet%20Hisarna%20ENG%20jan2020%20Vfinal03%204%20pag%20digital.pdf"/>
    <n v="100"/>
    <s v="https://www.pmi.org/-/media/pmi/documents/public/pdf/academics/call-for-proposal/tata-hisarna-project.pdf?v=af070ea8-50e1-485e-b025-9042674a0803"/>
    <s v="N/A"/>
    <s v="https://www.tatasteeleurope.com/ts/sites/default/files/TS%20Factsheet%20Hisarna%20ENG%20jan2020%20Vfinal03%204%20pag%20digital.pdf"/>
    <n v="0.06"/>
    <s v="https://www.tatasteeleurope.com/ts/sites/default/files/TS%20Factsheet%20Hisarna%20ENG%20jan2020%20Vfinal03%204%20pag%20digital.pdf"/>
    <s v="N/A"/>
    <s v="https://www.tatasteeleurope.com/ts/sites/default/files/TS%20Factsheet%20Hisarna%20ENG%20jan2020%20Vfinal03%204%20pag%20digital.pdf"/>
    <s v="N/A"/>
    <s v="https://www.tatasteeleurope.com/ts/sites/default/files/TS%20Factsheet%20Hisarna%20ENG%20jan2020%20Vfinal03%204%20pag%20digital.pdf"/>
    <s v="Rio Tinto, Tata steel, ULCOS, EU"/>
    <s v="https://www.pmi.org/-/media/pmi/documents/public/pdf/academics/call-for-proposal/tata-hisarna-project.pdf?v=af070ea8-50e1-485e-b025-9042674a0803"/>
    <s v="2022-11-02 By 2033, our ambition is to have it scaled up it at full scale and it is ready to replace one of our blast furnaces. HIsarna can cut up to 100% of CO2 emissions, when combined with carbon capture. https://www.tatasteeleurope.com/construction/sustainability/performance-at-our-sites/ijmuiden_x000a__x000a_A new reactor has been developed, which can be used to produce steel from iron ore, coal fines and oxygen. It has the potential to reduce direct CO2 emissions by 20% . With CCS 80 % of the emissions could be reduced as the reactor releases a pure stream of CO2. The technology was developed by Tata steel and Rio Tinto, but Tata steel owns the IP now. The plans to build an industrial demonstration plant in the Netherlands were shelved because of the low-demand of steel in the EU. The industrial demo plant could be commissioned in Jamshedpur, India which is the headquarters of Tata Steel."/>
    <s v="https://www.nhnieuws.nl/nieuws/235611/Tata-Steel-kiest-onverwacht-niet-voor-IJmuiden-om-nieuwe-fabriek-te-vestigen"/>
    <d v="2022-11-02T00:00:00"/>
    <d v="2011-05-25T00:00:00"/>
  </r>
  <r>
    <s v="Tenaris"/>
    <s v="Dalmine Zero Emissions"/>
    <s v="N/A"/>
    <s v="TBD"/>
    <s v="N/A"/>
    <s v="N/A"/>
    <s v="https://www.tenaris.com/en/newsroom/news-listing/tenaris-joins-edison-and-snam-to-trial-steelmaking--23383824921"/>
    <s v="&lt;8"/>
    <s v="Italy"/>
    <s v="Dalmine"/>
    <n v="45.641516000000003"/>
    <n v="9.6002419999999997"/>
    <s v="exact"/>
    <s v="Europe"/>
    <s v="https://www.tenaris.com/en/newsroom/news-listing/tenaris-joins-edison-and-snam-to-trial-steelmaking--23383824921"/>
    <x v="0"/>
    <s v="https://www.tenaris.com/en/newsroom/news-listing/tenaris-joins-edison-and-snam-to-trial-steelmaking--23383824921"/>
    <s v="Hydrogen production"/>
    <x v="3"/>
    <s v="Green electrolytic"/>
    <s v="Hydrogen production (green hydrogen)"/>
    <s v="https://www.tenaris.com/en/newsroom/news-listing/tenaris-joins-edison-and-snam-to-trial-steelmaking--23383824921"/>
    <s v="Not stated"/>
    <s v="https://www.tenaris.com/en/newsroom/news-listing/tenaris-joins-edison-and-snam-to-trial-steelmaking--23383824921"/>
    <s v="Not stated"/>
    <s v="https://www.tenaris.com/en/newsroom/news-listing/tenaris-joins-edison-and-snam-to-trial-steelmaking--23383824921"/>
    <s v="Not stated"/>
    <s v="https://www.tenaris.com/en/newsroom/news-listing/tenaris-joins-edison-and-snam-to-trial-steelmaking--23383824921"/>
    <s v="N/A"/>
    <s v="https://www.tenaris.com/en/newsroom/news-listing/tenaris-joins-edison-and-snam-to-trial-steelmaking--23383824921"/>
    <n v="20"/>
    <s v="https://www.tenaris.com/en/newsroom/news-listing/tenaris-joins-edison-and-snam-to-trial-steelmaking--23383824921"/>
    <s v="N/A"/>
    <s v="https://www.tenaris.com/en/newsroom/news-listing/tenaris-joins-edison-and-snam-to-trial-steelmaking--23383824921"/>
    <s v="Edison, Snam"/>
    <s v="https://www.tenaris.com/en/newsroom/news-listing/tenaris-joins-edison-and-snam-to-trial-steelmaking--23383824921"/>
    <s v="2022-11-03 No further comments // 2021-11-01 Letter of intent signed by partners"/>
    <s v="https://www.tenaris.com/en/newsroom/news-listing/tenaris-joins-edison-and-snam-to-trial-steelmaking--23383824921"/>
    <d v="2022-11-03T00:00:00"/>
    <d v="2021-11-01T00:00:00"/>
  </r>
  <r>
    <s v="Thyssenkrupp"/>
    <s v="Blast Furnace 2.0"/>
    <s v="N/A"/>
    <s v="SDE00001"/>
    <s v="30% reduction (baseline 2018)"/>
    <s v="climate neutral"/>
    <s v="https://www.thyssenkrupp.com/en/company/sustainability/climate-strategy-and-targets"/>
    <n v="12"/>
    <s v="Germany"/>
    <s v="Duisburg"/>
    <n v="51.491649000000002"/>
    <n v="6.7330509999999997"/>
    <s v="exact"/>
    <s v="Europe"/>
    <s v="https://www.thyssenkrupp-steel.com/en/contact.html"/>
    <x v="0"/>
    <s v="https://www.thyssenkrupp-steel.com/en/newsroom/press-releases/thyssenkrupp-presents-altmaier-and-laschet-concept-for-green-transformation-of-duisburg-steel-mill.html"/>
    <s v="NG-DR --&gt; H-DR"/>
    <x v="0"/>
    <s v="Green electrolytic"/>
    <s v="NG-DR --&gt; H-DR"/>
    <s v="https://www.thyssenkrupp-steel.com/en/newsroom/press-releases/thyssenkrupp-presents-altmaier-and-laschet-concept-for-green-transformation-of-duisburg-steel-mill.html"/>
    <n v="2025"/>
    <s v="https://www.thyssenkrupp-steel.com/en/newsroom/press-releases/thyssenkrupp-presents-altmaier-and-laschet-concept-for-green-transformation-of-duisburg-steel-mill.html"/>
    <s v="Not stated"/>
    <s v="https://www.thyssenkrupp-steel.com/en/newsroom/press-releases/thyssenkrupp-presents-altmaier-and-laschet-concept-for-green-transformation-of-duisburg-steel-mill.html"/>
    <s v="N/A"/>
    <s v="https://www.thyssenkrupp-steel.com/en/newsroom/press-releases/thyssenkrupp-presents-altmaier-and-laschet-concept-for-green-transformation-of-duisburg-steel-mill.html"/>
    <n v="1.2"/>
    <s v="https://www.thyssenkrupp-steel.com/en/newsroom/press-releases/thyssenkrupp-presents-altmaier-and-laschet-concept-for-green-transformation-of-duisburg-steel-mill.html"/>
    <s v="N/A"/>
    <s v="https://www.thyssenkrupp-steel.com/en/newsroom/press-releases/thyssenkrupp-presents-altmaier-and-laschet-concept-for-green-transformation-of-duisburg-steel-mill.html"/>
    <s v="N/A"/>
    <s v="https://www.thyssenkrupp-steel.com/en/newsroom/press-releases/thyssenkrupp-presents-altmaier-and-laschet-concept-for-green-transformation-of-duisburg-steel-mill.html"/>
    <s v="N/A"/>
    <s v="https://www.thyssenkrupp-steel.com/en/newsroom/press-releases/thyssenkrupp-presents-altmaier-and-laschet-concept-for-green-transformation-of-duisburg-steel-mill.html"/>
    <s v="2023-03-13 In pursuit of the best technological solution, thyssenkrupp will be the first steelmaker in the world to combine a 100-percent hydrogen-capable direct reduction plant with innovative melters. The direct reduction plant is based on MIDREX Flex technology._x000a_2023-03-02 German plantmaker SMS Group has announced that it will supply a direct reduction plant worth €1.8 billion to Germany-based steelmaker Thyssenkrupp Steel’s Duisburg plant (...) scheduled to start-up by the end of 2026._x000a__x000a_2022-11-08 The plant with a capacity of 2.5 million metric tons, will avoid the emission of 3.5 million metric tons of CO2. Construction will involve investment of more than €2 billion_x000a__x000a_DRI processed in an integrated melting unit to &quot;electrical hot metal&quot;, then fed into BOFs (transition) // Online year subject to positive investment decision in 2023"/>
    <s v="https://greensteelworld.com/thyssenkrupp-steel-awards-contract-worth-billions-of-euros-to-sms-group-for-dri-plant_x000a_https://www.steelorbis.com/steel-news/latest-news/thyssenkrupp-steel-orders-dri-plant-for-decarbonization-efforts-1281017.htm_x000a_https://www.greencarcongress.com/2022/09/20220909-thyssenkrupp.html"/>
    <d v="2023-03-13T00:00:00"/>
    <d v="2020-08-28T00:00:00"/>
  </r>
  <r>
    <s v="Thyssenkrupp"/>
    <s v="HydrOxy Hub Walsum"/>
    <s v="https://www.steag.com/en/news/current-projects/hydroxy-walsum"/>
    <s v="SDE00001"/>
    <s v="30% reduction (baseline 2018)"/>
    <s v="climate neutral"/>
    <s v="https://www.thyssenkrupp.com/en/company/sustainability/climate-strategy-and-targets"/>
    <n v="12"/>
    <s v="Germany"/>
    <s v="Duisburg"/>
    <n v="51.491649000000002"/>
    <n v="6.7330509999999997"/>
    <s v="exact"/>
    <s v="Europe"/>
    <s v="https://www.thyssenkrupp-steel.com/en/contact.html"/>
    <x v="0"/>
    <s v="https://www.steag.com/en/news/current-projects/hydroxy-walsum"/>
    <s v="Hydrogen production"/>
    <x v="3"/>
    <s v="Green electrolytic"/>
    <s v="Hydrogen production (green hydrogen)"/>
    <s v="https://www.steag.com/en/news/current-projects/hydroxy-walsum"/>
    <n v="2025"/>
    <s v="https://www.steag.com/en/news/current-projects/hydroxy-walsum"/>
    <n v="600"/>
    <s v="https://www.steag.com/en/news/current-projects/hydroxy-walsum"/>
    <s v="N/A"/>
    <s v="https://www.steag.com/en/news/current-projects/hydroxy-walsum"/>
    <s v="N/A"/>
    <s v="https://www.steag.com/en/news/current-projects/hydroxy-walsum"/>
    <n v="520"/>
    <s v="https://www.steag.com/en/press-release/21-03-2022-thyssenkrupp-steel-and-steag-agree-delivery-of-hydrogen"/>
    <s v="N/A"/>
    <s v="https://www.steag.com/en/news/current-projects/hydroxy-walsum"/>
    <s v="Thyssenkrupp Uhde Chlorine Engineers, Steag"/>
    <s v="https://www.steag.com/en/news/current-projects/hydroxy-walsum"/>
    <s v="2022-12-30 Air Liquide will supply hydrogen to the plant from 2024_x000a__x000a_2022-11-08 an agreement in the form of a memorandum of understanding [repared by the project partners STEAG and thyssenkrupp] has now been reached on the planned delivery of hydrogen and oxygen to thyssenkrupp Steel in Duisburg from the neighboring STEAG site in Duisburg-Walsum._x000a__x000a_If an investment decision is made in spring 2023, commercial operation of the plant is conceivable in early 2025. // Hydrogen to be supplied to Duisburg steel mills; application for IPCEI intended."/>
    <s v="https://www.steelorbis.com/steel-news/latest-news/air-liquides-new-pipeline-to-supply-hydrogen-to-thyssenkrupps-duisburg-plant-from-2024-1273488.htm_x000a_https://www.steag.com/en/press-release/21-03-2022-thyssenkrupp-steel-and-steag-agree-delivery-of-hydrogen"/>
    <d v="2023-03-08T00:00:00"/>
    <d v="2021-02-24T00:00:00"/>
  </r>
  <r>
    <s v="Thyssenkrupp"/>
    <s v="H2morrow"/>
    <s v="https://oge.net/en/us/projects/h2morrow"/>
    <s v="N/A"/>
    <s v="30% reduction (baseline 2018)"/>
    <s v="climate neutral"/>
    <s v="https://www.thyssenkrupp.com/en/company/sustainability/climate-strategy-and-targets"/>
    <n v="12"/>
    <s v="Germany"/>
    <s v="Duisburg (location of hydrogen use)"/>
    <n v="51.491649000000002"/>
    <n v="6.7330509999999997"/>
    <s v="exact"/>
    <s v="Europe"/>
    <s v="https://www.thyssenkrupp-steel.com/en/contact.html"/>
    <x v="0"/>
    <s v="https://oge.net/en/us/projects/h2morrow"/>
    <s v="Hydrogen production"/>
    <x v="3"/>
    <s v="Blue"/>
    <s v="Hydrogen production (blue hydrogen with carbon capture and offshore storage)"/>
    <s v="https://www.energate-messenger.de/news/208774/blauer-wasserstoff-fuer-duisburger-stahlwerk"/>
    <n v="2027"/>
    <s v="https://www.energate-messenger.de/news/208774/blauer-wasserstoff-fuer-duisburger-stahlwerk"/>
    <s v="Not stated"/>
    <s v="https://oge.net/en/us/projects/h2morrow"/>
    <s v="N/A"/>
    <s v="https://oge.net/en/us/projects/h2morrow"/>
    <s v="Not stated"/>
    <s v="https://oge.net/en/us/projects/h2morrow"/>
    <n v="1400"/>
    <s v="https://www.thyssenkrupp-steel.com/en/newsroom/press-releases/h2morrow-steel-concludes-feasibility-study.html"/>
    <s v="Not stated"/>
    <s v="https://www.thyssenkrupp-steel.com/en/newsroom/press-releases/h2morrow-steel-concludes-feasibility-study.html"/>
    <s v="Equinor, OGE"/>
    <s v="https://www.thyssenkrupp-steel.com/en/newsroom/press-releases/h2morrow-steel-concludes-feasibility-study.html"/>
    <s v="2022-11-08 No further comments // 2021-05-02 Feasibility study concluded in Jan 2021, considering project technically feasible, further details to be investigated for investment decision_x000a_Reforming of natural gas imported from Norway to produce hydrogen, carbon capture for offshore storage; use existing gas pipelines (convert for pure H2 use); hydrogen to be supplied to Thyssenkrupp Steel Europe to replace coking coal; capacity scenarios researched: 1.4 and 2.7 GW"/>
    <s v="https://www.thyssenkrupp-steel.com/en/newsroom/press-releases/h2morrow-steel-concludes-feasibility-study.html"/>
    <d v="2022-11-08T00:00:00"/>
    <d v="2021-01-12T00:00:00"/>
  </r>
  <r>
    <s v="Voestalpine"/>
    <s v="HYFOR"/>
    <s v="https://magazine.primetals.com/2021/06/24/zero-carbon-hyfor-direct-reduction-pilot-plant-commences-operation-in-donawitz-austria/"/>
    <s v="SAT00002"/>
    <s v="30% reduction (baseline undefined)"/>
    <s v="carbon neutrality"/>
    <s v="https://www.voestalpine.com/greentecsteel/en/"/>
    <s v="&lt;8"/>
    <s v="Austria"/>
    <s v="Donawitz"/>
    <n v="47.380454999999998"/>
    <n v="15.065182"/>
    <s v="exact"/>
    <s v="Europe"/>
    <s v="https://www.voestalpine.com/stahldonawitz/en/"/>
    <x v="1"/>
    <s v="https://www.primetals.com/de/presse-medien/news/primetals-technologies-develops-breakthrough-technology-for-carbon-free-hydrogen-based-direct-reduction-for-iron-ore-fines"/>
    <s v="H-DR"/>
    <x v="0"/>
    <s v="Not stated"/>
    <s v="H-DR"/>
    <s v="https://asia.nikkei.com/Spotlight/Environment/Climate-Change/Mitsubishi-Heavy-to-build-biggest-zero-carbon-steel-plant"/>
    <n v="2021"/>
    <s v="https://www.primetals.com/de/presse-medien/news/primetals-technologies-develops-breakthrough-technology-for-carbon-free-hydrogen-based-direct-reduction-for-iron-ore-fines"/>
    <s v="Not stated"/>
    <s v="https://www.primetals.com/de/presse-medien/news/primetals-technologies-develops-breakthrough-technology-for-carbon-free-hydrogen-based-direct-reduction-for-iron-ore-fines"/>
    <s v="N/A"/>
    <s v="https://www.primetals.com/de/presse-medien/news/primetals-technologies-develops-breakthrough-technology-for-carbon-free-hydrogen-based-direct-reduction-for-iron-ore-fines"/>
    <n v="0.25"/>
    <s v="https://asia.nikkei.com/Spotlight/Environment/Climate-Change/Mitsubishi-Heavy-to-build-biggest-zero-carbon-steel-plant"/>
    <s v="Not stated"/>
    <s v="https://asia.nikkei.com/Spotlight/Environment/Climate-Change/Mitsubishi-Heavy-to-build-biggest-zero-carbon-steel-plant"/>
    <s v="N/A"/>
    <s v="https://asia.nikkei.com/Spotlight/Environment/Climate-Change/Mitsubishi-Heavy-to-build-biggest-zero-carbon-steel-plant"/>
    <s v="Mitsubishi Heavy, Primetals Technologies"/>
    <s v="https://asia.nikkei.com/Spotlight/Environment/Climate-Change/Mitsubishi-Heavy-to-build-biggest-zero-carbon-steel-plant // https://www.primetals.com/de/presse-medien/news/primetals-technologies-develops-breakthrough-technology-for-carbon-free-hydrogen-based-direct-reduction-for-iron-ore-fines"/>
    <s v="2022-11-02 No further comment // 2021-08-25 Building an industrial-scale HYFOR prototype will be decided by the end of 2022 https://magazine.primetals.com/2021/08/24/zero-carbon-iron-primetals-technologies-and-mhi-australia-join-hilt-crc/ // 2021-06-24 First tests successfully executed in April and May 2021"/>
    <s v="https://magazine.primetals.com/2021/06/24/zero-carbon-hyfor-direct-reduction-pilot-plant-commences-operation-in-donawitz-austria/ https://magazine.primetals.com/2021/08/24/zero-carbon-iron-primetals-technologies-and-mhi-australia-join-hilt-crc/"/>
    <d v="2022-11-03T00:00:00"/>
    <d v="2020-12-28T00:00:00"/>
  </r>
  <r>
    <s v="Voestalpine"/>
    <s v="SuSteel"/>
    <s v="https://www.k1-met.com/en/research_programme/susteel/"/>
    <s v="SAT00002"/>
    <s v="30% reduction (baseline undefined)"/>
    <s v="carbon neutrality"/>
    <s v="https://www.voestalpine.com/greentecsteel/en/"/>
    <s v="&lt;8"/>
    <s v="Austria"/>
    <s v="Donawitz"/>
    <n v="47.380454999999998"/>
    <n v="15.065182"/>
    <s v="exact"/>
    <s v="Europe"/>
    <s v="https://www.voestalpine.com/stahldonawitz/en/"/>
    <x v="1"/>
    <s v="https://www.k1-met.com/en/research_programme/susteel/"/>
    <s v="Other"/>
    <x v="2"/>
    <s v="N/A"/>
    <s v="Plasma smelting reduction"/>
    <s v="https://www.k1-met.com/en/research_programme/susteel/"/>
    <n v="2020"/>
    <s v="https://www.k1-met.com/en/research_programme/susteel/"/>
    <s v="Not stated"/>
    <s v="https://www.k1-met.com/en/research_programme/susteel/"/>
    <s v="N/A"/>
    <s v="https://www.k1-met.com/en/research_programme/susteel/"/>
    <n v="0"/>
    <s v="https://www.k1-met.com/en/research_programme/susteel/"/>
    <s v="N/A"/>
    <s v="https://www.k1-met.com/en/research_programme/susteel/"/>
    <s v="N/A"/>
    <s v="https://www.k1-met.com/en/research_programme/susteel/"/>
    <s v="K1-MET GmbH, University of Leoben"/>
    <s v="https://www.k1-met.com/en/research_programme/susteel/"/>
    <s v="Project ended in February 2020, pilot said to be successful; however no mention of any follow up in voestalpine Environmental report 2020"/>
    <s v="https://www.k1-met.com/en/research_programme/susteel/"/>
    <d v="2022-10-17T00:00:00"/>
    <d v="2016-09-01T00:00:00"/>
  </r>
  <r>
    <s v="Voestalpine"/>
    <s v="H2Future"/>
    <s v="https://www.h2future-project.eu/"/>
    <s v="SAT00001"/>
    <s v="30% reduction (baseline undefined)"/>
    <s v="carbon neutrality"/>
    <s v="https://www.voestalpine.com/greentecsteel/en/"/>
    <s v="&lt;8"/>
    <s v="Austria"/>
    <s v="Linz"/>
    <n v="48.274023"/>
    <n v="14.334339999999999"/>
    <s v="exact"/>
    <s v="Europe"/>
    <s v="https://www.voestalpine.com/stahl/en/Companies/voestalpine-Stahl-GmbH"/>
    <x v="1"/>
    <s v="https://www.voestalpine.com/group/en/media/press-releases/2019-11-11-h2future-worlds-largest-green-hydrogen-pilot-facility-successfully-commences-operation/"/>
    <s v="Hydrogen production"/>
    <x v="3"/>
    <s v="Green electrolytic"/>
    <s v="Hydrogen production (green hydrogen through PEM electrolysis)"/>
    <s v="https://www.voestalpine.com/group/en/media/press-releases/2019-11-11-h2future-worlds-largest-green-hydrogen-pilot-facility-successfully-commences-operation/"/>
    <n v="2019"/>
    <s v="https://www.voestalpine.com/group/en/media/press-releases/2019-11-11-h2future-worlds-largest-green-hydrogen-pilot-facility-successfully-commences-operation/"/>
    <n v="21"/>
    <s v="https://www.voestalpine.com/group/en/media/press-releases/2019-11-11-h2future-worlds-largest-green-hydrogen-pilot-facility-successfully-commences-operation/"/>
    <s v="N/A"/>
    <s v="https://www.voestalpine.com/group/en/media/press-releases/2019-11-11-h2future-worlds-largest-green-hydrogen-pilot-facility-successfully-commences-operation/"/>
    <s v="N/A"/>
    <s v="https://www.voestalpine.com/group/en/media/press-releases/2019-11-11-h2future-worlds-largest-green-hydrogen-pilot-facility-successfully-commences-operation/"/>
    <n v="6"/>
    <s v="https://www.h2future-project.eu/"/>
    <s v="N/A"/>
    <s v="https://www.voestalpine.com/group/en/media/press-releases/2019-11-11-h2future-worlds-largest-green-hydrogen-pilot-facility-successfully-commences-operation/"/>
    <s v="Siemens, Verbund, Austrian Power Grid (APG), K1-MET, ECN/TNO"/>
    <s v="https://www.h2future-project.eu/"/>
    <s v="2023-02-14 On December 19 (2022), Primetals Technologies, together with its strategic partners Mitsubishi Corporation, Fortescue signed a Memorandum of Understanding (MoU). (...) The partnership is aimed at designing and engineering an industrial-scale prototype plant with a new process for net-zero-emission ironmaking at the voestalpine site in Linz, Austria (...) The hydrogen used in the new plant will mainly come from Verbund, voestalpine’s and Austria’s leading renewable energy producer, who operates a proton exchange membrane (PEM) electrolyzer named H2Future. Located in Linz, this plant has a capacity of over six megawatts, and is still the world’s largest of its kind used at a steel plant. The H2Future plant will be upgraded to allow for the compression and storage of hydrogen gas before use in the combined HYFOR and Smelter plant // 2022-11-02 No further comments // 2022-01-26 Voestalpine wants to continue the pilot project &quot;H2Future&quot; around green hydrogen in steel production. Talks with project partners are currently underway, the steel company told energate.  //2021-12-31 Project ended https://cordis.europa.eu/project/id/735503 // Project partially funded by EU's Horizon 2020 research and innovation program and Hydrogen Europe and N.ERGHY, Grant No 735503 (Fuel Cells and Hydrogen 2 Join Undertaking grant)"/>
    <s v="https://greensteelworld.com/fortescue-mitsubishi-corporation-primetals-technologies-voestalpine-sign-green-steel-deal_x000a_https://www.voestalpine.com/group/en/media/press-releases/2019-11-11-h2future-worlds-largest-green-hydrogen-pilot-facility-successfully-commences-operation/"/>
    <d v="2023-02-14T00:00:00"/>
    <d v="2019-11-11T00:00:00"/>
  </r>
  <r>
    <s v="H2 Green Steel"/>
    <s v="TBD"/>
    <s v="https://www.h2greensteel.com/latestnews/h2-green-steel-and-iberdrola-announce-23-billion-green-hydrogen-venture"/>
    <s v="TBD"/>
    <s v="N/A"/>
    <s v="N/A"/>
    <s v="https://www.h2greensteel.com/"/>
    <n v="0"/>
    <s v="Spain"/>
    <s v="To be confirmed"/>
    <n v="40.463700000000003"/>
    <n v="-3.7492000000000001"/>
    <s v="approximate (country)"/>
    <s v="Europe"/>
    <s v="https://www.h2greensteel.com/pressreleases/h2-green-steel-and-iberdrola-announce-23-billion-green-hydrogen-venture"/>
    <x v="0"/>
    <s v="https://www.h2greensteel.com/pressreleases/h2-green-steel-and-iberdrola-announce-23-billion-green-hydrogen-venture"/>
    <s v="H-DR"/>
    <x v="0"/>
    <s v="Green electrolytic"/>
    <s v="H-DR"/>
    <s v="https://www.h2greensteel.com/pressreleases/h2-green-steel-and-iberdrola-announce-23-billion-green-hydrogen-venture"/>
    <n v="2025"/>
    <s v="https://www.h2greensteel.com/latestnews/h2-green-steel-and-iberdrola-announce-23-billion-green-hydrogen-venture"/>
    <n v="2600"/>
    <s v="https://www.h2greensteel.com/latestnews/h2-green-steel-and-iberdrola-announce-23-billion-green-hydrogen-venture"/>
    <n v="3.75"/>
    <s v="https://www.h2greensteel.com/pressreleases/h2-green-steel-and-iberdrola-announce-23-billion-green-hydrogen-venture"/>
    <n v="2"/>
    <s v="https://www.h2greensteel.com/pressreleases/h2-green-steel-and-iberdrola-announce-23-billion-green-hydrogen-venture"/>
    <n v="1000"/>
    <s v="https://www.h2greensteel.com/pressreleases/h2-green-steel-and-iberdrola-announce-23-billion-green-hydrogen-venture"/>
    <s v="N/A"/>
    <s v="https://www.h2greensteel.com/pressreleases/h2-green-steel-and-iberdrola-announce-23-billion-green-hydrogen-venture"/>
    <s v="Iberdrola"/>
    <s v="https://www.h2greensteel.com/latestnews/h2-green-steel-and-iberdrola-announce-23-billion-green-hydrogen-venture"/>
    <s v="2022-11-03 No further comments_x000a__x000a_The site will be located in the Iberian Peninsula, where several possible locations are currently being considered, with production intended to start in 2025 or 2026. The locations that H2 Green Steel and Iberdrola are assessing will all have access to cost-effective renewable electricity and the infrastructure required to successfully operate a Green Hydrogen, Green Iron and Green Steel business. "/>
    <s v="https://www.h2greensteel.com/latestnews/h2-green-steel-and-iberdrola-announce-23-billion-green-hydrogen-venture"/>
    <d v="2022-11-03T00:00:00"/>
    <d v="2021-12-02T00:00:00"/>
  </r>
  <r>
    <s v="ArcelorMittal"/>
    <s v="TBD"/>
    <s v="https://corporate.arcelormittal.com/media/press-releases/arcelormittal-accelerates-its-decarbonisation-with-a-1-7-billion-investment-programme-in-france-supported-by-the-french-government"/>
    <s v="SFR00002"/>
    <s v="35% reduction in Europe (baseline 2018)"/>
    <s v="carbon neutrality"/>
    <s v="https://corporate-media.arcelormittal.com/media/ob3lpdom/car_2.pdf"/>
    <n v="79.260000000000005"/>
    <s v="France"/>
    <s v="Fos-sur-Mer"/>
    <n v="43.432830000000003"/>
    <n v="4.8871659999999997"/>
    <s v="exact"/>
    <s v="Europe"/>
    <s v="https://corporate.arcelormittal.com/media/press-releases/arcelormittal-accelerates-its-decarbonisation-with-a-1-7-billion-investment-programme-in-france-supported-by-the-french-government"/>
    <x v="0"/>
    <s v="https://corporate.arcelormittal.com/media/press-releases/arcelormittal-accelerates-its-decarbonisation-with-a-1-7-billion-investment-programme-in-france-supported-by-the-french-government"/>
    <s v="EAF"/>
    <x v="4"/>
    <s v="N/A"/>
    <s v="BF/BOF to scrap-EAF conversion"/>
    <s v="https://corporate.arcelormittal.com/media/press-releases/arcelormittal-accelerates-its-decarbonisation-with-a-1-7-billion-investment-programme-in-france-supported-by-the-french-government"/>
    <n v="2027"/>
    <s v="https://corporate.arcelormittal.com/media/press-releases/arcelormittal-accelerates-its-decarbonisation-with-a-1-7-billion-investment-programme-in-france-supported-by-the-french-government"/>
    <n v="1929"/>
    <s v="https://corporate.arcelormittal.com/media/press-releases/arcelormittal-accelerates-its-decarbonisation-with-a-1-7-billion-investment-programme-in-france-supported-by-the-french-government"/>
    <s v="Not stated"/>
    <s v="https://corporate.arcelormittal.com/media/press-releases/arcelormittal-accelerates-its-decarbonisation-with-a-1-7-billion-investment-programme-in-france-supported-by-the-french-government"/>
    <s v="N/A"/>
    <s v="https://corporate.arcelormittal.com/media/press-releases/arcelormittal-accelerates-its-decarbonisation-with-a-1-7-billion-investment-programme-in-france-supported-by-the-french-government"/>
    <s v="N/A"/>
    <s v="https://corporate.arcelormittal.com/media/press-releases/arcelormittal-accelerates-its-decarbonisation-with-a-1-7-billion-investment-programme-in-france-supported-by-the-french-government"/>
    <s v="N/A"/>
    <s v="https://corporate.arcelormittal.com/media/press-releases/arcelormittal-accelerates-its-decarbonisation-with-a-1-7-billion-investment-programme-in-france-supported-by-the-french-government"/>
    <s v="N/A"/>
    <s v="https://corporate.arcelormittal.com/media/press-releases/arcelormittal-accelerates-its-decarbonisation-with-a-1-7-billion-investment-programme-in-france-supported-by-the-french-government"/>
    <s v="2022-11-03 No further comments_x000a__x000a_The new industrial facility will be operational starting in 2027 and will gradually replace 1 out of 2 of ArcelorMittal’s blast furnaces in Fos by 2030._x000a_"/>
    <s v="https://corporate.arcelormittal.com/media/press-releases/arcelormittal-accelerates-its-decarbonisation-with-a-1-7-billion-investment-programme-in-france-supported-by-the-french-government"/>
    <d v="2022-11-03T00:00:00"/>
    <d v="2022-02-04T00:00:00"/>
  </r>
  <r>
    <s v="Thyssenkrupp"/>
    <s v="N/A"/>
    <s v="https://www.spglobal.com/commodityinsights/en/market-insights/latest-news/electric-power/050421-port-of-rotterdam-thyssenkrupp-hkm-explore-hydrogen-imports-for-green-steel"/>
    <s v="N/A"/>
    <s v="30% reduction (baseline 2018)"/>
    <s v="climate neutral"/>
    <s v="https://www.thyssenkrupp.com/en/company/sustainability/climate-strategy-and-targets"/>
    <n v="12"/>
    <s v="Netherlands"/>
    <s v="Rotterdam"/>
    <n v="51.924399999999999"/>
    <n v="4.4776999999999996"/>
    <s v="approximate (city)"/>
    <s v="Europe"/>
    <s v="https://www.spglobal.com/commodityinsights/en/market-insights/latest-news/electric-power/050421-port-of-rotterdam-thyssenkrupp-hkm-explore-hydrogen-imports-for-green-steel"/>
    <x v="3"/>
    <s v="https://www.spglobal.com/commodityinsights/en/market-insights/latest-news/electric-power/050421-port-of-rotterdam-thyssenkrupp-hkm-explore-hydrogen-imports-for-green-steel"/>
    <s v="H-DR"/>
    <x v="0"/>
    <s v="Green electrolytic"/>
    <s v="H-DR"/>
    <s v="https://www.spglobal.com/commodityinsights/en/market-insights/latest-news/electric-power/050421-port-of-rotterdam-thyssenkrupp-hkm-explore-hydrogen-imports-for-green-steel"/>
    <s v="Not stated"/>
    <s v="https://www.spglobal.com/commodityinsights/en/market-insights/latest-news/electric-power/050421-port-of-rotterdam-thyssenkrupp-hkm-explore-hydrogen-imports-for-green-steel"/>
    <s v="Not stated"/>
    <s v="https://www.spglobal.com/commodityinsights/en/market-insights/latest-news/electric-power/050421-port-of-rotterdam-thyssenkrupp-hkm-explore-hydrogen-imports-for-green-steel"/>
    <s v="Not stated"/>
    <s v="https://www.spglobal.com/commodityinsights/en/market-insights/latest-news/electric-power/050421-port-of-rotterdam-thyssenkrupp-hkm-explore-hydrogen-imports-for-green-steel"/>
    <s v="Not stated"/>
    <s v="https://www.spglobal.com/commodityinsights/en/market-insights/latest-news/electric-power/050421-port-of-rotterdam-thyssenkrupp-hkm-explore-hydrogen-imports-for-green-steel"/>
    <s v="N/A"/>
    <s v="https://www.spglobal.com/commodityinsights/en/market-insights/latest-news/electric-power/050421-port-of-rotterdam-thyssenkrupp-hkm-explore-hydrogen-imports-for-green-steel"/>
    <s v="N/A"/>
    <s v="https://www.spglobal.com/commodityinsights/en/market-insights/latest-news/electric-power/050421-port-of-rotterdam-thyssenkrupp-hkm-explore-hydrogen-imports-for-green-steel"/>
    <s v="HKM, Port of Rotterdam"/>
    <s v="https://www.spglobal.com/commodityinsights/en/market-insights/latest-news/electric-power/050421-port-of-rotterdam-thyssenkrupp-hkm-explore-hydrogen-imports-for-green-steel"/>
    <s v="2022-11-02 No further comment_x000a__x000a_Thyssenkrupp, HKM and Port of Rotterdam have partnered to explore renewable hydrogen imports for use in the production of green steel. The companies are to investigate hydrogen imports via the Dutch port, as well as a possible pipeline corridor from Rotterdam to Duisburg._x000a_"/>
    <s v="https://www.spglobal.com/commodityinsights/en/market-insights/latest-news/electric-power/050421-port-of-rotterdam-thyssenkrupp-hkm-explore-hydrogen-imports-for-green-steel"/>
    <d v="2022-11-02T00:00:00"/>
    <d v="2021-05-04T00:00:00"/>
  </r>
  <r>
    <s v="Salzgitter"/>
    <s v="N/A"/>
    <s v="https://www.salzgitter-ag.com/en/newsroom/press-releases/details/uniper-and-salzgitter-agree-close-cooperation-in-supplying-the-salcosr-transformation-project-with-green-hydrogen-from-unipers-major-green-wilhelmshavenr-hydrogen-project-19249.html"/>
    <s v="TBD"/>
    <s v="50% reduction (baseline undefined)"/>
    <s v="95% reduction by 2050 (baseline undefined)"/>
    <s v="https://salcos.salzgitter-ag.com/en/salcos.html#c132331"/>
    <s v="&lt;8"/>
    <s v="Germany"/>
    <s v="Wilhelmshaven"/>
    <n v="53.581142980000003"/>
    <n v="8.1357794860000006"/>
    <s v="approximate (city)"/>
    <s v="Europe"/>
    <s v="https://www.salzgitter-ag.com/en/newsroom/press-releases/details/uniper-and-salzgitter-agree-close-cooperation-in-supplying-the-salcosr-transformation-project-with-green-hydrogen-from-unipers-major-green-wilhelmshavenr-hydrogen-project-19249.html"/>
    <x v="3"/>
    <s v="https://www.salzgitter-ag.com/en/newsroom/press-releases/details/uniper-and-salzgitter-agree-close-cooperation-in-supplying-the-salcosr-transformation-project-with-green-hydrogen-from-unipers-major-green-wilhelmshavenr-hydrogen-project-19249.html"/>
    <s v="Hydrogen production"/>
    <x v="3"/>
    <s v="Green electrolytic"/>
    <s v="Hydrogen production (green hydrogen)"/>
    <s v="https://www.salzgitter-ag.com/en/newsroom/press-releases/details/uniper-and-salzgitter-agree-close-cooperation-in-supplying-the-salcosr-transformation-project-with-green-hydrogen-from-unipers-major-green-wilhelmshavenr-hydrogen-project-19249.html"/>
    <s v="Not stated"/>
    <s v="https://www.salzgitter-ag.com/en/newsroom/press-releases/details/uniper-and-salzgitter-agree-close-cooperation-in-supplying-the-salcosr-transformation-project-with-green-hydrogen-from-unipers-major-green-wilhelmshavenr-hydrogen-project-19249.html"/>
    <s v="Not stated"/>
    <s v="https://www.salzgitter-ag.com/en/newsroom/press-releases/details/uniper-and-salzgitter-agree-close-cooperation-in-supplying-the-salcosr-transformation-project-with-green-hydrogen-from-unipers-major-green-wilhelmshavenr-hydrogen-project-19249.html"/>
    <s v="N/A"/>
    <s v="https://www.salzgitter-ag.com/en/newsroom/press-releases/details/uniper-and-salzgitter-agree-close-cooperation-in-supplying-the-salcosr-transformation-project-with-green-hydrogen-from-unipers-major-green-wilhelmshavenr-hydrogen-project-19249.html"/>
    <s v="N/A"/>
    <s v="https://www.salzgitter-ag.com/en/newsroom/press-releases/details/uniper-and-salzgitter-agree-close-cooperation-in-supplying-the-salcosr-transformation-project-with-green-hydrogen-from-unipers-major-green-wilhelmshavenr-hydrogen-project-19249.html"/>
    <n v="1000"/>
    <s v="https://www.salzgitter-ag.com/en/newsroom/press-releases/details/uniper-and-salzgitter-agree-close-cooperation-in-supplying-the-salcosr-transformation-project-with-green-hydrogen-from-unipers-major-green-wilhelmshavenr-hydrogen-project-19249.html"/>
    <s v="N/A"/>
    <s v="https://www.salzgitter-ag.com/en/newsroom/press-releases/details/uniper-and-salzgitter-agree-close-cooperation-in-supplying-the-salcosr-transformation-project-with-green-hydrogen-from-unipers-major-green-wilhelmshavenr-hydrogen-project-19249.html"/>
    <s v="Uniper"/>
    <s v="https://www.salzgitter-ag.com/en/newsroom/press-releases/details/uniper-and-salzgitter-agree-close-cooperation-in-supplying-the-salcosr-transformation-project-with-green-hydrogen-from-unipers-major-green-wilhelmshavenr-hydrogen-project-19249.html"/>
    <s v="2022-11-02 No further comment_x000a__x000a_Especially grid-compatible concept of Uniper electrolysis plant in Wilhelmshaven through potential direct connection to new offshore gigawatt wind farm. Feasibility study of pipeline transport and storage of green hydrogen"/>
    <s v="https://www.salzgitter-ag.com/en/newsroom/press-releases/details/uniper-and-salzgitter-agree-close-cooperation-in-supplying-the-salcosr-transformation-project-with-green-hydrogen-from-unipers-major-green-wilhelmshavenr-hydrogen-project-19249.html"/>
    <d v="2022-11-02T00:00:00"/>
    <d v="2022-02-21T00:00:00"/>
  </r>
  <r>
    <s v="ArcelorMittal"/>
    <s v="HyDeal España (PlatformCo Hidrogeno)"/>
    <s v="https://www.hydeal.com/copie-de-hydeal-ambition"/>
    <s v="SES00001-1"/>
    <s v="35% reduction in Europe (baseline 2018)"/>
    <s v="carbon neutrality"/>
    <s v="https://corporate-media.arcelormittal.com/media/ob3lpdom/car_2.pdf"/>
    <n v="79.260000000000005"/>
    <s v="Spain"/>
    <s v="Asturias"/>
    <n v="43.556199999999997"/>
    <n v="-5.8639999999999999"/>
    <s v="approximate (site)"/>
    <s v="Europe"/>
    <s v="https://www.hydeal.com/copie-de-hydeal-ambition"/>
    <x v="3"/>
    <s v="https://www.hydeal.com/copie-de-hydeal-ambition"/>
    <s v="Hydrogen production"/>
    <x v="3"/>
    <s v="Green electrolytic"/>
    <s v="Hydrogen production (green hydrogen)"/>
    <s v="https://www.hydeal.com/copie-de-hydeal-ambition"/>
    <n v="2025"/>
    <s v="https://www.hydeal.com/copie-de-hydeal-ambition"/>
    <s v="Not stated"/>
    <s v="https://www.hydeal.com/copie-de-hydeal-ambition"/>
    <s v="N/A"/>
    <s v="https://www.hydeal.com/copie-de-hydeal-ambition"/>
    <s v="N/A"/>
    <s v="https://www.hydeal.com/copie-de-hydeal-ambition"/>
    <n v="7400"/>
    <s v="https://www.hydeal.com/copie-de-hydeal-ambition"/>
    <s v="N/A"/>
    <s v="https://www.hydeal.com/copie-de-hydeal-ambition"/>
    <s v="Enagas SA, Fertiberia SA, DH2 Energy"/>
    <s v="https://www.hydeal.com/copie-de-hydeal-ambition"/>
    <s v="2022-11-09 Industrial facility in northern Spain / Production will start in 2025 and total installed capacity will reach 9.5 GW of solar power and 7.4 GW of electrolyzers by 2030. The project also features the establishment of an electrolyzer gigafactory. ArcelorMittal and Fertiberia (...) will commit to purchasing 6.6 million tons of green hydrogen over 20 years. "/>
    <s v="https://www.hydeal.com/copie-de-hydeal-ambition"/>
    <d v="2022-11-09T00:00:00"/>
    <d v="2022-02-16T00:00:00"/>
  </r>
  <r>
    <s v="ArcelorMittal"/>
    <s v="Steelanol"/>
    <s v="http://www.steelanol.eu/en"/>
    <s v="N/A"/>
    <s v="35% reduction in Europe (baseline 2018)"/>
    <s v="carbon neutrality"/>
    <s v="https://corporate-media.arcelormittal.com/media/ob3lpdom/car_2.pdf"/>
    <n v="79.260000000000005"/>
    <s v="Belgium"/>
    <s v="Ghent"/>
    <n v="51.169929000000003"/>
    <n v="3.804462"/>
    <s v="exact"/>
    <s v="Europe"/>
    <s v="http://www.steelanol.eu/en"/>
    <x v="0"/>
    <s v="https://corporate.arcelormittal.com/media/case-studies/arcelormittal-belgium-marks-milestone-by-lifting-bioreactors-into-place-at-its-industrial-scale-demonstration-plant-for-carbon-neutral-steelmaking"/>
    <s v="CCU"/>
    <x v="1"/>
    <s v="N/A"/>
    <s v="CCU - Carbalyst"/>
    <s v="https://corporate.arcelormittal.com/climate-action/decarbonisation-technologies/carbalyst-capturing-and-re-using-our-carbon-rich-waste-gases-to-make-valuable-chemical-products"/>
    <n v="2022"/>
    <s v="http://www.steelanol.eu/en/news/steelanol-inauguration"/>
    <n v="184"/>
    <s v="https://corporate.arcelormittal.com/media/case-studies/arcelormittal-belgium-marks-milestone-by-lifting-bioreactors-into-place-at-its-industrial-scale-demonstration-plant-for-carbon-neutral-steelmaking"/>
    <s v="N/A"/>
    <s v="https://corporate.arcelormittal.com/media/case-studies/arcelormittal-belgium-marks-milestone-by-lifting-bioreactors-into-place-at-its-industrial-scale-demonstration-plant-for-carbon-neutral-steelmaking"/>
    <s v="N/A"/>
    <s v="https://corporate.arcelormittal.com/media/case-studies/arcelormittal-belgium-marks-milestone-by-lifting-bioreactors-into-place-at-its-industrial-scale-demonstration-plant-for-carbon-neutral-steelmaking"/>
    <s v="N/A"/>
    <s v="https://corporate.arcelormittal.com/media/case-studies/arcelormittal-belgium-marks-milestone-by-lifting-bioreactors-into-place-at-its-industrial-scale-demonstration-plant-for-carbon-neutral-steelmaking"/>
    <n v="0.125"/>
    <s v="https://corporate.arcelormittal.com/climate-action/decarbonisation-technologies/carbalyst-capturing-and-re-using-our-carbon-rich-waste-gases-to-make-valuable-chemical-products#"/>
    <s v="Primemetals, LanzaTech, E4tech"/>
    <s v="http://www.steelanol.eu/en"/>
    <s v="2022-11-10 First production expected in 2022 // The EUR165m Steelanol plant, the first of its kind in Europe, will produce 80 million litres of sustainable ethanol a year, (...) The sustainable ethanol produced at the Steelanol plant, the first commercial product of ArcelorMittal’s Carbalyst® family of recycled carbon chemicals, can be used as fuel for transport or as a building block for producing chemicals._x000a__x000a_The four bioreactors were delivered by ship in March 2021."/>
    <s v="https://corporate.arcelormittal.com/media/case-studies/arcelormittal-belgium-marks-milestone-by-lifting-bioreactors-into-place-at-its-industrial-scale-demonstration-plant-for-carbon-neutral-steelmaking"/>
    <d v="2022-11-10T00:00:00"/>
    <d v="2015-05-01T00:00:00"/>
  </r>
  <r>
    <s v="Salzgitter"/>
    <s v="SALCOS"/>
    <s v="https://salcos.salzgitter-ag.com/en/salcos.html"/>
    <s v="SDE00004"/>
    <s v="50% reduction (baseline undefined)"/>
    <s v="95% reduction by 2050 (baseline undefined)"/>
    <s v="https://salcos.salzgitter-ag.com/en/salcos.html#c132331"/>
    <s v="&lt;8"/>
    <s v="Germany"/>
    <s v="Salzgitter"/>
    <n v="52.161794"/>
    <n v="10.409371"/>
    <s v="exact"/>
    <s v="Europe"/>
    <s v="https://salcos.salzgitter-ag.com/en/salcos.html"/>
    <x v="0"/>
    <s v="https://www.salzgitter-ag.com/en/newsroom/press-releases/details/strong-signal-for-salzgitter-ag-transformation-program-salcosr-20105.html"/>
    <s v="H-DR"/>
    <x v="0"/>
    <s v="Green electrolytic"/>
    <s v="H-DR"/>
    <s v="https://salcos.salzgitter-ag.com/en/salcos.html#c141552"/>
    <n v="2033"/>
    <s v="https://salcos.salzgitter-ag.com/en/salcos.html#c141562"/>
    <n v="1721"/>
    <s v="https://www.salzgitter-ag.com/en/newsroom/press-releases/details/strong-signal-for-salzgitter-ag-transformation-program-salcosr-20105.html_x000a_https://ec.europa.eu/commission/presscorner/detail/en/ip_22_5968"/>
    <n v="1.9"/>
    <s v="https://www.salzgitter-ag.com/en/newsroom/press-releases/details/strong-signal-for-salzgitter-ag-transformation-program-salcosr-20105.html"/>
    <s v="N/A"/>
    <s v="https://www.salzgitter-ag.com/en/newsroom/press-releases/details/strong-signal-for-salzgitter-ag-transformation-program-salcosr-20105.html"/>
    <n v="100"/>
    <s v="https://ec.europa.eu/commission/presscorner/detail/en/ip_22_5968"/>
    <s v="N/A"/>
    <s v="https://www.salzgitter-ag.com/en/newsroom/press-releases/details/strong-signal-for-salzgitter-ag-transformation-program-salcosr-20105.html"/>
    <s v="State of Lower Saxony, Federal Ministry for Economics and Climate Protection (BMWK), Baffinland Iron Mines Corporation"/>
    <s v="https://www.salzgitter-ag.com/en/newsroom/press-releases/details/strong-signal-for-salzgitter-ag-transformation-program-salcosr-20105.html"/>
    <s v="2023-02-14 Baffinland Iron Mines Corporation and Salzgitter Flachstahl GmbH – a subsidiary of Salzgitter AG – are strengthening their cooperation by signing a Memorandum of Understanding to investigate the use of Nunavut high-grade iron ore in low-carbon steel production. //_x000a_2023-01-17 Slazgitter Flachstahl GmbH has signed a memorandum of understanding with BSH Hausgeräte for the supply of green steel produced by SALCOS by the end fo 2025_x000a_ Starting in 2025, the Salzgitter Group will begin incrementally switching its steel production to hydrogen-based processes under its SALCOS® – Salzgitter Low CO2 Steelmaking transformation program. The aim is to achieve virtually carbon-free production by 2033.  In the context of the MoU, Baffinland and Salzgitter Flachstahl GmbH will consider which supply strategies regarding using iron ore produced by Baffinland are best suited to hydrogen-based steel production in a direct reduction plant. In addition, the companies will work together on optimizing the Scope 3 emissions of their shared value chains._x000a_2022-12-19 The goal of SALCOS® is, in three stages between now and 2033, to switch steelmaking in Salzgitter entirely over to low-CO2 crude steel production. The first stage involving an annual capacity of 1.9 million tonnes of crude steel is scheduled to become operational by the end of 2025. As part of the transformation, two direct reduction plants and three electric arc furnaces will be built to incrementally replace the blast furnaces and converters. In this way, the previous process based on coking coal will be replaced by a new hydrogen-based route to steelmaking. Savings are expected in the order of 95 % of the current annual CO2 emissions of around 8 million tonnes. That means that around 1 % of Germany’s emissions of CO2 can be avoided._x000a__x000a_Following the decision by the supervisory board of Salzgitter AG in July to release equity funds amounting to € 723 million for SALCOS_x000a__x000a_The European Commission has approved, under EU State aid rules, a €1 billion German measure to help Salzgitter Flachstahl GmbH (‘Salzgitter') decarbonise its steel production processes by using hydrogen, including renewable hydrogen produced on site, thanks to a new production facility._x000a__x000a_2022-11-22 Automotive supplier Mubea and Salzgitter Flachstahl GmbH have now signed a Memorandum of Understanding (MOU) with a view to cooperating more closely on the topics and issues of “sustainable steel production”, “green steel product processing” and “steel recycling with closed loops”."/>
    <s v="https://www.salzgitter-ag.com/en/newsroom/press-releases/details/strong-signal-for-salzgitter-ag-transformation-program-salcosr-20105.html_x000a_https://www.steelorbis.com/steel-news/latest-news/salzgitter-to-supply-green-steel-to-home-appliance-manufacturer-1275430.htm_x000a_https://ec.europa.eu/commission/presscorner/detail/en/ip_22_5968_x000a_https://www.salzgitter-ag.com/en/newsroom/press-releases/details/mubea-and-the-salzgitter-group-join-forces-20307.html_x000a_https://greensteelworld.com/salzgitter-group-and-baffinland-to-cooperate-in-producing-green-steel"/>
    <d v="2023-04-04T00:00:00"/>
    <d v="2022-09-15T00:00:00"/>
  </r>
  <r>
    <s v="Thyssenkrupp"/>
    <s v="tkH2Steel"/>
    <s v="https://www.thyssenkrupp.com/en/newsroom/press-releases/pressdetailpage/thyssenkrupp-is-accelerating-the-green-transformation--decision-taken-on-the-construction-of-germanys-largest-direct-reduction-plant-for-low-co2-steel-146809"/>
    <s v="N/A"/>
    <s v="30% reduction (baseline 2018)"/>
    <s v="climate neutral"/>
    <s v="https://www.thyssenkrupp.com/en/company/sustainability/climate-strategy-and-targets"/>
    <n v="12"/>
    <s v="Germany"/>
    <s v="Duisburg"/>
    <n v="51.491649000000002"/>
    <n v="6.7330509999999997"/>
    <s v="exact"/>
    <s v="Europe"/>
    <s v="https://www.thyssenkrupp.com/en/newsroom/press-releases/pressdetailpage/thyssenkrupp-is-accelerating-the-green-transformation--decision-taken-on-the-construction-of-germanys-largest-direct-reduction-plant-for-low-co2-steel-146809"/>
    <x v="0"/>
    <s v="https://www.thyssenkrupp.com/en/newsroom/press-releases/pressdetailpage/thyssenkrupp-is-accelerating-the-green-transformation--decision-taken-on-the-construction-of-germanys-largest-direct-reduction-plant-for-low-co2-steel-146809"/>
    <s v="H-DR"/>
    <x v="0"/>
    <s v="Green electrolytic"/>
    <s v="H-DR - MIDREX"/>
    <s v="https://www.thyssenkrupp-steel.com/en/newsroom/press-releases/thyssenkrupp-steel-and-steag-agree-on-hydrogen-supply.html"/>
    <n v="2026"/>
    <s v="https://www.thyssenkrupp-steel.com/en/newsroom/press-releases/thyssenkrupp-steel-and-steag-agree-on-hydrogen-supply.html"/>
    <n v="2000.3999999999999"/>
    <s v="https://www.thyssenkrupp.com/en/newsroom/press-releases/pressdetailpage/thyssenkrupp-is-accelerating-the-green-transformation--decision-taken-on-the-construction-of-germanys-largest-direct-reduction-plant-for-low-co2-steel-146809"/>
    <n v="2.5"/>
    <s v="https://www.thyssenkrupp.com/en/newsroom/press-releases/pressdetailpage/thyssenkrupp-is-accelerating-the-green-transformation--decision-taken-on-the-construction-of-germanys-largest-direct-reduction-plant-for-low-co2-steel-146809"/>
    <s v="N/A"/>
    <s v="https://www.thyssenkrupp.com/en/newsroom/press-releases/pressdetailpage/thyssenkrupp-is-accelerating-the-green-transformation--decision-taken-on-the-construction-of-germanys-largest-direct-reduction-plant-for-low-co2-steel-146809"/>
    <s v="N/A"/>
    <s v="https://www.thyssenkrupp.com/en/newsroom/press-releases/pressdetailpage/thyssenkrupp-is-accelerating-the-green-transformation--decision-taken-on-the-construction-of-germanys-largest-direct-reduction-plant-for-low-co2-steel-146809"/>
    <s v="N/A"/>
    <s v="https://www.thyssenkrupp.com/en/newsroom/press-releases/pressdetailpage/thyssenkrupp-is-accelerating-the-green-transformation--decision-taken-on-the-construction-of-germanys-largest-direct-reduction-plant-for-low-co2-steel-146809"/>
    <s v="N/A"/>
    <s v="https://www.thyssenkrupp.com/en/newsroom/press-releases/pressdetailpage/thyssenkrupp-is-accelerating-the-green-transformation--decision-taken-on-the-construction-of-germanys-largest-direct-reduction-plant-for-low-co2-steel-146809"/>
    <s v="2023-04-03 Investments of more than two billion euros. Capacity of 2.5 mtpa. (..) The coal-based blast furnaces will be replaced by hydrogen-powered direct reduction plants. The iron produced there, which will have been directly reduced with hydrogen, will be liquefied for the first time in downstream, specially developed melting units to produce high-quality hot iron. _x000a_Plant based on MIDREX flex technology"/>
    <s v="https://www.thyssenkrupp.com/en/newsroom/press-releases/pressdetailpage/thyssenkrupp-is-accelerating-the-green-transformation--decision-taken-on-the-construction-of-germanys-largest-direct-reduction-plant-for-low-co2-steel-146809_x000a_https://greensteelworld.com/thyssenkrupp-steel-awards-contract-worth-billions-of-euros-to-sms-group-for-dri-plant"/>
    <d v="2023-04-03T00:00:00"/>
    <d v="2022-09-08T00:00:00"/>
  </r>
  <r>
    <s v="Hydnum Steel"/>
    <s v="Hydnum Steel"/>
    <s v="https://hydnumsteel.com/en/"/>
    <s v="N/A"/>
    <s v="N/A"/>
    <s v="N/A"/>
    <s v="https://hydnumsteel.com/en/"/>
    <n v="0"/>
    <s v="Spain"/>
    <s v="Puertollano"/>
    <n v="38.687399999999997"/>
    <n v="-4.1083860000000003"/>
    <s v="approximate (city)"/>
    <s v="Europe"/>
    <s v="https://www.investinspain.org/en/news/2023/hydnum-steel"/>
    <x v="0"/>
    <s v="https://www.investinspain.org/en/news/2023/hydnum-steel"/>
    <s v="H-DR"/>
    <x v="0"/>
    <s v="Green electrolytic"/>
    <s v="H-DR"/>
    <s v="https://www.puertollano.es/hydnum-steel-construira-en-puertollano-la-mayor-planta-en-espana-de-acero-verde-con-una-inversion-de-1-000-millones/"/>
    <n v="2026"/>
    <s v="https://www.steelradar.com/en/haber/hydnum-steel-will-establish-a-spanish-green-steel-plant/"/>
    <n v="1063"/>
    <s v="https://www.steelorbis.com/steel-news/latest-news/spains-hydnum-steel-to-build-first-green-steel-plant-on-iberian-peninsula-1280182.htm"/>
    <n v="0.6"/>
    <s v="https://www.steelorbis.com/steel-news/latest-news/spains-hydnum-steel-to-build-first-green-steel-plant-on-iberian-peninsula-1280182.htm"/>
    <s v="N/A"/>
    <s v="https://www.steelorbis.com/steel-news/latest-news/spains-hydnum-steel-to-build-first-green-steel-plant-on-iberian-peninsula-1280182.htm"/>
    <s v="Not stated"/>
    <s v="https://www.steelorbis.com/steel-news/latest-news/spains-hydnum-steel-to-build-first-green-steel-plant-on-iberian-peninsula-1280182.htm"/>
    <s v="N/A"/>
    <s v="https://www.investinspain.org/en/news/2023/hydnum-steel"/>
    <s v="Helvella investment company, Siemens, ABEI Energy and Russula Corporation"/>
    <s v="https://eurometal.net/hydnum-steel-to-build-spanish-green-steel-mill/"/>
    <s v="2023-04-04 The first phase will involve an investment of 600 million euros, a figure that may rise to over a billion in total"/>
    <s v="https://www.investinspain.org/en/news/2023/hydnum-steel"/>
    <d v="2023-04-04T00:00:00"/>
    <d v="2023-02-23T00:00:00"/>
  </r>
  <r>
    <s v="Blastr Green Steel"/>
    <s v="The Blastr Green Steel Project"/>
    <s v="https://www.blastr.no/"/>
    <s v="N/A"/>
    <s v="N/A"/>
    <s v="N/A"/>
    <s v="https://www.blastr.no/"/>
    <n v="0"/>
    <s v="Finland"/>
    <s v="Inkoo"/>
    <n v="60.04739"/>
    <n v="24.007981999999998"/>
    <s v="approximate (city)"/>
    <s v="Europe"/>
    <s v="https://www.blastr.no/News"/>
    <x v="0"/>
    <s v="https://www.steelorbis.com/steel-news/latest-news/blastr-green-steel-to-build-green-steel-plant-in-finland-to-cut-emissions-1273893.htm"/>
    <s v="DR --&gt; H-DR"/>
    <x v="0"/>
    <s v="Green electrolytic"/>
    <s v="H-DR"/>
    <s v="https://www.blastr.no/News/#marker1"/>
    <n v="2026"/>
    <s v="https://www.steelorbis.com/steel-news/latest-news/blastr-green-steel-to-build-green-steel-plant-in-finland-to-cut-emissions-1273893.htm"/>
    <n v="4271"/>
    <s v="https://www.steelorbis.com/steel-news/latest-news/blastr-green-steel-to-build-green-steel-plant-in-finland-to-cut-emissions-1273893.htm"/>
    <n v="2.5"/>
    <s v="https://www.blastr.no/News/#marker1"/>
    <s v="N/A"/>
    <s v="https://www.blastr.no/News/#marker1"/>
    <s v="Not stated"/>
    <s v="https://www.blastr.no/News/#marker1"/>
    <s v="N/A"/>
    <s v="https://www.blastr.no/News/#marker1"/>
    <s v="Cargill Metals"/>
    <s v="https://www.blastr.no/News/#marker"/>
    <s v="2023-01-03 The green steel plant together with the integrated hydrogen facility will be among the largest industrial investments planned in Finland to date. (...) The four-billion-euro investment is expected to create up to 1,200 direct jobs in the operations phase. The production is planned to start by end of 2026. (...) Blastr will replace coke and coal with hydrogen in the chemical reduction phase, as well as reduce the CO₂ footprint along the entire value chain, with the aim of achieving 95 percent lower CO₂ emissions, compared to the conventional manufacturing process."/>
    <s v="https://www.blastr.no/News/#marker1"/>
    <d v="2023-04-12T00:00:00"/>
    <d v="2023-01-03T00:00:00"/>
  </r>
  <r>
    <s v="Voestalpine "/>
    <s v="Greentec steel - Linz"/>
    <s v="https://www.voestalpine.com/group/en/media/press-releases/2023-03-22-voestalpine-supervisory-board-approves-eur-1-5-billion-for-further-decarbonization/"/>
    <s v="N/A"/>
    <s v="30% reduction (baseline undefined)"/>
    <s v="carbon neutrality"/>
    <s v="https://www.voestalpine.com/greentecsteel/en/"/>
    <s v="&lt;8"/>
    <s v="Austria"/>
    <s v="Linz"/>
    <n v="48.274023"/>
    <n v="14.334339999999999"/>
    <s v="exact"/>
    <s v="Europe"/>
    <s v="https://www.voestalpine.com/stahl/en/Companies/voestalpine-Stahl-GmbH"/>
    <x v="0"/>
    <s v="https://www.voestalpine.com/group/en/media/press-releases/2023-03-22-voestalpine-supervisory-board-approves-eur-1-5-billion-for-further-decarbonization/"/>
    <s v="EAF"/>
    <x v="4"/>
    <s v="N/A"/>
    <s v="BF/BOF to scrap-EAF conversion"/>
    <s v="https://www.voestalpine.com/group/en/media/press-releases/2023-03-22-voestalpine-supervisory-board-approves-eur-1-5-billion-for-further-decarbonization/"/>
    <n v="2027"/>
    <s v="https://www.voestalpine.com/group/en/media/press-releases/2023-03-22-voestalpine-supervisory-board-approves-eur-1-5-billion-for-further-decarbonization/"/>
    <n v="806.05499999999995"/>
    <s v="https://www.voestalpine.com/group/en/media/press-releases/2023-03-22-voestalpine-supervisory-board-approves-eur-1-5-billion-for-further-decarbonization/"/>
    <n v="1.6"/>
    <s v="https://www.voestalpine.com/group/en/media/press-releases/2023-03-22-voestalpine-supervisory-board-approves-eur-1-5-billion-for-further-decarbonization/"/>
    <s v="N/A"/>
    <s v="https://www.voestalpine.com/group/en/media/press-releases/2023-03-22-voestalpine-supervisory-board-approves-eur-1-5-billion-for-further-decarbonization/"/>
    <s v="N/A"/>
    <s v="https://www.voestalpine.com/group/en/media/press-releases/2023-03-22-voestalpine-supervisory-board-approves-eur-1-5-billion-for-further-decarbonization/"/>
    <s v="N/A"/>
    <s v="https://www.voestalpine.com/group/en/media/press-releases/2023-03-22-voestalpine-supervisory-board-approves-eur-1-5-billion-for-further-decarbonization/"/>
    <m/>
    <m/>
    <s v="2023-03-22 An investment of around 1.5 billion euros is being made into constructing one electric arc furnace at each of the two sites, Linz and Donawitz. As part of its “greentec steel” plan, the plant and supplier decision will be made in 2023, construction will start in 2024, and commissioning of the two units will take place in 2027. The two electric arc furnaces allow voestalpine to produce around 2.5 million tons of CO2-reduced steel from 2027: 1.6 million tons in Linz and 850,000 tons in Donawitz. "/>
    <s v="https://www.voestalpine.com/group/en/media/press-releases/2023-03-22-voestalpine-supervisory-board-approves-eur-1-5-billion-for-further-decarbonization/"/>
    <d v="2023-04-20T00:00:00"/>
    <d v="2023-03-22T00:00:00"/>
  </r>
  <r>
    <s v="Voestalpine "/>
    <s v="Greentec steel - Donawitz"/>
    <s v="https://www.voestalpine.com/group/en/media/press-releases/2023-03-22-voestalpine-supervisory-board-approves-eur-1-5-billion-for-further-decarbonization/"/>
    <s v="N/A"/>
    <s v="30% reduction (baseline undefined)"/>
    <s v="carbon neutrality"/>
    <s v="https://www.voestalpine.com/greentecsteel/en/"/>
    <s v="&lt;8"/>
    <s v="Austria"/>
    <s v="Donawitz"/>
    <n v="47.380454999999998"/>
    <n v="15.065182"/>
    <s v="exact"/>
    <s v="Europe"/>
    <s v="https://www.voestalpine.com/stahldonawitz/en/"/>
    <x v="0"/>
    <s v="https://www.voestalpine.com/group/en/media/press-releases/2023-03-22-voestalpine-supervisory-board-approves-eur-1-5-billion-for-further-decarbonization/"/>
    <s v="EAF"/>
    <x v="4"/>
    <s v="N/A"/>
    <s v="BF/BOF to scrap-EAF conversion"/>
    <s v="https://www.voestalpine.com/group/en/media/press-releases/2023-03-22-voestalpine-supervisory-board-approves-eur-1-5-billion-for-further-decarbonization/"/>
    <n v="2027"/>
    <s v="https://www.voestalpine.com/group/en/media/press-releases/2023-03-22-voestalpine-supervisory-board-approves-eur-1-5-billion-for-further-decarbonization/"/>
    <n v="806.05499999999995"/>
    <s v="https://www.voestalpine.com/group/en/media/press-releases/2023-03-22-voestalpine-supervisory-board-approves-eur-1-5-billion-for-further-decarbonization/"/>
    <n v="0.85"/>
    <s v="https://www.voestalpine.com/group/en/media/press-releases/2023-03-22-voestalpine-supervisory-board-approves-eur-1-5-billion-for-further-decarbonization/"/>
    <s v="N/A"/>
    <s v="https://www.voestalpine.com/group/en/media/press-releases/2023-03-22-voestalpine-supervisory-board-approves-eur-1-5-billion-for-further-decarbonization/"/>
    <s v="N/A"/>
    <s v="https://www.voestalpine.com/group/en/media/press-releases/2023-03-22-voestalpine-supervisory-board-approves-eur-1-5-billion-for-further-decarbonization/"/>
    <s v="N/A"/>
    <s v="https://www.voestalpine.com/group/en/media/press-releases/2023-03-22-voestalpine-supervisory-board-approves-eur-1-5-billion-for-further-decarbonization/"/>
    <m/>
    <m/>
    <s v="2023-03-22 An investment of around 1.5 billion euros is being made into constructing one electric arc furnace at each of the two sites, Linz and Donawitz. As part of its “greentec steel” plan, the plant and supplier decision will be made in 2023, construction will start in 2024, and commissioning of the two units will take place in 2027. The two electric arc furnaces allow voestalpine to produce around 2.5 million tons of CO2-reduced steel from 2027: 1.6 million tons in Linz and 850,000 tons in Donawitz. "/>
    <s v="https://www.voestalpine.com/group/en/media/press-releases/2023-03-22-voestalpine-supervisory-board-approves-eur-1-5-billion-for-further-decarbonization/"/>
    <d v="2023-04-20T00:00:00"/>
    <d v="2023-03-2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F4B627-D5E5-4719-BC75-11C92FD4D29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L6" firstHeaderRow="0" firstDataRow="1" firstDataCol="1"/>
  <pivotFields count="8">
    <pivotField showAll="0"/>
    <pivotField showAll="0"/>
    <pivotField showAll="0"/>
    <pivotField dataField="1" numFmtId="3" showAll="0"/>
    <pivotField showAll="0"/>
    <pivotField dataField="1" numFmtId="3" showAll="0"/>
    <pivotField axis="axisRow" showAll="0">
      <items count="6">
        <item h="1" x="0"/>
        <item x="4"/>
        <item x="3"/>
        <item x="1"/>
        <item x="2"/>
        <item t="default"/>
      </items>
    </pivotField>
    <pivotField showAll="0">
      <items count="11">
        <item h="1" x="0"/>
        <item x="6"/>
        <item x="3"/>
        <item x="9"/>
        <item x="5"/>
        <item x="1"/>
        <item x="8"/>
        <item x="2"/>
        <item x="7"/>
        <item x="4"/>
        <item t="default"/>
      </items>
    </pivotField>
  </pivotFields>
  <rowFields count="1">
    <field x="6"/>
  </rowFields>
  <rowItems count="5">
    <i>
      <x v="1"/>
    </i>
    <i>
      <x v="2"/>
    </i>
    <i>
      <x v="3"/>
    </i>
    <i>
      <x v="4"/>
    </i>
    <i t="grand">
      <x/>
    </i>
  </rowItems>
  <colFields count="1">
    <field x="-2"/>
  </colFields>
  <colItems count="2">
    <i>
      <x/>
    </i>
    <i i="1">
      <x v="1"/>
    </i>
  </colItems>
  <dataFields count="2">
    <dataField name="Sum of 2019 (Mt CO2e)" fld="3" baseField="0" baseItem="0"/>
    <dataField name="Sum of 2021 (Mt CO2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ECDE4F-42E0-4C07-9EC1-65954238909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Q14:AW20" firstHeaderRow="1" firstDataRow="2" firstDataCol="1"/>
  <pivotFields count="40">
    <pivotField showAll="0"/>
    <pivotField dataField="1" showAll="0"/>
    <pivotField showAll="0"/>
    <pivotField showAll="0"/>
    <pivotField showAll="0"/>
    <pivotField showAll="0"/>
    <pivotField showAll="0"/>
    <pivotField showAll="0"/>
    <pivotField showAll="0"/>
    <pivotField showAll="0"/>
    <pivotField numFmtId="172" showAll="0"/>
    <pivotField numFmtId="172" showAll="0"/>
    <pivotField showAll="0"/>
    <pivotField showAll="0"/>
    <pivotField showAll="0"/>
    <pivotField axis="axisRow" showAll="0">
      <items count="5">
        <item x="2"/>
        <item x="0"/>
        <item x="1"/>
        <item x="3"/>
        <item t="default"/>
      </items>
    </pivotField>
    <pivotField showAll="0"/>
    <pivotField showAll="0"/>
    <pivotField axis="axisCol"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s>
  <rowFields count="1">
    <field x="15"/>
  </rowFields>
  <rowItems count="5">
    <i>
      <x/>
    </i>
    <i>
      <x v="1"/>
    </i>
    <i>
      <x v="2"/>
    </i>
    <i>
      <x v="3"/>
    </i>
    <i t="grand">
      <x/>
    </i>
  </rowItems>
  <colFields count="1">
    <field x="18"/>
  </colFields>
  <colItems count="6">
    <i>
      <x/>
    </i>
    <i>
      <x v="1"/>
    </i>
    <i>
      <x v="2"/>
    </i>
    <i>
      <x v="3"/>
    </i>
    <i>
      <x v="4"/>
    </i>
    <i t="grand">
      <x/>
    </i>
  </colItems>
  <dataFields count="1">
    <dataField name="Count of Project name (if applicab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hyperlink" Target="https://ec.europa.eu/eurostat/databrowser/view/DS-056120__custom_7015799/default/table?lang=en" TargetMode="External"/><Relationship Id="rId2" Type="http://schemas.openxmlformats.org/officeDocument/2006/relationships/hyperlink" Target="https://ec.europa.eu/eurostat/databrowser/view/DS-056120__custom_7015799/default/table?lang=en" TargetMode="External"/><Relationship Id="rId1" Type="http://schemas.openxmlformats.org/officeDocument/2006/relationships/hyperlink" Target="https://ec.europa.eu/eurostat/databrowser/view/DS-056120__custom_7015799/default/table?lang=en"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17" Type="http://schemas.openxmlformats.org/officeDocument/2006/relationships/hyperlink" Target="https://corporate.arcelormittal.com/media/press-releases/arcelormittal-signs-mou-with-the-spanish-government-supporting-1-billion-investment-in-decarbonisation-technologies" TargetMode="External"/><Relationship Id="rId21" Type="http://schemas.openxmlformats.org/officeDocument/2006/relationships/hyperlink" Target="https://corporate-media.arcelormittal.com/media/ob3lpdom/car_2.pdf" TargetMode="External"/><Relationship Id="rId324" Type="http://schemas.openxmlformats.org/officeDocument/2006/relationships/hyperlink" Target="https://www.thyssenkrupp-steel.com/en/contact.html" TargetMode="External"/><Relationship Id="rId531" Type="http://schemas.openxmlformats.org/officeDocument/2006/relationships/hyperlink" Target="https://www.thyssenkrupp-steel.com/en/newsroom/press-releases/thyssenkrupp-steel-and-steag-agree-on-hydrogen-supply.html" TargetMode="External"/><Relationship Id="rId170" Type="http://schemas.openxmlformats.org/officeDocument/2006/relationships/hyperlink" Target="https://www.h2greensteel.com/" TargetMode="External"/><Relationship Id="rId268" Type="http://schemas.openxmlformats.org/officeDocument/2006/relationships/hyperlink" Target="https://www.sunfire.de/de/news/detail/grinhy2-0-wasserstoff-fuer-eine-co2-arme-stahlproduktion" TargetMode="External"/><Relationship Id="rId475" Type="http://schemas.openxmlformats.org/officeDocument/2006/relationships/hyperlink" Target="https://www.spglobal.com/commodityinsights/en/market-insights/latest-news/electric-power/050421-port-of-rotterdam-thyssenkrupp-hkm-explore-hydrogen-imports-for-green-steel" TargetMode="External"/><Relationship Id="rId32" Type="http://schemas.openxmlformats.org/officeDocument/2006/relationships/hyperlink" Target="https://corporate.arcelormittal.com/media/press-releases/arcelormittal-sestao-to-become-the-world-s-first-full-scale-zero-carbon-emissions-steel-plant" TargetMode="External"/><Relationship Id="rId128" Type="http://schemas.openxmlformats.org/officeDocument/2006/relationships/hyperlink" Target="https://3d-ccus.com/3d-overview/" TargetMode="External"/><Relationship Id="rId335" Type="http://schemas.openxmlformats.org/officeDocument/2006/relationships/hyperlink" Target="https://h2ermes.nl/project-en/" TargetMode="External"/><Relationship Id="rId542" Type="http://schemas.openxmlformats.org/officeDocument/2006/relationships/hyperlink" Target="https://www.investinspain.org/en/news/2023/hydnum-steel" TargetMode="External"/><Relationship Id="rId181" Type="http://schemas.openxmlformats.org/officeDocument/2006/relationships/hyperlink" Target="https://libertysteelgroup.com/news/liberty-develop-hydrogen-steel-making-plant/" TargetMode="External"/><Relationship Id="rId402" Type="http://schemas.openxmlformats.org/officeDocument/2006/relationships/hyperlink" Target="https://www.voestalpine.com/greentecsteel/en/" TargetMode="External"/><Relationship Id="rId279" Type="http://schemas.openxmlformats.org/officeDocument/2006/relationships/hyperlink" Target="https://www.salzgitter-ag.com/en/newsroom/press-releases/details/project-organization-for-feasibility-study-direct-reduction-of-iron-ore-in-wilhelmshaven-now-established-14410.html" TargetMode="External"/><Relationship Id="rId486" Type="http://schemas.openxmlformats.org/officeDocument/2006/relationships/hyperlink" Target="https://www.salzgitter-ag.com/en/newsroom/press-releases/details/uniper-and-salzgitter-agree-close-cooperation-in-supplying-the-salcosr-transformation-project-with-green-hydrogen-from-unipers-major-green-wilhelmshavenr-hydrogen-project-19249.html" TargetMode="External"/><Relationship Id="rId43" Type="http://schemas.openxmlformats.org/officeDocument/2006/relationships/hyperlink" Target="https://corporate.arcelormittal.com/media/press-releases/arcelormittal-sestao-to-become-the-world-s-first-full-scale-zero-carbon-emissions-steel-plant" TargetMode="External"/><Relationship Id="rId139" Type="http://schemas.openxmlformats.org/officeDocument/2006/relationships/hyperlink" Target="https://www.h2v.eu/hydrogen-valleys/green-crane-western-route" TargetMode="External"/><Relationship Id="rId346" Type="http://schemas.openxmlformats.org/officeDocument/2006/relationships/hyperlink" Target="https://www.steag.com/en/news/current-projects/hydroxy-walsum" TargetMode="External"/><Relationship Id="rId553" Type="http://schemas.openxmlformats.org/officeDocument/2006/relationships/hyperlink" Target="https://www.blastr.no/" TargetMode="External"/><Relationship Id="rId192" Type="http://schemas.openxmlformats.org/officeDocument/2006/relationships/hyperlink" Target="https://libertysteelgroup.com/news/gfg-alliance-signs-mou-with-romanian-government-to-create-a-european-greensteel-flagship-at-liberty-galati/" TargetMode="External"/><Relationship Id="rId206" Type="http://schemas.openxmlformats.org/officeDocument/2006/relationships/hyperlink" Target="https://salcos.salzgitter-ag.com/en/salcos.html" TargetMode="External"/><Relationship Id="rId413" Type="http://schemas.openxmlformats.org/officeDocument/2006/relationships/hyperlink" Target="https://www.k1-met.com/en/research_programme/susteel/" TargetMode="External"/><Relationship Id="rId497" Type="http://schemas.openxmlformats.org/officeDocument/2006/relationships/hyperlink" Target="https://www.salzgitter-ag.com/en/newsroom/press-releases/details/uniper-and-salzgitter-agree-close-cooperation-in-supplying-the-salcosr-transformation-project-with-green-hydrogen-from-unipers-major-green-wilhelmshavenr-hydrogen-project-19249.html" TargetMode="External"/><Relationship Id="rId357" Type="http://schemas.openxmlformats.org/officeDocument/2006/relationships/hyperlink" Target="https://www.tenaris.com/en/newsroom/news-listing/tenaris-joins-edison-and-snam-to-trial-steelmaking--23383824921" TargetMode="External"/><Relationship Id="rId54" Type="http://schemas.openxmlformats.org/officeDocument/2006/relationships/hyperlink" Target="https://www.siderwin-spire.eu/content/home" TargetMode="External"/><Relationship Id="rId217" Type="http://schemas.openxmlformats.org/officeDocument/2006/relationships/hyperlink" Target="https://www.ssab.com/news/2021/07/ssab-has-launched-an-extensive-research-project-in-finland-to-replace-fossil-fuels-with-renewable-en" TargetMode="External"/><Relationship Id="rId564" Type="http://schemas.openxmlformats.org/officeDocument/2006/relationships/hyperlink" Target="https://www.blastr.no/News/" TargetMode="External"/><Relationship Id="rId424" Type="http://schemas.openxmlformats.org/officeDocument/2006/relationships/hyperlink" Target="https://www.primetals.com/de/presse-medien/news/primetals-technologies-develops-breakthrough-technology-for-carbon-free-hydrogen-based-direct-reduction-for-iron-ore-fines" TargetMode="External"/><Relationship Id="rId270" Type="http://schemas.openxmlformats.org/officeDocument/2006/relationships/hyperlink" Target="https://www.recyclingtoday.com/article/salzgitter-direct-reduced-iron-steel-germany/" TargetMode="External"/><Relationship Id="rId65" Type="http://schemas.openxmlformats.org/officeDocument/2006/relationships/hyperlink" Target="https://corporate.arcelormittal.com/media/news-articles/air-liquide-and-arcelormittal-join-forces-to-accelerate-the-decarbonisation-of-steel-production-in-the-dunkirk-industrial-basin" TargetMode="External"/><Relationship Id="rId130" Type="http://schemas.openxmlformats.org/officeDocument/2006/relationships/hyperlink" Target="https://www.siderwin-spire.eu/content/home" TargetMode="External"/><Relationship Id="rId368" Type="http://schemas.openxmlformats.org/officeDocument/2006/relationships/hyperlink" Target="https://oge.net/en/us/projects/h2morrow" TargetMode="External"/><Relationship Id="rId575" Type="http://schemas.openxmlformats.org/officeDocument/2006/relationships/hyperlink" Target="https://www.voestalpine.com/group/en/media/press-releases/2023-03-22-voestalpine-supervisory-board-approves-eur-1-5-billion-for-further-decarbonization/" TargetMode="External"/><Relationship Id="rId228" Type="http://schemas.openxmlformats.org/officeDocument/2006/relationships/hyperlink" Target="https://www.hybritdevelopment.se/en/a-fossil-free-development/direct-reduction-hydrogen-demonstrationscale/" TargetMode="External"/><Relationship Id="rId435" Type="http://schemas.openxmlformats.org/officeDocument/2006/relationships/hyperlink" Target="https://www.h2greensteel.com/pressreleases/h2-green-steel-and-iberdrola-announce-23-billion-green-hydrogen-venture" TargetMode="External"/><Relationship Id="rId281" Type="http://schemas.openxmlformats.org/officeDocument/2006/relationships/hyperlink" Target="https://www.ssab.fi/ssab-konserni/tietoja-ssabsta/tuotantopaikkakunnat-suomessa/raahe/kohti-fossiilivapaata-terastuotantoa" TargetMode="External"/><Relationship Id="rId502" Type="http://schemas.openxmlformats.org/officeDocument/2006/relationships/hyperlink" Target="https://corporate-media.arcelormittal.com/media/ob3lpdom/car_2.pdf" TargetMode="External"/><Relationship Id="rId76" Type="http://schemas.openxmlformats.org/officeDocument/2006/relationships/hyperlink" Target="https://www.ewe.com/de/presse/pressemitteilungen/2020/07/ewe-mit-tochter-swb-und-arcelormittal-kooperieren-bei-grner-stahlerzeugung-ewe-ag" TargetMode="External"/><Relationship Id="rId141" Type="http://schemas.openxmlformats.org/officeDocument/2006/relationships/hyperlink" Target="https://www.h2v.eu/hydrogen-valleys/green-crane-western-route" TargetMode="External"/><Relationship Id="rId379" Type="http://schemas.openxmlformats.org/officeDocument/2006/relationships/hyperlink" Target="https://www.tenaris.com/en/newsroom/news-listing/tenaris-joins-edison-and-snam-to-trial-steelmaking--23383824921" TargetMode="External"/><Relationship Id="rId586" Type="http://schemas.openxmlformats.org/officeDocument/2006/relationships/hyperlink" Target="https://www.voestalpine.com/group/en/media/press-releases/2023-03-22-voestalpine-supervisory-board-approves-eur-1-5-billion-for-further-decarbonization/" TargetMode="External"/><Relationship Id="rId7" Type="http://schemas.openxmlformats.org/officeDocument/2006/relationships/hyperlink" Target="https://corporate.arcelormittal.com/media/press-releases/arcelormittal-signs-letter-of-intent-with-the-governments-of-belgium-and-flanders-supporting-1-1-billion-investment-in-decarbonisation-technologies-at-its-flagship-gent-plant" TargetMode="External"/><Relationship Id="rId239" Type="http://schemas.openxmlformats.org/officeDocument/2006/relationships/hyperlink" Target="https://www.ssab.com/news/2021/07/ssab-has-launched-an-extensive-research-project-in-finland-to-replace-fossil-fuels-with-renewable-en" TargetMode="External"/><Relationship Id="rId446" Type="http://schemas.openxmlformats.org/officeDocument/2006/relationships/hyperlink" Target="https://magazine.primetals.com/2021/06/24/zero-carbon-hyfor-direct-reduction-pilot-plant-commences-operation-in-donawitz-austria/" TargetMode="External"/><Relationship Id="rId292" Type="http://schemas.openxmlformats.org/officeDocument/2006/relationships/hyperlink" Target="https://www.hybritdevelopment.se/en/a-fossil-free-development/direct-reduction-hydrogen-pilotscale/" TargetMode="External"/><Relationship Id="rId306" Type="http://schemas.openxmlformats.org/officeDocument/2006/relationships/hyperlink" Target="https://salcos.salzgitter-ag.com/en/mydral.html" TargetMode="External"/><Relationship Id="rId45" Type="http://schemas.openxmlformats.org/officeDocument/2006/relationships/hyperlink" Target="https://www.steeltimesint.com/news/largest-industrial-hydrogen-project-in-germany-and-europe-contracted-for-construction" TargetMode="External"/><Relationship Id="rId87" Type="http://schemas.openxmlformats.org/officeDocument/2006/relationships/hyperlink" Target="https://bremen.arcelormittal.com/Nachhaltigkeit/Auf-dem-Weg-zum-gruenen-Stahl/" TargetMode="External"/><Relationship Id="rId110" Type="http://schemas.openxmlformats.org/officeDocument/2006/relationships/hyperlink" Target="https://www.ewe.com/de/presse/pressemitteilungen/2020/07/ewe-mit-tochter-swb-und-arcelormittal-kooperieren-bei-grner-stahlerzeugung-ewe-ag" TargetMode="External"/><Relationship Id="rId348" Type="http://schemas.openxmlformats.org/officeDocument/2006/relationships/hyperlink" Target="https://www.tatasteeleurope.com/corporate/news/Tata-Steel-invests-65-million-euroin-next-phase-hydrogen-route" TargetMode="External"/><Relationship Id="rId513" Type="http://schemas.openxmlformats.org/officeDocument/2006/relationships/hyperlink" Target="https://www.salzgitter-ag.com/en/newsroom/press-releases/details/strong-signal-for-salzgitter-ag-transformation-program-salcosr-20105.html" TargetMode="External"/><Relationship Id="rId555" Type="http://schemas.openxmlformats.org/officeDocument/2006/relationships/hyperlink" Target="https://www.steelorbis.com/steel-news/latest-news/blastr-green-steel-to-build-green-steel-plant-in-finland-to-cut-emissions-1273893.htm" TargetMode="External"/><Relationship Id="rId152" Type="http://schemas.openxmlformats.org/officeDocument/2006/relationships/hyperlink" Target="https://www.ferrosilva.com/english/" TargetMode="External"/><Relationship Id="rId194" Type="http://schemas.openxmlformats.org/officeDocument/2006/relationships/hyperlink" Target="https://libertysteelgroup.com/news/gfg-alliance-signs-mou-with-romanian-government-to-create-a-european-greensteel-flagship-at-liberty-galati/" TargetMode="External"/><Relationship Id="rId208" Type="http://schemas.openxmlformats.org/officeDocument/2006/relationships/hyperlink" Target="https://www.ssab.com/company/sustainability/ssab-and-sustainability/sustainability-targets-beyond-2020" TargetMode="External"/><Relationship Id="rId415" Type="http://schemas.openxmlformats.org/officeDocument/2006/relationships/hyperlink" Target="https://www.voestalpine.com/group/en/media/press-releases/2019-11-11-h2future-worlds-largest-green-hydrogen-pilot-facility-successfully-commences-operation/" TargetMode="External"/><Relationship Id="rId457" Type="http://schemas.openxmlformats.org/officeDocument/2006/relationships/hyperlink" Target="https://www.spglobal.com/commodityinsights/en/market-insights/latest-news/electric-power/050421-port-of-rotterdam-thyssenkrupp-hkm-explore-hydrogen-imports-for-green-steel" TargetMode="External"/><Relationship Id="rId261" Type="http://schemas.openxmlformats.org/officeDocument/2006/relationships/hyperlink" Target="https://www.ssab.com/news/2021/07/ssab-has-launched-an-extensive-research-project-in-finland-to-replace-fossil-fuels-with-renewable-en" TargetMode="External"/><Relationship Id="rId499" Type="http://schemas.openxmlformats.org/officeDocument/2006/relationships/hyperlink" Target="https://www.hydeal.com/copie-de-hydeal-ambition" TargetMode="External"/><Relationship Id="rId14" Type="http://schemas.openxmlformats.org/officeDocument/2006/relationships/hyperlink" Target="https://corporate-media.arcelormittal.com/media/ob3lpdom/car_2.pdf" TargetMode="External"/><Relationship Id="rId56" Type="http://schemas.openxmlformats.org/officeDocument/2006/relationships/hyperlink" Target="https://germany.arcelormittal.com/icc/arcelor/broker.jsp?uMen=b4460b16-d5ab-c671-587e-7e978c4e5e0b&amp;uCon=8ac40a49-e039-f771-f0f6-ded50099481d&amp;uTem=aaaaaaaa-aaaa-aaaa-aaaa-000000000042" TargetMode="External"/><Relationship Id="rId317" Type="http://schemas.openxmlformats.org/officeDocument/2006/relationships/hyperlink" Target="https://www.thyssenkrupp.com/en/company/sustainability/climate-strategy-and-targets" TargetMode="External"/><Relationship Id="rId359" Type="http://schemas.openxmlformats.org/officeDocument/2006/relationships/hyperlink" Target="https://oge.net/en/us/projects/h2morrow" TargetMode="External"/><Relationship Id="rId524" Type="http://schemas.openxmlformats.org/officeDocument/2006/relationships/hyperlink" Target="https://www.thyssenkrupp.com/en/newsroom/press-releases/pressdetailpage/thyssenkrupp-is-accelerating-the-green-transformation--decision-taken-on-the-construction-of-germanys-largest-direct-reduction-plant-for-low-co2-steel-146809" TargetMode="External"/><Relationship Id="rId566" Type="http://schemas.openxmlformats.org/officeDocument/2006/relationships/hyperlink" Target="https://www.voestalpine.com/group/en/media/press-releases/2023-03-22-voestalpine-supervisory-board-approves-eur-1-5-billion-for-further-decarbonization/" TargetMode="External"/><Relationship Id="rId98" Type="http://schemas.openxmlformats.org/officeDocument/2006/relationships/hyperlink" Target="https://corporate.arcelormittal.com/media/news-articles/arcelormittal-plans-major-investment-in-german-sites-to-accelerate-co2-emissions-reduction-strategy-and-leverage-the-hydrogen-grid" TargetMode="External"/><Relationship Id="rId121" Type="http://schemas.openxmlformats.org/officeDocument/2006/relationships/hyperlink" Target="https://www.steelorbis.com/steel-news/latest-news/arcelormittal-and-air-liquide-join-forces-for-decarbonization-of-steelmaking-in-dunkirk-1191099.htm" TargetMode="External"/><Relationship Id="rId163" Type="http://schemas.openxmlformats.org/officeDocument/2006/relationships/hyperlink" Target="https://www.h2greensteel.com/about-us" TargetMode="External"/><Relationship Id="rId219" Type="http://schemas.openxmlformats.org/officeDocument/2006/relationships/hyperlink" Target="https://www.ssab.com/news/2021/03/hybrit-ssab-lkab-and-vattenfall-to-begin-industrialization-of-future-fossilfree-steelmaking-by-estab" TargetMode="External"/><Relationship Id="rId370" Type="http://schemas.openxmlformats.org/officeDocument/2006/relationships/hyperlink" Target="https://h2ermes.nl/project-en/" TargetMode="External"/><Relationship Id="rId426" Type="http://schemas.openxmlformats.org/officeDocument/2006/relationships/hyperlink" Target="https://www.voestalpine.com/group/en/media/press-releases/2019-11-11-h2future-worlds-largest-green-hydrogen-pilot-facility-successfully-commences-operation/" TargetMode="External"/><Relationship Id="rId230" Type="http://schemas.openxmlformats.org/officeDocument/2006/relationships/hyperlink" Target="https://www.ssab.com/news/2020/12/green-light-for-fossilfree-steel-in-oxelsund" TargetMode="External"/><Relationship Id="rId468" Type="http://schemas.openxmlformats.org/officeDocument/2006/relationships/hyperlink" Target="https://www.spglobal.com/commodityinsights/en/market-insights/latest-news/electric-power/050421-port-of-rotterdam-thyssenkrupp-hkm-explore-hydrogen-imports-for-green-steel" TargetMode="External"/><Relationship Id="rId25" Type="http://schemas.openxmlformats.org/officeDocument/2006/relationships/hyperlink" Target="https://www.google.com/maps/place/ArcelorMittal+Maizi%C3%A8res+Research+SA/@49.2001901,6.1498485,1012m/data=!3m2!1e3!4b1!4m5!3m4!1s0x47952763712f4885:0x3c31c2bfb0413f7c!8m2!3d49.2001901!4d6.1520372" TargetMode="External"/><Relationship Id="rId67" Type="http://schemas.openxmlformats.org/officeDocument/2006/relationships/hyperlink" Target="https://corporate.arcelormittal.com/media/news-articles/arcelormittal-plans-major-investment-in-german-sites-to-accelerate-co2-emissions-reduction-strategy-and-leverage-the-hydrogen-grid" TargetMode="External"/><Relationship Id="rId272" Type="http://schemas.openxmlformats.org/officeDocument/2006/relationships/hyperlink" Target="https://www.ssab.com/news/2021/07/ssab-has-launched-an-extensive-research-project-in-finland-to-replace-fossil-fuels-with-renewable-en" TargetMode="External"/><Relationship Id="rId328" Type="http://schemas.openxmlformats.org/officeDocument/2006/relationships/hyperlink" Target="https://h2ermes.nl/project-en/" TargetMode="External"/><Relationship Id="rId535" Type="http://schemas.openxmlformats.org/officeDocument/2006/relationships/hyperlink" Target="https://www.thyssenkrupp.com/en/newsroom/press-releases/pressdetailpage/thyssenkrupp-is-accelerating-the-green-transformation--decision-taken-on-the-construction-of-germanys-largest-direct-reduction-plant-for-low-co2-steel-146809" TargetMode="External"/><Relationship Id="rId577" Type="http://schemas.openxmlformats.org/officeDocument/2006/relationships/hyperlink" Target="https://www.voestalpine.com/group/en/media/press-releases/2023-03-22-voestalpine-supervisory-board-approves-eur-1-5-billion-for-further-decarbonization/" TargetMode="External"/><Relationship Id="rId132" Type="http://schemas.openxmlformats.org/officeDocument/2006/relationships/hyperlink" Target="https://seah2land.nl/en" TargetMode="External"/><Relationship Id="rId174" Type="http://schemas.openxmlformats.org/officeDocument/2006/relationships/hyperlink" Target="https://mb.cision.com/Main/11419/3241684/1338565.pdf" TargetMode="External"/><Relationship Id="rId381" Type="http://schemas.openxmlformats.org/officeDocument/2006/relationships/hyperlink" Target="https://www.steag.com/en/news/current-projects/hydroxy-walsum" TargetMode="External"/><Relationship Id="rId241" Type="http://schemas.openxmlformats.org/officeDocument/2006/relationships/hyperlink" Target="https://www.green-industrial-hydrogen.com/" TargetMode="External"/><Relationship Id="rId437" Type="http://schemas.openxmlformats.org/officeDocument/2006/relationships/hyperlink" Target="https://www.k1-met.com/en/research_programme/susteel/" TargetMode="External"/><Relationship Id="rId479" Type="http://schemas.openxmlformats.org/officeDocument/2006/relationships/hyperlink" Target="https://www.hydeal.com/copie-de-hydeal-ambition" TargetMode="External"/><Relationship Id="rId36" Type="http://schemas.openxmlformats.org/officeDocument/2006/relationships/hyperlink" Target="https://www.ewe.com/de/presse/pressemitteilungen/2020/07/ewe-mit-tochter-swb-und-arcelormittal-kooperieren-bei-grner-stahlerzeugung-ewe-ag" TargetMode="External"/><Relationship Id="rId283" Type="http://schemas.openxmlformats.org/officeDocument/2006/relationships/hyperlink" Target="https://www.ssab.com/news/2021/04/hybrit-ssab-lkab-and-vattenfall-building-unique-pilot-project-in-lule-for-largescale-hydrogen-storag" TargetMode="External"/><Relationship Id="rId339" Type="http://schemas.openxmlformats.org/officeDocument/2006/relationships/hyperlink" Target="https://www.energate-messenger.de/news/208774/blauer-wasserstoff-fuer-duisburger-stahlwerk" TargetMode="External"/><Relationship Id="rId490" Type="http://schemas.openxmlformats.org/officeDocument/2006/relationships/hyperlink" Target="https://www.hydeal.com/copie-de-hydeal-ambition" TargetMode="External"/><Relationship Id="rId504" Type="http://schemas.openxmlformats.org/officeDocument/2006/relationships/hyperlink" Target="http://www.steelanol.eu/en" TargetMode="External"/><Relationship Id="rId546" Type="http://schemas.openxmlformats.org/officeDocument/2006/relationships/hyperlink" Target="https://www.investinspain.org/en/news/2023/hydnum-steel" TargetMode="External"/><Relationship Id="rId78" Type="http://schemas.openxmlformats.org/officeDocument/2006/relationships/hyperlink" Target="https://corporate.arcelormittal.com/media/news-articles/arcelormittal-plans-major-investment-in-german-sites-to-accelerate-co2-emissions-reduction-strategy-and-leverage-the-hydrogen-grid" TargetMode="External"/><Relationship Id="rId101" Type="http://schemas.openxmlformats.org/officeDocument/2006/relationships/hyperlink" Target="https://corporate.arcelormittal.com/media/press-releases/arcelormittal-signs-mou-with-the-spanish-government-supporting-1-billion-investment-in-decarbonisation-technologies" TargetMode="External"/><Relationship Id="rId143" Type="http://schemas.openxmlformats.org/officeDocument/2006/relationships/hyperlink" Target="https://www.h2v.eu/hydrogen-valleys/green-crane-western-route" TargetMode="External"/><Relationship Id="rId185" Type="http://schemas.openxmlformats.org/officeDocument/2006/relationships/hyperlink" Target="https://www.romania-insider.com/liberty-galati-decarbonization-too-far" TargetMode="External"/><Relationship Id="rId350" Type="http://schemas.openxmlformats.org/officeDocument/2006/relationships/hyperlink" Target="https://www.pmi.org/-/media/pmi/documents/public/pdf/academics/call-for-proposal/tata-hisarna-project.pdf?v=af070ea8-50e1-485e-b025-9042674a0803" TargetMode="External"/><Relationship Id="rId406" Type="http://schemas.openxmlformats.org/officeDocument/2006/relationships/hyperlink" Target="https://www.voestalpine.com/stahl/en/Companies/voestalpine-Stahl-GmbH" TargetMode="External"/><Relationship Id="rId588" Type="http://schemas.openxmlformats.org/officeDocument/2006/relationships/hyperlink" Target="https://www.voestalpine.com/group/en/media/press-releases/2023-03-22-voestalpine-supervisory-board-approves-eur-1-5-billion-for-further-decarbonization/" TargetMode="External"/><Relationship Id="rId9" Type="http://schemas.openxmlformats.org/officeDocument/2006/relationships/hyperlink" Target="https://corporate.arcelormittal.com/media/press-releases/arcelormittal-signs-letter-of-intent-with-the-governments-of-belgium-and-flanders-supporting-1-1-billion-investment-in-decarbonisation-technologies-at-its-flagship-gent-plant" TargetMode="External"/><Relationship Id="rId210" Type="http://schemas.openxmlformats.org/officeDocument/2006/relationships/hyperlink" Target="https://www.ssab.com/company/sustainability/ssab-and-sustainability/sustainability-targets-beyond-2020" TargetMode="External"/><Relationship Id="rId392" Type="http://schemas.openxmlformats.org/officeDocument/2006/relationships/hyperlink" Target="https://www.tenaris.com/en/newsroom/news-listing/tenaris-joins-edison-and-snam-to-trial-steelmaking--23383824921" TargetMode="External"/><Relationship Id="rId448" Type="http://schemas.openxmlformats.org/officeDocument/2006/relationships/hyperlink" Target="https://www.h2future-project.eu/" TargetMode="External"/><Relationship Id="rId252" Type="http://schemas.openxmlformats.org/officeDocument/2006/relationships/hyperlink" Target="https://www.salzgitter-ag.com/en/newsroom/press-releases/details/project-organization-for-feasibility-study-direct-reduction-of-iron-ore-in-wilhelmshaven-now-established-14410.html" TargetMode="External"/><Relationship Id="rId294" Type="http://schemas.openxmlformats.org/officeDocument/2006/relationships/hyperlink" Target="https://www.salzgitter-ag.com/en/newsroom/press-releases/details/another-key-components-on-the-road-to-low-co2-steel-production-15046.html" TargetMode="External"/><Relationship Id="rId308" Type="http://schemas.openxmlformats.org/officeDocument/2006/relationships/hyperlink" Target="https://www.windh2.de/en.html" TargetMode="External"/><Relationship Id="rId515" Type="http://schemas.openxmlformats.org/officeDocument/2006/relationships/hyperlink" Target="https://corporate.arcelormittal.com/media/case-studies/arcelormittal-belgium-marks-milestone-by-lifting-bioreactors-into-place-at-its-industrial-scale-demonstration-plant-for-carbon-neutral-steelmaking" TargetMode="External"/><Relationship Id="rId47" Type="http://schemas.openxmlformats.org/officeDocument/2006/relationships/hyperlink" Target="https://www.siderwin-spire.eu/content/home" TargetMode="External"/><Relationship Id="rId89" Type="http://schemas.openxmlformats.org/officeDocument/2006/relationships/hyperlink" Target="https://corporate.arcelormittal.com/media/news-articles/arcelormittal-plans-major-investment-in-german-sites-to-accelerate-co2-emissions-reduction-strategy-and-leverage-the-hydrogen-grid" TargetMode="External"/><Relationship Id="rId112" Type="http://schemas.openxmlformats.org/officeDocument/2006/relationships/hyperlink" Target="https://totalenergies.com/media/news/press-releases/france-start-3d-carbon-capture-pilot-dunkirk" TargetMode="External"/><Relationship Id="rId154" Type="http://schemas.openxmlformats.org/officeDocument/2006/relationships/hyperlink" Target="https://www.ferrosilva.com/wp-content/themes/ferrosilva_theme/assets/FerroSilva_Pressrelease_210427.pdf" TargetMode="External"/><Relationship Id="rId361" Type="http://schemas.openxmlformats.org/officeDocument/2006/relationships/hyperlink" Target="https://www.thyssenkrupp-steel.com/en/newsroom/press-releases/thyssenkrupp-presents-altmaier-and-laschet-concept-for-green-transformation-of-duisburg-steel-mill.html" TargetMode="External"/><Relationship Id="rId557" Type="http://schemas.openxmlformats.org/officeDocument/2006/relationships/hyperlink" Target="https://www.blastr.no/News/" TargetMode="External"/><Relationship Id="rId196" Type="http://schemas.openxmlformats.org/officeDocument/2006/relationships/hyperlink" Target="https://libertysteelgroup.com/news/liberty-develop-hydrogen-steel-making-plant/" TargetMode="External"/><Relationship Id="rId417" Type="http://schemas.openxmlformats.org/officeDocument/2006/relationships/hyperlink" Target="https://www.k1-met.com/en/research_programme/susteel/" TargetMode="External"/><Relationship Id="rId459" Type="http://schemas.openxmlformats.org/officeDocument/2006/relationships/hyperlink" Target="https://www.spglobal.com/commodityinsights/en/market-insights/latest-news/electric-power/050421-port-of-rotterdam-thyssenkrupp-hkm-explore-hydrogen-imports-for-green-steel" TargetMode="External"/><Relationship Id="rId16" Type="http://schemas.openxmlformats.org/officeDocument/2006/relationships/hyperlink" Target="https://corporate-media.arcelormittal.com/media/ob3lpdom/car_2.pdf" TargetMode="External"/><Relationship Id="rId221" Type="http://schemas.openxmlformats.org/officeDocument/2006/relationships/hyperlink" Target="https://www.ssab.com/contact" TargetMode="External"/><Relationship Id="rId263" Type="http://schemas.openxmlformats.org/officeDocument/2006/relationships/hyperlink" Target="https://www.hybritdevelopment.se/en/march-24-2021-hybrit-ssab-lkab-and-vattenfall-to-begin-industrialization-of-future-fossil-free-steelmaking-by-establishing-the-worlds-first-production-plant-for-fossil-free-sponge-iron-in/" TargetMode="External"/><Relationship Id="rId319" Type="http://schemas.openxmlformats.org/officeDocument/2006/relationships/hyperlink" Target="https://www.tenaris.com/en/newsroom/news-listing/tenaris-joins-edison-and-snam-to-trial-steelmaking--23383824921" TargetMode="External"/><Relationship Id="rId470" Type="http://schemas.openxmlformats.org/officeDocument/2006/relationships/hyperlink" Target="https://corporate.arcelormittal.com/media/press-releases/arcelormittal-accelerates-its-decarbonisation-with-a-1-7-billion-investment-programme-in-france-supported-by-the-french-government" TargetMode="External"/><Relationship Id="rId526" Type="http://schemas.openxmlformats.org/officeDocument/2006/relationships/hyperlink" Target="https://www.thyssenkrupp.com/en/newsroom/press-releases/pressdetailpage/thyssenkrupp-is-accelerating-the-green-transformation--decision-taken-on-the-construction-of-germanys-largest-direct-reduction-plant-for-low-co2-steel-146809" TargetMode="External"/><Relationship Id="rId58" Type="http://schemas.openxmlformats.org/officeDocument/2006/relationships/hyperlink" Target="https://3d-ccus.com/3d-overview/" TargetMode="External"/><Relationship Id="rId123" Type="http://schemas.openxmlformats.org/officeDocument/2006/relationships/hyperlink" Target="https://www.ewe.com/de/presse/pressemitteilungen/2020/07/ewe-mit-tochter-swb-und-arcelormittal-kooperieren-bei-grner-stahlerzeugung-ewe-ag" TargetMode="External"/><Relationship Id="rId330" Type="http://schemas.openxmlformats.org/officeDocument/2006/relationships/hyperlink" Target="https://www.tenaris.com/en/newsroom/news-listing/tenaris-joins-edison-and-snam-to-trial-steelmaking--23383824921" TargetMode="External"/><Relationship Id="rId568" Type="http://schemas.openxmlformats.org/officeDocument/2006/relationships/hyperlink" Target="https://www.voestalpine.com/greentecsteel/en/" TargetMode="External"/><Relationship Id="rId165" Type="http://schemas.openxmlformats.org/officeDocument/2006/relationships/hyperlink" Target="https://www.di.se/nyheter/northvolt-grundare-utmanar-ssab-med-25-miljarder-i-ryggen/" TargetMode="External"/><Relationship Id="rId372" Type="http://schemas.openxmlformats.org/officeDocument/2006/relationships/hyperlink" Target="https://www.tenaris.com/en/newsroom/news-listing/tenaris-joins-edison-and-snam-to-trial-steelmaking--23383824921" TargetMode="External"/><Relationship Id="rId428" Type="http://schemas.openxmlformats.org/officeDocument/2006/relationships/hyperlink" Target="https://asia.nikkei.com/Spotlight/Environment/Climate-Change/Mitsubishi-Heavy-to-build-biggest-zero-carbon-steel-plant" TargetMode="External"/><Relationship Id="rId232" Type="http://schemas.openxmlformats.org/officeDocument/2006/relationships/hyperlink" Target="https://www.sunfire.de/de/news/detail/grinhy2-0-wasserstoff-fuer-eine-co2-arme-stahlproduktion" TargetMode="External"/><Relationship Id="rId274" Type="http://schemas.openxmlformats.org/officeDocument/2006/relationships/hyperlink" Target="https://www.hybritdevelopment.se/en/a-fossil-free-development/direct-reduction-hydrogen-pilotscale/" TargetMode="External"/><Relationship Id="rId481" Type="http://schemas.openxmlformats.org/officeDocument/2006/relationships/hyperlink" Target="https://www.hydeal.com/copie-de-hydeal-ambition" TargetMode="External"/><Relationship Id="rId27" Type="http://schemas.openxmlformats.org/officeDocument/2006/relationships/hyperlink" Target="https://bremen.arcelormittal.com/Ueber-uns/" TargetMode="External"/><Relationship Id="rId69" Type="http://schemas.openxmlformats.org/officeDocument/2006/relationships/hyperlink" Target="https://corporate.arcelormittal.com/climate-action/decarbonisation-technologies/hamburg-h2-working-towards-the-production-of-zero-carbon-emissions-steel-with-hydrogen" TargetMode="External"/><Relationship Id="rId134" Type="http://schemas.openxmlformats.org/officeDocument/2006/relationships/hyperlink" Target="https://www.ferrosilva.com/english/" TargetMode="External"/><Relationship Id="rId537" Type="http://schemas.openxmlformats.org/officeDocument/2006/relationships/hyperlink" Target="https://www.investinspain.org/en/news/2023/hydnum-steel" TargetMode="External"/><Relationship Id="rId579" Type="http://schemas.openxmlformats.org/officeDocument/2006/relationships/hyperlink" Target="https://www.voestalpine.com/group/en/media/press-releases/2023-03-22-voestalpine-supervisory-board-approves-eur-1-5-billion-for-further-decarbonization/" TargetMode="External"/><Relationship Id="rId80" Type="http://schemas.openxmlformats.org/officeDocument/2006/relationships/hyperlink" Target="https://www.rechargenews.com/energy-transition/orsted-in-gigawatt-scale-offshore-wind-to-green-hydrogen-plan-with-steel-giant-arcelormittal/2-1-990058" TargetMode="External"/><Relationship Id="rId176" Type="http://schemas.openxmlformats.org/officeDocument/2006/relationships/hyperlink" Target="https://libertysteelgroup.com/news/gfg-alliance-signs-mou-with-romanian-government-to-create-a-european-greensteel-flagship-at-liberty-galati/" TargetMode="External"/><Relationship Id="rId341" Type="http://schemas.openxmlformats.org/officeDocument/2006/relationships/hyperlink" Target="https://www.tatasteeleurope.com/corporate/news/tata-steel-opts-for-hydrogen-route-at-its-ijmuiden-steelworks" TargetMode="External"/><Relationship Id="rId383" Type="http://schemas.openxmlformats.org/officeDocument/2006/relationships/hyperlink" Target="https://www.tatasteeleurope.com/corporate/news/Tata-Steel-invests-65-million-euroin-next-phase-hydrogen-route" TargetMode="External"/><Relationship Id="rId439" Type="http://schemas.openxmlformats.org/officeDocument/2006/relationships/hyperlink" Target="https://www.h2greensteel.com/pressreleases/h2-green-steel-and-iberdrola-announce-23-billion-green-hydrogen-venture" TargetMode="External"/><Relationship Id="rId590" Type="http://schemas.openxmlformats.org/officeDocument/2006/relationships/vmlDrawing" Target="../drawings/vmlDrawing1.vml"/><Relationship Id="rId201" Type="http://schemas.openxmlformats.org/officeDocument/2006/relationships/hyperlink" Target="https://mb.cision.com/Main/11419/3241684/1338565.pdf" TargetMode="External"/><Relationship Id="rId243" Type="http://schemas.openxmlformats.org/officeDocument/2006/relationships/hyperlink" Target="https://www.ssab.com/news/2021/07/ssab-has-launched-an-extensive-research-project-in-finland-to-replace-fossil-fuels-with-renewable-en" TargetMode="External"/><Relationship Id="rId285" Type="http://schemas.openxmlformats.org/officeDocument/2006/relationships/hyperlink" Target="https://www.salzgitter-ag.com/en/newsroom/press-releases/details/another-key-components-on-the-road-to-low-co2-steel-production-15046.html" TargetMode="External"/><Relationship Id="rId450" Type="http://schemas.openxmlformats.org/officeDocument/2006/relationships/hyperlink" Target="https://corporate-media.arcelormittal.com/media/ob3lpdom/car_2.pdf" TargetMode="External"/><Relationship Id="rId506" Type="http://schemas.openxmlformats.org/officeDocument/2006/relationships/hyperlink" Target="https://corporate.arcelormittal.com/media/case-studies/arcelormittal-belgium-marks-milestone-by-lifting-bioreactors-into-place-at-its-industrial-scale-demonstration-plant-for-carbon-neutral-steelmaking" TargetMode="External"/><Relationship Id="rId38" Type="http://schemas.openxmlformats.org/officeDocument/2006/relationships/hyperlink" Target="https://www.siderwin-spire.eu/content/home" TargetMode="External"/><Relationship Id="rId103" Type="http://schemas.openxmlformats.org/officeDocument/2006/relationships/hyperlink" Target="https://corporate.arcelormittal.com/media/news-articles/arcelormittal-plans-major-investment-in-german-sites-to-accelerate-co2-emissions-reduction-strategy-and-leverage-the-hydrogen-grid" TargetMode="External"/><Relationship Id="rId310" Type="http://schemas.openxmlformats.org/officeDocument/2006/relationships/hyperlink" Target="https://www.hybritdevelopment.se/" TargetMode="External"/><Relationship Id="rId492" Type="http://schemas.openxmlformats.org/officeDocument/2006/relationships/hyperlink" Target="https://www.salzgitter-ag.com/en/newsroom/press-releases/details/uniper-and-salzgitter-agree-close-cooperation-in-supplying-the-salcosr-transformation-project-with-green-hydrogen-from-unipers-major-green-wilhelmshavenr-hydrogen-project-19249.html" TargetMode="External"/><Relationship Id="rId548" Type="http://schemas.openxmlformats.org/officeDocument/2006/relationships/hyperlink" Target="https://hydnumsteel.com/en/" TargetMode="External"/><Relationship Id="rId91" Type="http://schemas.openxmlformats.org/officeDocument/2006/relationships/hyperlink" Target="https://corporate.arcelormittal.com/media/press-releases/arcelormittal-signs-mou-with-the-spanish-government-supporting-1-billion-investment-in-decarbonisation-technologies" TargetMode="External"/><Relationship Id="rId145" Type="http://schemas.openxmlformats.org/officeDocument/2006/relationships/hyperlink" Target="https://www.h2v.eu/hydrogen-valleys/green-crane-western-route" TargetMode="External"/><Relationship Id="rId187" Type="http://schemas.openxmlformats.org/officeDocument/2006/relationships/hyperlink" Target="https://libertysteelgroup.com/news/liberty-develop-hydrogen-steel-making-plant/" TargetMode="External"/><Relationship Id="rId352" Type="http://schemas.openxmlformats.org/officeDocument/2006/relationships/hyperlink" Target="https://www.thyssenkrupp-steel.com/en/newsroom/press-releases/thyssenkrupp-presents-altmaier-and-laschet-concept-for-green-transformation-of-duisburg-steel-mill.html" TargetMode="External"/><Relationship Id="rId394" Type="http://schemas.openxmlformats.org/officeDocument/2006/relationships/hyperlink" Target="https://www.thyssenkrupp-steel.com/en/newsroom/press-releases/h2morrow-steel-concludes-feasibility-study.html" TargetMode="External"/><Relationship Id="rId408" Type="http://schemas.openxmlformats.org/officeDocument/2006/relationships/hyperlink" Target="https://www.primetals.com/de/presse-medien/news/primetals-technologies-develops-breakthrough-technology-for-carbon-free-hydrogen-based-direct-reduction-for-iron-ore-fines" TargetMode="External"/><Relationship Id="rId212" Type="http://schemas.openxmlformats.org/officeDocument/2006/relationships/hyperlink" Target="https://www.ssab.com/company/sustainability/ssab-and-sustainability/sustainability-targets-beyond-2020" TargetMode="External"/><Relationship Id="rId254" Type="http://schemas.openxmlformats.org/officeDocument/2006/relationships/hyperlink" Target="https://www.ssab.fi/ssab-konserni/tietoja-ssabsta/tuotantopaikkakunnat-suomessa/raahe/kohti-fossiilivapaata-terastuotantoa" TargetMode="External"/><Relationship Id="rId49" Type="http://schemas.openxmlformats.org/officeDocument/2006/relationships/hyperlink" Target="https://bremen.arcelormittal.com/Nachhaltigkeit/Auf-dem-Weg-zum-gruenen-Stahl/" TargetMode="External"/><Relationship Id="rId114" Type="http://schemas.openxmlformats.org/officeDocument/2006/relationships/hyperlink" Target="https://www.h2bulletin.com/arcelormittal-bremen-receives-10m-funding-for-hybit-hydrogen-project/" TargetMode="External"/><Relationship Id="rId296" Type="http://schemas.openxmlformats.org/officeDocument/2006/relationships/hyperlink" Target="https://www.salzgitter-ag.com/en/newsroom/press-releases/details/wind-hydrogen-salzgitter-windh2-an-important-step-on-the-path-to-decarbonizing-the-steel-industry-14823.html" TargetMode="External"/><Relationship Id="rId461" Type="http://schemas.openxmlformats.org/officeDocument/2006/relationships/hyperlink" Target="https://www.spglobal.com/commodityinsights/en/market-insights/latest-news/electric-power/050421-port-of-rotterdam-thyssenkrupp-hkm-explore-hydrogen-imports-for-green-steel" TargetMode="External"/><Relationship Id="rId517" Type="http://schemas.openxmlformats.org/officeDocument/2006/relationships/hyperlink" Target="https://corporate.arcelormittal.com/media/case-studies/arcelormittal-belgium-marks-milestone-by-lifting-bioreactors-into-place-at-its-industrial-scale-demonstration-plant-for-carbon-neutral-steelmaking" TargetMode="External"/><Relationship Id="rId559" Type="http://schemas.openxmlformats.org/officeDocument/2006/relationships/hyperlink" Target="https://www.blastr.no/News/" TargetMode="External"/><Relationship Id="rId60" Type="http://schemas.openxmlformats.org/officeDocument/2006/relationships/hyperlink" Target="https://www.rechargenews.com/energy-transition/orsted-in-gigawatt-scale-offshore-wind-to-green-hydrogen-plan-with-steel-giant-arcelormittal/2-1-990058" TargetMode="External"/><Relationship Id="rId156" Type="http://schemas.openxmlformats.org/officeDocument/2006/relationships/hyperlink" Target="https://www.ferrosilva.com/wp-content/themes/ferrosilva_theme/assets/FerroSilva_Pressrelease_210427.pdf" TargetMode="External"/><Relationship Id="rId198" Type="http://schemas.openxmlformats.org/officeDocument/2006/relationships/hyperlink" Target="https://mb.cision.com/Main/11419/3241684/1338565.pdf" TargetMode="External"/><Relationship Id="rId321" Type="http://schemas.openxmlformats.org/officeDocument/2006/relationships/hyperlink" Target="https://prtr.eea.europa.eu/" TargetMode="External"/><Relationship Id="rId363" Type="http://schemas.openxmlformats.org/officeDocument/2006/relationships/hyperlink" Target="https://h2ermes.nl/project-en/" TargetMode="External"/><Relationship Id="rId419" Type="http://schemas.openxmlformats.org/officeDocument/2006/relationships/hyperlink" Target="https://www.h2greensteel.com/pressreleases/h2-green-steel-and-iberdrola-announce-23-billion-green-hydrogen-venture" TargetMode="External"/><Relationship Id="rId570" Type="http://schemas.openxmlformats.org/officeDocument/2006/relationships/hyperlink" Target="https://www.voestalpine.com/stahldonawitz/en/" TargetMode="External"/><Relationship Id="rId223" Type="http://schemas.openxmlformats.org/officeDocument/2006/relationships/hyperlink" Target="https://www.green-industrial-hydrogen.com/" TargetMode="External"/><Relationship Id="rId430" Type="http://schemas.openxmlformats.org/officeDocument/2006/relationships/hyperlink" Target="https://www.h2greensteel.com/pressreleases/h2-green-steel-and-iberdrola-announce-23-billion-green-hydrogen-venture" TargetMode="External"/><Relationship Id="rId18" Type="http://schemas.openxmlformats.org/officeDocument/2006/relationships/hyperlink" Target="https://corporate-media.arcelormittal.com/media/ob3lpdom/car_2.pdf" TargetMode="External"/><Relationship Id="rId265" Type="http://schemas.openxmlformats.org/officeDocument/2006/relationships/hyperlink" Target="https://www.steelguru.com/steel/windwasserstoff-salzgitter-windh2-commissioned" TargetMode="External"/><Relationship Id="rId472" Type="http://schemas.openxmlformats.org/officeDocument/2006/relationships/hyperlink" Target="https://corporate.arcelormittal.com/media/press-releases/arcelormittal-accelerates-its-decarbonisation-with-a-1-7-billion-investment-programme-in-france-supported-by-the-french-government" TargetMode="External"/><Relationship Id="rId528" Type="http://schemas.openxmlformats.org/officeDocument/2006/relationships/hyperlink" Target="https://www.thyssenkrupp.com/en/company/sustainability/climate-strategy-and-targets" TargetMode="External"/><Relationship Id="rId125" Type="http://schemas.openxmlformats.org/officeDocument/2006/relationships/hyperlink" Target="https://www.siderwin-spire.eu/sites/siderwin.drupal.pulsartecnalia.com/files/documents/Massive%20production%20of%20primary%20steel_presentation_DECHEMA_23_11_2018.pdf" TargetMode="External"/><Relationship Id="rId167" Type="http://schemas.openxmlformats.org/officeDocument/2006/relationships/hyperlink" Target="https://www.di.se/nyheter/northvolt-grundare-utmanar-ssab-med-25-miljarder-i-ryggen/" TargetMode="External"/><Relationship Id="rId332" Type="http://schemas.openxmlformats.org/officeDocument/2006/relationships/hyperlink" Target="https://www.steag.com/en/news/current-projects/hydroxy-walsum" TargetMode="External"/><Relationship Id="rId374" Type="http://schemas.openxmlformats.org/officeDocument/2006/relationships/hyperlink" Target="https://www.steag.com/en/press-release/21-03-2022-thyssenkrupp-steel-and-steag-agree-delivery-of-hydrogen" TargetMode="External"/><Relationship Id="rId581" Type="http://schemas.openxmlformats.org/officeDocument/2006/relationships/hyperlink" Target="https://www.voestalpine.com/group/en/media/press-releases/2023-03-22-voestalpine-supervisory-board-approves-eur-1-5-billion-for-further-decarbonization/" TargetMode="External"/><Relationship Id="rId71" Type="http://schemas.openxmlformats.org/officeDocument/2006/relationships/hyperlink" Target="https://www.rechargenews.com/energy-transition/orsted-in-gigawatt-scale-offshore-wind-to-green-hydrogen-plan-with-steel-giant-arcelormittal/2-1-990058" TargetMode="External"/><Relationship Id="rId234" Type="http://schemas.openxmlformats.org/officeDocument/2006/relationships/hyperlink" Target="https://www.ssab.fi/ssab-konserni/tietoja-ssabsta/tuotantopaikkakunnat-suomessa/raahe/kohti-fossiilivapaata-terastuotantoa" TargetMode="External"/><Relationship Id="rId2" Type="http://schemas.openxmlformats.org/officeDocument/2006/relationships/hyperlink" Target="https://corporate-media.arcelormittal.com/media/ob3lpdom/car_2.pdf" TargetMode="External"/><Relationship Id="rId29" Type="http://schemas.openxmlformats.org/officeDocument/2006/relationships/hyperlink" Target="https://hamburg.arcelormittal.com/Ueber-uns/" TargetMode="External"/><Relationship Id="rId276" Type="http://schemas.openxmlformats.org/officeDocument/2006/relationships/hyperlink" Target="https://www.salzgitter-ag.com/en/newsroom/press-releases/details/another-key-components-on-the-road-to-low-co2-steel-production-15046.html" TargetMode="External"/><Relationship Id="rId441" Type="http://schemas.openxmlformats.org/officeDocument/2006/relationships/hyperlink" Target="https://www.h2future-project.eu/" TargetMode="External"/><Relationship Id="rId483" Type="http://schemas.openxmlformats.org/officeDocument/2006/relationships/hyperlink" Target="https://www.hydeal.com/copie-de-hydeal-ambition" TargetMode="External"/><Relationship Id="rId539" Type="http://schemas.openxmlformats.org/officeDocument/2006/relationships/hyperlink" Target="https://www.steelradar.com/en/haber/hydnum-steel-will-establish-a-spanish-green-steel-plant/" TargetMode="External"/><Relationship Id="rId40" Type="http://schemas.openxmlformats.org/officeDocument/2006/relationships/hyperlink" Target="https://corporate.arcelormittal.com/media/case-studies/hydrogen-based-steelmaking-to-begin-in-hamburg" TargetMode="External"/><Relationship Id="rId136" Type="http://schemas.openxmlformats.org/officeDocument/2006/relationships/hyperlink" Target="https://www.ferrosilva.com/english/" TargetMode="External"/><Relationship Id="rId178" Type="http://schemas.openxmlformats.org/officeDocument/2006/relationships/hyperlink" Target="https://libertysteelgroup.com/news/liberty-develop-hydrogen-steel-making-plant/" TargetMode="External"/><Relationship Id="rId301" Type="http://schemas.openxmlformats.org/officeDocument/2006/relationships/hyperlink" Target="https://www.hybritdevelopment.se/" TargetMode="External"/><Relationship Id="rId343" Type="http://schemas.openxmlformats.org/officeDocument/2006/relationships/hyperlink" Target="https://www.tatasteeleurope.com/ts/sites/default/files/TS%20Factsheet%20Hisarna%20ENG%20jan2020%20Vfinal03%204%20pag%20digital.pdf" TargetMode="External"/><Relationship Id="rId550" Type="http://schemas.openxmlformats.org/officeDocument/2006/relationships/hyperlink" Target="http://www.steelanol.eu/en" TargetMode="External"/><Relationship Id="rId82" Type="http://schemas.openxmlformats.org/officeDocument/2006/relationships/hyperlink" Target="https://corporate.arcelormittal.com/media/press-releases/arcelormittal-sestao-to-become-the-world-s-first-full-scale-zero-carbon-emissions-steel-plant" TargetMode="External"/><Relationship Id="rId203" Type="http://schemas.openxmlformats.org/officeDocument/2006/relationships/hyperlink" Target="https://libertysteelgroup.com/news/gfg-alliance-signs-mou-with-romanian-government-to-create-a-european-greensteel-flagship-at-liberty-galati/" TargetMode="External"/><Relationship Id="rId385" Type="http://schemas.openxmlformats.org/officeDocument/2006/relationships/hyperlink" Target="https://www.pmi.org/-/media/pmi/documents/public/pdf/academics/call-for-proposal/tata-hisarna-project.pdf?v=af070ea8-50e1-485e-b025-9042674a0803" TargetMode="External"/><Relationship Id="rId245" Type="http://schemas.openxmlformats.org/officeDocument/2006/relationships/hyperlink" Target="https://www.hybritdevelopment.se/en/a-fossil-free-development/direct-reduction-hydrogen-demonstrationscale/" TargetMode="External"/><Relationship Id="rId287" Type="http://schemas.openxmlformats.org/officeDocument/2006/relationships/hyperlink" Target="https://www.steelguru.com/steel/windwasserstoff-salzgitter-windh2-commissioned" TargetMode="External"/><Relationship Id="rId410" Type="http://schemas.openxmlformats.org/officeDocument/2006/relationships/hyperlink" Target="https://www.voestalpine.com/group/en/media/press-releases/2019-11-11-h2future-worlds-largest-green-hydrogen-pilot-facility-successfully-commences-operation/" TargetMode="External"/><Relationship Id="rId452" Type="http://schemas.openxmlformats.org/officeDocument/2006/relationships/hyperlink" Target="https://corporate.arcelormittal.com/media/press-releases/arcelormittal-accelerates-its-decarbonisation-with-a-1-7-billion-investment-programme-in-france-supported-by-the-french-government" TargetMode="External"/><Relationship Id="rId494" Type="http://schemas.openxmlformats.org/officeDocument/2006/relationships/hyperlink" Target="https://www.salzgitter-ag.com/en/newsroom/press-releases/details/uniper-and-salzgitter-agree-close-cooperation-in-supplying-the-salcosr-transformation-project-with-green-hydrogen-from-unipers-major-green-wilhelmshavenr-hydrogen-project-19249.html" TargetMode="External"/><Relationship Id="rId508" Type="http://schemas.openxmlformats.org/officeDocument/2006/relationships/hyperlink" Target="http://www.steelanol.eu/en/news/steelanol-inauguration" TargetMode="External"/><Relationship Id="rId105" Type="http://schemas.openxmlformats.org/officeDocument/2006/relationships/hyperlink" Target="https://corporate.arcelormittal.com/media/press-releases/arcelormittal-signs-mou-with-the-spanish-government-supporting-1-billion-investment-in-decarbonisation-technologies" TargetMode="External"/><Relationship Id="rId147" Type="http://schemas.openxmlformats.org/officeDocument/2006/relationships/hyperlink" Target="https://www.ferrosilva.com/english/" TargetMode="External"/><Relationship Id="rId312" Type="http://schemas.openxmlformats.org/officeDocument/2006/relationships/hyperlink" Target="https://www.hybritdevelopment.se/" TargetMode="External"/><Relationship Id="rId354" Type="http://schemas.openxmlformats.org/officeDocument/2006/relationships/hyperlink" Target="https://oge.net/en/us/projects/h2morrow" TargetMode="External"/><Relationship Id="rId51" Type="http://schemas.openxmlformats.org/officeDocument/2006/relationships/hyperlink" Target="https://corporate.arcelormittal.com/media/press-releases/arcelormittal-signs-mou-with-the-spanish-government-supporting-1-billion-investment-in-decarbonisation-technologies" TargetMode="External"/><Relationship Id="rId93" Type="http://schemas.openxmlformats.org/officeDocument/2006/relationships/hyperlink" Target="https://corporate.arcelormittal.com/media/news-articles/arcelormittal-plans-major-investment-in-german-sites-to-accelerate-co2-emissions-reduction-strategy-and-leverage-the-hydrogen-grid" TargetMode="External"/><Relationship Id="rId189" Type="http://schemas.openxmlformats.org/officeDocument/2006/relationships/hyperlink" Target="https://mb.cision.com/Main/11419/3241684/1338565.pdf" TargetMode="External"/><Relationship Id="rId396" Type="http://schemas.openxmlformats.org/officeDocument/2006/relationships/hyperlink" Target="https://h2ermes.nl/project-en/" TargetMode="External"/><Relationship Id="rId561" Type="http://schemas.openxmlformats.org/officeDocument/2006/relationships/hyperlink" Target="https://www.blastr.no/News/" TargetMode="External"/><Relationship Id="rId214" Type="http://schemas.openxmlformats.org/officeDocument/2006/relationships/hyperlink" Target="https://www.salzgitter-flachstahl.de/en/index.html" TargetMode="External"/><Relationship Id="rId256" Type="http://schemas.openxmlformats.org/officeDocument/2006/relationships/hyperlink" Target="https://www.sei.org/wp-content/uploads/2020/07/bigger-is-sometimes-better.pdf" TargetMode="External"/><Relationship Id="rId298" Type="http://schemas.openxmlformats.org/officeDocument/2006/relationships/hyperlink" Target="https://www.ssab.com/news/2021/07/ssab-has-launched-an-extensive-research-project-in-finland-to-replace-fossil-fuels-with-renewable-en" TargetMode="External"/><Relationship Id="rId421" Type="http://schemas.openxmlformats.org/officeDocument/2006/relationships/hyperlink" Target="https://www.k1-met.com/en/research_programme/susteel/" TargetMode="External"/><Relationship Id="rId463" Type="http://schemas.openxmlformats.org/officeDocument/2006/relationships/hyperlink" Target="https://www.spglobal.com/commodityinsights/en/market-insights/latest-news/electric-power/050421-port-of-rotterdam-thyssenkrupp-hkm-explore-hydrogen-imports-for-green-steel" TargetMode="External"/><Relationship Id="rId519" Type="http://schemas.openxmlformats.org/officeDocument/2006/relationships/hyperlink" Target="https://corporate.arcelormittal.com/climate-action/decarbonisation-technologies/carbalyst-capturing-and-re-using-our-carbon-rich-waste-gases-to-make-valuable-chemical-products" TargetMode="External"/><Relationship Id="rId116" Type="http://schemas.openxmlformats.org/officeDocument/2006/relationships/hyperlink" Target="https://corporate.arcelormittal.com/media/news-articles/arcelormittal-plans-major-investment-in-german-sites-to-accelerate-co2-emissions-reduction-strategy-and-leverage-the-hydrogen-grid" TargetMode="External"/><Relationship Id="rId158" Type="http://schemas.openxmlformats.org/officeDocument/2006/relationships/hyperlink" Target="https://www.ferrosilva.com/english/" TargetMode="External"/><Relationship Id="rId323" Type="http://schemas.openxmlformats.org/officeDocument/2006/relationships/hyperlink" Target="https://www.tenaris.com/en/newsroom/news-listing/tenaris-joins-edison-and-snam-to-trial-steelmaking--23383824921" TargetMode="External"/><Relationship Id="rId530" Type="http://schemas.openxmlformats.org/officeDocument/2006/relationships/hyperlink" Target="https://www.thyssenkrupp.com/en/newsroom/press-releases/pressdetailpage/thyssenkrupp-is-accelerating-the-green-transformation--decision-taken-on-the-construction-of-germanys-largest-direct-reduction-plant-for-low-co2-steel-146809" TargetMode="External"/><Relationship Id="rId20" Type="http://schemas.openxmlformats.org/officeDocument/2006/relationships/hyperlink" Target="https://corporate-media.arcelormittal.com/media/ob3lpdom/car_2.pdf" TargetMode="External"/><Relationship Id="rId62" Type="http://schemas.openxmlformats.org/officeDocument/2006/relationships/hyperlink" Target="https://corporate.arcelormittal.com/media/press-releases/arcelormittal-sestao-to-become-the-world-s-first-full-scale-zero-carbon-emissions-steel-plant" TargetMode="External"/><Relationship Id="rId365" Type="http://schemas.openxmlformats.org/officeDocument/2006/relationships/hyperlink" Target="https://www.tenaris.com/en/newsroom/news-listing/tenaris-joins-edison-and-snam-to-trial-steelmaking--23383824921" TargetMode="External"/><Relationship Id="rId572" Type="http://schemas.openxmlformats.org/officeDocument/2006/relationships/hyperlink" Target="https://www.voestalpine.com/group/en/media/press-releases/2023-03-22-voestalpine-supervisory-board-approves-eur-1-5-billion-for-further-decarbonization/" TargetMode="External"/><Relationship Id="rId225" Type="http://schemas.openxmlformats.org/officeDocument/2006/relationships/hyperlink" Target="https://www.salzgitter-ag.com/en/newsroom/press-releases/details/project-organization-for-feasibility-study-direct-reduction-of-iron-ore-in-wilhelmshaven-now-established-14410.html" TargetMode="External"/><Relationship Id="rId267" Type="http://schemas.openxmlformats.org/officeDocument/2006/relationships/hyperlink" Target="https://www.salzgitter-ag.com/en/newsroom/press-releases/details/another-key-components-on-the-road-to-low-co2-steel-production-15046.html" TargetMode="External"/><Relationship Id="rId432" Type="http://schemas.openxmlformats.org/officeDocument/2006/relationships/hyperlink" Target="https://asia.nikkei.com/Spotlight/Environment/Climate-Change/Mitsubishi-Heavy-to-build-biggest-zero-carbon-steel-plant" TargetMode="External"/><Relationship Id="rId474" Type="http://schemas.openxmlformats.org/officeDocument/2006/relationships/hyperlink" Target="https://corporate.arcelormittal.com/media/press-releases/arcelormittal-accelerates-its-decarbonisation-with-a-1-7-billion-investment-programme-in-france-supported-by-the-french-government" TargetMode="External"/><Relationship Id="rId127" Type="http://schemas.openxmlformats.org/officeDocument/2006/relationships/hyperlink" Target="https://bremen.arcelormittal.com/Nachhaltigkeit/Auf-dem-Weg-zum-gruenen-Stahl/" TargetMode="External"/><Relationship Id="rId31" Type="http://schemas.openxmlformats.org/officeDocument/2006/relationships/hyperlink" Target="https://corporate.arcelormittal.com/media/press-releases/arcelormittal-signs-mou-with-the-spanish-government-supporting-1-billion-investment-in-decarbonisation-technologies" TargetMode="External"/><Relationship Id="rId73" Type="http://schemas.openxmlformats.org/officeDocument/2006/relationships/hyperlink" Target="https://3d-ccus.com/3d-overview/" TargetMode="External"/><Relationship Id="rId169" Type="http://schemas.openxmlformats.org/officeDocument/2006/relationships/hyperlink" Target="https://www.h2greensteel.com/green-steel" TargetMode="External"/><Relationship Id="rId334" Type="http://schemas.openxmlformats.org/officeDocument/2006/relationships/hyperlink" Target="https://www.tatasteeleurope.com/corporate/news/tata-steel-opts-for-hydrogen-route-at-its-ijmuiden-steelworks" TargetMode="External"/><Relationship Id="rId376" Type="http://schemas.openxmlformats.org/officeDocument/2006/relationships/hyperlink" Target="https://www.tatasteeleurope.com/corporate/news/tata-steel-opts-for-hydrogen-route-at-its-ijmuiden-steelworks" TargetMode="External"/><Relationship Id="rId541" Type="http://schemas.openxmlformats.org/officeDocument/2006/relationships/hyperlink" Target="https://www.steelorbis.com/steel-news/latest-news/spains-hydnum-steel-to-build-first-green-steel-plant-on-iberian-peninsula-1280182.htm" TargetMode="External"/><Relationship Id="rId583" Type="http://schemas.openxmlformats.org/officeDocument/2006/relationships/hyperlink" Target="https://www.voestalpine.com/group/en/media/press-releases/2023-03-22-voestalpine-supervisory-board-approves-eur-1-5-billion-for-further-decarbonization/" TargetMode="External"/><Relationship Id="rId4" Type="http://schemas.openxmlformats.org/officeDocument/2006/relationships/hyperlink" Target="https://corporate.arcelormittal.com/media/press-releases/arcelormittal-signs-letter-of-intent-with-the-governments-of-belgium-and-flanders-supporting-1-1-billion-investment-in-decarbonisation-technologies-at-its-flagship-gent-plant" TargetMode="External"/><Relationship Id="rId180" Type="http://schemas.openxmlformats.org/officeDocument/2006/relationships/hyperlink" Target="https://www.lkab.com/en/news-room/news/up-to-3000-new-jobs-and-major-investment-in-malmfalten/?aid=5232" TargetMode="External"/><Relationship Id="rId236" Type="http://schemas.openxmlformats.org/officeDocument/2006/relationships/hyperlink" Target="https://www.hybritdevelopment.se/en/a-fossil-free-development/direct-reduction-hydrogen-pilotscale/" TargetMode="External"/><Relationship Id="rId278" Type="http://schemas.openxmlformats.org/officeDocument/2006/relationships/hyperlink" Target="https://www.salzgitter-ag.com/en/newsroom/press-releases/details/wind-hydrogen-salzgitter-windh2-an-important-step-on-the-path-to-decarbonizing-the-steel-industry-14823.html" TargetMode="External"/><Relationship Id="rId401" Type="http://schemas.openxmlformats.org/officeDocument/2006/relationships/hyperlink" Target="https://www.voestalpine.com/greentecsteel/en/" TargetMode="External"/><Relationship Id="rId443" Type="http://schemas.openxmlformats.org/officeDocument/2006/relationships/hyperlink" Target="https://www.k1-met.com/en/research_programme/susteel/" TargetMode="External"/><Relationship Id="rId303" Type="http://schemas.openxmlformats.org/officeDocument/2006/relationships/hyperlink" Target="https://www.salzgitter-ag.com/en/newsroom/press-releases/details/wind-hydrogen-salzgitter-windh2-an-important-step-on-the-path-to-decarbonizing-the-steel-industry-14823.html" TargetMode="External"/><Relationship Id="rId485" Type="http://schemas.openxmlformats.org/officeDocument/2006/relationships/hyperlink" Target="https://www.hydeal.com/copie-de-hydeal-ambition" TargetMode="External"/><Relationship Id="rId42" Type="http://schemas.openxmlformats.org/officeDocument/2006/relationships/hyperlink" Target="https://corporate.arcelormittal.com/media/press-releases/arcelormittal-signs-mou-with-the-spanish-government-supporting-1-billion-investment-in-decarbonisation-technologies" TargetMode="External"/><Relationship Id="rId84" Type="http://schemas.openxmlformats.org/officeDocument/2006/relationships/hyperlink" Target="https://www.siderwin-spire.eu/sites/siderwin.drupal.pulsartecnalia.com/files/documents/Massive%20production%20of%20primary%20steel_presentation_DECHEMA_23_11_2018.pdf" TargetMode="External"/><Relationship Id="rId138" Type="http://schemas.openxmlformats.org/officeDocument/2006/relationships/hyperlink" Target="https://www.ferrosilva.com/english/" TargetMode="External"/><Relationship Id="rId345" Type="http://schemas.openxmlformats.org/officeDocument/2006/relationships/hyperlink" Target="https://www.thyssenkrupp-steel.com/en/newsroom/press-releases/thyssenkrupp-presents-altmaier-and-laschet-concept-for-green-transformation-of-duisburg-steel-mill.html" TargetMode="External"/><Relationship Id="rId387" Type="http://schemas.openxmlformats.org/officeDocument/2006/relationships/hyperlink" Target="https://www.thyssenkrupp-steel.com/en/newsroom/press-releases/thyssenkrupp-presents-altmaier-and-laschet-concept-for-green-transformation-of-duisburg-steel-mill.html" TargetMode="External"/><Relationship Id="rId510" Type="http://schemas.openxmlformats.org/officeDocument/2006/relationships/hyperlink" Target="https://corporate.arcelormittal.com/climate-action/decarbonisation-technologies/carbalyst-capturing-and-re-using-our-carbon-rich-waste-gases-to-make-valuable-chemical-products" TargetMode="External"/><Relationship Id="rId552" Type="http://schemas.openxmlformats.org/officeDocument/2006/relationships/hyperlink" Target="https://www.blastr.no/" TargetMode="External"/><Relationship Id="rId191" Type="http://schemas.openxmlformats.org/officeDocument/2006/relationships/hyperlink" Target="https://mb.cision.com/Main/11419/3553029/1568944.pdf" TargetMode="External"/><Relationship Id="rId205" Type="http://schemas.openxmlformats.org/officeDocument/2006/relationships/hyperlink" Target="https://salcos.salzgitter-ag.com/en/salcos.html" TargetMode="External"/><Relationship Id="rId247" Type="http://schemas.openxmlformats.org/officeDocument/2006/relationships/hyperlink" Target="https://www.ssab.com/news/2020/12/green-light-for-fossilfree-steel-in-oxelsund" TargetMode="External"/><Relationship Id="rId412" Type="http://schemas.openxmlformats.org/officeDocument/2006/relationships/hyperlink" Target="https://www.primetals.com/de/presse-medien/news/primetals-technologies-develops-breakthrough-technology-for-carbon-free-hydrogen-based-direct-reduction-for-iron-ore-fines" TargetMode="External"/><Relationship Id="rId107" Type="http://schemas.openxmlformats.org/officeDocument/2006/relationships/hyperlink" Target="https://3d-ccus.com/3d-project-partners/" TargetMode="External"/><Relationship Id="rId289" Type="http://schemas.openxmlformats.org/officeDocument/2006/relationships/hyperlink" Target="https://www.ssab.com/news/2021/07/ssab-has-launched-an-extensive-research-project-in-finland-to-replace-fossil-fuels-with-renewable-en" TargetMode="External"/><Relationship Id="rId454" Type="http://schemas.openxmlformats.org/officeDocument/2006/relationships/hyperlink" Target="https://corporate.arcelormittal.com/media/press-releases/arcelormittal-accelerates-its-decarbonisation-with-a-1-7-billion-investment-programme-in-france-supported-by-the-french-government" TargetMode="External"/><Relationship Id="rId496" Type="http://schemas.openxmlformats.org/officeDocument/2006/relationships/hyperlink" Target="https://www.hydeal.com/copie-de-hydeal-ambition" TargetMode="External"/><Relationship Id="rId11" Type="http://schemas.openxmlformats.org/officeDocument/2006/relationships/hyperlink" Target="https://corporate.arcelormittal.com/media/press-releases/arcelormittal-signs-letter-of-intent-with-the-governments-of-belgium-and-flanders-supporting-1-1-billion-investment-in-decarbonisation-technologies-at-its-flagship-gent-plant" TargetMode="External"/><Relationship Id="rId53" Type="http://schemas.openxmlformats.org/officeDocument/2006/relationships/hyperlink" Target="https://corporate.arcelormittal.com/media/news-articles/air-liquide-and-arcelormittal-join-forces-to-accelerate-the-decarbonisation-of-steel-production-in-the-dunkirk-industrial-basin" TargetMode="External"/><Relationship Id="rId149" Type="http://schemas.openxmlformats.org/officeDocument/2006/relationships/hyperlink" Target="https://www.h2v.eu/hydrogen-valleys/green-crane-western-route" TargetMode="External"/><Relationship Id="rId314" Type="http://schemas.openxmlformats.org/officeDocument/2006/relationships/hyperlink" Target="https://www.tatasteeleurope.com/ts/sites/default/files/TSE%20Sustainability%20report%202019-20%20%28EN%29.pdf" TargetMode="External"/><Relationship Id="rId356" Type="http://schemas.openxmlformats.org/officeDocument/2006/relationships/hyperlink" Target="https://www.tatasteeleurope.com/ts/sites/default/files/TS%20Factsheet%20Hisarna%20ENG%20jan2020%20Vfinal03%204%20pag%20digital.pdf" TargetMode="External"/><Relationship Id="rId398" Type="http://schemas.openxmlformats.org/officeDocument/2006/relationships/hyperlink" Target="https://www.steag.com/en/news/current-projects/hydroxy-walsum" TargetMode="External"/><Relationship Id="rId521" Type="http://schemas.openxmlformats.org/officeDocument/2006/relationships/hyperlink" Target="http://www.steelanol.eu/en" TargetMode="External"/><Relationship Id="rId563" Type="http://schemas.openxmlformats.org/officeDocument/2006/relationships/hyperlink" Target="https://www.blastr.no/News/" TargetMode="External"/><Relationship Id="rId95" Type="http://schemas.openxmlformats.org/officeDocument/2006/relationships/hyperlink" Target="https://www.rechargenews.com/energy-transition/orsted-in-gigawatt-scale-offshore-wind-to-green-hydrogen-plan-with-steel-giant-arcelormittal/2-1-990058" TargetMode="External"/><Relationship Id="rId160" Type="http://schemas.openxmlformats.org/officeDocument/2006/relationships/hyperlink" Target="https://www.di.se/nyheter/northvolt-grundare-utmanar-ssab-med-25-miljarder-i-ryggen/" TargetMode="External"/><Relationship Id="rId216" Type="http://schemas.openxmlformats.org/officeDocument/2006/relationships/hyperlink" Target="https://www.salzgitter-ag.com/en/newsroom/press-releases/details/project-organization-for-feasibility-study-direct-reduction-of-iron-ore-in-wilhelmshaven-now-established-14410.html" TargetMode="External"/><Relationship Id="rId423" Type="http://schemas.openxmlformats.org/officeDocument/2006/relationships/hyperlink" Target="https://www.h2greensteel.com/latestnews/h2-green-steel-and-iberdrola-announce-23-billion-green-hydrogen-venture" TargetMode="External"/><Relationship Id="rId258" Type="http://schemas.openxmlformats.org/officeDocument/2006/relationships/hyperlink" Target="https://www.salzgitter-ag.com/en/newsroom/press-releases/details/another-key-components-on-the-road-to-low-co2-steel-production-15046.html" TargetMode="External"/><Relationship Id="rId465" Type="http://schemas.openxmlformats.org/officeDocument/2006/relationships/hyperlink" Target="https://www.spglobal.com/commodityinsights/en/market-insights/latest-news/electric-power/050421-port-of-rotterdam-thyssenkrupp-hkm-explore-hydrogen-imports-for-green-steel" TargetMode="External"/><Relationship Id="rId22" Type="http://schemas.openxmlformats.org/officeDocument/2006/relationships/hyperlink" Target="https://corporate-media.arcelormittal.com/media/ob3lpdom/car_2.pdf" TargetMode="External"/><Relationship Id="rId64" Type="http://schemas.openxmlformats.org/officeDocument/2006/relationships/hyperlink" Target="https://www.siderwin-spire.eu/sites/siderwin.drupal.pulsartecnalia.com/files/documents/Massive%20production%20of%20primary%20steel_presentation_DECHEMA_23_11_2018.pdf" TargetMode="External"/><Relationship Id="rId118" Type="http://schemas.openxmlformats.org/officeDocument/2006/relationships/hyperlink" Target="https://corporate.arcelormittal.com/media/press-releases/arcelormittal-sestao-to-become-the-world-s-first-full-scale-zero-carbon-emissions-steel-plant" TargetMode="External"/><Relationship Id="rId325" Type="http://schemas.openxmlformats.org/officeDocument/2006/relationships/hyperlink" Target="https://www.thyssenkrupp-steel.com/en/contact.html" TargetMode="External"/><Relationship Id="rId367" Type="http://schemas.openxmlformats.org/officeDocument/2006/relationships/hyperlink" Target="https://www.steag.com/en/news/current-projects/hydroxy-walsum" TargetMode="External"/><Relationship Id="rId532" Type="http://schemas.openxmlformats.org/officeDocument/2006/relationships/hyperlink" Target="https://www.thyssenkrupp-steel.com/en/newsroom/press-releases/thyssenkrupp-steel-and-steag-agree-on-hydrogen-supply.html" TargetMode="External"/><Relationship Id="rId574" Type="http://schemas.openxmlformats.org/officeDocument/2006/relationships/hyperlink" Target="https://www.voestalpine.com/group/en/media/press-releases/2023-03-22-voestalpine-supervisory-board-approves-eur-1-5-billion-for-further-decarbonization/" TargetMode="External"/><Relationship Id="rId171" Type="http://schemas.openxmlformats.org/officeDocument/2006/relationships/hyperlink" Target="https://www.lkab.com/en/about-lkab/lkab-in-brief/strategy-and-goals/" TargetMode="External"/><Relationship Id="rId227" Type="http://schemas.openxmlformats.org/officeDocument/2006/relationships/hyperlink" Target="https://www.ssab.com/company/sustainability/sustainable-operations/hybrit-phases" TargetMode="External"/><Relationship Id="rId269" Type="http://schemas.openxmlformats.org/officeDocument/2006/relationships/hyperlink" Target="https://www.steelguru.com/steel/windwasserstoff-salzgitter-windh2-commissioned" TargetMode="External"/><Relationship Id="rId434" Type="http://schemas.openxmlformats.org/officeDocument/2006/relationships/hyperlink" Target="https://www.h2future-project.eu/" TargetMode="External"/><Relationship Id="rId476" Type="http://schemas.openxmlformats.org/officeDocument/2006/relationships/hyperlink" Target="https://salcos.salzgitter-ag.com/en/salcos.html" TargetMode="External"/><Relationship Id="rId33" Type="http://schemas.openxmlformats.org/officeDocument/2006/relationships/hyperlink" Target="https://flateurope.arcelormittal.com/ourmills/704/dunkerque" TargetMode="External"/><Relationship Id="rId129" Type="http://schemas.openxmlformats.org/officeDocument/2006/relationships/hyperlink" Target="https://3d-ccus.com/" TargetMode="External"/><Relationship Id="rId280" Type="http://schemas.openxmlformats.org/officeDocument/2006/relationships/hyperlink" Target="https://www.ssab.com/news/2021/07/ssab-has-launched-an-extensive-research-project-in-finland-to-replace-fossil-fuels-with-renewable-en" TargetMode="External"/><Relationship Id="rId336" Type="http://schemas.openxmlformats.org/officeDocument/2006/relationships/hyperlink" Target="https://www.tatasteeleurope.com/ts/sites/default/files/TS%20Factsheet%20Hisarna%20ENG%20jan2020%20Vfinal03%204%20pag%20digital.pdf" TargetMode="External"/><Relationship Id="rId501" Type="http://schemas.openxmlformats.org/officeDocument/2006/relationships/hyperlink" Target="https://www.hydeal.com/copie-de-hydeal-ambition" TargetMode="External"/><Relationship Id="rId543" Type="http://schemas.openxmlformats.org/officeDocument/2006/relationships/hyperlink" Target="https://www.steelorbis.com/steel-news/latest-news/spains-hydnum-steel-to-build-first-green-steel-plant-on-iberian-peninsula-1280182.htm" TargetMode="External"/><Relationship Id="rId75" Type="http://schemas.openxmlformats.org/officeDocument/2006/relationships/hyperlink" Target="https://zenodo.org/record/4327314" TargetMode="External"/><Relationship Id="rId140" Type="http://schemas.openxmlformats.org/officeDocument/2006/relationships/hyperlink" Target="https://www.ferrosilva.com/english/" TargetMode="External"/><Relationship Id="rId182" Type="http://schemas.openxmlformats.org/officeDocument/2006/relationships/hyperlink" Target="https://libertysteelgroup.com/news/gfg-alliance-signs-mou-with-romanian-government-to-create-a-european-greensteel-flagship-at-liberty-galati/" TargetMode="External"/><Relationship Id="rId378" Type="http://schemas.openxmlformats.org/officeDocument/2006/relationships/hyperlink" Target="https://www.tatasteeleurope.com/ts/sites/default/files/TS%20Factsheet%20Hisarna%20ENG%20jan2020%20Vfinal03%204%20pag%20digital.pdf" TargetMode="External"/><Relationship Id="rId403" Type="http://schemas.openxmlformats.org/officeDocument/2006/relationships/hyperlink" Target="https://www.h2greensteel.com/" TargetMode="External"/><Relationship Id="rId585" Type="http://schemas.openxmlformats.org/officeDocument/2006/relationships/hyperlink" Target="https://www.voestalpine.com/group/en/media/press-releases/2023-03-22-voestalpine-supervisory-board-approves-eur-1-5-billion-for-further-decarbonization/" TargetMode="External"/><Relationship Id="rId6" Type="http://schemas.openxmlformats.org/officeDocument/2006/relationships/hyperlink" Target="https://corporate.arcelormittal.com/media/press-releases/arcelormittal-signs-letter-of-intent-with-the-governments-of-belgium-and-flanders-supporting-1-1-billion-investment-in-decarbonisation-technologies-at-its-flagship-gent-plant" TargetMode="External"/><Relationship Id="rId238" Type="http://schemas.openxmlformats.org/officeDocument/2006/relationships/hyperlink" Target="https://salcos.salzgitter-ag.com/en/index.html?no_cache=1" TargetMode="External"/><Relationship Id="rId445" Type="http://schemas.openxmlformats.org/officeDocument/2006/relationships/hyperlink" Target="https://www.h2greensteel.com/latestnews/h2-green-steel-and-iberdrola-announce-23-billion-green-hydrogen-venture" TargetMode="External"/><Relationship Id="rId487" Type="http://schemas.openxmlformats.org/officeDocument/2006/relationships/hyperlink" Target="https://www.hydeal.com/copie-de-hydeal-ambition" TargetMode="External"/><Relationship Id="rId291" Type="http://schemas.openxmlformats.org/officeDocument/2006/relationships/hyperlink" Target="https://www.hybritdevelopment.se/en/march-24-2021-hybrit-ssab-lkab-and-vattenfall-to-begin-industrialization-of-future-fossil-free-steelmaking-by-establishing-the-worlds-first-production-plant-for-fossil-free-sponge-iron-in/" TargetMode="External"/><Relationship Id="rId305" Type="http://schemas.openxmlformats.org/officeDocument/2006/relationships/hyperlink" Target="https://www.ssab.fi/ssab-konserni/tietoja-ssabsta/tuotantopaikkakunnat-suomessa/raahe/kohti-fossiilivapaata-terastuotantoa" TargetMode="External"/><Relationship Id="rId347" Type="http://schemas.openxmlformats.org/officeDocument/2006/relationships/hyperlink" Target="https://www.energate-messenger.de/news/208774/blauer-wasserstoff-fuer-duisburger-stahlwerk" TargetMode="External"/><Relationship Id="rId512" Type="http://schemas.openxmlformats.org/officeDocument/2006/relationships/hyperlink" Target="https://corporate.arcelormittal.com/media/case-studies/arcelormittal-belgium-marks-milestone-by-lifting-bioreactors-into-place-at-its-industrial-scale-demonstration-plant-for-carbon-neutral-steelmaking" TargetMode="External"/><Relationship Id="rId44" Type="http://schemas.openxmlformats.org/officeDocument/2006/relationships/hyperlink" Target="https://corporate.arcelormittal.com/media/press-releases/arcelormittal-accelerates-its-decarbonisation-with-a-1-7-billion-investment-programme-in-france-supported-by-the-french-government" TargetMode="External"/><Relationship Id="rId86" Type="http://schemas.openxmlformats.org/officeDocument/2006/relationships/hyperlink" Target="https://www.ewe.com/de/presse/pressemitteilungen/2020/07/ewe-mit-tochter-swb-und-arcelormittal-kooperieren-bei-grner-stahlerzeugung-ewe-ag" TargetMode="External"/><Relationship Id="rId151" Type="http://schemas.openxmlformats.org/officeDocument/2006/relationships/hyperlink" Target="https://www.h2v.eu/hydrogen-valleys/green-crane-western-route" TargetMode="External"/><Relationship Id="rId389" Type="http://schemas.openxmlformats.org/officeDocument/2006/relationships/hyperlink" Target="https://www.thyssenkrupp-steel.com/en/newsroom/press-releases/h2morrow-steel-concludes-feasibility-study.html" TargetMode="External"/><Relationship Id="rId554" Type="http://schemas.openxmlformats.org/officeDocument/2006/relationships/hyperlink" Target="https://www.blastr.no/News" TargetMode="External"/><Relationship Id="rId193" Type="http://schemas.openxmlformats.org/officeDocument/2006/relationships/hyperlink" Target="https://libertysteelgroup.com/news/liberty-develop-hydrogen-steel-making-plant/" TargetMode="External"/><Relationship Id="rId207" Type="http://schemas.openxmlformats.org/officeDocument/2006/relationships/hyperlink" Target="https://salcos.salzgitter-ag.com/en/salcos.html" TargetMode="External"/><Relationship Id="rId249" Type="http://schemas.openxmlformats.org/officeDocument/2006/relationships/hyperlink" Target="https://www.salzgitter-ag.com/en/newsroom/press-releases/details/another-key-components-on-the-road-to-low-co2-steel-production-15046.html" TargetMode="External"/><Relationship Id="rId414" Type="http://schemas.openxmlformats.org/officeDocument/2006/relationships/hyperlink" Target="https://www.h2greensteel.com/latestnews/h2-green-steel-and-iberdrola-announce-23-billion-green-hydrogen-venture" TargetMode="External"/><Relationship Id="rId456" Type="http://schemas.openxmlformats.org/officeDocument/2006/relationships/hyperlink" Target="https://corporate.arcelormittal.com/media/press-releases/arcelormittal-accelerates-its-decarbonisation-with-a-1-7-billion-investment-programme-in-france-supported-by-the-french-government" TargetMode="External"/><Relationship Id="rId498" Type="http://schemas.openxmlformats.org/officeDocument/2006/relationships/hyperlink" Target="https://www.salzgitter-ag.com/en/newsroom/press-releases/details/uniper-and-salzgitter-agree-close-cooperation-in-supplying-the-salcosr-transformation-project-with-green-hydrogen-from-unipers-major-green-wilhelmshavenr-hydrogen-project-19249.html" TargetMode="External"/><Relationship Id="rId13" Type="http://schemas.openxmlformats.org/officeDocument/2006/relationships/hyperlink" Target="https://corporate.arcelormittal.com/media/press-releases/arcelormittal-signs-letter-of-intent-with-the-governments-of-belgium-and-flanders-supporting-1-1-billion-investment-in-decarbonisation-technologies-at-its-flagship-gent-plant" TargetMode="External"/><Relationship Id="rId109" Type="http://schemas.openxmlformats.org/officeDocument/2006/relationships/hyperlink" Target="https://www.siderwin-spire.eu/content/home" TargetMode="External"/><Relationship Id="rId260" Type="http://schemas.openxmlformats.org/officeDocument/2006/relationships/hyperlink" Target="https://www.salzgitter-ag.com/en/newsroom/press-releases/details/project-organization-for-feasibility-study-direct-reduction-of-iron-ore-in-wilhelmshaven-now-established-14410.html" TargetMode="External"/><Relationship Id="rId316" Type="http://schemas.openxmlformats.org/officeDocument/2006/relationships/hyperlink" Target="https://www.thyssenkrupp.com/en/company/sustainability/climate-strategy-and-targets" TargetMode="External"/><Relationship Id="rId523" Type="http://schemas.openxmlformats.org/officeDocument/2006/relationships/hyperlink" Target="https://corporate.arcelormittal.com/media/case-studies/arcelormittal-belgium-marks-milestone-by-lifting-bioreactors-into-place-at-its-industrial-scale-demonstration-plant-for-carbon-neutral-steelmaking" TargetMode="External"/><Relationship Id="rId55" Type="http://schemas.openxmlformats.org/officeDocument/2006/relationships/hyperlink" Target="https://www.ewe.com/de/presse/pressemitteilungen/2020/07/ewe-mit-tochter-swb-und-arcelormittal-kooperieren-bei-grner-stahlerzeugung-ewe-ag" TargetMode="External"/><Relationship Id="rId97" Type="http://schemas.openxmlformats.org/officeDocument/2006/relationships/hyperlink" Target="https://corporate.arcelormittal.com/media/press-releases/arcelormittal-sestao-to-become-the-world-s-first-full-scale-zero-carbon-emissions-steel-plant" TargetMode="External"/><Relationship Id="rId120" Type="http://schemas.openxmlformats.org/officeDocument/2006/relationships/hyperlink" Target="https://3d-ccus.com/3d-overview/" TargetMode="External"/><Relationship Id="rId358" Type="http://schemas.openxmlformats.org/officeDocument/2006/relationships/hyperlink" Target="https://www.steag.com/en/news/current-projects/hydroxy-walsum" TargetMode="External"/><Relationship Id="rId565" Type="http://schemas.openxmlformats.org/officeDocument/2006/relationships/hyperlink" Target="https://www.voestalpine.com/group/en/media/press-releases/2023-03-22-voestalpine-supervisory-board-approves-eur-1-5-billion-for-further-decarbonization/" TargetMode="External"/><Relationship Id="rId162" Type="http://schemas.openxmlformats.org/officeDocument/2006/relationships/hyperlink" Target="https://www.h2greensteel.com/green-steel" TargetMode="External"/><Relationship Id="rId218" Type="http://schemas.openxmlformats.org/officeDocument/2006/relationships/hyperlink" Target="https://www.ssab.com/company/sustainability/sustainable-operations/hybrit-phases" TargetMode="External"/><Relationship Id="rId425" Type="http://schemas.openxmlformats.org/officeDocument/2006/relationships/hyperlink" Target="https://www.k1-met.com/en/research_programme/susteel/" TargetMode="External"/><Relationship Id="rId467" Type="http://schemas.openxmlformats.org/officeDocument/2006/relationships/hyperlink" Target="https://www.spglobal.com/commodityinsights/en/market-insights/latest-news/electric-power/050421-port-of-rotterdam-thyssenkrupp-hkm-explore-hydrogen-imports-for-green-steel" TargetMode="External"/><Relationship Id="rId271" Type="http://schemas.openxmlformats.org/officeDocument/2006/relationships/hyperlink" Target="https://www.ssab.fi/ssab-konserni/tietoja-ssabsta/tuotantopaikkakunnat-suomessa/raahe/kohti-fossiilivapaata-terastuotantoa" TargetMode="External"/><Relationship Id="rId24" Type="http://schemas.openxmlformats.org/officeDocument/2006/relationships/hyperlink" Target="https://flateurope.arcelormittal.com/ourmills/704/dunkerque" TargetMode="External"/><Relationship Id="rId66" Type="http://schemas.openxmlformats.org/officeDocument/2006/relationships/hyperlink" Target="https://www.greencarcongress.com/2022/07/20220711-apex.html" TargetMode="External"/><Relationship Id="rId131" Type="http://schemas.openxmlformats.org/officeDocument/2006/relationships/hyperlink" Target="https://future.hamburg/en/project-brief-hydrogen-arcelormittal" TargetMode="External"/><Relationship Id="rId327" Type="http://schemas.openxmlformats.org/officeDocument/2006/relationships/hyperlink" Target="https://www.tatasteeleurope.com/corporate/news/tata-steel-opts-for-hydrogen-route-at-its-ijmuiden-steelworks" TargetMode="External"/><Relationship Id="rId369" Type="http://schemas.openxmlformats.org/officeDocument/2006/relationships/hyperlink" Target="https://www.tatasteeleurope.com/corporate/news/tata-steel-opts-for-hydrogen-route-at-its-ijmuiden-steelworks" TargetMode="External"/><Relationship Id="rId534" Type="http://schemas.openxmlformats.org/officeDocument/2006/relationships/hyperlink" Target="https://www.thyssenkrupp.com/en/newsroom/press-releases/pressdetailpage/thyssenkrupp-is-accelerating-the-green-transformation--decision-taken-on-the-construction-of-germanys-largest-direct-reduction-plant-for-low-co2-steel-146809" TargetMode="External"/><Relationship Id="rId576" Type="http://schemas.openxmlformats.org/officeDocument/2006/relationships/hyperlink" Target="https://www.voestalpine.com/group/en/media/press-releases/2023-03-22-voestalpine-supervisory-board-approves-eur-1-5-billion-for-further-decarbonization/" TargetMode="External"/><Relationship Id="rId173" Type="http://schemas.openxmlformats.org/officeDocument/2006/relationships/hyperlink" Target="https://libertysteelgroup.com/ro/?lang=en" TargetMode="External"/><Relationship Id="rId229" Type="http://schemas.openxmlformats.org/officeDocument/2006/relationships/hyperlink" Target="https://www.hybritdevelopment.se/en/a-fossil-free-development/direct-reduction-hydrogen-pilotscale/" TargetMode="External"/><Relationship Id="rId380" Type="http://schemas.openxmlformats.org/officeDocument/2006/relationships/hyperlink" Target="https://www.thyssenkrupp-steel.com/en/newsroom/press-releases/thyssenkrupp-presents-altmaier-and-laschet-concept-for-green-transformation-of-duisburg-steel-mill.html" TargetMode="External"/><Relationship Id="rId436" Type="http://schemas.openxmlformats.org/officeDocument/2006/relationships/hyperlink" Target="https://asia.nikkei.com/Spotlight/Environment/Climate-Change/Mitsubishi-Heavy-to-build-biggest-zero-carbon-steel-plant" TargetMode="External"/><Relationship Id="rId240" Type="http://schemas.openxmlformats.org/officeDocument/2006/relationships/hyperlink" Target="https://www.salzgitter-ag.com/en/newsroom/press-releases/details/another-key-components-on-the-road-to-low-co2-steel-production-15046.html" TargetMode="External"/><Relationship Id="rId478" Type="http://schemas.openxmlformats.org/officeDocument/2006/relationships/hyperlink" Target="https://www.salzgitter-ag.com/en/newsroom/press-releases/details/uniper-and-salzgitter-agree-close-cooperation-in-supplying-the-salcosr-transformation-project-with-green-hydrogen-from-unipers-major-green-wilhelmshavenr-hydrogen-project-19249.html" TargetMode="External"/><Relationship Id="rId35" Type="http://schemas.openxmlformats.org/officeDocument/2006/relationships/hyperlink" Target="https://corporate.arcelormittal.com/media/news-articles/air-liquide-and-arcelormittal-join-forces-to-accelerate-the-decarbonisation-of-steel-production-in-the-dunkirk-industrial-basin" TargetMode="External"/><Relationship Id="rId77" Type="http://schemas.openxmlformats.org/officeDocument/2006/relationships/hyperlink" Target="https://corporate.arcelormittal.com/media/news-articles/arcelormittal-plans-major-investment-in-german-sites-to-accelerate-co2-emissions-reduction-strategy-and-leverage-the-hydrogen-grid" TargetMode="External"/><Relationship Id="rId100" Type="http://schemas.openxmlformats.org/officeDocument/2006/relationships/hyperlink" Target="https://www.rechargenews.com/energy-transition/orsted-in-gigawatt-scale-offshore-wind-to-green-hydrogen-plan-with-steel-giant-arcelormittal/2-1-990058" TargetMode="External"/><Relationship Id="rId282" Type="http://schemas.openxmlformats.org/officeDocument/2006/relationships/hyperlink" Target="https://www.hybritdevelopment.se/en/march-24-2021-hybrit-ssab-lkab-and-vattenfall-to-begin-industrialization-of-future-fossil-free-steelmaking-by-establishing-the-worlds-first-production-plant-for-fossil-free-sponge-iron-in/" TargetMode="External"/><Relationship Id="rId338" Type="http://schemas.openxmlformats.org/officeDocument/2006/relationships/hyperlink" Target="https://www.thyssenkrupp-steel.com/en/newsroom/press-releases/thyssenkrupp-presents-altmaier-and-laschet-concept-for-green-transformation-of-duisburg-steel-mill.html" TargetMode="External"/><Relationship Id="rId503" Type="http://schemas.openxmlformats.org/officeDocument/2006/relationships/hyperlink" Target="https://salcos.salzgitter-ag.com/en/salcos.html" TargetMode="External"/><Relationship Id="rId545" Type="http://schemas.openxmlformats.org/officeDocument/2006/relationships/hyperlink" Target="https://www.investinspain.org/en/news/2023/hydnum-steel" TargetMode="External"/><Relationship Id="rId587" Type="http://schemas.openxmlformats.org/officeDocument/2006/relationships/hyperlink" Target="https://www.voestalpine.com/group/en/media/press-releases/2023-03-22-voestalpine-supervisory-board-approves-eur-1-5-billion-for-further-decarbonization/" TargetMode="External"/><Relationship Id="rId8" Type="http://schemas.openxmlformats.org/officeDocument/2006/relationships/hyperlink" Target="https://corporate.arcelormittal.com/media/press-releases/arcelormittal-signs-letter-of-intent-with-the-governments-of-belgium-and-flanders-supporting-1-1-billion-investment-in-decarbonisation-technologies-at-its-flagship-gent-plant" TargetMode="External"/><Relationship Id="rId142" Type="http://schemas.openxmlformats.org/officeDocument/2006/relationships/hyperlink" Target="https://www.ferrosilva.com/english/" TargetMode="External"/><Relationship Id="rId184" Type="http://schemas.openxmlformats.org/officeDocument/2006/relationships/hyperlink" Target="https://libertysteelgroup.com/news/liberty-develop-hydrogen-steel-making-plant/" TargetMode="External"/><Relationship Id="rId391" Type="http://schemas.openxmlformats.org/officeDocument/2006/relationships/hyperlink" Target="https://www.nhnieuws.nl/nieuws/235611/Tata-Steel-kiest-onverwacht-niet-voor-IJmuiden-om-nieuwe-fabriek-te-vestigen" TargetMode="External"/><Relationship Id="rId405" Type="http://schemas.openxmlformats.org/officeDocument/2006/relationships/hyperlink" Target="https://www.voestalpine.com/stahldonawitz/en/" TargetMode="External"/><Relationship Id="rId447" Type="http://schemas.openxmlformats.org/officeDocument/2006/relationships/hyperlink" Target="https://www.k1-met.com/en/research_programme/susteel/" TargetMode="External"/><Relationship Id="rId251" Type="http://schemas.openxmlformats.org/officeDocument/2006/relationships/hyperlink" Target="https://www.steelguru.com/steel/windwasserstoff-salzgitter-windh2-commissioned" TargetMode="External"/><Relationship Id="rId489" Type="http://schemas.openxmlformats.org/officeDocument/2006/relationships/hyperlink" Target="https://www.salzgitter-ag.com/en/newsroom/press-releases/details/uniper-and-salzgitter-agree-close-cooperation-in-supplying-the-salcosr-transformation-project-with-green-hydrogen-from-unipers-major-green-wilhelmshavenr-hydrogen-project-19249.html" TargetMode="External"/><Relationship Id="rId46" Type="http://schemas.openxmlformats.org/officeDocument/2006/relationships/hyperlink" Target="https://3d-ccus.com/3d-overview/" TargetMode="External"/><Relationship Id="rId293" Type="http://schemas.openxmlformats.org/officeDocument/2006/relationships/hyperlink" Target="https://www.ssab.com/news/2020/12/green-light-for-fossilfree-steel-in-oxelsund" TargetMode="External"/><Relationship Id="rId307" Type="http://schemas.openxmlformats.org/officeDocument/2006/relationships/hyperlink" Target="https://www.green-industrial-hydrogen.com/" TargetMode="External"/><Relationship Id="rId349" Type="http://schemas.openxmlformats.org/officeDocument/2006/relationships/hyperlink" Target="https://h2ermes.nl/project-en/" TargetMode="External"/><Relationship Id="rId514" Type="http://schemas.openxmlformats.org/officeDocument/2006/relationships/hyperlink" Target="https://corporate.arcelormittal.com/media/case-studies/arcelormittal-belgium-marks-milestone-by-lifting-bioreactors-into-place-at-its-industrial-scale-demonstration-plant-for-carbon-neutral-steelmaking" TargetMode="External"/><Relationship Id="rId556" Type="http://schemas.openxmlformats.org/officeDocument/2006/relationships/hyperlink" Target="https://www.steelorbis.com/steel-news/latest-news/blastr-green-steel-to-build-green-steel-plant-in-finland-to-cut-emissions-1273893.htm" TargetMode="External"/><Relationship Id="rId88" Type="http://schemas.openxmlformats.org/officeDocument/2006/relationships/hyperlink" Target="https://www.midrex.com/press-release/arcelormittal-commissions-midrex-to-design-demonstration-plant-for-hydrogen-steel-production-in-hamburg/" TargetMode="External"/><Relationship Id="rId111" Type="http://schemas.openxmlformats.org/officeDocument/2006/relationships/hyperlink" Target="https://bremen.arcelormittal.com/Nachhaltigkeit/Auf-dem-Weg-zum-gruenen-Stahl/" TargetMode="External"/><Relationship Id="rId153" Type="http://schemas.openxmlformats.org/officeDocument/2006/relationships/hyperlink" Target="https://www.h2v.eu/hydrogen-valleys/green-crane-western-route" TargetMode="External"/><Relationship Id="rId195" Type="http://schemas.openxmlformats.org/officeDocument/2006/relationships/hyperlink" Target="https://mb.cision.com/Main/11419/3241684/1338565.pdf" TargetMode="External"/><Relationship Id="rId209" Type="http://schemas.openxmlformats.org/officeDocument/2006/relationships/hyperlink" Target="https://www.ssab.com/company/sustainability/ssab-and-sustainability/sustainability-targets-beyond-2020" TargetMode="External"/><Relationship Id="rId360" Type="http://schemas.openxmlformats.org/officeDocument/2006/relationships/hyperlink" Target="https://h2ermes.nl/project-en/" TargetMode="External"/><Relationship Id="rId416" Type="http://schemas.openxmlformats.org/officeDocument/2006/relationships/hyperlink" Target="https://asia.nikkei.com/Spotlight/Environment/Climate-Change/Mitsubishi-Heavy-to-build-biggest-zero-carbon-steel-plant" TargetMode="External"/><Relationship Id="rId220" Type="http://schemas.openxmlformats.org/officeDocument/2006/relationships/hyperlink" Target="https://www.ssab.com/contact" TargetMode="External"/><Relationship Id="rId458" Type="http://schemas.openxmlformats.org/officeDocument/2006/relationships/hyperlink" Target="https://corporate.arcelormittal.com/media/press-releases/arcelormittal-accelerates-its-decarbonisation-with-a-1-7-billion-investment-programme-in-france-supported-by-the-french-government" TargetMode="External"/><Relationship Id="rId15" Type="http://schemas.openxmlformats.org/officeDocument/2006/relationships/hyperlink" Target="https://corporate-media.arcelormittal.com/media/ob3lpdom/car_2.pdf" TargetMode="External"/><Relationship Id="rId57" Type="http://schemas.openxmlformats.org/officeDocument/2006/relationships/hyperlink" Target="https://corporate.arcelormittal.com/media/case-studies/hydrogen-based-steelmaking-to-begin-in-hamburg" TargetMode="External"/><Relationship Id="rId262" Type="http://schemas.openxmlformats.org/officeDocument/2006/relationships/hyperlink" Target="https://www.ssab.fi/ssab-konserni/tietoja-ssabsta/tuotantopaikkakunnat-suomessa/raahe/kohti-fossiilivapaata-terastuotantoa" TargetMode="External"/><Relationship Id="rId318" Type="http://schemas.openxmlformats.org/officeDocument/2006/relationships/hyperlink" Target="https://www.tatasteeleurope.com/ts/sites/default/files/TSE%20Sustainability%20report%202019-20%20%28EN%29.pdf" TargetMode="External"/><Relationship Id="rId525" Type="http://schemas.openxmlformats.org/officeDocument/2006/relationships/hyperlink" Target="https://www.thyssenkrupp.com/en/newsroom/press-releases/pressdetailpage/thyssenkrupp-is-accelerating-the-green-transformation--decision-taken-on-the-construction-of-germanys-largest-direct-reduction-plant-for-low-co2-steel-146809" TargetMode="External"/><Relationship Id="rId567" Type="http://schemas.openxmlformats.org/officeDocument/2006/relationships/hyperlink" Target="https://www.voestalpine.com/greentecsteel/en/" TargetMode="External"/><Relationship Id="rId99" Type="http://schemas.openxmlformats.org/officeDocument/2006/relationships/hyperlink" Target="https://www.midrex.com/press-release/arcelormittal-commissions-midrex-to-design-demonstration-plant-for-hydrogen-steel-production-in-hamburg/" TargetMode="External"/><Relationship Id="rId122" Type="http://schemas.openxmlformats.org/officeDocument/2006/relationships/hyperlink" Target="https://www.siderwin-spire.eu/sites/siderwin.drupal.pulsartecnalia.com/files/documents/Massive%20production%20of%20primary%20steel_presentation_DECHEMA_23_11_2018.pdf" TargetMode="External"/><Relationship Id="rId164" Type="http://schemas.openxmlformats.org/officeDocument/2006/relationships/hyperlink" Target="https://www.di.se/nyheter/northvolt-grundare-utmanar-ssab-med-25-miljarder-i-ryggen/" TargetMode="External"/><Relationship Id="rId371" Type="http://schemas.openxmlformats.org/officeDocument/2006/relationships/hyperlink" Target="https://www.tatasteeleurope.com/ts/sites/default/files/TS%20Factsheet%20Hisarna%20ENG%20jan2020%20Vfinal03%204%20pag%20digital.pdf" TargetMode="External"/><Relationship Id="rId427" Type="http://schemas.openxmlformats.org/officeDocument/2006/relationships/hyperlink" Target="https://www.h2greensteel.com/pressreleases/h2-green-steel-and-iberdrola-announce-23-billion-green-hydrogen-venture" TargetMode="External"/><Relationship Id="rId469" Type="http://schemas.openxmlformats.org/officeDocument/2006/relationships/hyperlink" Target="https://corporate.arcelormittal.com/media/press-releases/arcelormittal-accelerates-its-decarbonisation-with-a-1-7-billion-investment-programme-in-france-supported-by-the-french-government" TargetMode="External"/><Relationship Id="rId26" Type="http://schemas.openxmlformats.org/officeDocument/2006/relationships/hyperlink" Target="https://bremen.arcelormittal.com/Ueber-uns/" TargetMode="External"/><Relationship Id="rId231" Type="http://schemas.openxmlformats.org/officeDocument/2006/relationships/hyperlink" Target="https://www.salzgitter-ag.com/en/newsroom/press-releases/details/another-key-components-on-the-road-to-low-co2-steel-production-15046.html" TargetMode="External"/><Relationship Id="rId273" Type="http://schemas.openxmlformats.org/officeDocument/2006/relationships/hyperlink" Target="https://www.hybritdevelopment.se/en/march-24-2021-hybrit-ssab-lkab-and-vattenfall-to-begin-industrialization-of-future-fossil-free-steelmaking-by-establishing-the-worlds-first-production-plant-for-fossil-free-sponge-iron-in/" TargetMode="External"/><Relationship Id="rId329" Type="http://schemas.openxmlformats.org/officeDocument/2006/relationships/hyperlink" Target="https://www.tatasteeleurope.com/ts/sites/default/files/TS%20Factsheet%20Hisarna%20ENG%20jan2020%20Vfinal03%204%20pag%20digital.pdf" TargetMode="External"/><Relationship Id="rId480" Type="http://schemas.openxmlformats.org/officeDocument/2006/relationships/hyperlink" Target="https://www.salzgitter-ag.com/en/newsroom/press-releases/details/uniper-and-salzgitter-agree-close-cooperation-in-supplying-the-salcosr-transformation-project-with-green-hydrogen-from-unipers-major-green-wilhelmshavenr-hydrogen-project-19249.html" TargetMode="External"/><Relationship Id="rId536" Type="http://schemas.openxmlformats.org/officeDocument/2006/relationships/hyperlink" Target="https://www.thyssenkrupp.com/en/newsroom/press-releases/pressdetailpage/thyssenkrupp-is-accelerating-the-green-transformation--decision-taken-on-the-construction-of-germanys-largest-direct-reduction-plant-for-low-co2-steel-146809" TargetMode="External"/><Relationship Id="rId68" Type="http://schemas.openxmlformats.org/officeDocument/2006/relationships/hyperlink" Target="https://corporate.arcelormittal.com/media/news-articles/arcelormittal-plans-major-investment-in-german-sites-to-accelerate-co2-emissions-reduction-strategy-and-leverage-the-hydrogen-grid" TargetMode="External"/><Relationship Id="rId133" Type="http://schemas.openxmlformats.org/officeDocument/2006/relationships/hyperlink" Target="https://www.enagas.es/en/about-us/sustainability/environment/climate-action-energy-efficiency/" TargetMode="External"/><Relationship Id="rId175" Type="http://schemas.openxmlformats.org/officeDocument/2006/relationships/hyperlink" Target="https://libertysteelgroup.com/news/liberty-develop-hydrogen-steel-making-plant/" TargetMode="External"/><Relationship Id="rId340" Type="http://schemas.openxmlformats.org/officeDocument/2006/relationships/hyperlink" Target="https://www.steag.com/en/news/current-projects/hydroxy-walsum" TargetMode="External"/><Relationship Id="rId578" Type="http://schemas.openxmlformats.org/officeDocument/2006/relationships/hyperlink" Target="https://www.voestalpine.com/group/en/media/press-releases/2023-03-22-voestalpine-supervisory-board-approves-eur-1-5-billion-for-further-decarbonization/" TargetMode="External"/><Relationship Id="rId200" Type="http://schemas.openxmlformats.org/officeDocument/2006/relationships/hyperlink" Target="https://libertysteelgroup.com/news/gfg-alliance-signs-mou-with-romanian-government-to-create-a-european-greensteel-flagship-at-liberty-galati/" TargetMode="External"/><Relationship Id="rId382" Type="http://schemas.openxmlformats.org/officeDocument/2006/relationships/hyperlink" Target="https://www.thyssenkrupp-steel.com/en/newsroom/press-releases/h2morrow-steel-concludes-feasibility-study.html" TargetMode="External"/><Relationship Id="rId438" Type="http://schemas.openxmlformats.org/officeDocument/2006/relationships/hyperlink" Target="https://www.voestalpine.com/group/en/media/press-releases/2019-11-11-h2future-worlds-largest-green-hydrogen-pilot-facility-successfully-commences-operation/" TargetMode="External"/><Relationship Id="rId242" Type="http://schemas.openxmlformats.org/officeDocument/2006/relationships/hyperlink" Target="https://www.salzgitter-ag.com/en/newsroom/press-releases/details/project-organization-for-feasibility-study-direct-reduction-of-iron-ore-in-wilhelmshaven-now-established-14410.html" TargetMode="External"/><Relationship Id="rId284" Type="http://schemas.openxmlformats.org/officeDocument/2006/relationships/hyperlink" Target="https://www.ssab.com/news/2020/12/green-light-for-fossilfree-steel-in-oxelsund" TargetMode="External"/><Relationship Id="rId491" Type="http://schemas.openxmlformats.org/officeDocument/2006/relationships/hyperlink" Target="https://www.salzgitter-ag.com/en/newsroom/press-releases/details/uniper-and-salzgitter-agree-close-cooperation-in-supplying-the-salcosr-transformation-project-with-green-hydrogen-from-unipers-major-green-wilhelmshavenr-hydrogen-project-19249.html" TargetMode="External"/><Relationship Id="rId505" Type="http://schemas.openxmlformats.org/officeDocument/2006/relationships/hyperlink" Target="https://salcos.salzgitter-ag.com/en/salcos.html" TargetMode="External"/><Relationship Id="rId37" Type="http://schemas.openxmlformats.org/officeDocument/2006/relationships/hyperlink" Target="https://corporate.arcelormittal.com/media/news-articles/arcelormittal-plans-major-investment-in-german-sites-to-accelerate-co2-emissions-reduction-strategy-and-leverage-the-hydrogen-grid" TargetMode="External"/><Relationship Id="rId79" Type="http://schemas.openxmlformats.org/officeDocument/2006/relationships/hyperlink" Target="https://corporate.arcelormittal.com/media/case-studies/hydrogen-based-steelmaking-to-begin-in-hamburg" TargetMode="External"/><Relationship Id="rId102" Type="http://schemas.openxmlformats.org/officeDocument/2006/relationships/hyperlink" Target="https://corporate.arcelormittal.com/media/press-releases/arcelormittal-sestao-to-become-the-world-s-first-full-scale-zero-carbon-emissions-steel-plant" TargetMode="External"/><Relationship Id="rId144" Type="http://schemas.openxmlformats.org/officeDocument/2006/relationships/hyperlink" Target="https://www.ferrosilva.com/english/" TargetMode="External"/><Relationship Id="rId547" Type="http://schemas.openxmlformats.org/officeDocument/2006/relationships/hyperlink" Target="https://www.puertollano.es/hydnum-steel-construira-en-puertollano-la-mayor-planta-en-espana-de-acero-verde-con-una-inversion-de-1-000-millones/" TargetMode="External"/><Relationship Id="rId589" Type="http://schemas.openxmlformats.org/officeDocument/2006/relationships/drawing" Target="../drawings/drawing9.xml"/><Relationship Id="rId90" Type="http://schemas.openxmlformats.org/officeDocument/2006/relationships/hyperlink" Target="https://www.rechargenews.com/energy-transition/orsted-in-gigawatt-scale-offshore-wind-to-green-hydrogen-plan-with-steel-giant-arcelormittal/2-1-990058" TargetMode="External"/><Relationship Id="rId186" Type="http://schemas.openxmlformats.org/officeDocument/2006/relationships/hyperlink" Target="https://mb.cision.com/Main/11419/3241684/1338565.pdf" TargetMode="External"/><Relationship Id="rId351" Type="http://schemas.openxmlformats.org/officeDocument/2006/relationships/hyperlink" Target="https://www.tenaris.com/en/newsroom/news-listing/tenaris-joins-edison-and-snam-to-trial-steelmaking--23383824921" TargetMode="External"/><Relationship Id="rId393" Type="http://schemas.openxmlformats.org/officeDocument/2006/relationships/hyperlink" Target="https://www.steag.com/en/press-release/21-03-2022-thyssenkrupp-steel-and-steag-agree-delivery-of-hydrogen" TargetMode="External"/><Relationship Id="rId407" Type="http://schemas.openxmlformats.org/officeDocument/2006/relationships/hyperlink" Target="https://www.h2greensteel.com/pressreleases/h2-green-steel-and-iberdrola-announce-23-billion-green-hydrogen-venture" TargetMode="External"/><Relationship Id="rId449" Type="http://schemas.openxmlformats.org/officeDocument/2006/relationships/hyperlink" Target="https://www.h2greensteel.com/latestnews/h2-green-steel-and-iberdrola-announce-23-billion-green-hydrogen-venture" TargetMode="External"/><Relationship Id="rId211" Type="http://schemas.openxmlformats.org/officeDocument/2006/relationships/hyperlink" Target="https://www.ssab.com/company/sustainability/ssab-and-sustainability/sustainability-targets-beyond-2020" TargetMode="External"/><Relationship Id="rId253" Type="http://schemas.openxmlformats.org/officeDocument/2006/relationships/hyperlink" Target="https://www.ssab.com/news/2021/07/ssab-has-launched-an-extensive-research-project-in-finland-to-replace-fossil-fuels-with-renewable-en" TargetMode="External"/><Relationship Id="rId295" Type="http://schemas.openxmlformats.org/officeDocument/2006/relationships/hyperlink" Target="https://www.green-industrial-hydrogen.com/" TargetMode="External"/><Relationship Id="rId309" Type="http://schemas.openxmlformats.org/officeDocument/2006/relationships/hyperlink" Target="https://www.hybritdevelopment.se/" TargetMode="External"/><Relationship Id="rId460" Type="http://schemas.openxmlformats.org/officeDocument/2006/relationships/hyperlink" Target="https://corporate.arcelormittal.com/media/press-releases/arcelormittal-accelerates-its-decarbonisation-with-a-1-7-billion-investment-programme-in-france-supported-by-the-french-government" TargetMode="External"/><Relationship Id="rId516" Type="http://schemas.openxmlformats.org/officeDocument/2006/relationships/hyperlink" Target="https://www.salzgitter-ag.com/en/newsroom/press-releases/details/strong-signal-for-salzgitter-ag-transformation-program-salcosr-20105.html" TargetMode="External"/><Relationship Id="rId48" Type="http://schemas.openxmlformats.org/officeDocument/2006/relationships/hyperlink" Target="https://bremen.arcelormittal.com/Nachhaltigkeit/Auf-dem-Weg-zum-gruenen-Stahl/" TargetMode="External"/><Relationship Id="rId113" Type="http://schemas.openxmlformats.org/officeDocument/2006/relationships/hyperlink" Target="https://www.siderwin-spire.eu/news" TargetMode="External"/><Relationship Id="rId320" Type="http://schemas.openxmlformats.org/officeDocument/2006/relationships/hyperlink" Target="https://www.tatasteeleurope.com/corporate/news/tata-steel-opts-for-hydrogen-route-at-its-ijmuiden-steelworks" TargetMode="External"/><Relationship Id="rId558" Type="http://schemas.openxmlformats.org/officeDocument/2006/relationships/hyperlink" Target="https://www.steelorbis.com/steel-news/latest-news/blastr-green-steel-to-build-green-steel-plant-in-finland-to-cut-emissions-1273893.htm" TargetMode="External"/><Relationship Id="rId155" Type="http://schemas.openxmlformats.org/officeDocument/2006/relationships/hyperlink" Target="https://www.h2v.eu/hydrogen-valleys/green-crane-western-route" TargetMode="External"/><Relationship Id="rId197" Type="http://schemas.openxmlformats.org/officeDocument/2006/relationships/hyperlink" Target="https://libertysteelgroup.com/news/gfg-alliance-signs-mou-with-romanian-government-to-create-a-european-greensteel-flagship-at-liberty-galati/" TargetMode="External"/><Relationship Id="rId362" Type="http://schemas.openxmlformats.org/officeDocument/2006/relationships/hyperlink" Target="https://www.tatasteeleurope.com/corporate/news/tata-steel-opts-for-hydrogen-route-at-its-ijmuiden-steelworks" TargetMode="External"/><Relationship Id="rId418" Type="http://schemas.openxmlformats.org/officeDocument/2006/relationships/hyperlink" Target="https://www.voestalpine.com/group/en/media/press-releases/2019-11-11-h2future-worlds-largest-green-hydrogen-pilot-facility-successfully-commences-operation/" TargetMode="External"/><Relationship Id="rId222" Type="http://schemas.openxmlformats.org/officeDocument/2006/relationships/hyperlink" Target="https://www.salzgitter-ag.com/en/newsroom/press-releases/details/another-key-components-on-the-road-to-low-co2-steel-production-15046.html" TargetMode="External"/><Relationship Id="rId264" Type="http://schemas.openxmlformats.org/officeDocument/2006/relationships/hyperlink" Target="https://www.hybritdevelopment.se/en/a-fossil-free-development/direct-reduction-hydrogen-pilotscale/" TargetMode="External"/><Relationship Id="rId471" Type="http://schemas.openxmlformats.org/officeDocument/2006/relationships/hyperlink" Target="https://www.spglobal.com/commodityinsights/en/market-insights/latest-news/electric-power/050421-port-of-rotterdam-thyssenkrupp-hkm-explore-hydrogen-imports-for-green-steel" TargetMode="External"/><Relationship Id="rId17" Type="http://schemas.openxmlformats.org/officeDocument/2006/relationships/hyperlink" Target="https://corporate-media.arcelormittal.com/media/ob3lpdom/car_2.pdf" TargetMode="External"/><Relationship Id="rId59" Type="http://schemas.openxmlformats.org/officeDocument/2006/relationships/hyperlink" Target="https://corporate.arcelormittal.com/media/news-articles/arcelormittal-plans-major-investment-in-german-sites-to-accelerate-co2-emissions-reduction-strategy-and-leverage-the-hydrogen-grid" TargetMode="External"/><Relationship Id="rId124" Type="http://schemas.openxmlformats.org/officeDocument/2006/relationships/hyperlink" Target="https://france.arcelormittal.com/news/2019/dec/arcelormittal-europe-se-fixe-comme-objectif-de-reduire-ses-emissions-de-co2.aspx" TargetMode="External"/><Relationship Id="rId527" Type="http://schemas.openxmlformats.org/officeDocument/2006/relationships/hyperlink" Target="https://www.thyssenkrupp.com/en/newsroom/press-releases/pressdetailpage/thyssenkrupp-is-accelerating-the-green-transformation--decision-taken-on-the-construction-of-germanys-largest-direct-reduction-plant-for-low-co2-steel-146809" TargetMode="External"/><Relationship Id="rId569" Type="http://schemas.openxmlformats.org/officeDocument/2006/relationships/hyperlink" Target="https://www.voestalpine.com/stahl/en/Companies/voestalpine-Stahl-GmbH" TargetMode="External"/><Relationship Id="rId70" Type="http://schemas.openxmlformats.org/officeDocument/2006/relationships/hyperlink" Target="https://corporate.arcelormittal.com/media/press-releases/arcelormittal-signs-mou-with-the-spanish-government-supporting-1-billion-investment-in-decarbonisation-technologies" TargetMode="External"/><Relationship Id="rId166" Type="http://schemas.openxmlformats.org/officeDocument/2006/relationships/hyperlink" Target="https://www.di.se/nyheter/northvolt-grundare-utmanar-ssab-med-25-miljarder-i-ryggen/" TargetMode="External"/><Relationship Id="rId331" Type="http://schemas.openxmlformats.org/officeDocument/2006/relationships/hyperlink" Target="https://www.thyssenkrupp-steel.com/en/newsroom/press-releases/thyssenkrupp-presents-altmaier-and-laschet-concept-for-green-transformation-of-duisburg-steel-mill.html" TargetMode="External"/><Relationship Id="rId373" Type="http://schemas.openxmlformats.org/officeDocument/2006/relationships/hyperlink" Target="https://www.thyssenkrupp-steel.com/en/newsroom/press-releases/thyssenkrupp-presents-altmaier-and-laschet-concept-for-green-transformation-of-duisburg-steel-mill.html" TargetMode="External"/><Relationship Id="rId429" Type="http://schemas.openxmlformats.org/officeDocument/2006/relationships/hyperlink" Target="https://www.k1-met.com/en/research_programme/susteel/" TargetMode="External"/><Relationship Id="rId580" Type="http://schemas.openxmlformats.org/officeDocument/2006/relationships/hyperlink" Target="https://www.voestalpine.com/group/en/media/press-releases/2023-03-22-voestalpine-supervisory-board-approves-eur-1-5-billion-for-further-decarbonization/" TargetMode="External"/><Relationship Id="rId1" Type="http://schemas.openxmlformats.org/officeDocument/2006/relationships/pivotTable" Target="../pivotTables/pivotTable2.xml"/><Relationship Id="rId233" Type="http://schemas.openxmlformats.org/officeDocument/2006/relationships/hyperlink" Target="https://www.salzgitter-ag.com/en/newsroom/press-releases/details/project-organization-for-feasibility-study-direct-reduction-of-iron-ore-in-wilhelmshaven-now-established-14410.html" TargetMode="External"/><Relationship Id="rId440" Type="http://schemas.openxmlformats.org/officeDocument/2006/relationships/hyperlink" Target="https://www.k1-met.com/en/research_programme/susteel/" TargetMode="External"/><Relationship Id="rId28" Type="http://schemas.openxmlformats.org/officeDocument/2006/relationships/hyperlink" Target="https://eisenhuettenstadt.arcelormittal.com/Ueber-uns/" TargetMode="External"/><Relationship Id="rId275" Type="http://schemas.openxmlformats.org/officeDocument/2006/relationships/hyperlink" Target="https://www.ssab.com/news/2020/12/green-light-for-fossilfree-steel-in-oxelsund" TargetMode="External"/><Relationship Id="rId300" Type="http://schemas.openxmlformats.org/officeDocument/2006/relationships/hyperlink" Target="https://www.hybritdevelopment.se/" TargetMode="External"/><Relationship Id="rId482" Type="http://schemas.openxmlformats.org/officeDocument/2006/relationships/hyperlink" Target="https://www.salzgitter-ag.com/en/newsroom/press-releases/details/uniper-and-salzgitter-agree-close-cooperation-in-supplying-the-salcosr-transformation-project-with-green-hydrogen-from-unipers-major-green-wilhelmshavenr-hydrogen-project-19249.html" TargetMode="External"/><Relationship Id="rId538" Type="http://schemas.openxmlformats.org/officeDocument/2006/relationships/hyperlink" Target="https://www.steelorbis.com/steel-news/latest-news/spains-hydnum-steel-to-build-first-green-steel-plant-on-iberian-peninsula-1280182.htm" TargetMode="External"/><Relationship Id="rId81" Type="http://schemas.openxmlformats.org/officeDocument/2006/relationships/hyperlink" Target="https://corporate.arcelormittal.com/media/press-releases/arcelormittal-signs-mou-with-the-spanish-government-supporting-1-billion-investment-in-decarbonisation-technologies" TargetMode="External"/><Relationship Id="rId135" Type="http://schemas.openxmlformats.org/officeDocument/2006/relationships/hyperlink" Target="https://www.h2v.eu/hydrogen-valleys/green-crane-western-route" TargetMode="External"/><Relationship Id="rId177" Type="http://schemas.openxmlformats.org/officeDocument/2006/relationships/hyperlink" Target="https://www.lkab.com/en/news-room/news/up-to-3000-new-jobs-and-major-investment-in-malmfalten/?aid=5232" TargetMode="External"/><Relationship Id="rId342" Type="http://schemas.openxmlformats.org/officeDocument/2006/relationships/hyperlink" Target="https://h2ermes.nl/project-en/" TargetMode="External"/><Relationship Id="rId384" Type="http://schemas.openxmlformats.org/officeDocument/2006/relationships/hyperlink" Target="https://h2ermes.nl/project-en/" TargetMode="External"/><Relationship Id="rId591" Type="http://schemas.openxmlformats.org/officeDocument/2006/relationships/comments" Target="../comments1.xml"/><Relationship Id="rId202" Type="http://schemas.openxmlformats.org/officeDocument/2006/relationships/hyperlink" Target="https://libertysteelgroup.com/news/liberty-develop-hydrogen-steel-making-plant/" TargetMode="External"/><Relationship Id="rId244" Type="http://schemas.openxmlformats.org/officeDocument/2006/relationships/hyperlink" Target="https://www.ssab.fi/ssab-konserni/tietoja-ssabsta/tuotantopaikkakunnat-suomessa/raahe/kohti-fossiilivapaata-terastuotantoa" TargetMode="External"/><Relationship Id="rId39" Type="http://schemas.openxmlformats.org/officeDocument/2006/relationships/hyperlink" Target="https://bremen.arcelormittal.com/Nachhaltigkeit/Auf-dem-Weg-zum-gruenen-Stahl/" TargetMode="External"/><Relationship Id="rId286" Type="http://schemas.openxmlformats.org/officeDocument/2006/relationships/hyperlink" Target="https://www.sunfire.de/de/news/detail/grinhy2-0-wasserstoff-fuer-eine-co2-arme-stahlproduktion" TargetMode="External"/><Relationship Id="rId451" Type="http://schemas.openxmlformats.org/officeDocument/2006/relationships/hyperlink" Target="https://www.thyssenkrupp.com/en/company/sustainability/climate-strategy-and-targets" TargetMode="External"/><Relationship Id="rId493" Type="http://schemas.openxmlformats.org/officeDocument/2006/relationships/hyperlink" Target="https://www.hydeal.com/copie-de-hydeal-ambition" TargetMode="External"/><Relationship Id="rId507" Type="http://schemas.openxmlformats.org/officeDocument/2006/relationships/hyperlink" Target="https://www.salzgitter-ag.com/en/newsroom/press-releases/details/strong-signal-for-salzgitter-ag-transformation-program-salcosr-20105.html" TargetMode="External"/><Relationship Id="rId549" Type="http://schemas.openxmlformats.org/officeDocument/2006/relationships/hyperlink" Target="https://hydnumsteel.com/en/" TargetMode="External"/><Relationship Id="rId50" Type="http://schemas.openxmlformats.org/officeDocument/2006/relationships/hyperlink" Target="https://www.rechargenews.com/energy-transition/orsted-in-gigawatt-scale-offshore-wind-to-green-hydrogen-plan-with-steel-giant-arcelormittal/2-1-990058" TargetMode="External"/><Relationship Id="rId104" Type="http://schemas.openxmlformats.org/officeDocument/2006/relationships/hyperlink" Target="https://corporate.arcelormittal.com/media/case-studies/hydrogen-based-steelmaking-to-begin-in-hamburg" TargetMode="External"/><Relationship Id="rId146" Type="http://schemas.openxmlformats.org/officeDocument/2006/relationships/hyperlink" Target="https://www.ferrosilva.com/english/" TargetMode="External"/><Relationship Id="rId188" Type="http://schemas.openxmlformats.org/officeDocument/2006/relationships/hyperlink" Target="https://libertysteelgroup.com/news/gfg-alliance-signs-mou-with-romanian-government-to-create-a-european-greensteel-flagship-at-liberty-galati/" TargetMode="External"/><Relationship Id="rId311" Type="http://schemas.openxmlformats.org/officeDocument/2006/relationships/hyperlink" Target="https://www.hybritdevelopment.se/" TargetMode="External"/><Relationship Id="rId353" Type="http://schemas.openxmlformats.org/officeDocument/2006/relationships/hyperlink" Target="https://www.steag.com/en/news/current-projects/hydroxy-walsum" TargetMode="External"/><Relationship Id="rId395" Type="http://schemas.openxmlformats.org/officeDocument/2006/relationships/hyperlink" Target="https://www.greencarcongress.com/2022/09/20220909-thyssenkrupp.html" TargetMode="External"/><Relationship Id="rId409" Type="http://schemas.openxmlformats.org/officeDocument/2006/relationships/hyperlink" Target="https://www.k1-met.com/en/research_programme/susteel/" TargetMode="External"/><Relationship Id="rId560" Type="http://schemas.openxmlformats.org/officeDocument/2006/relationships/hyperlink" Target="https://www.blastr.no/News/" TargetMode="External"/><Relationship Id="rId92" Type="http://schemas.openxmlformats.org/officeDocument/2006/relationships/hyperlink" Target="https://corporate.arcelormittal.com/media/press-releases/arcelormittal-sestao-to-become-the-world-s-first-full-scale-zero-carbon-emissions-steel-plant" TargetMode="External"/><Relationship Id="rId213" Type="http://schemas.openxmlformats.org/officeDocument/2006/relationships/hyperlink" Target="https://www.salzgitter-flachstahl.de/en/index.html" TargetMode="External"/><Relationship Id="rId420" Type="http://schemas.openxmlformats.org/officeDocument/2006/relationships/hyperlink" Target="https://www.primetals.com/de/presse-medien/news/primetals-technologies-develops-breakthrough-technology-for-carbon-free-hydrogen-based-direct-reduction-for-iron-ore-fines" TargetMode="External"/><Relationship Id="rId255" Type="http://schemas.openxmlformats.org/officeDocument/2006/relationships/hyperlink" Target="https://www.sei.org/wp-content/uploads/2020/07/bigger-is-sometimes-better.pdf" TargetMode="External"/><Relationship Id="rId297" Type="http://schemas.openxmlformats.org/officeDocument/2006/relationships/hyperlink" Target="https://www.salzgitter-ag.com/en/newsroom/press-releases/details/project-organization-for-feasibility-study-direct-reduction-of-iron-ore-in-wilhelmshaven-now-established-14410.html" TargetMode="External"/><Relationship Id="rId462" Type="http://schemas.openxmlformats.org/officeDocument/2006/relationships/hyperlink" Target="https://corporate.arcelormittal.com/media/press-releases/arcelormittal-accelerates-its-decarbonisation-with-a-1-7-billion-investment-programme-in-france-supported-by-the-french-government" TargetMode="External"/><Relationship Id="rId518" Type="http://schemas.openxmlformats.org/officeDocument/2006/relationships/hyperlink" Target="https://ec.europa.eu/commission/presscorner/detail/en/ip_22_5968" TargetMode="External"/><Relationship Id="rId115" Type="http://schemas.openxmlformats.org/officeDocument/2006/relationships/hyperlink" Target="https://bremen.arcelormittal.com/Nachhaltigkeit/Auf-dem-Weg-zum-gruenen-Stahl/" TargetMode="External"/><Relationship Id="rId157" Type="http://schemas.openxmlformats.org/officeDocument/2006/relationships/hyperlink" Target="https://www.h2v.eu/hydrogen-valleys/green-crane-western-route" TargetMode="External"/><Relationship Id="rId322" Type="http://schemas.openxmlformats.org/officeDocument/2006/relationships/hyperlink" Target="https://prtr.eea.europa.eu/" TargetMode="External"/><Relationship Id="rId364" Type="http://schemas.openxmlformats.org/officeDocument/2006/relationships/hyperlink" Target="https://www.tatasteeleurope.com/ts/sites/default/files/TS%20Factsheet%20Hisarna%20ENG%20jan2020%20Vfinal03%204%20pag%20digital.pdf" TargetMode="External"/><Relationship Id="rId61" Type="http://schemas.openxmlformats.org/officeDocument/2006/relationships/hyperlink" Target="https://corporate.arcelormittal.com/media/press-releases/arcelormittal-signs-mou-with-the-spanish-government-supporting-1-billion-investment-in-decarbonisation-technologies" TargetMode="External"/><Relationship Id="rId199" Type="http://schemas.openxmlformats.org/officeDocument/2006/relationships/hyperlink" Target="https://libertysteelgroup.com/news/liberty-develop-hydrogen-steel-making-plant/" TargetMode="External"/><Relationship Id="rId571" Type="http://schemas.openxmlformats.org/officeDocument/2006/relationships/hyperlink" Target="https://www.voestalpine.com/group/en/media/press-releases/2023-03-22-voestalpine-supervisory-board-approves-eur-1-5-billion-for-further-decarbonization/" TargetMode="External"/><Relationship Id="rId19" Type="http://schemas.openxmlformats.org/officeDocument/2006/relationships/hyperlink" Target="https://corporate-media.arcelormittal.com/media/ob3lpdom/car_2.pdf" TargetMode="External"/><Relationship Id="rId224" Type="http://schemas.openxmlformats.org/officeDocument/2006/relationships/hyperlink" Target="https://www.salzgitter-ag.com/en/newsroom/press-releases/details/wind-hydrogen-salzgitter-windh2-an-important-step-on-the-path-to-decarbonizing-the-steel-industry-14823.html" TargetMode="External"/><Relationship Id="rId266" Type="http://schemas.openxmlformats.org/officeDocument/2006/relationships/hyperlink" Target="https://www.ssab.com/news/2020/12/green-light-for-fossilfree-steel-in-oxelsund" TargetMode="External"/><Relationship Id="rId431" Type="http://schemas.openxmlformats.org/officeDocument/2006/relationships/hyperlink" Target="https://www.voestalpine.com/group/en/media/press-releases/2019-11-11-h2future-worlds-largest-green-hydrogen-pilot-facility-successfully-commences-operation/" TargetMode="External"/><Relationship Id="rId473" Type="http://schemas.openxmlformats.org/officeDocument/2006/relationships/hyperlink" Target="https://www.spglobal.com/commodityinsights/en/market-insights/latest-news/electric-power/050421-port-of-rotterdam-thyssenkrupp-hkm-explore-hydrogen-imports-for-green-steel" TargetMode="External"/><Relationship Id="rId529" Type="http://schemas.openxmlformats.org/officeDocument/2006/relationships/hyperlink" Target="https://www.thyssenkrupp.com/en/newsroom/press-releases/pressdetailpage/thyssenkrupp-is-accelerating-the-green-transformation--decision-taken-on-the-construction-of-germanys-largest-direct-reduction-plant-for-low-co2-steel-146809" TargetMode="External"/><Relationship Id="rId30" Type="http://schemas.openxmlformats.org/officeDocument/2006/relationships/hyperlink" Target="https://www.rechargenews.com/energy-transition/orsted-in-gigawatt-scale-offshore-wind-to-green-hydrogen-plan-with-steel-giant-arcelormittal/2-1-990058" TargetMode="External"/><Relationship Id="rId126" Type="http://schemas.openxmlformats.org/officeDocument/2006/relationships/hyperlink" Target="https://www.ewe.com/de/presse/pressemitteilungen/2020/07/ewe-mit-tochter-swb-und-arcelormittal-kooperieren-bei-grner-stahlerzeugung-ewe-ag" TargetMode="External"/><Relationship Id="rId168" Type="http://schemas.openxmlformats.org/officeDocument/2006/relationships/hyperlink" Target="https://www.di.se/nyheter/northvolt-grundare-utmanar-ssab-med-25-miljarder-i-ryggen/" TargetMode="External"/><Relationship Id="rId333" Type="http://schemas.openxmlformats.org/officeDocument/2006/relationships/hyperlink" Target="https://oge.net/en/us/projects/h2morrow" TargetMode="External"/><Relationship Id="rId540" Type="http://schemas.openxmlformats.org/officeDocument/2006/relationships/hyperlink" Target="https://eurometal.net/hydnum-steel-to-build-spanish-green-steel-mill/" TargetMode="External"/><Relationship Id="rId72" Type="http://schemas.openxmlformats.org/officeDocument/2006/relationships/hyperlink" Target="https://corporate.arcelormittal.com/media/press-releases/arcelormittal-sestao-to-become-the-world-s-first-full-scale-zero-carbon-emissions-steel-plant" TargetMode="External"/><Relationship Id="rId375" Type="http://schemas.openxmlformats.org/officeDocument/2006/relationships/hyperlink" Target="https://www.thyssenkrupp-steel.com/en/newsroom/press-releases/h2morrow-steel-concludes-feasibility-study.html" TargetMode="External"/><Relationship Id="rId582" Type="http://schemas.openxmlformats.org/officeDocument/2006/relationships/hyperlink" Target="https://www.voestalpine.com/group/en/media/press-releases/2023-03-22-voestalpine-supervisory-board-approves-eur-1-5-billion-for-further-decarbonization/" TargetMode="External"/><Relationship Id="rId3" Type="http://schemas.openxmlformats.org/officeDocument/2006/relationships/hyperlink" Target="https://corporate.arcelormittal.com/media/press-releases/arcelormittal-signs-letter-of-intent-with-the-governments-of-belgium-and-flanders-supporting-1-1-billion-investment-in-decarbonisation-technologies-at-its-flagship-gent-plant" TargetMode="External"/><Relationship Id="rId235" Type="http://schemas.openxmlformats.org/officeDocument/2006/relationships/hyperlink" Target="https://www.hybritdevelopment.se/en/a-fossil-free-development/direct-reduction-hydrogen-demonstrationscale/" TargetMode="External"/><Relationship Id="rId277" Type="http://schemas.openxmlformats.org/officeDocument/2006/relationships/hyperlink" Target="https://www.sunfire.de/de/news/detail/grinhy2-0-wasserstoff-fuer-eine-co2-arme-stahlproduktion" TargetMode="External"/><Relationship Id="rId400" Type="http://schemas.openxmlformats.org/officeDocument/2006/relationships/hyperlink" Target="https://www.voestalpine.com/greentecsteel/en/" TargetMode="External"/><Relationship Id="rId442" Type="http://schemas.openxmlformats.org/officeDocument/2006/relationships/hyperlink" Target="https://www.h2greensteel.com/latestnews/h2-green-steel-and-iberdrola-announce-23-billion-green-hydrogen-venture" TargetMode="External"/><Relationship Id="rId484" Type="http://schemas.openxmlformats.org/officeDocument/2006/relationships/hyperlink" Target="https://www.salzgitter-ag.com/en/newsroom/press-releases/details/uniper-and-salzgitter-agree-close-cooperation-in-supplying-the-salcosr-transformation-project-with-green-hydrogen-from-unipers-major-green-wilhelmshavenr-hydrogen-project-19249.html" TargetMode="External"/><Relationship Id="rId137" Type="http://schemas.openxmlformats.org/officeDocument/2006/relationships/hyperlink" Target="https://www.h2v.eu/hydrogen-valleys/green-crane-western-route" TargetMode="External"/><Relationship Id="rId302" Type="http://schemas.openxmlformats.org/officeDocument/2006/relationships/hyperlink" Target="https://www.hybritdevelopment.se/" TargetMode="External"/><Relationship Id="rId344" Type="http://schemas.openxmlformats.org/officeDocument/2006/relationships/hyperlink" Target="https://www.tenaris.com/en/newsroom/news-listing/tenaris-joins-edison-and-snam-to-trial-steelmaking--23383824921" TargetMode="External"/><Relationship Id="rId41" Type="http://schemas.openxmlformats.org/officeDocument/2006/relationships/hyperlink" Target="https://www.rechargenews.com/energy-transition/orsted-in-gigawatt-scale-offshore-wind-to-green-hydrogen-plan-with-steel-giant-arcelormittal/2-1-990058" TargetMode="External"/><Relationship Id="rId83" Type="http://schemas.openxmlformats.org/officeDocument/2006/relationships/hyperlink" Target="https://3d-ccus.com/3d-overview/" TargetMode="External"/><Relationship Id="rId179" Type="http://schemas.openxmlformats.org/officeDocument/2006/relationships/hyperlink" Target="https://www.spglobal.com/platts/en/market-insights/latest-news/natural-gas/061120-gfg-alliance-plans-to-revamp-romanian-galati-plant-into-green-steelmaker" TargetMode="External"/><Relationship Id="rId386" Type="http://schemas.openxmlformats.org/officeDocument/2006/relationships/hyperlink" Target="https://www.tenaris.com/en/newsroom/news-listing/tenaris-joins-edison-and-snam-to-trial-steelmaking--23383824921" TargetMode="External"/><Relationship Id="rId551" Type="http://schemas.openxmlformats.org/officeDocument/2006/relationships/hyperlink" Target="https://salcos.salzgitter-ag.com/en/salcos.html" TargetMode="External"/><Relationship Id="rId190" Type="http://schemas.openxmlformats.org/officeDocument/2006/relationships/hyperlink" Target="https://libertysteelgroup.com/news/liberty-develop-hydrogen-steel-making-plant/" TargetMode="External"/><Relationship Id="rId204" Type="http://schemas.openxmlformats.org/officeDocument/2006/relationships/hyperlink" Target="https://salcos.salzgitter-ag.com/en/salcos.html" TargetMode="External"/><Relationship Id="rId246" Type="http://schemas.openxmlformats.org/officeDocument/2006/relationships/hyperlink" Target="https://www.hybritdevelopment.se/en/a-fossil-free-development/direct-reduction-hydrogen-pilotscale/" TargetMode="External"/><Relationship Id="rId288" Type="http://schemas.openxmlformats.org/officeDocument/2006/relationships/hyperlink" Target="https://www.salzgitter-ag.com/en/newsroom/press-releases/details/project-organization-for-feasibility-study-direct-reduction-of-iron-ore-in-wilhelmshaven-now-established-14410.html" TargetMode="External"/><Relationship Id="rId411" Type="http://schemas.openxmlformats.org/officeDocument/2006/relationships/hyperlink" Target="https://www.h2greensteel.com/pressreleases/h2-green-steel-and-iberdrola-announce-23-billion-green-hydrogen-venture" TargetMode="External"/><Relationship Id="rId453" Type="http://schemas.openxmlformats.org/officeDocument/2006/relationships/hyperlink" Target="https://www.spglobal.com/commodityinsights/en/market-insights/latest-news/electric-power/050421-port-of-rotterdam-thyssenkrupp-hkm-explore-hydrogen-imports-for-green-steel" TargetMode="External"/><Relationship Id="rId509" Type="http://schemas.openxmlformats.org/officeDocument/2006/relationships/hyperlink" Target="https://salcos.salzgitter-ag.com/en/salcos.html" TargetMode="External"/><Relationship Id="rId106" Type="http://schemas.openxmlformats.org/officeDocument/2006/relationships/hyperlink" Target="https://corporate.arcelormittal.com/media/press-releases/arcelormittal-sestao-to-become-the-world-s-first-full-scale-zero-carbon-emissions-steel-plant" TargetMode="External"/><Relationship Id="rId313" Type="http://schemas.openxmlformats.org/officeDocument/2006/relationships/hyperlink" Target="https://www.tatasteeleurope.com/ts/sites/default/files/TSE%20Sustainability%20report%202019-20%20%28EN%29.pdf" TargetMode="External"/><Relationship Id="rId495" Type="http://schemas.openxmlformats.org/officeDocument/2006/relationships/hyperlink" Target="https://www.hydeal.com/copie-de-hydeal-ambition" TargetMode="External"/><Relationship Id="rId10" Type="http://schemas.openxmlformats.org/officeDocument/2006/relationships/hyperlink" Target="https://corporate.arcelormittal.com/media/press-releases/arcelormittal-signs-letter-of-intent-with-the-governments-of-belgium-and-flanders-supporting-1-1-billion-investment-in-decarbonisation-technologies-at-its-flagship-gent-plant" TargetMode="External"/><Relationship Id="rId52" Type="http://schemas.openxmlformats.org/officeDocument/2006/relationships/hyperlink" Target="https://corporate.arcelormittal.com/media/press-releases/arcelormittal-sestao-to-become-the-world-s-first-full-scale-zero-carbon-emissions-steel-plant" TargetMode="External"/><Relationship Id="rId94" Type="http://schemas.openxmlformats.org/officeDocument/2006/relationships/hyperlink" Target="https://corporate.arcelormittal.com/media/case-studies/hydrogen-based-steelmaking-to-begin-in-hamburg" TargetMode="External"/><Relationship Id="rId148" Type="http://schemas.openxmlformats.org/officeDocument/2006/relationships/hyperlink" Target="https://www.h2v.eu/hydrogen-valleys/green-crane-western-route" TargetMode="External"/><Relationship Id="rId355" Type="http://schemas.openxmlformats.org/officeDocument/2006/relationships/hyperlink" Target="https://www.tatasteeleurope.com/corporate/news/tata-steel-opts-for-hydrogen-route-at-its-ijmuiden-steelworks" TargetMode="External"/><Relationship Id="rId397" Type="http://schemas.openxmlformats.org/officeDocument/2006/relationships/hyperlink" Target="https://www.tatasteeleurope.com/ts/sustainability/carbon-neutral-steel" TargetMode="External"/><Relationship Id="rId520" Type="http://schemas.openxmlformats.org/officeDocument/2006/relationships/hyperlink" Target="https://www.salzgitter-ag.com/en/newsroom/press-releases/details/strong-signal-for-salzgitter-ag-transformation-program-salcosr-20105.html" TargetMode="External"/><Relationship Id="rId562" Type="http://schemas.openxmlformats.org/officeDocument/2006/relationships/hyperlink" Target="https://www.blastr.no/News/" TargetMode="External"/><Relationship Id="rId215" Type="http://schemas.openxmlformats.org/officeDocument/2006/relationships/hyperlink" Target="https://www.salzgitter-flachstahl.de/en/index.html" TargetMode="External"/><Relationship Id="rId257" Type="http://schemas.openxmlformats.org/officeDocument/2006/relationships/hyperlink" Target="https://www.ssab.com/news/2020/12/green-light-for-fossilfree-steel-in-oxelsund" TargetMode="External"/><Relationship Id="rId422" Type="http://schemas.openxmlformats.org/officeDocument/2006/relationships/hyperlink" Target="https://www.voestalpine.com/group/en/media/press-releases/2019-11-11-h2future-worlds-largest-green-hydrogen-pilot-facility-successfully-commences-operation/" TargetMode="External"/><Relationship Id="rId464" Type="http://schemas.openxmlformats.org/officeDocument/2006/relationships/hyperlink" Target="https://corporate.arcelormittal.com/media/press-releases/arcelormittal-accelerates-its-decarbonisation-with-a-1-7-billion-investment-programme-in-france-supported-by-the-french-government" TargetMode="External"/><Relationship Id="rId299" Type="http://schemas.openxmlformats.org/officeDocument/2006/relationships/hyperlink" Target="https://www.ssab.fi/ssab-konserni/tietoja-ssabsta/tuotantopaikkakunnat-suomessa/raahe/kohti-fossiilivapaata-terastuotantoa" TargetMode="External"/><Relationship Id="rId63" Type="http://schemas.openxmlformats.org/officeDocument/2006/relationships/hyperlink" Target="https://3d-ccus.com/" TargetMode="External"/><Relationship Id="rId159" Type="http://schemas.openxmlformats.org/officeDocument/2006/relationships/hyperlink" Target="https://www.h2greensteel.com/" TargetMode="External"/><Relationship Id="rId366" Type="http://schemas.openxmlformats.org/officeDocument/2006/relationships/hyperlink" Target="https://www.thyssenkrupp-steel.com/en/newsroom/press-releases/thyssenkrupp-presents-altmaier-and-laschet-concept-for-green-transformation-of-duisburg-steel-mill.html" TargetMode="External"/><Relationship Id="rId573" Type="http://schemas.openxmlformats.org/officeDocument/2006/relationships/hyperlink" Target="https://www.voestalpine.com/group/en/media/press-releases/2023-03-22-voestalpine-supervisory-board-approves-eur-1-5-billion-for-further-decarbonization/" TargetMode="External"/><Relationship Id="rId226" Type="http://schemas.openxmlformats.org/officeDocument/2006/relationships/hyperlink" Target="https://www.ssab.com/news/2021/07/ssab-has-launched-an-extensive-research-project-in-finland-to-replace-fossil-fuels-with-renewable-en" TargetMode="External"/><Relationship Id="rId433" Type="http://schemas.openxmlformats.org/officeDocument/2006/relationships/hyperlink" Target="https://www.k1-met.com/en/research_programme/susteel/" TargetMode="External"/><Relationship Id="rId74" Type="http://schemas.openxmlformats.org/officeDocument/2006/relationships/hyperlink" Target="https://corporate.arcelormittal.com/media/news-articles/air-liquide-and-arcelormittal-join-forces-to-accelerate-the-decarbonisation-of-steel-production-in-the-dunkirk-industrial-basin" TargetMode="External"/><Relationship Id="rId377" Type="http://schemas.openxmlformats.org/officeDocument/2006/relationships/hyperlink" Target="https://h2ermes.nl/project-en/" TargetMode="External"/><Relationship Id="rId500" Type="http://schemas.openxmlformats.org/officeDocument/2006/relationships/hyperlink" Target="https://www.salzgitter-ag.com/en/newsroom/press-releases/details/uniper-and-salzgitter-agree-close-cooperation-in-supplying-the-salcosr-transformation-project-with-green-hydrogen-from-unipers-major-green-wilhelmshavenr-hydrogen-project-19249.html" TargetMode="External"/><Relationship Id="rId584" Type="http://schemas.openxmlformats.org/officeDocument/2006/relationships/hyperlink" Target="https://www.voestalpine.com/group/en/media/press-releases/2023-03-22-voestalpine-supervisory-board-approves-eur-1-5-billion-for-further-decarbonization/" TargetMode="External"/><Relationship Id="rId5" Type="http://schemas.openxmlformats.org/officeDocument/2006/relationships/hyperlink" Target="https://corporate.arcelormittal.com/media/press-releases/arcelormittal-signs-letter-of-intent-with-the-governments-of-belgium-and-flanders-supporting-1-1-billion-investment-in-decarbonisation-technologies-at-its-flagship-gent-plant" TargetMode="External"/><Relationship Id="rId237" Type="http://schemas.openxmlformats.org/officeDocument/2006/relationships/hyperlink" Target="https://www.ssab.com/news/2020/12/green-light-for-fossilfree-steel-in-oxelsund" TargetMode="External"/><Relationship Id="rId444" Type="http://schemas.openxmlformats.org/officeDocument/2006/relationships/hyperlink" Target="https://www.voestalpine.com/group/en/media/press-releases/2019-11-11-h2future-worlds-largest-green-hydrogen-pilot-facility-successfully-commences-operation/" TargetMode="External"/><Relationship Id="rId290" Type="http://schemas.openxmlformats.org/officeDocument/2006/relationships/hyperlink" Target="https://www.ssab.fi/ssab-konserni/tietoja-ssabsta/tuotantopaikkakunnat-suomessa/raahe/kohti-fossiilivapaata-terastuotantoa" TargetMode="External"/><Relationship Id="rId304" Type="http://schemas.openxmlformats.org/officeDocument/2006/relationships/hyperlink" Target="https://www.ssab.com/news/2021/07/ssab-has-launched-an-extensive-research-project-in-finland-to-replace-fossil-fuels-with-renewable-en" TargetMode="External"/><Relationship Id="rId388" Type="http://schemas.openxmlformats.org/officeDocument/2006/relationships/hyperlink" Target="https://www.steag.com/en/news/current-projects/hydroxy-walsum" TargetMode="External"/><Relationship Id="rId511" Type="http://schemas.openxmlformats.org/officeDocument/2006/relationships/hyperlink" Target="https://salcos.salzgitter-ag.com/en/salcos.html" TargetMode="External"/><Relationship Id="rId85" Type="http://schemas.openxmlformats.org/officeDocument/2006/relationships/hyperlink" Target="https://corporate.arcelormittal.com/media/press-releases/arcelormittal-accelerates-its-decarbonisation-with-a-1-7-billion-investment-programme-in-france-supported-by-the-french-government" TargetMode="External"/><Relationship Id="rId150" Type="http://schemas.openxmlformats.org/officeDocument/2006/relationships/hyperlink" Target="https://www.ferrosilva.com/english/" TargetMode="External"/><Relationship Id="rId248" Type="http://schemas.openxmlformats.org/officeDocument/2006/relationships/hyperlink" Target="https://www.salzgitter-ag.com/en/newsroom/press-releases/details/wind-hydrogen-salzgitter-windh2-an-important-step-on-the-path-to-decarbonizing-the-steel-industry-14823.html" TargetMode="External"/><Relationship Id="rId455" Type="http://schemas.openxmlformats.org/officeDocument/2006/relationships/hyperlink" Target="https://www.spglobal.com/commodityinsights/en/market-insights/latest-news/electric-power/050421-port-of-rotterdam-thyssenkrupp-hkm-explore-hydrogen-imports-for-green-steel" TargetMode="External"/><Relationship Id="rId12" Type="http://schemas.openxmlformats.org/officeDocument/2006/relationships/hyperlink" Target="https://corporate.arcelormittal.com/media/press-releases/arcelormittal-signs-letter-of-intent-with-the-governments-of-belgium-and-flanders-supporting-1-1-billion-investment-in-decarbonisation-technologies-at-its-flagship-gent-plant" TargetMode="External"/><Relationship Id="rId108" Type="http://schemas.openxmlformats.org/officeDocument/2006/relationships/hyperlink" Target="https://corporate.arcelormittal.com/media/news-articles/air-liquide-and-arcelormittal-join-forces-to-accelerate-the-decarbonisation-of-steel-production-in-the-dunkirk-industrial-basin" TargetMode="External"/><Relationship Id="rId315" Type="http://schemas.openxmlformats.org/officeDocument/2006/relationships/hyperlink" Target="https://www.thyssenkrupp.com/en/company/sustainability/climate-strategy-and-targets" TargetMode="External"/><Relationship Id="rId522" Type="http://schemas.openxmlformats.org/officeDocument/2006/relationships/hyperlink" Target="https://www.salzgitter-ag.com/en/newsroom/press-releases/details/strong-signal-for-salzgitter-ag-transformation-program-salcosr-20105.html" TargetMode="External"/><Relationship Id="rId96" Type="http://schemas.openxmlformats.org/officeDocument/2006/relationships/hyperlink" Target="https://corporate.arcelormittal.com/media/press-releases/arcelormittal-signs-mou-with-the-spanish-government-supporting-1-billion-investment-in-decarbonisation-technologies" TargetMode="External"/><Relationship Id="rId161" Type="http://schemas.openxmlformats.org/officeDocument/2006/relationships/hyperlink" Target="https://www.di.se/nyheter/northvolt-grundare-utmanar-ssab-med-25-miljarder-i-ryggen/" TargetMode="External"/><Relationship Id="rId399" Type="http://schemas.openxmlformats.org/officeDocument/2006/relationships/hyperlink" Target="https://oge.net/en/us/projects/h2morrow" TargetMode="External"/><Relationship Id="rId259" Type="http://schemas.openxmlformats.org/officeDocument/2006/relationships/hyperlink" Target="https://www.sunfire.de/de/news/detail/grinhy2-0-wasserstoff-fuer-eine-co2-arme-stahlproduktion" TargetMode="External"/><Relationship Id="rId466" Type="http://schemas.openxmlformats.org/officeDocument/2006/relationships/hyperlink" Target="https://corporate.arcelormittal.com/media/press-releases/arcelormittal-accelerates-its-decarbonisation-with-a-1-7-billion-investment-programme-in-france-supported-by-the-french-government" TargetMode="External"/><Relationship Id="rId23" Type="http://schemas.openxmlformats.org/officeDocument/2006/relationships/hyperlink" Target="https://corporate-media.arcelormittal.com/media/ob3lpdom/car_2.pdf" TargetMode="External"/><Relationship Id="rId119" Type="http://schemas.openxmlformats.org/officeDocument/2006/relationships/hyperlink" Target="https://www.rechargenews.com/energy-transition/orsted-in-gigawatt-scale-offshore-wind-to-green-hydrogen-plan-with-steel-giant-arcelormittal/2-1-990058" TargetMode="External"/><Relationship Id="rId326" Type="http://schemas.openxmlformats.org/officeDocument/2006/relationships/hyperlink" Target="https://www.thyssenkrupp-steel.com/en/contact.html" TargetMode="External"/><Relationship Id="rId533" Type="http://schemas.openxmlformats.org/officeDocument/2006/relationships/hyperlink" Target="https://www.thyssenkrupp.com/en/newsroom/press-releases/pressdetailpage/thyssenkrupp-is-accelerating-the-green-transformation--decision-taken-on-the-construction-of-germanys-largest-direct-reduction-plant-for-low-co2-steel-146809" TargetMode="External"/><Relationship Id="rId172" Type="http://schemas.openxmlformats.org/officeDocument/2006/relationships/hyperlink" Target="https://www.thehindubusinessline.com/companies/liberty-steel-forms-joint-venture-for-hydrogen-based-steel-plant-in-france/article33902926.ece" TargetMode="External"/><Relationship Id="rId477" Type="http://schemas.openxmlformats.org/officeDocument/2006/relationships/hyperlink" Target="https://corporate-media.arcelormittal.com/media/ob3lpdom/car_2.pdf" TargetMode="External"/><Relationship Id="rId337" Type="http://schemas.openxmlformats.org/officeDocument/2006/relationships/hyperlink" Target="https://www.tenaris.com/en/newsroom/news-listing/tenaris-joins-edison-and-snam-to-trial-steelmaking--23383824921" TargetMode="External"/><Relationship Id="rId34" Type="http://schemas.openxmlformats.org/officeDocument/2006/relationships/hyperlink" Target="https://3d-ccus.com/3d-publications/" TargetMode="External"/><Relationship Id="rId544" Type="http://schemas.openxmlformats.org/officeDocument/2006/relationships/hyperlink" Target="https://www.steelorbis.com/steel-news/latest-news/spains-hydnum-steel-to-build-first-green-steel-plant-on-iberian-peninsula-1280182.htm" TargetMode="External"/><Relationship Id="rId183" Type="http://schemas.openxmlformats.org/officeDocument/2006/relationships/hyperlink" Target="https://mb.cision.com/Main/11419/3241684/1338565.pdf" TargetMode="External"/><Relationship Id="rId390" Type="http://schemas.openxmlformats.org/officeDocument/2006/relationships/hyperlink" Target="https://h2ermes.nl/project-en/" TargetMode="External"/><Relationship Id="rId404" Type="http://schemas.openxmlformats.org/officeDocument/2006/relationships/hyperlink" Target="https://www.voestalpine.com/stahldonawitz/en/" TargetMode="External"/><Relationship Id="rId250" Type="http://schemas.openxmlformats.org/officeDocument/2006/relationships/hyperlink" Target="https://www.sunfire.de/de/news/detail/grinhy2-0-wasserstoff-fuer-eine-co2-arme-stahlproduktion" TargetMode="External"/><Relationship Id="rId488" Type="http://schemas.openxmlformats.org/officeDocument/2006/relationships/hyperlink" Target="https://www.hydeal.com/copie-de-hydeal-ambition"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27A03-B68D-4477-9CBF-6FB0E5DEC6CA}">
  <dimension ref="A1:E10"/>
  <sheetViews>
    <sheetView zoomScale="190" zoomScaleNormal="190" workbookViewId="0">
      <selection activeCell="A10" sqref="A10"/>
    </sheetView>
  </sheetViews>
  <sheetFormatPr defaultRowHeight="14.4"/>
  <cols>
    <col min="1" max="1" width="16.5546875" customWidth="1"/>
    <col min="2" max="2" width="12" bestFit="1" customWidth="1"/>
    <col min="5" max="5" width="11" bestFit="1" customWidth="1"/>
  </cols>
  <sheetData>
    <row r="1" spans="1:5">
      <c r="A1" t="s">
        <v>0</v>
      </c>
    </row>
    <row r="3" spans="1:5">
      <c r="B3" s="134" t="s">
        <v>1</v>
      </c>
      <c r="C3" s="134" t="s">
        <v>2</v>
      </c>
      <c r="D3" s="34" t="s">
        <v>3</v>
      </c>
      <c r="E3" s="34" t="s">
        <v>4</v>
      </c>
    </row>
    <row r="4" spans="1:5">
      <c r="A4" t="s">
        <v>5</v>
      </c>
      <c r="B4" s="7">
        <f>C4*1000</f>
        <v>11630</v>
      </c>
      <c r="C4" s="135">
        <v>11.63</v>
      </c>
      <c r="D4" s="7">
        <f>C4*0.001</f>
        <v>1.1630000000000001E-2</v>
      </c>
      <c r="E4" s="7">
        <f>D4*0.001</f>
        <v>1.1630000000000002E-5</v>
      </c>
    </row>
    <row r="5" spans="1:5">
      <c r="A5" t="s">
        <v>6</v>
      </c>
      <c r="B5" s="7">
        <f>B4*1000</f>
        <v>11630000</v>
      </c>
      <c r="C5" s="7">
        <f t="shared" ref="C5:E5" si="0">C4*1000</f>
        <v>11630</v>
      </c>
      <c r="D5" s="7">
        <f t="shared" si="0"/>
        <v>11.63</v>
      </c>
      <c r="E5" s="7">
        <f t="shared" si="0"/>
        <v>1.1630000000000001E-2</v>
      </c>
    </row>
    <row r="6" spans="1:5">
      <c r="A6" s="36" t="s">
        <v>7</v>
      </c>
      <c r="B6" s="7">
        <f>B4*1000000</f>
        <v>11630000000</v>
      </c>
      <c r="C6" s="7">
        <f>C4*1000000</f>
        <v>11630000</v>
      </c>
      <c r="D6" s="7">
        <f t="shared" ref="D6" si="1">D4*1000000</f>
        <v>11630.000000000002</v>
      </c>
      <c r="E6" s="7">
        <f>E4*1000000</f>
        <v>11.630000000000003</v>
      </c>
    </row>
    <row r="7" spans="1:5">
      <c r="B7" s="7"/>
      <c r="C7" s="7"/>
      <c r="D7" s="7"/>
      <c r="E7" s="7"/>
    </row>
    <row r="10" spans="1:5">
      <c r="A10" t="s">
        <v>8</v>
      </c>
      <c r="B10">
        <v>11.63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4F2BD-1DD4-484C-AC46-F2C9D139A862}">
  <dimension ref="A1:AX52"/>
  <sheetViews>
    <sheetView workbookViewId="0">
      <selection activeCell="B27" sqref="B27"/>
    </sheetView>
  </sheetViews>
  <sheetFormatPr defaultRowHeight="14.4"/>
  <sheetData>
    <row r="1" spans="1:50">
      <c r="A1" s="9"/>
      <c r="B1" s="9"/>
      <c r="C1" s="9"/>
      <c r="D1" s="9"/>
      <c r="E1" s="9"/>
      <c r="F1" s="9"/>
      <c r="G1" s="9"/>
      <c r="H1" s="9"/>
      <c r="I1" s="9"/>
      <c r="J1" s="9"/>
      <c r="K1" s="9"/>
      <c r="L1" s="9"/>
      <c r="M1" s="9"/>
      <c r="N1" s="9"/>
      <c r="O1" s="9"/>
      <c r="P1" s="9"/>
      <c r="Q1" s="9"/>
      <c r="R1" s="10"/>
      <c r="S1" s="10">
        <v>2020</v>
      </c>
      <c r="T1" s="10">
        <v>2021</v>
      </c>
      <c r="U1" s="10">
        <v>2022</v>
      </c>
      <c r="V1" s="10">
        <v>2023</v>
      </c>
      <c r="W1" s="10">
        <v>2024</v>
      </c>
      <c r="X1" s="10">
        <v>2025</v>
      </c>
      <c r="Y1" s="10">
        <v>2026</v>
      </c>
      <c r="Z1" s="10">
        <v>2027</v>
      </c>
      <c r="AA1" s="10">
        <v>2028</v>
      </c>
      <c r="AB1" s="10">
        <v>2029</v>
      </c>
      <c r="AC1" s="10">
        <v>2030</v>
      </c>
      <c r="AD1" s="10">
        <v>2031</v>
      </c>
      <c r="AE1" s="10">
        <v>2032</v>
      </c>
      <c r="AF1" s="10">
        <v>2033</v>
      </c>
      <c r="AG1" s="10">
        <v>2034</v>
      </c>
      <c r="AH1" s="10">
        <v>2035</v>
      </c>
      <c r="AI1" s="10">
        <v>2036</v>
      </c>
      <c r="AJ1" s="10">
        <v>2037</v>
      </c>
      <c r="AK1" s="10">
        <v>2038</v>
      </c>
      <c r="AL1" s="10">
        <v>2039</v>
      </c>
      <c r="AM1" s="10">
        <v>2040</v>
      </c>
      <c r="AN1" s="10">
        <v>2041</v>
      </c>
      <c r="AO1" s="10">
        <v>2042</v>
      </c>
      <c r="AP1" s="10">
        <v>2043</v>
      </c>
      <c r="AQ1" s="10">
        <v>2044</v>
      </c>
      <c r="AR1" s="10">
        <v>2045</v>
      </c>
      <c r="AS1" s="10">
        <v>2046</v>
      </c>
      <c r="AT1" s="10">
        <v>2047</v>
      </c>
      <c r="AU1" s="10">
        <v>2048</v>
      </c>
      <c r="AV1" s="10">
        <v>2049</v>
      </c>
      <c r="AW1" s="10">
        <v>2050</v>
      </c>
      <c r="AX1" s="9"/>
    </row>
    <row r="2" spans="1:50">
      <c r="A2" s="9"/>
      <c r="B2" s="9"/>
      <c r="C2" s="9"/>
      <c r="D2" s="9"/>
      <c r="E2" s="9"/>
      <c r="F2" s="9"/>
      <c r="G2" s="9"/>
      <c r="H2" s="9"/>
      <c r="I2" s="9"/>
      <c r="J2" s="9"/>
      <c r="K2" s="9"/>
      <c r="L2" s="9"/>
      <c r="M2" s="9"/>
      <c r="N2" s="9"/>
      <c r="O2" s="9"/>
      <c r="P2" s="9"/>
      <c r="Q2" s="11" t="s">
        <v>9</v>
      </c>
      <c r="R2" s="12">
        <v>1</v>
      </c>
      <c r="S2" s="12">
        <v>1</v>
      </c>
      <c r="T2" s="12">
        <v>0.98</v>
      </c>
      <c r="U2" s="12">
        <v>0.96</v>
      </c>
      <c r="V2" s="12">
        <v>0.94</v>
      </c>
      <c r="W2" s="12">
        <v>0.92</v>
      </c>
      <c r="X2" s="12">
        <v>0.9</v>
      </c>
      <c r="Y2" s="12">
        <v>0.88</v>
      </c>
      <c r="Z2" s="12">
        <v>0.86</v>
      </c>
      <c r="AA2" s="12">
        <v>0.85</v>
      </c>
      <c r="AB2" s="12">
        <v>0.83</v>
      </c>
      <c r="AC2" s="12">
        <v>0.81</v>
      </c>
      <c r="AD2" s="12">
        <v>0.79</v>
      </c>
      <c r="AE2" s="12">
        <v>0.77</v>
      </c>
      <c r="AF2" s="12">
        <v>0.75</v>
      </c>
      <c r="AG2" s="12">
        <v>0.73</v>
      </c>
      <c r="AH2" s="12">
        <v>0.71</v>
      </c>
      <c r="AI2" s="12">
        <v>0.69</v>
      </c>
      <c r="AJ2" s="12">
        <v>0.67</v>
      </c>
      <c r="AK2" s="12">
        <v>0.65</v>
      </c>
      <c r="AL2" s="12">
        <v>0.63</v>
      </c>
      <c r="AM2" s="12">
        <v>0.61</v>
      </c>
      <c r="AN2" s="12">
        <v>0.6</v>
      </c>
      <c r="AO2" s="12">
        <v>0.57999999999999996</v>
      </c>
      <c r="AP2" s="12">
        <v>0.56999999999999995</v>
      </c>
      <c r="AQ2" s="12">
        <v>0.56000000000000005</v>
      </c>
      <c r="AR2" s="12">
        <v>0.54</v>
      </c>
      <c r="AS2" s="12">
        <v>0.53</v>
      </c>
      <c r="AT2" s="12">
        <v>0.52</v>
      </c>
      <c r="AU2" s="12">
        <v>0.51</v>
      </c>
      <c r="AV2" s="12">
        <v>0.5</v>
      </c>
      <c r="AW2" s="12">
        <v>0.49</v>
      </c>
      <c r="AX2" s="9"/>
    </row>
    <row r="3" spans="1:50">
      <c r="A3" s="9"/>
      <c r="B3" s="9"/>
      <c r="C3" s="9"/>
      <c r="D3" s="9"/>
      <c r="E3" s="9"/>
      <c r="F3" s="9"/>
      <c r="G3" s="9"/>
      <c r="H3" s="9"/>
      <c r="I3" s="9"/>
      <c r="J3" s="9"/>
      <c r="K3" s="9"/>
      <c r="L3" s="9"/>
      <c r="M3" s="9"/>
      <c r="N3" s="9"/>
      <c r="O3" s="9"/>
      <c r="P3" s="9"/>
      <c r="Q3" s="11" t="s">
        <v>10</v>
      </c>
      <c r="R3" s="12">
        <v>1</v>
      </c>
      <c r="S3" s="12">
        <v>1</v>
      </c>
      <c r="T3" s="12">
        <v>0.99</v>
      </c>
      <c r="U3" s="12">
        <v>0.99</v>
      </c>
      <c r="V3" s="12">
        <v>0.98</v>
      </c>
      <c r="W3" s="12">
        <v>0.97</v>
      </c>
      <c r="X3" s="12">
        <v>0.96</v>
      </c>
      <c r="Y3" s="12">
        <v>0.94</v>
      </c>
      <c r="Z3" s="12">
        <v>0.92</v>
      </c>
      <c r="AA3" s="12">
        <v>0.89</v>
      </c>
      <c r="AB3" s="12">
        <v>0.87</v>
      </c>
      <c r="AC3" s="12">
        <v>0.85</v>
      </c>
      <c r="AD3" s="12">
        <v>0.83</v>
      </c>
      <c r="AE3" s="12">
        <v>0.8</v>
      </c>
      <c r="AF3" s="12">
        <v>0.78</v>
      </c>
      <c r="AG3" s="12">
        <v>0.75</v>
      </c>
      <c r="AH3" s="12">
        <v>0.73</v>
      </c>
      <c r="AI3" s="12">
        <v>0.71</v>
      </c>
      <c r="AJ3" s="12">
        <v>0.69</v>
      </c>
      <c r="AK3" s="12">
        <v>0.67</v>
      </c>
      <c r="AL3" s="12">
        <v>0.64</v>
      </c>
      <c r="AM3" s="12">
        <v>0.62</v>
      </c>
      <c r="AN3" s="12">
        <v>0.61</v>
      </c>
      <c r="AO3" s="12">
        <v>0.6</v>
      </c>
      <c r="AP3" s="12">
        <v>0.59</v>
      </c>
      <c r="AQ3" s="12">
        <v>0.57999999999999996</v>
      </c>
      <c r="AR3" s="12">
        <v>0.56000000000000005</v>
      </c>
      <c r="AS3" s="12">
        <v>0.56000000000000005</v>
      </c>
      <c r="AT3" s="12">
        <v>0.55000000000000004</v>
      </c>
      <c r="AU3" s="12">
        <v>0.55000000000000004</v>
      </c>
      <c r="AV3" s="12">
        <v>0.55000000000000004</v>
      </c>
      <c r="AW3" s="12">
        <v>0.54</v>
      </c>
      <c r="AX3" s="9"/>
    </row>
    <row r="4" spans="1:50">
      <c r="A4" s="9"/>
      <c r="B4" s="13" t="s">
        <v>11</v>
      </c>
      <c r="C4" s="9"/>
      <c r="D4" s="9"/>
      <c r="E4" s="13" t="s">
        <v>12</v>
      </c>
      <c r="F4" s="13"/>
      <c r="G4" s="9"/>
      <c r="H4" s="9"/>
      <c r="I4" s="9"/>
      <c r="J4" s="9"/>
      <c r="K4" s="9"/>
      <c r="L4" s="9"/>
      <c r="M4" s="9"/>
      <c r="N4" s="9"/>
      <c r="O4" s="9"/>
      <c r="P4" s="9"/>
      <c r="Q4" s="11" t="s">
        <v>13</v>
      </c>
      <c r="R4" s="12">
        <v>1</v>
      </c>
      <c r="S4" s="12">
        <v>1.01</v>
      </c>
      <c r="T4" s="12">
        <v>0.99</v>
      </c>
      <c r="U4" s="12">
        <v>0.98</v>
      </c>
      <c r="V4" s="12">
        <v>0.96</v>
      </c>
      <c r="W4" s="12">
        <v>0.95</v>
      </c>
      <c r="X4" s="12">
        <v>0.93</v>
      </c>
      <c r="Y4" s="12">
        <v>0.92</v>
      </c>
      <c r="Z4" s="12">
        <v>0.9</v>
      </c>
      <c r="AA4" s="12">
        <v>0.89</v>
      </c>
      <c r="AB4" s="12">
        <v>0.88</v>
      </c>
      <c r="AC4" s="12">
        <v>0.86</v>
      </c>
      <c r="AD4" s="12">
        <v>0.85</v>
      </c>
      <c r="AE4" s="12">
        <v>0.83</v>
      </c>
      <c r="AF4" s="12">
        <v>0.82</v>
      </c>
      <c r="AG4" s="12">
        <v>0.8</v>
      </c>
      <c r="AH4" s="12">
        <v>0.79</v>
      </c>
      <c r="AI4" s="12">
        <v>0.78</v>
      </c>
      <c r="AJ4" s="12">
        <v>0.77</v>
      </c>
      <c r="AK4" s="12">
        <v>0.77</v>
      </c>
      <c r="AL4" s="12">
        <v>0.76</v>
      </c>
      <c r="AM4" s="12">
        <v>0.76</v>
      </c>
      <c r="AN4" s="12">
        <v>0.76</v>
      </c>
      <c r="AO4" s="12">
        <v>0.76</v>
      </c>
      <c r="AP4" s="12">
        <v>0.76</v>
      </c>
      <c r="AQ4" s="12">
        <v>0.76</v>
      </c>
      <c r="AR4" s="12">
        <v>0.76</v>
      </c>
      <c r="AS4" s="12">
        <v>0.76</v>
      </c>
      <c r="AT4" s="12">
        <v>0.76</v>
      </c>
      <c r="AU4" s="12">
        <v>0.77</v>
      </c>
      <c r="AV4" s="12">
        <v>0.77</v>
      </c>
      <c r="AW4" s="12">
        <v>0.77</v>
      </c>
      <c r="AX4" s="9"/>
    </row>
    <row r="5" spans="1:50">
      <c r="A5" s="9"/>
      <c r="B5" s="9"/>
      <c r="C5" s="9"/>
      <c r="D5" s="9"/>
      <c r="E5" s="9"/>
      <c r="F5" s="9"/>
      <c r="G5" s="9"/>
      <c r="H5" s="9"/>
      <c r="I5" s="9"/>
      <c r="J5" s="9"/>
      <c r="K5" s="9"/>
      <c r="L5" s="9"/>
      <c r="M5" s="9"/>
      <c r="N5" s="9"/>
      <c r="O5" s="9"/>
      <c r="P5" s="9"/>
      <c r="Q5" s="9" t="e">
        <v>#REF!</v>
      </c>
      <c r="R5" s="12">
        <v>1</v>
      </c>
      <c r="S5" s="12">
        <v>1</v>
      </c>
      <c r="T5" s="12">
        <v>0.99</v>
      </c>
      <c r="U5" s="12">
        <v>0.97</v>
      </c>
      <c r="V5" s="12">
        <v>0.95</v>
      </c>
      <c r="W5" s="12">
        <v>0.93</v>
      </c>
      <c r="X5" s="12">
        <v>0.91</v>
      </c>
      <c r="Y5" s="12">
        <v>0.9</v>
      </c>
      <c r="Z5" s="12">
        <v>0.88</v>
      </c>
      <c r="AA5" s="12">
        <v>0.86</v>
      </c>
      <c r="AB5" s="12">
        <v>0.84</v>
      </c>
      <c r="AC5" s="12">
        <v>0.83</v>
      </c>
      <c r="AD5" s="12">
        <v>0.81</v>
      </c>
      <c r="AE5" s="12">
        <v>0.79</v>
      </c>
      <c r="AF5" s="12">
        <v>0.77</v>
      </c>
      <c r="AG5" s="12">
        <v>0.76</v>
      </c>
      <c r="AH5" s="12">
        <v>0.74</v>
      </c>
      <c r="AI5" s="12">
        <v>0.73</v>
      </c>
      <c r="AJ5" s="12">
        <v>0.72</v>
      </c>
      <c r="AK5" s="12">
        <v>0.72</v>
      </c>
      <c r="AL5" s="12">
        <v>0.71</v>
      </c>
      <c r="AM5" s="12">
        <v>0.7</v>
      </c>
      <c r="AN5" s="12">
        <v>0.7</v>
      </c>
      <c r="AO5" s="12">
        <v>0.7</v>
      </c>
      <c r="AP5" s="12">
        <v>0.7</v>
      </c>
      <c r="AQ5" s="12">
        <v>0.7</v>
      </c>
      <c r="AR5" s="12">
        <v>0.7</v>
      </c>
      <c r="AS5" s="12">
        <v>0.7</v>
      </c>
      <c r="AT5" s="12">
        <v>0.71</v>
      </c>
      <c r="AU5" s="12">
        <v>0.71</v>
      </c>
      <c r="AV5" s="12">
        <v>0.71</v>
      </c>
      <c r="AW5" s="12">
        <v>0.71</v>
      </c>
      <c r="AX5" s="9"/>
    </row>
    <row r="6" spans="1:50">
      <c r="A6" s="10" t="s">
        <v>14</v>
      </c>
      <c r="B6" s="9" t="s">
        <v>15</v>
      </c>
      <c r="C6" s="9"/>
      <c r="D6" s="9"/>
      <c r="F6" s="9"/>
      <c r="G6" s="9"/>
      <c r="H6" s="9"/>
      <c r="I6" s="9"/>
      <c r="J6" s="9"/>
      <c r="K6" s="9"/>
      <c r="L6" s="9"/>
      <c r="M6" s="9"/>
      <c r="N6" s="9"/>
      <c r="O6" s="9"/>
      <c r="P6" s="9"/>
      <c r="Q6" s="9" t="e">
        <v>#REF!</v>
      </c>
      <c r="R6" s="12">
        <v>1</v>
      </c>
      <c r="S6" s="12">
        <v>1</v>
      </c>
      <c r="T6" s="12">
        <v>0.99</v>
      </c>
      <c r="U6" s="12">
        <v>0.97</v>
      </c>
      <c r="V6" s="12">
        <v>0.96</v>
      </c>
      <c r="W6" s="12">
        <v>0.95</v>
      </c>
      <c r="X6" s="12">
        <v>0.94</v>
      </c>
      <c r="Y6" s="12">
        <v>0.93</v>
      </c>
      <c r="Z6" s="12">
        <v>0.91</v>
      </c>
      <c r="AA6" s="12">
        <v>0.9</v>
      </c>
      <c r="AB6" s="12">
        <v>0.88</v>
      </c>
      <c r="AC6" s="12">
        <v>0.87</v>
      </c>
      <c r="AD6" s="12">
        <v>0.85</v>
      </c>
      <c r="AE6" s="12">
        <v>0.83</v>
      </c>
      <c r="AF6" s="12">
        <v>0.81</v>
      </c>
      <c r="AG6" s="12">
        <v>0.79</v>
      </c>
      <c r="AH6" s="12">
        <v>0.77</v>
      </c>
      <c r="AI6" s="12">
        <v>0.76</v>
      </c>
      <c r="AJ6" s="12">
        <v>0.74</v>
      </c>
      <c r="AK6" s="12">
        <v>0.72</v>
      </c>
      <c r="AL6" s="12">
        <v>0.71</v>
      </c>
      <c r="AM6" s="12">
        <v>0.69</v>
      </c>
      <c r="AN6" s="12">
        <v>0.69</v>
      </c>
      <c r="AO6" s="12">
        <v>0.68</v>
      </c>
      <c r="AP6" s="12">
        <v>0.68</v>
      </c>
      <c r="AQ6" s="12">
        <v>0.68</v>
      </c>
      <c r="AR6" s="12">
        <v>0.67</v>
      </c>
      <c r="AS6" s="12">
        <v>0.67</v>
      </c>
      <c r="AT6" s="12">
        <v>0.67</v>
      </c>
      <c r="AU6" s="12">
        <v>0.66</v>
      </c>
      <c r="AV6" s="12">
        <v>0.66</v>
      </c>
      <c r="AW6" s="12">
        <v>0.66</v>
      </c>
      <c r="AX6" s="9"/>
    </row>
    <row r="7" spans="1:50">
      <c r="A7" s="9"/>
      <c r="B7" s="14" t="s">
        <v>16</v>
      </c>
      <c r="C7" s="9"/>
      <c r="D7" s="9"/>
      <c r="E7" s="9"/>
      <c r="F7" s="9"/>
      <c r="G7" s="9"/>
      <c r="H7" s="9"/>
      <c r="I7" s="9"/>
      <c r="J7" s="9"/>
      <c r="K7" s="9"/>
      <c r="L7" s="9"/>
      <c r="M7" s="9"/>
      <c r="N7" s="9"/>
      <c r="O7" s="9"/>
      <c r="P7" s="9"/>
      <c r="Q7" s="9" t="e">
        <v>#REF!</v>
      </c>
      <c r="R7" s="12">
        <v>1</v>
      </c>
      <c r="S7" s="12">
        <v>1</v>
      </c>
      <c r="T7" s="12">
        <v>0.98</v>
      </c>
      <c r="U7" s="12">
        <v>0.96</v>
      </c>
      <c r="V7" s="12">
        <v>0.94</v>
      </c>
      <c r="W7" s="12">
        <v>0.92</v>
      </c>
      <c r="X7" s="12">
        <v>0.9</v>
      </c>
      <c r="Y7" s="12">
        <v>0.88</v>
      </c>
      <c r="Z7" s="12">
        <v>0.86</v>
      </c>
      <c r="AA7" s="12">
        <v>0.84</v>
      </c>
      <c r="AB7" s="12">
        <v>0.83</v>
      </c>
      <c r="AC7" s="12">
        <v>0.81</v>
      </c>
      <c r="AD7" s="12">
        <v>0.79</v>
      </c>
      <c r="AE7" s="12">
        <v>0.77</v>
      </c>
      <c r="AF7" s="12">
        <v>0.75</v>
      </c>
      <c r="AG7" s="12">
        <v>0.73</v>
      </c>
      <c r="AH7" s="12">
        <v>0.71</v>
      </c>
      <c r="AI7" s="12">
        <v>0.7</v>
      </c>
      <c r="AJ7" s="12">
        <v>0.7</v>
      </c>
      <c r="AK7" s="12">
        <v>0.69</v>
      </c>
      <c r="AL7" s="12">
        <v>0.68</v>
      </c>
      <c r="AM7" s="12">
        <v>0.68</v>
      </c>
      <c r="AN7" s="12">
        <v>0.68</v>
      </c>
      <c r="AO7" s="12">
        <v>0.69</v>
      </c>
      <c r="AP7" s="12">
        <v>0.69</v>
      </c>
      <c r="AQ7" s="12">
        <v>0.7</v>
      </c>
      <c r="AR7" s="12">
        <v>0.7</v>
      </c>
      <c r="AS7" s="12">
        <v>0.71</v>
      </c>
      <c r="AT7" s="12">
        <v>0.71</v>
      </c>
      <c r="AU7" s="12">
        <v>0.71</v>
      </c>
      <c r="AV7" s="12">
        <v>0.71</v>
      </c>
      <c r="AW7" s="12">
        <v>0.71</v>
      </c>
      <c r="AX7" s="9"/>
    </row>
    <row r="8" spans="1:50">
      <c r="A8" s="9"/>
      <c r="B8" s="9"/>
      <c r="C8" s="9"/>
      <c r="D8" s="9"/>
      <c r="E8" s="9"/>
      <c r="F8" s="9"/>
      <c r="G8" s="9"/>
      <c r="H8" s="9"/>
      <c r="I8" s="9"/>
      <c r="J8" s="9"/>
      <c r="K8" s="9"/>
      <c r="L8" s="9"/>
      <c r="M8" s="9"/>
      <c r="N8" s="9"/>
      <c r="O8" s="9"/>
      <c r="P8" s="9"/>
      <c r="Q8" s="9" t="e">
        <v>#REF!</v>
      </c>
      <c r="R8" s="12">
        <v>1</v>
      </c>
      <c r="S8" s="12">
        <v>1</v>
      </c>
      <c r="T8" s="12">
        <v>0.99</v>
      </c>
      <c r="U8" s="12">
        <v>0.99</v>
      </c>
      <c r="V8" s="12">
        <v>0.98</v>
      </c>
      <c r="W8" s="12">
        <v>0.97</v>
      </c>
      <c r="X8" s="12">
        <v>0.96</v>
      </c>
      <c r="Y8" s="12">
        <v>0.94</v>
      </c>
      <c r="Z8" s="12">
        <v>0.92</v>
      </c>
      <c r="AA8" s="12">
        <v>0.89</v>
      </c>
      <c r="AB8" s="12">
        <v>0.87</v>
      </c>
      <c r="AC8" s="12">
        <v>0.85</v>
      </c>
      <c r="AD8" s="12">
        <v>0.83</v>
      </c>
      <c r="AE8" s="12">
        <v>0.8</v>
      </c>
      <c r="AF8" s="12">
        <v>0.78</v>
      </c>
      <c r="AG8" s="12">
        <v>0.76</v>
      </c>
      <c r="AH8" s="12">
        <v>0.73</v>
      </c>
      <c r="AI8" s="12">
        <v>0.71</v>
      </c>
      <c r="AJ8" s="12">
        <v>0.69</v>
      </c>
      <c r="AK8" s="12">
        <v>0.67</v>
      </c>
      <c r="AL8" s="12">
        <v>0.65</v>
      </c>
      <c r="AM8" s="12">
        <v>0.63</v>
      </c>
      <c r="AN8" s="12">
        <v>0.62</v>
      </c>
      <c r="AO8" s="12">
        <v>0.6</v>
      </c>
      <c r="AP8" s="12">
        <v>0.59</v>
      </c>
      <c r="AQ8" s="12">
        <v>0.57999999999999996</v>
      </c>
      <c r="AR8" s="12">
        <v>0.56999999999999995</v>
      </c>
      <c r="AS8" s="12">
        <v>0.56000000000000005</v>
      </c>
      <c r="AT8" s="12">
        <v>0.56000000000000005</v>
      </c>
      <c r="AU8" s="12">
        <v>0.55000000000000004</v>
      </c>
      <c r="AV8" s="12">
        <v>0.55000000000000004</v>
      </c>
      <c r="AW8" s="12">
        <v>0.54</v>
      </c>
      <c r="AX8" s="9"/>
    </row>
    <row r="9" spans="1:50">
      <c r="A9" s="10" t="s">
        <v>17</v>
      </c>
      <c r="B9" s="14" t="s">
        <v>16</v>
      </c>
      <c r="C9" s="9"/>
      <c r="D9" s="9"/>
      <c r="E9" s="9"/>
      <c r="F9" s="9"/>
      <c r="G9" s="9"/>
      <c r="H9" s="9"/>
      <c r="I9" s="9"/>
      <c r="J9" s="9"/>
      <c r="K9" s="9"/>
      <c r="L9" s="9"/>
      <c r="M9" s="9"/>
      <c r="N9" s="9"/>
      <c r="O9" s="9"/>
      <c r="P9" s="9"/>
      <c r="Q9" s="9" t="e">
        <v>#REF!</v>
      </c>
      <c r="R9" s="12">
        <v>1</v>
      </c>
      <c r="S9" s="12">
        <v>1</v>
      </c>
      <c r="T9" s="12">
        <v>0.99</v>
      </c>
      <c r="U9" s="12">
        <v>0.99</v>
      </c>
      <c r="V9" s="12">
        <v>0.98</v>
      </c>
      <c r="W9" s="12">
        <v>0.97</v>
      </c>
      <c r="X9" s="12">
        <v>0.96</v>
      </c>
      <c r="Y9" s="12">
        <v>0.94</v>
      </c>
      <c r="Z9" s="12">
        <v>0.92</v>
      </c>
      <c r="AA9" s="12">
        <v>0.89</v>
      </c>
      <c r="AB9" s="12">
        <v>0.87</v>
      </c>
      <c r="AC9" s="12">
        <v>0.85</v>
      </c>
      <c r="AD9" s="12">
        <v>0.83</v>
      </c>
      <c r="AE9" s="12">
        <v>0.8</v>
      </c>
      <c r="AF9" s="12">
        <v>0.78</v>
      </c>
      <c r="AG9" s="12">
        <v>0.76</v>
      </c>
      <c r="AH9" s="12">
        <v>0.73</v>
      </c>
      <c r="AI9" s="12">
        <v>0.71</v>
      </c>
      <c r="AJ9" s="12">
        <v>0.69</v>
      </c>
      <c r="AK9" s="12">
        <v>0.67</v>
      </c>
      <c r="AL9" s="12">
        <v>0.65</v>
      </c>
      <c r="AM9" s="12">
        <v>0.63</v>
      </c>
      <c r="AN9" s="12">
        <v>0.62</v>
      </c>
      <c r="AO9" s="12">
        <v>0.6</v>
      </c>
      <c r="AP9" s="12">
        <v>0.59</v>
      </c>
      <c r="AQ9" s="12">
        <v>0.57999999999999996</v>
      </c>
      <c r="AR9" s="12">
        <v>0.56999999999999995</v>
      </c>
      <c r="AS9" s="12">
        <v>0.56000000000000005</v>
      </c>
      <c r="AT9" s="12">
        <v>0.56000000000000005</v>
      </c>
      <c r="AU9" s="12">
        <v>0.55000000000000004</v>
      </c>
      <c r="AV9" s="12">
        <v>0.55000000000000004</v>
      </c>
      <c r="AW9" s="12">
        <v>0.54</v>
      </c>
      <c r="AX9" s="9"/>
    </row>
    <row r="10" spans="1:50">
      <c r="A10" s="9"/>
      <c r="B10" s="9" t="s">
        <v>18</v>
      </c>
      <c r="C10" s="9"/>
      <c r="D10" s="9"/>
      <c r="E10" s="9"/>
      <c r="F10" s="9"/>
      <c r="G10" s="9"/>
      <c r="H10" s="9"/>
      <c r="I10" s="9"/>
      <c r="J10" s="9"/>
      <c r="K10" s="9"/>
      <c r="L10" s="9"/>
      <c r="M10" s="9"/>
      <c r="N10" s="9"/>
      <c r="O10" s="9"/>
      <c r="P10" s="9"/>
      <c r="Q10" s="9" t="e">
        <v>#REF!</v>
      </c>
      <c r="R10" s="12">
        <v>1</v>
      </c>
      <c r="S10" s="12">
        <v>1</v>
      </c>
      <c r="T10" s="12">
        <v>0.99</v>
      </c>
      <c r="U10" s="12">
        <v>0.99</v>
      </c>
      <c r="V10" s="12">
        <v>0.98</v>
      </c>
      <c r="W10" s="12">
        <v>0.97</v>
      </c>
      <c r="X10" s="12">
        <v>0.96</v>
      </c>
      <c r="Y10" s="12">
        <v>0.94</v>
      </c>
      <c r="Z10" s="12">
        <v>0.92</v>
      </c>
      <c r="AA10" s="12">
        <v>0.89</v>
      </c>
      <c r="AB10" s="12">
        <v>0.87</v>
      </c>
      <c r="AC10" s="12">
        <v>0.85</v>
      </c>
      <c r="AD10" s="12">
        <v>0.82</v>
      </c>
      <c r="AE10" s="12">
        <v>0.8</v>
      </c>
      <c r="AF10" s="12">
        <v>0.77</v>
      </c>
      <c r="AG10" s="12">
        <v>0.75</v>
      </c>
      <c r="AH10" s="12">
        <v>0.73</v>
      </c>
      <c r="AI10" s="12">
        <v>0.7</v>
      </c>
      <c r="AJ10" s="12">
        <v>0.68</v>
      </c>
      <c r="AK10" s="12">
        <v>0.66</v>
      </c>
      <c r="AL10" s="12">
        <v>0.64</v>
      </c>
      <c r="AM10" s="12">
        <v>0.61</v>
      </c>
      <c r="AN10" s="12">
        <v>0.6</v>
      </c>
      <c r="AO10" s="12">
        <v>0.59</v>
      </c>
      <c r="AP10" s="12">
        <v>0.57999999999999996</v>
      </c>
      <c r="AQ10" s="12">
        <v>0.56999999999999995</v>
      </c>
      <c r="AR10" s="12">
        <v>0.56000000000000005</v>
      </c>
      <c r="AS10" s="12">
        <v>0.56000000000000005</v>
      </c>
      <c r="AT10" s="12">
        <v>0.56000000000000005</v>
      </c>
      <c r="AU10" s="12">
        <v>0.55000000000000004</v>
      </c>
      <c r="AV10" s="12">
        <v>0.55000000000000004</v>
      </c>
      <c r="AW10" s="12">
        <v>0.55000000000000004</v>
      </c>
      <c r="AX10" s="9"/>
    </row>
    <row r="11" spans="1:50">
      <c r="A11" s="9"/>
      <c r="B11" s="9"/>
      <c r="C11" s="9"/>
      <c r="D11" s="9"/>
      <c r="E11" s="9"/>
      <c r="F11" s="9"/>
      <c r="G11" s="9"/>
      <c r="H11" s="9"/>
      <c r="I11" s="9"/>
      <c r="J11" s="9"/>
      <c r="K11" s="9"/>
      <c r="L11" s="9"/>
      <c r="M11" s="9"/>
      <c r="N11" s="9"/>
      <c r="O11" s="9"/>
      <c r="P11" s="9"/>
      <c r="Q11" s="9" t="e">
        <v>#REF!</v>
      </c>
      <c r="R11" s="12">
        <v>1</v>
      </c>
      <c r="S11" s="12">
        <v>1</v>
      </c>
      <c r="T11" s="12">
        <v>0.99</v>
      </c>
      <c r="U11" s="12">
        <v>0.99</v>
      </c>
      <c r="V11" s="12">
        <v>0.98</v>
      </c>
      <c r="W11" s="12">
        <v>0.97</v>
      </c>
      <c r="X11" s="12">
        <v>0.96</v>
      </c>
      <c r="Y11" s="12">
        <v>0.94</v>
      </c>
      <c r="Z11" s="12">
        <v>0.92</v>
      </c>
      <c r="AA11" s="12">
        <v>0.89</v>
      </c>
      <c r="AB11" s="12">
        <v>0.87</v>
      </c>
      <c r="AC11" s="12">
        <v>0.85</v>
      </c>
      <c r="AD11" s="12">
        <v>0.82</v>
      </c>
      <c r="AE11" s="12">
        <v>0.8</v>
      </c>
      <c r="AF11" s="12">
        <v>0.77</v>
      </c>
      <c r="AG11" s="12">
        <v>0.75</v>
      </c>
      <c r="AH11" s="12">
        <v>0.73</v>
      </c>
      <c r="AI11" s="12">
        <v>0.7</v>
      </c>
      <c r="AJ11" s="12">
        <v>0.68</v>
      </c>
      <c r="AK11" s="12">
        <v>0.66</v>
      </c>
      <c r="AL11" s="12">
        <v>0.64</v>
      </c>
      <c r="AM11" s="12">
        <v>0.62</v>
      </c>
      <c r="AN11" s="12">
        <v>0.6</v>
      </c>
      <c r="AO11" s="12">
        <v>0.59</v>
      </c>
      <c r="AP11" s="12">
        <v>0.57999999999999996</v>
      </c>
      <c r="AQ11" s="12">
        <v>0.56999999999999995</v>
      </c>
      <c r="AR11" s="12">
        <v>0.56000000000000005</v>
      </c>
      <c r="AS11" s="12">
        <v>0.56000000000000005</v>
      </c>
      <c r="AT11" s="12">
        <v>0.56000000000000005</v>
      </c>
      <c r="AU11" s="12">
        <v>0.55000000000000004</v>
      </c>
      <c r="AV11" s="12">
        <v>0.55000000000000004</v>
      </c>
      <c r="AW11" s="12">
        <v>0.55000000000000004</v>
      </c>
      <c r="AX11" s="9"/>
    </row>
    <row r="12" spans="1:50">
      <c r="A12" s="10" t="s">
        <v>19</v>
      </c>
      <c r="B12" s="9" t="s">
        <v>20</v>
      </c>
      <c r="C12" s="9"/>
      <c r="D12" s="9"/>
      <c r="E12" s="9"/>
      <c r="F12" s="9"/>
      <c r="G12" s="9"/>
      <c r="H12" s="9"/>
      <c r="I12" s="9"/>
      <c r="J12" s="9"/>
      <c r="K12" s="9"/>
      <c r="L12" s="9"/>
      <c r="M12" s="9"/>
      <c r="N12" s="9"/>
      <c r="O12" s="9"/>
      <c r="P12" s="9"/>
      <c r="Q12" s="9" t="e">
        <v>#REF!</v>
      </c>
      <c r="R12" s="9" t="e">
        <v>#N/A</v>
      </c>
      <c r="S12" s="9" t="e">
        <v>#N/A</v>
      </c>
      <c r="T12" s="9" t="e">
        <v>#N/A</v>
      </c>
      <c r="U12" s="9" t="e">
        <v>#N/A</v>
      </c>
      <c r="V12" s="9" t="e">
        <v>#N/A</v>
      </c>
      <c r="W12" s="9" t="e">
        <v>#N/A</v>
      </c>
      <c r="X12" s="9" t="e">
        <v>#N/A</v>
      </c>
      <c r="Y12" s="9" t="e">
        <v>#N/A</v>
      </c>
      <c r="Z12" s="9" t="e">
        <v>#N/A</v>
      </c>
      <c r="AA12" s="9" t="e">
        <v>#N/A</v>
      </c>
      <c r="AB12" s="9" t="e">
        <v>#N/A</v>
      </c>
      <c r="AC12" s="9" t="e">
        <v>#N/A</v>
      </c>
      <c r="AD12" s="9" t="e">
        <v>#N/A</v>
      </c>
      <c r="AE12" s="9" t="e">
        <v>#N/A</v>
      </c>
      <c r="AF12" s="9" t="e">
        <v>#N/A</v>
      </c>
      <c r="AG12" s="9" t="e">
        <v>#N/A</v>
      </c>
      <c r="AH12" s="9" t="e">
        <v>#N/A</v>
      </c>
      <c r="AI12" s="9" t="e">
        <v>#N/A</v>
      </c>
      <c r="AJ12" s="9" t="e">
        <v>#N/A</v>
      </c>
      <c r="AK12" s="9" t="e">
        <v>#N/A</v>
      </c>
      <c r="AL12" s="9" t="e">
        <v>#N/A</v>
      </c>
      <c r="AM12" s="9" t="e">
        <v>#N/A</v>
      </c>
      <c r="AN12" s="9" t="e">
        <v>#N/A</v>
      </c>
      <c r="AO12" s="9" t="e">
        <v>#N/A</v>
      </c>
      <c r="AP12" s="9" t="e">
        <v>#N/A</v>
      </c>
      <c r="AQ12" s="9" t="e">
        <v>#N/A</v>
      </c>
      <c r="AR12" s="9" t="e">
        <v>#N/A</v>
      </c>
      <c r="AS12" s="9" t="e">
        <v>#N/A</v>
      </c>
      <c r="AT12" s="9" t="e">
        <v>#N/A</v>
      </c>
      <c r="AU12" s="9" t="e">
        <v>#N/A</v>
      </c>
      <c r="AV12" s="9" t="e">
        <v>#N/A</v>
      </c>
      <c r="AW12" s="9" t="e">
        <v>#N/A</v>
      </c>
      <c r="AX12" s="9"/>
    </row>
    <row r="13" spans="1:50">
      <c r="A13" s="9"/>
      <c r="B13" s="9" t="s">
        <v>21</v>
      </c>
      <c r="C13" s="9"/>
      <c r="D13" s="9"/>
      <c r="E13" s="9"/>
      <c r="F13" s="9"/>
      <c r="G13" s="9"/>
      <c r="H13" s="9"/>
      <c r="I13" s="9"/>
      <c r="J13" s="9"/>
      <c r="K13" s="9"/>
      <c r="L13" s="9"/>
      <c r="M13" s="9"/>
      <c r="N13" s="9"/>
      <c r="O13" s="9"/>
      <c r="P13" s="9"/>
      <c r="Q13" s="9" t="e">
        <v>#REF!</v>
      </c>
      <c r="R13" s="9" t="e">
        <v>#N/A</v>
      </c>
      <c r="S13" s="9" t="e">
        <v>#N/A</v>
      </c>
      <c r="T13" s="9" t="e">
        <v>#N/A</v>
      </c>
      <c r="U13" s="9" t="e">
        <v>#N/A</v>
      </c>
      <c r="V13" s="9" t="e">
        <v>#N/A</v>
      </c>
      <c r="W13" s="9" t="e">
        <v>#N/A</v>
      </c>
      <c r="X13" s="9" t="e">
        <v>#N/A</v>
      </c>
      <c r="Y13" s="9" t="e">
        <v>#N/A</v>
      </c>
      <c r="Z13" s="9" t="e">
        <v>#N/A</v>
      </c>
      <c r="AA13" s="9" t="e">
        <v>#N/A</v>
      </c>
      <c r="AB13" s="9" t="e">
        <v>#N/A</v>
      </c>
      <c r="AC13" s="9" t="e">
        <v>#N/A</v>
      </c>
      <c r="AD13" s="9" t="e">
        <v>#N/A</v>
      </c>
      <c r="AE13" s="9" t="e">
        <v>#N/A</v>
      </c>
      <c r="AF13" s="9" t="e">
        <v>#N/A</v>
      </c>
      <c r="AG13" s="9" t="e">
        <v>#N/A</v>
      </c>
      <c r="AH13" s="9" t="e">
        <v>#N/A</v>
      </c>
      <c r="AI13" s="9" t="e">
        <v>#N/A</v>
      </c>
      <c r="AJ13" s="9" t="e">
        <v>#N/A</v>
      </c>
      <c r="AK13" s="9" t="e">
        <v>#N/A</v>
      </c>
      <c r="AL13" s="9" t="e">
        <v>#N/A</v>
      </c>
      <c r="AM13" s="9" t="e">
        <v>#N/A</v>
      </c>
      <c r="AN13" s="9" t="e">
        <v>#N/A</v>
      </c>
      <c r="AO13" s="9" t="e">
        <v>#N/A</v>
      </c>
      <c r="AP13" s="9" t="e">
        <v>#N/A</v>
      </c>
      <c r="AQ13" s="9" t="e">
        <v>#N/A</v>
      </c>
      <c r="AR13" s="9" t="e">
        <v>#N/A</v>
      </c>
      <c r="AS13" s="9" t="e">
        <v>#N/A</v>
      </c>
      <c r="AT13" s="9" t="e">
        <v>#N/A</v>
      </c>
      <c r="AU13" s="9" t="e">
        <v>#N/A</v>
      </c>
      <c r="AV13" s="9" t="e">
        <v>#N/A</v>
      </c>
      <c r="AW13" s="9" t="e">
        <v>#N/A</v>
      </c>
      <c r="AX13" s="9"/>
    </row>
    <row r="14" spans="1:50">
      <c r="A14" s="9"/>
      <c r="B14" s="9"/>
      <c r="C14" s="9"/>
      <c r="D14" s="9"/>
      <c r="E14" s="9"/>
      <c r="F14" s="9"/>
      <c r="G14" s="9"/>
      <c r="H14" s="9"/>
      <c r="I14" s="9"/>
      <c r="J14" s="9"/>
      <c r="K14" s="9"/>
      <c r="L14" s="9"/>
      <c r="M14" s="9"/>
      <c r="N14" s="9"/>
      <c r="O14" s="9"/>
      <c r="P14" s="9"/>
      <c r="Q14" s="9" t="e">
        <v>#REF!</v>
      </c>
      <c r="R14" s="12">
        <v>1</v>
      </c>
      <c r="S14" s="12">
        <v>1</v>
      </c>
      <c r="T14" s="12">
        <v>0.99</v>
      </c>
      <c r="U14" s="12">
        <v>0.99</v>
      </c>
      <c r="V14" s="12">
        <v>0.98</v>
      </c>
      <c r="W14" s="12">
        <v>0.97</v>
      </c>
      <c r="X14" s="12">
        <v>0.96</v>
      </c>
      <c r="Y14" s="12">
        <v>0.94</v>
      </c>
      <c r="Z14" s="12">
        <v>0.92</v>
      </c>
      <c r="AA14" s="12">
        <v>0.89</v>
      </c>
      <c r="AB14" s="12">
        <v>0.87</v>
      </c>
      <c r="AC14" s="12">
        <v>0.85</v>
      </c>
      <c r="AD14" s="12">
        <v>0.82</v>
      </c>
      <c r="AE14" s="12">
        <v>0.8</v>
      </c>
      <c r="AF14" s="12">
        <v>0.78</v>
      </c>
      <c r="AG14" s="12">
        <v>0.75</v>
      </c>
      <c r="AH14" s="12">
        <v>0.73</v>
      </c>
      <c r="AI14" s="12">
        <v>0.71</v>
      </c>
      <c r="AJ14" s="12">
        <v>0.68</v>
      </c>
      <c r="AK14" s="12">
        <v>0.66</v>
      </c>
      <c r="AL14" s="12">
        <v>0.64</v>
      </c>
      <c r="AM14" s="12">
        <v>0.62</v>
      </c>
      <c r="AN14" s="12">
        <v>0.61</v>
      </c>
      <c r="AO14" s="12">
        <v>0.59</v>
      </c>
      <c r="AP14" s="12">
        <v>0.57999999999999996</v>
      </c>
      <c r="AQ14" s="12">
        <v>0.56999999999999995</v>
      </c>
      <c r="AR14" s="12">
        <v>0.56000000000000005</v>
      </c>
      <c r="AS14" s="12">
        <v>0.56000000000000005</v>
      </c>
      <c r="AT14" s="12">
        <v>0.55000000000000004</v>
      </c>
      <c r="AU14" s="12">
        <v>0.55000000000000004</v>
      </c>
      <c r="AV14" s="12">
        <v>0.55000000000000004</v>
      </c>
      <c r="AW14" s="12">
        <v>0.54</v>
      </c>
      <c r="AX14" s="9"/>
    </row>
    <row r="15" spans="1:50" ht="15.6">
      <c r="A15" s="10" t="s">
        <v>22</v>
      </c>
      <c r="B15" s="37" t="s">
        <v>23</v>
      </c>
      <c r="C15" s="9"/>
      <c r="D15" s="9"/>
      <c r="E15" s="9"/>
      <c r="F15" s="9"/>
      <c r="G15" s="9"/>
      <c r="H15" s="9"/>
      <c r="I15" s="9"/>
      <c r="J15" s="9"/>
      <c r="K15" s="9"/>
      <c r="L15" s="9"/>
      <c r="M15" s="9"/>
      <c r="N15" s="9"/>
      <c r="O15" s="9"/>
      <c r="P15" s="9"/>
      <c r="Q15" s="9" t="e">
        <v>#REF!</v>
      </c>
      <c r="R15" s="12">
        <v>1</v>
      </c>
      <c r="S15" s="12">
        <v>1</v>
      </c>
      <c r="T15" s="12">
        <v>0.99</v>
      </c>
      <c r="U15" s="12">
        <v>0.99</v>
      </c>
      <c r="V15" s="12">
        <v>0.98</v>
      </c>
      <c r="W15" s="12">
        <v>0.97</v>
      </c>
      <c r="X15" s="12">
        <v>0.96</v>
      </c>
      <c r="Y15" s="12">
        <v>0.94</v>
      </c>
      <c r="Z15" s="12">
        <v>0.92</v>
      </c>
      <c r="AA15" s="12">
        <v>0.89</v>
      </c>
      <c r="AB15" s="12">
        <v>0.87</v>
      </c>
      <c r="AC15" s="12">
        <v>0.85</v>
      </c>
      <c r="AD15" s="12">
        <v>0.82</v>
      </c>
      <c r="AE15" s="12">
        <v>0.79</v>
      </c>
      <c r="AF15" s="12">
        <v>0.77</v>
      </c>
      <c r="AG15" s="12">
        <v>0.74</v>
      </c>
      <c r="AH15" s="12">
        <v>0.71</v>
      </c>
      <c r="AI15" s="12">
        <v>0.69</v>
      </c>
      <c r="AJ15" s="12">
        <v>0.67</v>
      </c>
      <c r="AK15" s="12">
        <v>0.65</v>
      </c>
      <c r="AL15" s="12">
        <v>0.62</v>
      </c>
      <c r="AM15" s="12">
        <v>0.6</v>
      </c>
      <c r="AN15" s="12">
        <v>0.59</v>
      </c>
      <c r="AO15" s="12">
        <v>0.57999999999999996</v>
      </c>
      <c r="AP15" s="12">
        <v>0.57999999999999996</v>
      </c>
      <c r="AQ15" s="12">
        <v>0.56999999999999995</v>
      </c>
      <c r="AR15" s="12">
        <v>0.56000000000000005</v>
      </c>
      <c r="AS15" s="12">
        <v>0.56000000000000005</v>
      </c>
      <c r="AT15" s="12">
        <v>0.55000000000000004</v>
      </c>
      <c r="AU15" s="12">
        <v>0.55000000000000004</v>
      </c>
      <c r="AV15" s="12">
        <v>0.55000000000000004</v>
      </c>
      <c r="AW15" s="12">
        <v>0.55000000000000004</v>
      </c>
      <c r="AX15" s="9"/>
    </row>
    <row r="16" spans="1:50">
      <c r="A16" s="9"/>
      <c r="B16" s="15"/>
      <c r="C16" s="9"/>
      <c r="D16" s="9"/>
      <c r="E16" s="9"/>
      <c r="F16" s="9"/>
      <c r="G16" s="9"/>
      <c r="H16" s="9"/>
      <c r="I16" s="9"/>
      <c r="J16" s="9"/>
      <c r="K16" s="9"/>
      <c r="L16" s="9"/>
      <c r="M16" s="9"/>
      <c r="N16" s="9"/>
      <c r="O16" s="9"/>
      <c r="P16" s="9"/>
      <c r="Q16" s="9" t="e">
        <v>#REF!</v>
      </c>
      <c r="R16" s="12">
        <v>1</v>
      </c>
      <c r="S16" s="12">
        <v>1.01</v>
      </c>
      <c r="T16" s="12">
        <v>0.99</v>
      </c>
      <c r="U16" s="12">
        <v>0.98</v>
      </c>
      <c r="V16" s="12">
        <v>0.97</v>
      </c>
      <c r="W16" s="12">
        <v>0.95</v>
      </c>
      <c r="X16" s="12">
        <v>0.94</v>
      </c>
      <c r="Y16" s="12">
        <v>0.93</v>
      </c>
      <c r="Z16" s="12">
        <v>0.91</v>
      </c>
      <c r="AA16" s="12">
        <v>0.9</v>
      </c>
      <c r="AB16" s="12">
        <v>0.89</v>
      </c>
      <c r="AC16" s="12">
        <v>0.87</v>
      </c>
      <c r="AD16" s="12">
        <v>0.86</v>
      </c>
      <c r="AE16" s="12">
        <v>0.85</v>
      </c>
      <c r="AF16" s="12">
        <v>0.83</v>
      </c>
      <c r="AG16" s="12">
        <v>0.82</v>
      </c>
      <c r="AH16" s="12">
        <v>0.8</v>
      </c>
      <c r="AI16" s="12">
        <v>0.79</v>
      </c>
      <c r="AJ16" s="12">
        <v>0.78</v>
      </c>
      <c r="AK16" s="12">
        <v>0.77</v>
      </c>
      <c r="AL16" s="12">
        <v>0.76</v>
      </c>
      <c r="AM16" s="12">
        <v>0.75</v>
      </c>
      <c r="AN16" s="12">
        <v>0.75</v>
      </c>
      <c r="AO16" s="12">
        <v>0.75</v>
      </c>
      <c r="AP16" s="12">
        <v>0.75</v>
      </c>
      <c r="AQ16" s="12">
        <v>0.75</v>
      </c>
      <c r="AR16" s="12">
        <v>0.75</v>
      </c>
      <c r="AS16" s="12">
        <v>0.76</v>
      </c>
      <c r="AT16" s="12">
        <v>0.76</v>
      </c>
      <c r="AU16" s="12">
        <v>0.76</v>
      </c>
      <c r="AV16" s="12">
        <v>0.76</v>
      </c>
      <c r="AW16" s="12">
        <v>0.77</v>
      </c>
      <c r="AX16" s="9"/>
    </row>
    <row r="17" spans="1:50">
      <c r="A17" s="9"/>
      <c r="B17" s="16"/>
      <c r="C17" s="9"/>
      <c r="D17" s="9"/>
      <c r="E17" s="9"/>
      <c r="F17" s="9"/>
      <c r="G17" s="9"/>
      <c r="H17" s="9"/>
      <c r="I17" s="9"/>
      <c r="J17" s="9"/>
      <c r="K17" s="9"/>
      <c r="L17" s="9"/>
      <c r="M17" s="9"/>
      <c r="N17" s="9"/>
      <c r="O17" s="9"/>
      <c r="P17" s="9"/>
      <c r="Q17" s="9" t="e">
        <v>#REF!</v>
      </c>
      <c r="R17" s="9" t="e">
        <v>#N/A</v>
      </c>
      <c r="S17" s="9" t="e">
        <v>#N/A</v>
      </c>
      <c r="T17" s="9" t="e">
        <v>#N/A</v>
      </c>
      <c r="U17" s="9" t="e">
        <v>#N/A</v>
      </c>
      <c r="V17" s="9" t="e">
        <v>#N/A</v>
      </c>
      <c r="W17" s="9" t="e">
        <v>#N/A</v>
      </c>
      <c r="X17" s="9" t="e">
        <v>#N/A</v>
      </c>
      <c r="Y17" s="9" t="e">
        <v>#N/A</v>
      </c>
      <c r="Z17" s="9" t="e">
        <v>#N/A</v>
      </c>
      <c r="AA17" s="9" t="e">
        <v>#N/A</v>
      </c>
      <c r="AB17" s="9" t="e">
        <v>#N/A</v>
      </c>
      <c r="AC17" s="9" t="e">
        <v>#N/A</v>
      </c>
      <c r="AD17" s="9" t="e">
        <v>#N/A</v>
      </c>
      <c r="AE17" s="9" t="e">
        <v>#N/A</v>
      </c>
      <c r="AF17" s="9" t="e">
        <v>#N/A</v>
      </c>
      <c r="AG17" s="9" t="e">
        <v>#N/A</v>
      </c>
      <c r="AH17" s="9" t="e">
        <v>#N/A</v>
      </c>
      <c r="AI17" s="9" t="e">
        <v>#N/A</v>
      </c>
      <c r="AJ17" s="9" t="e">
        <v>#N/A</v>
      </c>
      <c r="AK17" s="9" t="e">
        <v>#N/A</v>
      </c>
      <c r="AL17" s="9" t="e">
        <v>#N/A</v>
      </c>
      <c r="AM17" s="9" t="e">
        <v>#N/A</v>
      </c>
      <c r="AN17" s="9" t="e">
        <v>#N/A</v>
      </c>
      <c r="AO17" s="9" t="e">
        <v>#N/A</v>
      </c>
      <c r="AP17" s="9" t="e">
        <v>#N/A</v>
      </c>
      <c r="AQ17" s="9" t="e">
        <v>#N/A</v>
      </c>
      <c r="AR17" s="9" t="e">
        <v>#N/A</v>
      </c>
      <c r="AS17" s="9" t="e">
        <v>#N/A</v>
      </c>
      <c r="AT17" s="9" t="e">
        <v>#N/A</v>
      </c>
      <c r="AU17" s="9" t="e">
        <v>#N/A</v>
      </c>
      <c r="AV17" s="9" t="e">
        <v>#N/A</v>
      </c>
      <c r="AW17" s="9" t="e">
        <v>#N/A</v>
      </c>
      <c r="AX17" s="9"/>
    </row>
    <row r="18" spans="1:50">
      <c r="A18" s="9"/>
      <c r="B18" s="17"/>
      <c r="C18" s="9"/>
      <c r="D18" s="9"/>
      <c r="E18" s="9"/>
      <c r="F18" s="9"/>
      <c r="G18" s="9"/>
      <c r="H18" s="9"/>
      <c r="I18" s="9"/>
      <c r="J18" s="9"/>
      <c r="K18" s="9"/>
      <c r="L18" s="9"/>
      <c r="M18" s="9"/>
      <c r="N18" s="9"/>
      <c r="O18" s="9"/>
      <c r="P18" s="9"/>
      <c r="Q18" s="9" t="e">
        <v>#REF!</v>
      </c>
      <c r="R18" s="12">
        <v>1</v>
      </c>
      <c r="S18" s="12">
        <v>1</v>
      </c>
      <c r="T18" s="12">
        <v>0.99</v>
      </c>
      <c r="U18" s="12">
        <v>0.99</v>
      </c>
      <c r="V18" s="12">
        <v>0.98</v>
      </c>
      <c r="W18" s="12">
        <v>0.97</v>
      </c>
      <c r="X18" s="12">
        <v>0.96</v>
      </c>
      <c r="Y18" s="12">
        <v>0.94</v>
      </c>
      <c r="Z18" s="12">
        <v>0.92</v>
      </c>
      <c r="AA18" s="12">
        <v>0.89</v>
      </c>
      <c r="AB18" s="12">
        <v>0.87</v>
      </c>
      <c r="AC18" s="12">
        <v>0.85</v>
      </c>
      <c r="AD18" s="12">
        <v>0.82</v>
      </c>
      <c r="AE18" s="12">
        <v>0.8</v>
      </c>
      <c r="AF18" s="12">
        <v>0.77</v>
      </c>
      <c r="AG18" s="12">
        <v>0.75</v>
      </c>
      <c r="AH18" s="12">
        <v>0.72</v>
      </c>
      <c r="AI18" s="12">
        <v>0.7</v>
      </c>
      <c r="AJ18" s="12">
        <v>0.68</v>
      </c>
      <c r="AK18" s="12">
        <v>0.66</v>
      </c>
      <c r="AL18" s="12">
        <v>0.64</v>
      </c>
      <c r="AM18" s="12">
        <v>0.61</v>
      </c>
      <c r="AN18" s="12">
        <v>0.6</v>
      </c>
      <c r="AO18" s="12">
        <v>0.59</v>
      </c>
      <c r="AP18" s="12">
        <v>0.57999999999999996</v>
      </c>
      <c r="AQ18" s="12">
        <v>0.56999999999999995</v>
      </c>
      <c r="AR18" s="12">
        <v>0.56000000000000005</v>
      </c>
      <c r="AS18" s="12">
        <v>0.56000000000000005</v>
      </c>
      <c r="AT18" s="12">
        <v>0.55000000000000004</v>
      </c>
      <c r="AU18" s="12">
        <v>0.55000000000000004</v>
      </c>
      <c r="AV18" s="12">
        <v>0.55000000000000004</v>
      </c>
      <c r="AW18" s="12">
        <v>0.54</v>
      </c>
      <c r="AX18" s="9"/>
    </row>
    <row r="19" spans="1:50">
      <c r="A19" s="9"/>
      <c r="B19" s="14" t="s">
        <v>23</v>
      </c>
      <c r="C19" s="9"/>
      <c r="D19" s="9"/>
      <c r="E19" s="9"/>
      <c r="F19" s="9"/>
      <c r="G19" s="9"/>
      <c r="H19" s="9"/>
      <c r="I19" s="9"/>
      <c r="J19" s="9"/>
      <c r="K19" s="9"/>
      <c r="L19" s="9"/>
      <c r="M19" s="9"/>
      <c r="N19" s="9"/>
      <c r="O19" s="9"/>
      <c r="P19" s="9"/>
      <c r="Q19" s="9" t="e">
        <v>#REF!</v>
      </c>
      <c r="R19" s="12">
        <v>1</v>
      </c>
      <c r="S19" s="12">
        <v>1</v>
      </c>
      <c r="T19" s="12">
        <v>0.99</v>
      </c>
      <c r="U19" s="12">
        <v>0.99</v>
      </c>
      <c r="V19" s="12">
        <v>0.98</v>
      </c>
      <c r="W19" s="12">
        <v>0.97</v>
      </c>
      <c r="X19" s="12">
        <v>0.96</v>
      </c>
      <c r="Y19" s="12">
        <v>0.94</v>
      </c>
      <c r="Z19" s="12">
        <v>0.92</v>
      </c>
      <c r="AA19" s="12">
        <v>0.89</v>
      </c>
      <c r="AB19" s="12">
        <v>0.87</v>
      </c>
      <c r="AC19" s="12">
        <v>0.85</v>
      </c>
      <c r="AD19" s="12">
        <v>0.82</v>
      </c>
      <c r="AE19" s="12">
        <v>0.8</v>
      </c>
      <c r="AF19" s="12">
        <v>0.77</v>
      </c>
      <c r="AG19" s="12">
        <v>0.75</v>
      </c>
      <c r="AH19" s="12">
        <v>0.72</v>
      </c>
      <c r="AI19" s="12">
        <v>0.7</v>
      </c>
      <c r="AJ19" s="12">
        <v>0.68</v>
      </c>
      <c r="AK19" s="12">
        <v>0.66</v>
      </c>
      <c r="AL19" s="12">
        <v>0.64</v>
      </c>
      <c r="AM19" s="12">
        <v>0.61</v>
      </c>
      <c r="AN19" s="12">
        <v>0.6</v>
      </c>
      <c r="AO19" s="12">
        <v>0.59</v>
      </c>
      <c r="AP19" s="12">
        <v>0.57999999999999996</v>
      </c>
      <c r="AQ19" s="12">
        <v>0.56999999999999995</v>
      </c>
      <c r="AR19" s="12">
        <v>0.56000000000000005</v>
      </c>
      <c r="AS19" s="12">
        <v>0.56000000000000005</v>
      </c>
      <c r="AT19" s="12">
        <v>0.56000000000000005</v>
      </c>
      <c r="AU19" s="12">
        <v>0.55000000000000004</v>
      </c>
      <c r="AV19" s="12">
        <v>0.55000000000000004</v>
      </c>
      <c r="AW19" s="12">
        <v>0.54</v>
      </c>
      <c r="AX19" s="9"/>
    </row>
    <row r="20" spans="1:50">
      <c r="A20" s="9"/>
      <c r="B20" s="18"/>
      <c r="C20" s="9"/>
      <c r="D20" s="9"/>
      <c r="E20" s="9"/>
      <c r="F20" s="9"/>
      <c r="G20" s="9"/>
      <c r="H20" s="9"/>
      <c r="I20" s="9"/>
      <c r="J20" s="9"/>
      <c r="K20" s="9"/>
      <c r="L20" s="9"/>
      <c r="M20" s="9"/>
      <c r="N20" s="9"/>
      <c r="O20" s="9"/>
      <c r="P20" s="9"/>
      <c r="Q20" s="9" t="e">
        <v>#REF!</v>
      </c>
      <c r="R20" s="9" t="e">
        <v>#N/A</v>
      </c>
      <c r="S20" s="9" t="e">
        <v>#N/A</v>
      </c>
      <c r="T20" s="9" t="e">
        <v>#N/A</v>
      </c>
      <c r="U20" s="9" t="e">
        <v>#N/A</v>
      </c>
      <c r="V20" s="9" t="e">
        <v>#N/A</v>
      </c>
      <c r="W20" s="9" t="e">
        <v>#N/A</v>
      </c>
      <c r="X20" s="9" t="e">
        <v>#N/A</v>
      </c>
      <c r="Y20" s="9" t="e">
        <v>#N/A</v>
      </c>
      <c r="Z20" s="9" t="e">
        <v>#N/A</v>
      </c>
      <c r="AA20" s="9" t="e">
        <v>#N/A</v>
      </c>
      <c r="AB20" s="9" t="e">
        <v>#N/A</v>
      </c>
      <c r="AC20" s="9" t="e">
        <v>#N/A</v>
      </c>
      <c r="AD20" s="9" t="e">
        <v>#N/A</v>
      </c>
      <c r="AE20" s="9" t="e">
        <v>#N/A</v>
      </c>
      <c r="AF20" s="9" t="e">
        <v>#N/A</v>
      </c>
      <c r="AG20" s="9" t="e">
        <v>#N/A</v>
      </c>
      <c r="AH20" s="9" t="e">
        <v>#N/A</v>
      </c>
      <c r="AI20" s="9" t="e">
        <v>#N/A</v>
      </c>
      <c r="AJ20" s="9" t="e">
        <v>#N/A</v>
      </c>
      <c r="AK20" s="9" t="e">
        <v>#N/A</v>
      </c>
      <c r="AL20" s="9" t="e">
        <v>#N/A</v>
      </c>
      <c r="AM20" s="9" t="e">
        <v>#N/A</v>
      </c>
      <c r="AN20" s="9" t="e">
        <v>#N/A</v>
      </c>
      <c r="AO20" s="9" t="e">
        <v>#N/A</v>
      </c>
      <c r="AP20" s="9" t="e">
        <v>#N/A</v>
      </c>
      <c r="AQ20" s="9" t="e">
        <v>#N/A</v>
      </c>
      <c r="AR20" s="9" t="e">
        <v>#N/A</v>
      </c>
      <c r="AS20" s="9" t="e">
        <v>#N/A</v>
      </c>
      <c r="AT20" s="9" t="e">
        <v>#N/A</v>
      </c>
      <c r="AU20" s="9" t="e">
        <v>#N/A</v>
      </c>
      <c r="AV20" s="9" t="e">
        <v>#N/A</v>
      </c>
      <c r="AW20" s="9" t="e">
        <v>#N/A</v>
      </c>
      <c r="AX20" s="9"/>
    </row>
    <row r="21" spans="1:50">
      <c r="A21" s="9"/>
      <c r="B21" s="19" t="s">
        <v>23</v>
      </c>
      <c r="C21" s="9"/>
      <c r="D21" s="9"/>
      <c r="E21" s="9"/>
      <c r="F21" s="9"/>
      <c r="G21" s="9"/>
      <c r="H21" s="9"/>
      <c r="I21" s="9"/>
      <c r="J21" s="9"/>
      <c r="K21" s="9"/>
      <c r="L21" s="9"/>
      <c r="M21" s="9"/>
      <c r="N21" s="9"/>
      <c r="O21" s="9"/>
      <c r="P21" s="9"/>
      <c r="Q21" s="9" t="e">
        <v>#REF!</v>
      </c>
      <c r="R21" s="9" t="e">
        <v>#N/A</v>
      </c>
      <c r="S21" s="9" t="e">
        <v>#N/A</v>
      </c>
      <c r="T21" s="9" t="e">
        <v>#N/A</v>
      </c>
      <c r="U21" s="9" t="e">
        <v>#N/A</v>
      </c>
      <c r="V21" s="9" t="e">
        <v>#N/A</v>
      </c>
      <c r="W21" s="9" t="e">
        <v>#N/A</v>
      </c>
      <c r="X21" s="9" t="e">
        <v>#N/A</v>
      </c>
      <c r="Y21" s="9" t="e">
        <v>#N/A</v>
      </c>
      <c r="Z21" s="9" t="e">
        <v>#N/A</v>
      </c>
      <c r="AA21" s="9" t="e">
        <v>#N/A</v>
      </c>
      <c r="AB21" s="9" t="e">
        <v>#N/A</v>
      </c>
      <c r="AC21" s="9" t="e">
        <v>#N/A</v>
      </c>
      <c r="AD21" s="9" t="e">
        <v>#N/A</v>
      </c>
      <c r="AE21" s="9" t="e">
        <v>#N/A</v>
      </c>
      <c r="AF21" s="9" t="e">
        <v>#N/A</v>
      </c>
      <c r="AG21" s="9" t="e">
        <v>#N/A</v>
      </c>
      <c r="AH21" s="9" t="e">
        <v>#N/A</v>
      </c>
      <c r="AI21" s="9" t="e">
        <v>#N/A</v>
      </c>
      <c r="AJ21" s="9" t="e">
        <v>#N/A</v>
      </c>
      <c r="AK21" s="9" t="e">
        <v>#N/A</v>
      </c>
      <c r="AL21" s="9" t="e">
        <v>#N/A</v>
      </c>
      <c r="AM21" s="9" t="e">
        <v>#N/A</v>
      </c>
      <c r="AN21" s="9" t="e">
        <v>#N/A</v>
      </c>
      <c r="AO21" s="9" t="e">
        <v>#N/A</v>
      </c>
      <c r="AP21" s="9" t="e">
        <v>#N/A</v>
      </c>
      <c r="AQ21" s="9" t="e">
        <v>#N/A</v>
      </c>
      <c r="AR21" s="9" t="e">
        <v>#N/A</v>
      </c>
      <c r="AS21" s="9" t="e">
        <v>#N/A</v>
      </c>
      <c r="AT21" s="9" t="e">
        <v>#N/A</v>
      </c>
      <c r="AU21" s="9" t="e">
        <v>#N/A</v>
      </c>
      <c r="AV21" s="9" t="e">
        <v>#N/A</v>
      </c>
      <c r="AW21" s="9" t="e">
        <v>#N/A</v>
      </c>
      <c r="AX21" s="9"/>
    </row>
    <row r="22" spans="1:50">
      <c r="A22" s="9"/>
      <c r="B22" s="20"/>
      <c r="C22" s="9"/>
      <c r="D22" s="9"/>
      <c r="E22" s="9"/>
      <c r="F22" s="9"/>
      <c r="G22" s="9"/>
      <c r="H22" s="9"/>
      <c r="I22" s="9"/>
      <c r="J22" s="9"/>
      <c r="K22" s="9"/>
      <c r="L22" s="9"/>
      <c r="M22" s="9"/>
      <c r="N22" s="9"/>
      <c r="O22" s="9"/>
      <c r="P22" s="9"/>
      <c r="Q22" s="9" t="e">
        <v>#REF!</v>
      </c>
      <c r="R22" s="12">
        <v>1</v>
      </c>
      <c r="S22" s="12">
        <v>1</v>
      </c>
      <c r="T22" s="12">
        <v>0.99</v>
      </c>
      <c r="U22" s="12">
        <v>0.98</v>
      </c>
      <c r="V22" s="12">
        <v>0.98</v>
      </c>
      <c r="W22" s="12">
        <v>0.97</v>
      </c>
      <c r="X22" s="12">
        <v>0.96</v>
      </c>
      <c r="Y22" s="12">
        <v>0.94</v>
      </c>
      <c r="Z22" s="12">
        <v>0.92</v>
      </c>
      <c r="AA22" s="12">
        <v>0.89</v>
      </c>
      <c r="AB22" s="12">
        <v>0.87</v>
      </c>
      <c r="AC22" s="12">
        <v>0.85</v>
      </c>
      <c r="AD22" s="12">
        <v>0.82</v>
      </c>
      <c r="AE22" s="12">
        <v>0.8</v>
      </c>
      <c r="AF22" s="12">
        <v>0.77</v>
      </c>
      <c r="AG22" s="12">
        <v>0.75</v>
      </c>
      <c r="AH22" s="12">
        <v>0.73</v>
      </c>
      <c r="AI22" s="12">
        <v>0.7</v>
      </c>
      <c r="AJ22" s="12">
        <v>0.68</v>
      </c>
      <c r="AK22" s="12">
        <v>0.66</v>
      </c>
      <c r="AL22" s="12">
        <v>0.64</v>
      </c>
      <c r="AM22" s="12">
        <v>0.62</v>
      </c>
      <c r="AN22" s="12">
        <v>0.6</v>
      </c>
      <c r="AO22" s="12">
        <v>0.59</v>
      </c>
      <c r="AP22" s="12">
        <v>0.57999999999999996</v>
      </c>
      <c r="AQ22" s="12">
        <v>0.56999999999999995</v>
      </c>
      <c r="AR22" s="12">
        <v>0.56000000000000005</v>
      </c>
      <c r="AS22" s="12">
        <v>0.56000000000000005</v>
      </c>
      <c r="AT22" s="12">
        <v>0.55000000000000004</v>
      </c>
      <c r="AU22" s="12">
        <v>0.55000000000000004</v>
      </c>
      <c r="AV22" s="12">
        <v>0.54</v>
      </c>
      <c r="AW22" s="12">
        <v>0.54</v>
      </c>
      <c r="AX22" s="9"/>
    </row>
    <row r="23" spans="1:50">
      <c r="A23" s="9"/>
      <c r="B23" s="21"/>
      <c r="C23" s="9"/>
      <c r="D23" s="9"/>
      <c r="E23" s="9"/>
      <c r="F23" s="9"/>
      <c r="G23" s="9"/>
      <c r="H23" s="9"/>
      <c r="I23" s="9"/>
      <c r="J23" s="9"/>
      <c r="K23" s="9"/>
      <c r="L23" s="9"/>
      <c r="M23" s="9"/>
      <c r="N23" s="9"/>
      <c r="O23" s="9"/>
      <c r="P23" s="9"/>
      <c r="Q23" s="9" t="e">
        <v>#REF!</v>
      </c>
      <c r="R23" s="12">
        <v>1</v>
      </c>
      <c r="S23" s="12">
        <v>1</v>
      </c>
      <c r="T23" s="12">
        <v>0.99</v>
      </c>
      <c r="U23" s="12">
        <v>0.99</v>
      </c>
      <c r="V23" s="12">
        <v>0.98</v>
      </c>
      <c r="W23" s="12">
        <v>0.97</v>
      </c>
      <c r="X23" s="12">
        <v>0.96</v>
      </c>
      <c r="Y23" s="12">
        <v>0.94</v>
      </c>
      <c r="Z23" s="12">
        <v>0.92</v>
      </c>
      <c r="AA23" s="12">
        <v>0.89</v>
      </c>
      <c r="AB23" s="12">
        <v>0.87</v>
      </c>
      <c r="AC23" s="12">
        <v>0.84</v>
      </c>
      <c r="AD23" s="12">
        <v>0.82</v>
      </c>
      <c r="AE23" s="12">
        <v>0.79</v>
      </c>
      <c r="AF23" s="12">
        <v>0.77</v>
      </c>
      <c r="AG23" s="12">
        <v>0.74</v>
      </c>
      <c r="AH23" s="12">
        <v>0.71</v>
      </c>
      <c r="AI23" s="12">
        <v>0.69</v>
      </c>
      <c r="AJ23" s="12">
        <v>0.67</v>
      </c>
      <c r="AK23" s="12">
        <v>0.65</v>
      </c>
      <c r="AL23" s="12">
        <v>0.63</v>
      </c>
      <c r="AM23" s="12">
        <v>0.6</v>
      </c>
      <c r="AN23" s="12">
        <v>0.6</v>
      </c>
      <c r="AO23" s="12">
        <v>0.59</v>
      </c>
      <c r="AP23" s="12">
        <v>0.57999999999999996</v>
      </c>
      <c r="AQ23" s="12">
        <v>0.56999999999999995</v>
      </c>
      <c r="AR23" s="12">
        <v>0.56000000000000005</v>
      </c>
      <c r="AS23" s="12">
        <v>0.56000000000000005</v>
      </c>
      <c r="AT23" s="12">
        <v>0.56000000000000005</v>
      </c>
      <c r="AU23" s="12">
        <v>0.55000000000000004</v>
      </c>
      <c r="AV23" s="12">
        <v>0.55000000000000004</v>
      </c>
      <c r="AW23" s="12">
        <v>0.55000000000000004</v>
      </c>
      <c r="AX23" s="9"/>
    </row>
    <row r="24" spans="1:50">
      <c r="A24" s="9"/>
      <c r="B24" s="22" t="s">
        <v>23</v>
      </c>
      <c r="C24" s="9"/>
      <c r="D24" s="9"/>
      <c r="E24" s="9"/>
      <c r="F24" s="9"/>
      <c r="G24" s="9"/>
      <c r="H24" s="9"/>
      <c r="I24" s="9"/>
      <c r="J24" s="9"/>
      <c r="K24" s="9"/>
      <c r="L24" s="9"/>
      <c r="M24" s="9"/>
      <c r="N24" s="9"/>
      <c r="O24" s="9"/>
      <c r="P24" s="9"/>
      <c r="Q24" s="9" t="e">
        <v>#REF!</v>
      </c>
      <c r="R24" s="9" t="e">
        <v>#N/A</v>
      </c>
      <c r="S24" s="9" t="e">
        <v>#N/A</v>
      </c>
      <c r="T24" s="9" t="e">
        <v>#N/A</v>
      </c>
      <c r="U24" s="9" t="e">
        <v>#N/A</v>
      </c>
      <c r="V24" s="9" t="e">
        <v>#N/A</v>
      </c>
      <c r="W24" s="9" t="e">
        <v>#N/A</v>
      </c>
      <c r="X24" s="9" t="e">
        <v>#N/A</v>
      </c>
      <c r="Y24" s="9" t="e">
        <v>#N/A</v>
      </c>
      <c r="Z24" s="9" t="e">
        <v>#N/A</v>
      </c>
      <c r="AA24" s="9" t="e">
        <v>#N/A</v>
      </c>
      <c r="AB24" s="9" t="e">
        <v>#N/A</v>
      </c>
      <c r="AC24" s="9" t="e">
        <v>#N/A</v>
      </c>
      <c r="AD24" s="9" t="e">
        <v>#N/A</v>
      </c>
      <c r="AE24" s="9" t="e">
        <v>#N/A</v>
      </c>
      <c r="AF24" s="9" t="e">
        <v>#N/A</v>
      </c>
      <c r="AG24" s="9" t="e">
        <v>#N/A</v>
      </c>
      <c r="AH24" s="9" t="e">
        <v>#N/A</v>
      </c>
      <c r="AI24" s="9" t="e">
        <v>#N/A</v>
      </c>
      <c r="AJ24" s="9" t="e">
        <v>#N/A</v>
      </c>
      <c r="AK24" s="9" t="e">
        <v>#N/A</v>
      </c>
      <c r="AL24" s="9" t="e">
        <v>#N/A</v>
      </c>
      <c r="AM24" s="9" t="e">
        <v>#N/A</v>
      </c>
      <c r="AN24" s="9" t="e">
        <v>#N/A</v>
      </c>
      <c r="AO24" s="9" t="e">
        <v>#N/A</v>
      </c>
      <c r="AP24" s="9" t="e">
        <v>#N/A</v>
      </c>
      <c r="AQ24" s="9" t="e">
        <v>#N/A</v>
      </c>
      <c r="AR24" s="9" t="e">
        <v>#N/A</v>
      </c>
      <c r="AS24" s="9" t="e">
        <v>#N/A</v>
      </c>
      <c r="AT24" s="9" t="e">
        <v>#N/A</v>
      </c>
      <c r="AU24" s="9" t="e">
        <v>#N/A</v>
      </c>
      <c r="AV24" s="9" t="e">
        <v>#N/A</v>
      </c>
      <c r="AW24" s="9" t="e">
        <v>#N/A</v>
      </c>
      <c r="AX24" s="9"/>
    </row>
    <row r="25" spans="1:50">
      <c r="A25" s="9"/>
      <c r="B25" s="23"/>
      <c r="C25" s="9"/>
      <c r="D25" s="9"/>
      <c r="E25" s="9"/>
      <c r="F25" s="9"/>
      <c r="G25" s="9"/>
      <c r="H25" s="9"/>
      <c r="I25" s="9"/>
      <c r="J25" s="9"/>
      <c r="K25" s="9"/>
      <c r="L25" s="9"/>
      <c r="M25" s="9"/>
      <c r="N25" s="9"/>
      <c r="O25" s="9"/>
      <c r="P25" s="9"/>
      <c r="Q25" s="9" t="e">
        <v>#REF!</v>
      </c>
      <c r="R25" s="12">
        <v>1</v>
      </c>
      <c r="S25" s="12">
        <v>1</v>
      </c>
      <c r="T25" s="12">
        <v>0.99</v>
      </c>
      <c r="U25" s="12">
        <v>0.99</v>
      </c>
      <c r="V25" s="12">
        <v>0.98</v>
      </c>
      <c r="W25" s="12">
        <v>0.97</v>
      </c>
      <c r="X25" s="12">
        <v>0.96</v>
      </c>
      <c r="Y25" s="12">
        <v>0.94</v>
      </c>
      <c r="Z25" s="12">
        <v>0.92</v>
      </c>
      <c r="AA25" s="12">
        <v>0.89</v>
      </c>
      <c r="AB25" s="12">
        <v>0.87</v>
      </c>
      <c r="AC25" s="12">
        <v>0.85</v>
      </c>
      <c r="AD25" s="12">
        <v>0.83</v>
      </c>
      <c r="AE25" s="12">
        <v>0.81</v>
      </c>
      <c r="AF25" s="12">
        <v>0.8</v>
      </c>
      <c r="AG25" s="12">
        <v>0.78</v>
      </c>
      <c r="AH25" s="12">
        <v>0.76</v>
      </c>
      <c r="AI25" s="12">
        <v>0.74</v>
      </c>
      <c r="AJ25" s="12">
        <v>0.72</v>
      </c>
      <c r="AK25" s="12">
        <v>0.7</v>
      </c>
      <c r="AL25" s="12">
        <v>0.68</v>
      </c>
      <c r="AM25" s="12">
        <v>0.66</v>
      </c>
      <c r="AN25" s="12">
        <v>0.65</v>
      </c>
      <c r="AO25" s="12">
        <v>0.64</v>
      </c>
      <c r="AP25" s="12">
        <v>0.63</v>
      </c>
      <c r="AQ25" s="12">
        <v>0.62</v>
      </c>
      <c r="AR25" s="12">
        <v>0.61</v>
      </c>
      <c r="AS25" s="12">
        <v>0.61</v>
      </c>
      <c r="AT25" s="12">
        <v>0.61</v>
      </c>
      <c r="AU25" s="12">
        <v>0.61</v>
      </c>
      <c r="AV25" s="12">
        <v>0.61</v>
      </c>
      <c r="AW25" s="12">
        <v>0.6</v>
      </c>
      <c r="AX25" s="9"/>
    </row>
    <row r="26" spans="1:50">
      <c r="A26" s="9"/>
      <c r="B26" s="24"/>
      <c r="C26" s="9"/>
      <c r="D26" s="9"/>
      <c r="E26" s="13" t="s">
        <v>24</v>
      </c>
      <c r="F26" s="13"/>
      <c r="G26" s="9"/>
      <c r="H26" s="9"/>
      <c r="I26" s="9"/>
      <c r="J26" s="9"/>
      <c r="K26" s="9"/>
      <c r="L26" s="9"/>
      <c r="M26" s="9"/>
      <c r="N26" s="9"/>
      <c r="O26" s="9"/>
      <c r="P26" s="9"/>
      <c r="Q26" s="9" t="e">
        <v>#REF!</v>
      </c>
      <c r="R26" s="12">
        <v>1</v>
      </c>
      <c r="S26" s="12">
        <v>1</v>
      </c>
      <c r="T26" s="12">
        <v>0.99</v>
      </c>
      <c r="U26" s="12">
        <v>0.99</v>
      </c>
      <c r="V26" s="12">
        <v>0.98</v>
      </c>
      <c r="W26" s="12">
        <v>0.97</v>
      </c>
      <c r="X26" s="12">
        <v>0.96</v>
      </c>
      <c r="Y26" s="12">
        <v>0.94</v>
      </c>
      <c r="Z26" s="12">
        <v>0.92</v>
      </c>
      <c r="AA26" s="12">
        <v>0.89</v>
      </c>
      <c r="AB26" s="12">
        <v>0.87</v>
      </c>
      <c r="AC26" s="12">
        <v>0.85</v>
      </c>
      <c r="AD26" s="12">
        <v>0.83</v>
      </c>
      <c r="AE26" s="12">
        <v>0.81</v>
      </c>
      <c r="AF26" s="12">
        <v>0.8</v>
      </c>
      <c r="AG26" s="12">
        <v>0.78</v>
      </c>
      <c r="AH26" s="12">
        <v>0.76</v>
      </c>
      <c r="AI26" s="12">
        <v>0.74</v>
      </c>
      <c r="AJ26" s="12">
        <v>0.72</v>
      </c>
      <c r="AK26" s="12">
        <v>0.7</v>
      </c>
      <c r="AL26" s="12">
        <v>0.68</v>
      </c>
      <c r="AM26" s="12">
        <v>0.66</v>
      </c>
      <c r="AN26" s="12">
        <v>0.65</v>
      </c>
      <c r="AO26" s="12">
        <v>0.64</v>
      </c>
      <c r="AP26" s="12">
        <v>0.63</v>
      </c>
      <c r="AQ26" s="12">
        <v>0.62</v>
      </c>
      <c r="AR26" s="12">
        <v>0.61</v>
      </c>
      <c r="AS26" s="12">
        <v>0.61</v>
      </c>
      <c r="AT26" s="12">
        <v>0.61</v>
      </c>
      <c r="AU26" s="12">
        <v>0.61</v>
      </c>
      <c r="AV26" s="12">
        <v>0.61</v>
      </c>
      <c r="AW26" s="12">
        <v>0.6</v>
      </c>
      <c r="AX26" s="9"/>
    </row>
    <row r="27" spans="1:50">
      <c r="A27" s="9"/>
      <c r="B27" s="25"/>
      <c r="C27" s="9"/>
      <c r="D27" s="9"/>
      <c r="E27" s="9"/>
      <c r="F27" s="9"/>
      <c r="G27" s="9"/>
      <c r="H27" s="9"/>
      <c r="I27" s="9"/>
      <c r="J27" s="9"/>
      <c r="K27" s="9"/>
      <c r="L27" s="9"/>
      <c r="M27" s="9"/>
      <c r="N27" s="9"/>
      <c r="O27" s="9"/>
      <c r="P27" s="9"/>
      <c r="Q27" s="9" t="e">
        <v>#REF!</v>
      </c>
      <c r="R27" s="12">
        <v>1</v>
      </c>
      <c r="S27" s="12">
        <v>1.01</v>
      </c>
      <c r="T27" s="12">
        <v>0.99</v>
      </c>
      <c r="U27" s="12">
        <v>0.98</v>
      </c>
      <c r="V27" s="12">
        <v>0.96</v>
      </c>
      <c r="W27" s="12">
        <v>0.95</v>
      </c>
      <c r="X27" s="12">
        <v>0.94</v>
      </c>
      <c r="Y27" s="12">
        <v>0.92</v>
      </c>
      <c r="Z27" s="12">
        <v>0.91</v>
      </c>
      <c r="AA27" s="12">
        <v>0.89</v>
      </c>
      <c r="AB27" s="12">
        <v>0.88</v>
      </c>
      <c r="AC27" s="12">
        <v>0.87</v>
      </c>
      <c r="AD27" s="12">
        <v>0.85</v>
      </c>
      <c r="AE27" s="12">
        <v>0.84</v>
      </c>
      <c r="AF27" s="12">
        <v>0.82</v>
      </c>
      <c r="AG27" s="12">
        <v>0.81</v>
      </c>
      <c r="AH27" s="12">
        <v>0.79</v>
      </c>
      <c r="AI27" s="12">
        <v>0.78</v>
      </c>
      <c r="AJ27" s="12">
        <v>0.78</v>
      </c>
      <c r="AK27" s="12">
        <v>0.77</v>
      </c>
      <c r="AL27" s="12">
        <v>0.76</v>
      </c>
      <c r="AM27" s="12">
        <v>0.75</v>
      </c>
      <c r="AN27" s="12">
        <v>0.75</v>
      </c>
      <c r="AO27" s="12">
        <v>0.75</v>
      </c>
      <c r="AP27" s="12">
        <v>0.75</v>
      </c>
      <c r="AQ27" s="12">
        <v>0.75</v>
      </c>
      <c r="AR27" s="12">
        <v>0.75</v>
      </c>
      <c r="AS27" s="12">
        <v>0.75</v>
      </c>
      <c r="AT27" s="12">
        <v>0.75</v>
      </c>
      <c r="AU27" s="12">
        <v>0.76</v>
      </c>
      <c r="AV27" s="12">
        <v>0.76</v>
      </c>
      <c r="AW27" s="12">
        <v>0.76</v>
      </c>
      <c r="AX27" s="9"/>
    </row>
    <row r="28" spans="1:50">
      <c r="A28" s="9"/>
      <c r="B28" s="26"/>
      <c r="C28" s="9"/>
      <c r="D28" s="9"/>
      <c r="F28" s="9"/>
      <c r="G28" s="9"/>
      <c r="H28" s="9"/>
      <c r="I28" s="9"/>
      <c r="J28" s="9"/>
      <c r="K28" s="9"/>
      <c r="L28" s="9"/>
      <c r="M28" s="9"/>
      <c r="N28" s="9"/>
      <c r="O28" s="9"/>
      <c r="P28" s="9"/>
      <c r="Q28" s="9" t="e">
        <v>#REF!</v>
      </c>
      <c r="R28" s="9" t="e">
        <v>#N/A</v>
      </c>
      <c r="S28" s="9" t="e">
        <v>#N/A</v>
      </c>
      <c r="T28" s="9" t="e">
        <v>#N/A</v>
      </c>
      <c r="U28" s="9" t="e">
        <v>#N/A</v>
      </c>
      <c r="V28" s="9" t="e">
        <v>#N/A</v>
      </c>
      <c r="W28" s="9" t="e">
        <v>#N/A</v>
      </c>
      <c r="X28" s="9" t="e">
        <v>#N/A</v>
      </c>
      <c r="Y28" s="9" t="e">
        <v>#N/A</v>
      </c>
      <c r="Z28" s="9" t="e">
        <v>#N/A</v>
      </c>
      <c r="AA28" s="9" t="e">
        <v>#N/A</v>
      </c>
      <c r="AB28" s="9" t="e">
        <v>#N/A</v>
      </c>
      <c r="AC28" s="9" t="e">
        <v>#N/A</v>
      </c>
      <c r="AD28" s="9" t="e">
        <v>#N/A</v>
      </c>
      <c r="AE28" s="9" t="e">
        <v>#N/A</v>
      </c>
      <c r="AF28" s="9" t="e">
        <v>#N/A</v>
      </c>
      <c r="AG28" s="9" t="e">
        <v>#N/A</v>
      </c>
      <c r="AH28" s="9" t="e">
        <v>#N/A</v>
      </c>
      <c r="AI28" s="9" t="e">
        <v>#N/A</v>
      </c>
      <c r="AJ28" s="9" t="e">
        <v>#N/A</v>
      </c>
      <c r="AK28" s="9" t="e">
        <v>#N/A</v>
      </c>
      <c r="AL28" s="9" t="e">
        <v>#N/A</v>
      </c>
      <c r="AM28" s="9" t="e">
        <v>#N/A</v>
      </c>
      <c r="AN28" s="9" t="e">
        <v>#N/A</v>
      </c>
      <c r="AO28" s="9" t="e">
        <v>#N/A</v>
      </c>
      <c r="AP28" s="9" t="e">
        <v>#N/A</v>
      </c>
      <c r="AQ28" s="9" t="e">
        <v>#N/A</v>
      </c>
      <c r="AR28" s="9" t="e">
        <v>#N/A</v>
      </c>
      <c r="AS28" s="9" t="e">
        <v>#N/A</v>
      </c>
      <c r="AT28" s="9" t="e">
        <v>#N/A</v>
      </c>
      <c r="AU28" s="9" t="e">
        <v>#N/A</v>
      </c>
      <c r="AV28" s="9" t="e">
        <v>#N/A</v>
      </c>
      <c r="AW28" s="9" t="e">
        <v>#N/A</v>
      </c>
      <c r="AX28" s="9"/>
    </row>
    <row r="29" spans="1:50">
      <c r="A29" s="9"/>
      <c r="B29" s="27"/>
      <c r="C29" s="9"/>
      <c r="D29" s="9"/>
      <c r="E29" s="9"/>
      <c r="F29" s="9"/>
      <c r="G29" s="9"/>
      <c r="H29" s="9"/>
      <c r="I29" s="9"/>
      <c r="J29" s="9"/>
      <c r="K29" s="9"/>
      <c r="L29" s="9"/>
      <c r="M29" s="9"/>
      <c r="N29" s="9"/>
      <c r="O29" s="9"/>
      <c r="P29" s="9"/>
      <c r="Q29" s="9" t="e">
        <v>#REF!</v>
      </c>
      <c r="R29" s="9" t="e">
        <v>#N/A</v>
      </c>
      <c r="S29" s="9" t="e">
        <v>#N/A</v>
      </c>
      <c r="T29" s="9" t="e">
        <v>#N/A</v>
      </c>
      <c r="U29" s="9" t="e">
        <v>#N/A</v>
      </c>
      <c r="V29" s="9" t="e">
        <v>#N/A</v>
      </c>
      <c r="W29" s="9" t="e">
        <v>#N/A</v>
      </c>
      <c r="X29" s="9" t="e">
        <v>#N/A</v>
      </c>
      <c r="Y29" s="9" t="e">
        <v>#N/A</v>
      </c>
      <c r="Z29" s="9" t="e">
        <v>#N/A</v>
      </c>
      <c r="AA29" s="9" t="e">
        <v>#N/A</v>
      </c>
      <c r="AB29" s="9" t="e">
        <v>#N/A</v>
      </c>
      <c r="AC29" s="9" t="e">
        <v>#N/A</v>
      </c>
      <c r="AD29" s="9" t="e">
        <v>#N/A</v>
      </c>
      <c r="AE29" s="9" t="e">
        <v>#N/A</v>
      </c>
      <c r="AF29" s="9" t="e">
        <v>#N/A</v>
      </c>
      <c r="AG29" s="9" t="e">
        <v>#N/A</v>
      </c>
      <c r="AH29" s="9" t="e">
        <v>#N/A</v>
      </c>
      <c r="AI29" s="9" t="e">
        <v>#N/A</v>
      </c>
      <c r="AJ29" s="9" t="e">
        <v>#N/A</v>
      </c>
      <c r="AK29" s="9" t="e">
        <v>#N/A</v>
      </c>
      <c r="AL29" s="9" t="e">
        <v>#N/A</v>
      </c>
      <c r="AM29" s="9" t="e">
        <v>#N/A</v>
      </c>
      <c r="AN29" s="9" t="e">
        <v>#N/A</v>
      </c>
      <c r="AO29" s="9" t="e">
        <v>#N/A</v>
      </c>
      <c r="AP29" s="9" t="e">
        <v>#N/A</v>
      </c>
      <c r="AQ29" s="9" t="e">
        <v>#N/A</v>
      </c>
      <c r="AR29" s="9" t="e">
        <v>#N/A</v>
      </c>
      <c r="AS29" s="9" t="e">
        <v>#N/A</v>
      </c>
      <c r="AT29" s="9" t="e">
        <v>#N/A</v>
      </c>
      <c r="AU29" s="9" t="e">
        <v>#N/A</v>
      </c>
      <c r="AV29" s="9" t="e">
        <v>#N/A</v>
      </c>
      <c r="AW29" s="9" t="e">
        <v>#N/A</v>
      </c>
      <c r="AX29" s="9"/>
    </row>
    <row r="30" spans="1:50">
      <c r="A30" s="9"/>
      <c r="B30" s="9"/>
      <c r="C30" s="9"/>
      <c r="D30" s="9"/>
      <c r="E30" s="9"/>
      <c r="F30" s="9"/>
      <c r="G30" s="9"/>
      <c r="H30" s="9"/>
      <c r="I30" s="9"/>
      <c r="J30" s="9"/>
      <c r="K30" s="9"/>
      <c r="L30" s="9"/>
      <c r="M30" s="9"/>
      <c r="N30" s="9"/>
      <c r="O30" s="9"/>
      <c r="P30" s="9"/>
      <c r="Q30" s="9" t="e">
        <v>#REF!</v>
      </c>
      <c r="R30" s="12">
        <v>1</v>
      </c>
      <c r="S30" s="12">
        <v>1</v>
      </c>
      <c r="T30" s="12">
        <v>0.99</v>
      </c>
      <c r="U30" s="12">
        <v>0.99</v>
      </c>
      <c r="V30" s="12">
        <v>0.98</v>
      </c>
      <c r="W30" s="12">
        <v>0.97</v>
      </c>
      <c r="X30" s="12">
        <v>0.96</v>
      </c>
      <c r="Y30" s="12">
        <v>0.94</v>
      </c>
      <c r="Z30" s="12">
        <v>0.92</v>
      </c>
      <c r="AA30" s="12">
        <v>0.89</v>
      </c>
      <c r="AB30" s="12">
        <v>0.87</v>
      </c>
      <c r="AC30" s="12">
        <v>0.85</v>
      </c>
      <c r="AD30" s="12">
        <v>0.83</v>
      </c>
      <c r="AE30" s="12">
        <v>0.81</v>
      </c>
      <c r="AF30" s="12">
        <v>0.8</v>
      </c>
      <c r="AG30" s="12">
        <v>0.78</v>
      </c>
      <c r="AH30" s="12">
        <v>0.76</v>
      </c>
      <c r="AI30" s="12">
        <v>0.74</v>
      </c>
      <c r="AJ30" s="12">
        <v>0.72</v>
      </c>
      <c r="AK30" s="12">
        <v>0.7</v>
      </c>
      <c r="AL30" s="12">
        <v>0.68</v>
      </c>
      <c r="AM30" s="12">
        <v>0.65</v>
      </c>
      <c r="AN30" s="12">
        <v>0.65</v>
      </c>
      <c r="AO30" s="12">
        <v>0.64</v>
      </c>
      <c r="AP30" s="12">
        <v>0.63</v>
      </c>
      <c r="AQ30" s="12">
        <v>0.62</v>
      </c>
      <c r="AR30" s="12">
        <v>0.61</v>
      </c>
      <c r="AS30" s="12">
        <v>0.61</v>
      </c>
      <c r="AT30" s="12">
        <v>0.6</v>
      </c>
      <c r="AU30" s="12">
        <v>0.6</v>
      </c>
      <c r="AV30" s="12">
        <v>0.6</v>
      </c>
      <c r="AW30" s="12">
        <v>0.59</v>
      </c>
      <c r="AX30" s="9"/>
    </row>
    <row r="31" spans="1:50">
      <c r="A31" s="10" t="s">
        <v>25</v>
      </c>
      <c r="B31" s="9" t="s">
        <v>26</v>
      </c>
      <c r="C31" s="9"/>
      <c r="D31" s="9"/>
      <c r="E31" s="9"/>
      <c r="F31" s="9"/>
      <c r="G31" s="9"/>
      <c r="H31" s="9"/>
      <c r="I31" s="9"/>
      <c r="J31" s="9"/>
      <c r="K31" s="9"/>
      <c r="L31" s="9"/>
      <c r="M31" s="9"/>
      <c r="N31" s="9"/>
      <c r="O31" s="9"/>
      <c r="P31" s="9"/>
      <c r="Q31" s="9" t="e">
        <v>#REF!</v>
      </c>
      <c r="R31" s="12">
        <v>1</v>
      </c>
      <c r="S31" s="12">
        <v>1</v>
      </c>
      <c r="T31" s="12">
        <v>0.99</v>
      </c>
      <c r="U31" s="12">
        <v>0.99</v>
      </c>
      <c r="V31" s="12">
        <v>0.98</v>
      </c>
      <c r="W31" s="12">
        <v>0.97</v>
      </c>
      <c r="X31" s="12">
        <v>0.96</v>
      </c>
      <c r="Y31" s="12">
        <v>0.94</v>
      </c>
      <c r="Z31" s="12">
        <v>0.92</v>
      </c>
      <c r="AA31" s="12">
        <v>0.89</v>
      </c>
      <c r="AB31" s="12">
        <v>0.87</v>
      </c>
      <c r="AC31" s="12">
        <v>0.85</v>
      </c>
      <c r="AD31" s="12">
        <v>0.83</v>
      </c>
      <c r="AE31" s="12">
        <v>0.8</v>
      </c>
      <c r="AF31" s="12">
        <v>0.78</v>
      </c>
      <c r="AG31" s="12">
        <v>0.76</v>
      </c>
      <c r="AH31" s="12">
        <v>0.73</v>
      </c>
      <c r="AI31" s="12">
        <v>0.71</v>
      </c>
      <c r="AJ31" s="12">
        <v>0.69</v>
      </c>
      <c r="AK31" s="12">
        <v>0.66</v>
      </c>
      <c r="AL31" s="12">
        <v>0.64</v>
      </c>
      <c r="AM31" s="12">
        <v>0.62</v>
      </c>
      <c r="AN31" s="12">
        <v>0.61</v>
      </c>
      <c r="AO31" s="12">
        <v>0.6</v>
      </c>
      <c r="AP31" s="12">
        <v>0.6</v>
      </c>
      <c r="AQ31" s="12">
        <v>0.59</v>
      </c>
      <c r="AR31" s="12">
        <v>0.59</v>
      </c>
      <c r="AS31" s="12">
        <v>0.57999999999999996</v>
      </c>
      <c r="AT31" s="12">
        <v>0.57999999999999996</v>
      </c>
      <c r="AU31" s="12">
        <v>0.57999999999999996</v>
      </c>
      <c r="AV31" s="12">
        <v>0.57999999999999996</v>
      </c>
      <c r="AW31" s="12">
        <v>0.57999999999999996</v>
      </c>
      <c r="AX31" s="9"/>
    </row>
    <row r="32" spans="1:50">
      <c r="A32" s="10" t="s">
        <v>27</v>
      </c>
      <c r="B32" s="9" t="s">
        <v>28</v>
      </c>
      <c r="C32" s="9"/>
      <c r="D32" s="9"/>
      <c r="E32" s="9"/>
      <c r="F32" s="9"/>
      <c r="G32" s="9"/>
      <c r="H32" s="9"/>
      <c r="I32" s="9"/>
      <c r="J32" s="9"/>
      <c r="K32" s="9"/>
      <c r="L32" s="9"/>
      <c r="M32" s="9"/>
      <c r="N32" s="9"/>
      <c r="O32" s="9"/>
      <c r="P32" s="9"/>
      <c r="Q32" s="9" t="e">
        <v>#REF!</v>
      </c>
      <c r="R32" s="12">
        <v>1</v>
      </c>
      <c r="S32" s="12">
        <v>1</v>
      </c>
      <c r="T32" s="12">
        <v>0.99</v>
      </c>
      <c r="U32" s="12">
        <v>0.99</v>
      </c>
      <c r="V32" s="12">
        <v>0.98</v>
      </c>
      <c r="W32" s="12">
        <v>0.97</v>
      </c>
      <c r="X32" s="12">
        <v>0.96</v>
      </c>
      <c r="Y32" s="12">
        <v>0.94</v>
      </c>
      <c r="Z32" s="12">
        <v>0.92</v>
      </c>
      <c r="AA32" s="12">
        <v>0.89</v>
      </c>
      <c r="AB32" s="12">
        <v>0.87</v>
      </c>
      <c r="AC32" s="12">
        <v>0.85</v>
      </c>
      <c r="AD32" s="12">
        <v>0.82</v>
      </c>
      <c r="AE32" s="12">
        <v>0.79</v>
      </c>
      <c r="AF32" s="12">
        <v>0.76</v>
      </c>
      <c r="AG32" s="12">
        <v>0.73</v>
      </c>
      <c r="AH32" s="12">
        <v>0.7</v>
      </c>
      <c r="AI32" s="12">
        <v>0.68</v>
      </c>
      <c r="AJ32" s="12">
        <v>0.66</v>
      </c>
      <c r="AK32" s="12">
        <v>0.64</v>
      </c>
      <c r="AL32" s="12">
        <v>0.62</v>
      </c>
      <c r="AM32" s="12">
        <v>0.6</v>
      </c>
      <c r="AN32" s="12">
        <v>0.6</v>
      </c>
      <c r="AO32" s="12">
        <v>0.6</v>
      </c>
      <c r="AP32" s="12">
        <v>0.59</v>
      </c>
      <c r="AQ32" s="12">
        <v>0.59</v>
      </c>
      <c r="AR32" s="12">
        <v>0.59</v>
      </c>
      <c r="AS32" s="12">
        <v>0.59</v>
      </c>
      <c r="AT32" s="12">
        <v>0.59</v>
      </c>
      <c r="AU32" s="12">
        <v>0.6</v>
      </c>
      <c r="AV32" s="12">
        <v>0.6</v>
      </c>
      <c r="AW32" s="12">
        <v>0.6</v>
      </c>
      <c r="AX32" s="9"/>
    </row>
    <row r="33" spans="1:50">
      <c r="A33" s="9"/>
      <c r="B33" s="9"/>
      <c r="C33" s="9"/>
      <c r="D33" s="9"/>
      <c r="E33" s="9"/>
      <c r="F33" s="9"/>
      <c r="G33" s="9"/>
      <c r="H33" s="9"/>
      <c r="I33" s="9"/>
      <c r="J33" s="9"/>
      <c r="K33" s="9"/>
      <c r="L33" s="9"/>
      <c r="M33" s="9"/>
      <c r="N33" s="9"/>
      <c r="O33" s="9"/>
      <c r="P33" s="9"/>
      <c r="Q33" s="9" t="e">
        <v>#REF!</v>
      </c>
      <c r="R33" s="12">
        <v>1</v>
      </c>
      <c r="S33" s="12">
        <v>1</v>
      </c>
      <c r="T33" s="12">
        <v>0.99</v>
      </c>
      <c r="U33" s="12">
        <v>0.99</v>
      </c>
      <c r="V33" s="12">
        <v>0.98</v>
      </c>
      <c r="W33" s="12">
        <v>0.97</v>
      </c>
      <c r="X33" s="12">
        <v>0.97</v>
      </c>
      <c r="Y33" s="12">
        <v>0.96</v>
      </c>
      <c r="Z33" s="12">
        <v>0.95</v>
      </c>
      <c r="AA33" s="12">
        <v>0.94</v>
      </c>
      <c r="AB33" s="12">
        <v>0.94</v>
      </c>
      <c r="AC33" s="12">
        <v>0.93</v>
      </c>
      <c r="AD33" s="12">
        <v>0.92</v>
      </c>
      <c r="AE33" s="12">
        <v>0.9</v>
      </c>
      <c r="AF33" s="12">
        <v>0.89</v>
      </c>
      <c r="AG33" s="12">
        <v>0.88</v>
      </c>
      <c r="AH33" s="12">
        <v>0.87</v>
      </c>
      <c r="AI33" s="12">
        <v>0.85</v>
      </c>
      <c r="AJ33" s="12">
        <v>0.83</v>
      </c>
      <c r="AK33" s="12">
        <v>0.81</v>
      </c>
      <c r="AL33" s="12">
        <v>0.8</v>
      </c>
      <c r="AM33" s="12">
        <v>0.78</v>
      </c>
      <c r="AN33" s="12">
        <v>0.77</v>
      </c>
      <c r="AO33" s="12">
        <v>0.76</v>
      </c>
      <c r="AP33" s="12">
        <v>0.76</v>
      </c>
      <c r="AQ33" s="12">
        <v>0.75</v>
      </c>
      <c r="AR33" s="12">
        <v>0.74</v>
      </c>
      <c r="AS33" s="12">
        <v>0.74</v>
      </c>
      <c r="AT33" s="12">
        <v>0.73</v>
      </c>
      <c r="AU33" s="12">
        <v>0.72</v>
      </c>
      <c r="AV33" s="12">
        <v>0.72</v>
      </c>
      <c r="AW33" s="12">
        <v>0.71</v>
      </c>
      <c r="AX33" s="9"/>
    </row>
    <row r="34" spans="1:50">
      <c r="A34" s="9"/>
      <c r="B34" s="9"/>
      <c r="C34" s="9"/>
      <c r="D34" s="9"/>
      <c r="E34" s="9"/>
      <c r="F34" s="9"/>
      <c r="G34" s="9"/>
      <c r="H34" s="9"/>
      <c r="I34" s="9"/>
      <c r="J34" s="9"/>
      <c r="K34" s="9"/>
      <c r="L34" s="9"/>
      <c r="M34" s="9"/>
      <c r="N34" s="9"/>
      <c r="O34" s="9"/>
      <c r="P34" s="9"/>
      <c r="Q34" s="9" t="e">
        <v>#REF!</v>
      </c>
      <c r="R34" s="12">
        <v>1</v>
      </c>
      <c r="S34" s="12">
        <v>1</v>
      </c>
      <c r="T34" s="12">
        <v>0.99</v>
      </c>
      <c r="U34" s="12">
        <v>0.99</v>
      </c>
      <c r="V34" s="12">
        <v>0.98</v>
      </c>
      <c r="W34" s="12">
        <v>0.98</v>
      </c>
      <c r="X34" s="12">
        <v>0.97</v>
      </c>
      <c r="Y34" s="12">
        <v>0.96</v>
      </c>
      <c r="Z34" s="12">
        <v>0.95</v>
      </c>
      <c r="AA34" s="12">
        <v>0.95</v>
      </c>
      <c r="AB34" s="12">
        <v>0.94</v>
      </c>
      <c r="AC34" s="12">
        <v>0.93</v>
      </c>
      <c r="AD34" s="12">
        <v>0.92</v>
      </c>
      <c r="AE34" s="12">
        <v>0.91</v>
      </c>
      <c r="AF34" s="12">
        <v>0.9</v>
      </c>
      <c r="AG34" s="12">
        <v>0.89</v>
      </c>
      <c r="AH34" s="12">
        <v>0.87</v>
      </c>
      <c r="AI34" s="12">
        <v>0.86</v>
      </c>
      <c r="AJ34" s="12">
        <v>0.84</v>
      </c>
      <c r="AK34" s="12">
        <v>0.82</v>
      </c>
      <c r="AL34" s="12">
        <v>0.8</v>
      </c>
      <c r="AM34" s="12">
        <v>0.78</v>
      </c>
      <c r="AN34" s="12">
        <v>0.78</v>
      </c>
      <c r="AO34" s="12">
        <v>0.77</v>
      </c>
      <c r="AP34" s="12">
        <v>0.76</v>
      </c>
      <c r="AQ34" s="12">
        <v>0.76</v>
      </c>
      <c r="AR34" s="12">
        <v>0.75</v>
      </c>
      <c r="AS34" s="12">
        <v>0.74</v>
      </c>
      <c r="AT34" s="12">
        <v>0.74</v>
      </c>
      <c r="AU34" s="12">
        <v>0.73</v>
      </c>
      <c r="AV34" s="12">
        <v>0.72</v>
      </c>
      <c r="AW34" s="12">
        <v>0.71</v>
      </c>
      <c r="AX34" s="9"/>
    </row>
    <row r="35" spans="1:50">
      <c r="A35" s="9"/>
      <c r="B35" s="9"/>
      <c r="C35" s="9"/>
      <c r="D35" s="9"/>
      <c r="E35" s="9"/>
      <c r="F35" s="9"/>
      <c r="G35" s="9"/>
      <c r="H35" s="9"/>
      <c r="I35" s="9"/>
      <c r="J35" s="9"/>
      <c r="K35" s="9"/>
      <c r="L35" s="9"/>
      <c r="M35" s="9"/>
      <c r="N35" s="9"/>
      <c r="O35" s="9"/>
      <c r="P35" s="9"/>
      <c r="Q35" s="9" t="e">
        <v>#REF!</v>
      </c>
      <c r="R35" s="12">
        <v>1</v>
      </c>
      <c r="S35" s="12">
        <v>1</v>
      </c>
      <c r="T35" s="12">
        <v>0.99</v>
      </c>
      <c r="U35" s="12">
        <v>0.99</v>
      </c>
      <c r="V35" s="12">
        <v>0.98</v>
      </c>
      <c r="W35" s="12">
        <v>0.98</v>
      </c>
      <c r="X35" s="12">
        <v>0.97</v>
      </c>
      <c r="Y35" s="12">
        <v>0.97</v>
      </c>
      <c r="Z35" s="12">
        <v>0.96</v>
      </c>
      <c r="AA35" s="12">
        <v>0.95</v>
      </c>
      <c r="AB35" s="12">
        <v>0.95</v>
      </c>
      <c r="AC35" s="12">
        <v>0.94</v>
      </c>
      <c r="AD35" s="12">
        <v>0.93</v>
      </c>
      <c r="AE35" s="12">
        <v>0.92</v>
      </c>
      <c r="AF35" s="12">
        <v>0.9</v>
      </c>
      <c r="AG35" s="12">
        <v>0.89</v>
      </c>
      <c r="AH35" s="12">
        <v>0.88</v>
      </c>
      <c r="AI35" s="12">
        <v>0.86</v>
      </c>
      <c r="AJ35" s="12">
        <v>0.85</v>
      </c>
      <c r="AK35" s="12">
        <v>0.83</v>
      </c>
      <c r="AL35" s="12">
        <v>0.81</v>
      </c>
      <c r="AM35" s="12">
        <v>0.79</v>
      </c>
      <c r="AN35" s="12">
        <v>0.78</v>
      </c>
      <c r="AO35" s="12">
        <v>0.78</v>
      </c>
      <c r="AP35" s="12">
        <v>0.77</v>
      </c>
      <c r="AQ35" s="12">
        <v>0.76</v>
      </c>
      <c r="AR35" s="12">
        <v>0.75</v>
      </c>
      <c r="AS35" s="12">
        <v>0.75</v>
      </c>
      <c r="AT35" s="12">
        <v>0.74</v>
      </c>
      <c r="AU35" s="12">
        <v>0.73</v>
      </c>
      <c r="AV35" s="12">
        <v>0.72</v>
      </c>
      <c r="AW35" s="12">
        <v>0.71</v>
      </c>
      <c r="AX35" s="9"/>
    </row>
    <row r="36" spans="1:50">
      <c r="A36" s="9"/>
      <c r="B36" s="9"/>
      <c r="C36" s="9"/>
      <c r="D36" s="9"/>
      <c r="E36" s="9"/>
      <c r="F36" s="9"/>
      <c r="G36" s="9"/>
      <c r="H36" s="9"/>
      <c r="I36" s="9"/>
      <c r="J36" s="9"/>
      <c r="K36" s="9"/>
      <c r="L36" s="9"/>
      <c r="M36" s="9"/>
      <c r="N36" s="9"/>
      <c r="O36" s="9"/>
      <c r="P36" s="9"/>
      <c r="Q36" s="9" t="e">
        <v>#REF!</v>
      </c>
      <c r="R36" s="12">
        <v>1</v>
      </c>
      <c r="S36" s="12">
        <v>1</v>
      </c>
      <c r="T36" s="12">
        <v>0.99</v>
      </c>
      <c r="U36" s="12">
        <v>0.99</v>
      </c>
      <c r="V36" s="12">
        <v>0.98</v>
      </c>
      <c r="W36" s="12">
        <v>0.97</v>
      </c>
      <c r="X36" s="12">
        <v>0.97</v>
      </c>
      <c r="Y36" s="12">
        <v>0.96</v>
      </c>
      <c r="Z36" s="12">
        <v>0.95</v>
      </c>
      <c r="AA36" s="12">
        <v>0.94</v>
      </c>
      <c r="AB36" s="12">
        <v>0.93</v>
      </c>
      <c r="AC36" s="12">
        <v>0.92</v>
      </c>
      <c r="AD36" s="12">
        <v>0.91</v>
      </c>
      <c r="AE36" s="12">
        <v>0.9</v>
      </c>
      <c r="AF36" s="12">
        <v>0.89</v>
      </c>
      <c r="AG36" s="12">
        <v>0.88</v>
      </c>
      <c r="AH36" s="12">
        <v>0.86</v>
      </c>
      <c r="AI36" s="12">
        <v>0.85</v>
      </c>
      <c r="AJ36" s="12">
        <v>0.83</v>
      </c>
      <c r="AK36" s="12">
        <v>0.81</v>
      </c>
      <c r="AL36" s="12">
        <v>0.79</v>
      </c>
      <c r="AM36" s="12">
        <v>0.77</v>
      </c>
      <c r="AN36" s="12">
        <v>0.77</v>
      </c>
      <c r="AO36" s="12">
        <v>0.76</v>
      </c>
      <c r="AP36" s="12">
        <v>0.75</v>
      </c>
      <c r="AQ36" s="12">
        <v>0.75</v>
      </c>
      <c r="AR36" s="12">
        <v>0.74</v>
      </c>
      <c r="AS36" s="12">
        <v>0.73</v>
      </c>
      <c r="AT36" s="12">
        <v>0.73</v>
      </c>
      <c r="AU36" s="12">
        <v>0.72</v>
      </c>
      <c r="AV36" s="12">
        <v>0.71</v>
      </c>
      <c r="AW36" s="12">
        <v>0.71</v>
      </c>
      <c r="AX36" s="9"/>
    </row>
    <row r="37" spans="1:50">
      <c r="A37" s="9"/>
      <c r="B37" s="9"/>
      <c r="C37" s="9"/>
      <c r="D37" s="9"/>
      <c r="E37" s="9"/>
      <c r="F37" s="9"/>
      <c r="G37" s="9"/>
      <c r="H37" s="9"/>
      <c r="I37" s="9"/>
      <c r="J37" s="9"/>
      <c r="K37" s="9"/>
      <c r="L37" s="9"/>
      <c r="M37" s="9"/>
      <c r="N37" s="9"/>
      <c r="O37" s="9"/>
      <c r="P37" s="9"/>
      <c r="Q37" s="9" t="e">
        <v>#REF!</v>
      </c>
      <c r="R37" s="12">
        <v>1</v>
      </c>
      <c r="S37" s="12">
        <v>1</v>
      </c>
      <c r="T37" s="12">
        <v>0.98</v>
      </c>
      <c r="U37" s="12">
        <v>0.96</v>
      </c>
      <c r="V37" s="12">
        <v>0.95</v>
      </c>
      <c r="W37" s="12">
        <v>0.93</v>
      </c>
      <c r="X37" s="12">
        <v>0.91</v>
      </c>
      <c r="Y37" s="12">
        <v>0.9</v>
      </c>
      <c r="Z37" s="12">
        <v>0.89</v>
      </c>
      <c r="AA37" s="12">
        <v>0.88</v>
      </c>
      <c r="AB37" s="12">
        <v>0.87</v>
      </c>
      <c r="AC37" s="12">
        <v>0.86</v>
      </c>
      <c r="AD37" s="12">
        <v>0.84</v>
      </c>
      <c r="AE37" s="12">
        <v>0.83</v>
      </c>
      <c r="AF37" s="12">
        <v>0.82</v>
      </c>
      <c r="AG37" s="12">
        <v>0.8</v>
      </c>
      <c r="AH37" s="12">
        <v>0.79</v>
      </c>
      <c r="AI37" s="12">
        <v>0.77</v>
      </c>
      <c r="AJ37" s="12">
        <v>0.75</v>
      </c>
      <c r="AK37" s="12">
        <v>0.72</v>
      </c>
      <c r="AL37" s="12">
        <v>0.7</v>
      </c>
      <c r="AM37" s="12">
        <v>0.68</v>
      </c>
      <c r="AN37" s="12">
        <v>0.67</v>
      </c>
      <c r="AO37" s="12">
        <v>0.66</v>
      </c>
      <c r="AP37" s="12">
        <v>0.65</v>
      </c>
      <c r="AQ37" s="12">
        <v>0.64</v>
      </c>
      <c r="AR37" s="12">
        <v>0.63</v>
      </c>
      <c r="AS37" s="12">
        <v>0.63</v>
      </c>
      <c r="AT37" s="12">
        <v>0.62</v>
      </c>
      <c r="AU37" s="12">
        <v>0.61</v>
      </c>
      <c r="AV37" s="12">
        <v>0.61</v>
      </c>
      <c r="AW37" s="12">
        <v>0.6</v>
      </c>
      <c r="AX37" s="9"/>
    </row>
    <row r="38" spans="1:50">
      <c r="A38" s="9"/>
      <c r="B38" s="9"/>
      <c r="C38" s="9"/>
      <c r="D38" s="9"/>
      <c r="E38" s="9"/>
      <c r="F38" s="9"/>
      <c r="G38" s="9"/>
      <c r="H38" s="9"/>
      <c r="I38" s="9"/>
      <c r="J38" s="9"/>
      <c r="K38" s="9"/>
      <c r="L38" s="9"/>
      <c r="M38" s="9"/>
      <c r="N38" s="9"/>
      <c r="O38" s="9"/>
      <c r="P38" s="9"/>
      <c r="Q38" s="9" t="e">
        <v>#REF!</v>
      </c>
      <c r="R38" s="12">
        <v>1</v>
      </c>
      <c r="S38" s="12">
        <v>1</v>
      </c>
      <c r="T38" s="12">
        <v>0.99</v>
      </c>
      <c r="U38" s="12">
        <v>0.98</v>
      </c>
      <c r="V38" s="12">
        <v>0.96</v>
      </c>
      <c r="W38" s="12">
        <v>0.95</v>
      </c>
      <c r="X38" s="12">
        <v>0.94</v>
      </c>
      <c r="Y38" s="12">
        <v>0.92</v>
      </c>
      <c r="Z38" s="12">
        <v>0.91</v>
      </c>
      <c r="AA38" s="12">
        <v>0.89</v>
      </c>
      <c r="AB38" s="12">
        <v>0.88</v>
      </c>
      <c r="AC38" s="12">
        <v>0.86</v>
      </c>
      <c r="AD38" s="12">
        <v>0.85</v>
      </c>
      <c r="AE38" s="12">
        <v>0.83</v>
      </c>
      <c r="AF38" s="12">
        <v>0.81</v>
      </c>
      <c r="AG38" s="12">
        <v>0.8</v>
      </c>
      <c r="AH38" s="12">
        <v>0.78</v>
      </c>
      <c r="AI38" s="12">
        <v>0.78</v>
      </c>
      <c r="AJ38" s="12">
        <v>0.77</v>
      </c>
      <c r="AK38" s="12">
        <v>0.76</v>
      </c>
      <c r="AL38" s="12">
        <v>0.76</v>
      </c>
      <c r="AM38" s="12">
        <v>0.75</v>
      </c>
      <c r="AN38" s="12">
        <v>0.75</v>
      </c>
      <c r="AO38" s="12">
        <v>0.75</v>
      </c>
      <c r="AP38" s="12">
        <v>0.75</v>
      </c>
      <c r="AQ38" s="12">
        <v>0.75</v>
      </c>
      <c r="AR38" s="12">
        <v>0.75</v>
      </c>
      <c r="AS38" s="12">
        <v>0.75</v>
      </c>
      <c r="AT38" s="12">
        <v>0.75</v>
      </c>
      <c r="AU38" s="12">
        <v>0.75</v>
      </c>
      <c r="AV38" s="12">
        <v>0.75</v>
      </c>
      <c r="AW38" s="12">
        <v>0.76</v>
      </c>
      <c r="AX38" s="9"/>
    </row>
    <row r="39" spans="1:50">
      <c r="A39" s="9"/>
      <c r="B39" s="9"/>
      <c r="C39" s="9"/>
      <c r="D39" s="9"/>
      <c r="E39" s="9"/>
      <c r="F39" s="9"/>
      <c r="G39" s="9"/>
      <c r="H39" s="9"/>
      <c r="I39" s="9"/>
      <c r="J39" s="9"/>
      <c r="K39" s="9"/>
      <c r="L39" s="9"/>
      <c r="M39" s="9"/>
      <c r="N39" s="9"/>
      <c r="O39" s="9"/>
      <c r="P39" s="9"/>
      <c r="Q39" s="9" t="e">
        <v>#REF!</v>
      </c>
      <c r="R39" s="12">
        <v>1</v>
      </c>
      <c r="S39" s="12">
        <v>0.99</v>
      </c>
      <c r="T39" s="12">
        <v>0.97</v>
      </c>
      <c r="U39" s="12">
        <v>0.95</v>
      </c>
      <c r="V39" s="12">
        <v>0.93</v>
      </c>
      <c r="W39" s="12">
        <v>0.91</v>
      </c>
      <c r="X39" s="12">
        <v>0.89</v>
      </c>
      <c r="Y39" s="12">
        <v>0.88</v>
      </c>
      <c r="Z39" s="12">
        <v>0.87</v>
      </c>
      <c r="AA39" s="12">
        <v>0.85</v>
      </c>
      <c r="AB39" s="12">
        <v>0.84</v>
      </c>
      <c r="AC39" s="12">
        <v>0.83</v>
      </c>
      <c r="AD39" s="12">
        <v>0.81</v>
      </c>
      <c r="AE39" s="12">
        <v>0.79</v>
      </c>
      <c r="AF39" s="12">
        <v>0.77</v>
      </c>
      <c r="AG39" s="12">
        <v>0.76</v>
      </c>
      <c r="AH39" s="12">
        <v>0.74</v>
      </c>
      <c r="AI39" s="12">
        <v>0.72</v>
      </c>
      <c r="AJ39" s="12">
        <v>0.71</v>
      </c>
      <c r="AK39" s="12">
        <v>0.69</v>
      </c>
      <c r="AL39" s="12">
        <v>0.68</v>
      </c>
      <c r="AM39" s="12">
        <v>0.66</v>
      </c>
      <c r="AN39" s="12">
        <v>0.65</v>
      </c>
      <c r="AO39" s="12">
        <v>0.64</v>
      </c>
      <c r="AP39" s="12">
        <v>0.64</v>
      </c>
      <c r="AQ39" s="12">
        <v>0.63</v>
      </c>
      <c r="AR39" s="12">
        <v>0.62</v>
      </c>
      <c r="AS39" s="12">
        <v>0.62</v>
      </c>
      <c r="AT39" s="12">
        <v>0.61</v>
      </c>
      <c r="AU39" s="12">
        <v>0.61</v>
      </c>
      <c r="AV39" s="12">
        <v>0.6</v>
      </c>
      <c r="AW39" s="12">
        <v>0.6</v>
      </c>
      <c r="AX39" s="9"/>
    </row>
    <row r="40" spans="1:50">
      <c r="A40" s="9"/>
      <c r="B40" s="9"/>
      <c r="C40" s="9"/>
      <c r="D40" s="9"/>
      <c r="E40" s="9"/>
      <c r="F40" s="9"/>
      <c r="G40" s="9"/>
      <c r="H40" s="9"/>
      <c r="I40" s="9"/>
      <c r="J40" s="9"/>
      <c r="K40" s="9"/>
      <c r="L40" s="9"/>
      <c r="M40" s="9"/>
      <c r="N40" s="9"/>
      <c r="O40" s="9"/>
      <c r="P40" s="9"/>
      <c r="Q40" s="9" t="e">
        <v>#REF!</v>
      </c>
      <c r="R40" s="12">
        <v>1</v>
      </c>
      <c r="S40" s="12">
        <v>1</v>
      </c>
      <c r="T40" s="12">
        <v>0.99</v>
      </c>
      <c r="U40" s="12">
        <v>0.97</v>
      </c>
      <c r="V40" s="12">
        <v>0.96</v>
      </c>
      <c r="W40" s="12">
        <v>0.95</v>
      </c>
      <c r="X40" s="12">
        <v>0.94</v>
      </c>
      <c r="Y40" s="12">
        <v>0.93</v>
      </c>
      <c r="Z40" s="12">
        <v>0.91</v>
      </c>
      <c r="AA40" s="12">
        <v>0.9</v>
      </c>
      <c r="AB40" s="12">
        <v>0.88</v>
      </c>
      <c r="AC40" s="12">
        <v>0.87</v>
      </c>
      <c r="AD40" s="12">
        <v>0.85</v>
      </c>
      <c r="AE40" s="12">
        <v>0.83</v>
      </c>
      <c r="AF40" s="12">
        <v>0.81</v>
      </c>
      <c r="AG40" s="12">
        <v>0.79</v>
      </c>
      <c r="AH40" s="12">
        <v>0.77</v>
      </c>
      <c r="AI40" s="12">
        <v>0.76</v>
      </c>
      <c r="AJ40" s="12">
        <v>0.74</v>
      </c>
      <c r="AK40" s="12">
        <v>0.73</v>
      </c>
      <c r="AL40" s="12">
        <v>0.71</v>
      </c>
      <c r="AM40" s="12">
        <v>0.69</v>
      </c>
      <c r="AN40" s="12">
        <v>0.69</v>
      </c>
      <c r="AO40" s="12">
        <v>0.68</v>
      </c>
      <c r="AP40" s="12">
        <v>0.68</v>
      </c>
      <c r="AQ40" s="12">
        <v>0.68</v>
      </c>
      <c r="AR40" s="12">
        <v>0.67</v>
      </c>
      <c r="AS40" s="12">
        <v>0.67</v>
      </c>
      <c r="AT40" s="12">
        <v>0.67</v>
      </c>
      <c r="AU40" s="12">
        <v>0.66</v>
      </c>
      <c r="AV40" s="12">
        <v>0.66</v>
      </c>
      <c r="AW40" s="12">
        <v>0.66</v>
      </c>
      <c r="AX40" s="9"/>
    </row>
    <row r="41" spans="1:50">
      <c r="A41" s="9"/>
      <c r="B41" s="9"/>
      <c r="C41" s="9"/>
      <c r="D41" s="9"/>
      <c r="E41" s="9"/>
      <c r="F41" s="9"/>
      <c r="G41" s="9"/>
      <c r="H41" s="9"/>
      <c r="I41" s="9"/>
      <c r="J41" s="9"/>
      <c r="K41" s="9"/>
      <c r="L41" s="9"/>
      <c r="M41" s="9"/>
      <c r="N41" s="9"/>
      <c r="O41" s="9"/>
      <c r="P41" s="9"/>
      <c r="Q41" s="9" t="e">
        <v>#REF!</v>
      </c>
      <c r="R41" s="12">
        <v>1</v>
      </c>
      <c r="S41" s="12">
        <v>1</v>
      </c>
      <c r="T41" s="12">
        <v>0.98</v>
      </c>
      <c r="U41" s="12">
        <v>0.97</v>
      </c>
      <c r="V41" s="12">
        <v>0.95</v>
      </c>
      <c r="W41" s="12">
        <v>0.94</v>
      </c>
      <c r="X41" s="12">
        <v>0.93</v>
      </c>
      <c r="Y41" s="12">
        <v>0.91</v>
      </c>
      <c r="Z41" s="12">
        <v>0.88</v>
      </c>
      <c r="AA41" s="12">
        <v>0.86</v>
      </c>
      <c r="AB41" s="12">
        <v>0.84</v>
      </c>
      <c r="AC41" s="12">
        <v>0.82</v>
      </c>
      <c r="AD41" s="12">
        <v>0.8</v>
      </c>
      <c r="AE41" s="12">
        <v>0.78</v>
      </c>
      <c r="AF41" s="12">
        <v>0.75</v>
      </c>
      <c r="AG41" s="12">
        <v>0.73</v>
      </c>
      <c r="AH41" s="12">
        <v>0.7</v>
      </c>
      <c r="AI41" s="12">
        <v>0.68</v>
      </c>
      <c r="AJ41" s="12">
        <v>0.65</v>
      </c>
      <c r="AK41" s="12">
        <v>0.63</v>
      </c>
      <c r="AL41" s="12">
        <v>0.61</v>
      </c>
      <c r="AM41" s="12">
        <v>0.57999999999999996</v>
      </c>
      <c r="AN41" s="12">
        <v>0.56999999999999995</v>
      </c>
      <c r="AO41" s="12">
        <v>0.56000000000000005</v>
      </c>
      <c r="AP41" s="12">
        <v>0.55000000000000004</v>
      </c>
      <c r="AQ41" s="12">
        <v>0.54</v>
      </c>
      <c r="AR41" s="12">
        <v>0.52</v>
      </c>
      <c r="AS41" s="12">
        <v>0.52</v>
      </c>
      <c r="AT41" s="12">
        <v>0.51</v>
      </c>
      <c r="AU41" s="12">
        <v>0.5</v>
      </c>
      <c r="AV41" s="12">
        <v>0.49</v>
      </c>
      <c r="AW41" s="12">
        <v>0.48</v>
      </c>
      <c r="AX41" s="9"/>
    </row>
    <row r="42" spans="1:50">
      <c r="A42" s="9"/>
      <c r="B42" s="9"/>
      <c r="C42" s="9"/>
      <c r="D42" s="9"/>
      <c r="E42" s="9"/>
      <c r="F42" s="9"/>
      <c r="G42" s="9"/>
      <c r="H42" s="9"/>
      <c r="I42" s="9"/>
      <c r="J42" s="9"/>
      <c r="K42" s="9"/>
      <c r="L42" s="9"/>
      <c r="M42" s="9"/>
      <c r="N42" s="9"/>
      <c r="O42" s="9"/>
      <c r="P42" s="9"/>
      <c r="Q42" s="9" t="e">
        <v>#REF!</v>
      </c>
      <c r="R42" s="12">
        <v>1</v>
      </c>
      <c r="S42" s="12">
        <v>1</v>
      </c>
      <c r="T42" s="12">
        <v>0.99</v>
      </c>
      <c r="U42" s="12">
        <v>0.98</v>
      </c>
      <c r="V42" s="12">
        <v>0.96</v>
      </c>
      <c r="W42" s="12">
        <v>0.95</v>
      </c>
      <c r="X42" s="12">
        <v>0.94</v>
      </c>
      <c r="Y42" s="12">
        <v>0.93</v>
      </c>
      <c r="Z42" s="12">
        <v>0.91</v>
      </c>
      <c r="AA42" s="12">
        <v>0.9</v>
      </c>
      <c r="AB42" s="12">
        <v>0.88</v>
      </c>
      <c r="AC42" s="12">
        <v>0.87</v>
      </c>
      <c r="AD42" s="12">
        <v>0.85</v>
      </c>
      <c r="AE42" s="12">
        <v>0.83</v>
      </c>
      <c r="AF42" s="12">
        <v>0.82</v>
      </c>
      <c r="AG42" s="12">
        <v>0.8</v>
      </c>
      <c r="AH42" s="12">
        <v>0.78</v>
      </c>
      <c r="AI42" s="12">
        <v>0.76</v>
      </c>
      <c r="AJ42" s="12">
        <v>0.75</v>
      </c>
      <c r="AK42" s="12">
        <v>0.73</v>
      </c>
      <c r="AL42" s="12">
        <v>0.72</v>
      </c>
      <c r="AM42" s="12">
        <v>0.7</v>
      </c>
      <c r="AN42" s="12">
        <v>0.7</v>
      </c>
      <c r="AO42" s="12">
        <v>0.7</v>
      </c>
      <c r="AP42" s="12">
        <v>0.69</v>
      </c>
      <c r="AQ42" s="12">
        <v>0.69</v>
      </c>
      <c r="AR42" s="12">
        <v>0.68</v>
      </c>
      <c r="AS42" s="12">
        <v>0.68</v>
      </c>
      <c r="AT42" s="12">
        <v>0.68</v>
      </c>
      <c r="AU42" s="12">
        <v>0.68</v>
      </c>
      <c r="AV42" s="12">
        <v>0.67</v>
      </c>
      <c r="AW42" s="12">
        <v>0.67</v>
      </c>
      <c r="AX42" s="9"/>
    </row>
    <row r="43" spans="1:50">
      <c r="A43" s="9"/>
      <c r="B43" s="9"/>
      <c r="C43" s="9"/>
      <c r="D43" s="9"/>
      <c r="E43" s="9"/>
      <c r="F43" s="9"/>
      <c r="G43" s="9"/>
      <c r="H43" s="9"/>
      <c r="I43" s="9"/>
      <c r="J43" s="9"/>
      <c r="K43" s="9"/>
      <c r="L43" s="9"/>
      <c r="M43" s="9"/>
      <c r="N43" s="9"/>
      <c r="O43" s="9"/>
      <c r="P43" s="9"/>
      <c r="Q43" s="9" t="e">
        <v>#REF!</v>
      </c>
      <c r="R43" s="12">
        <v>1</v>
      </c>
      <c r="S43" s="12">
        <v>1</v>
      </c>
      <c r="T43" s="12">
        <v>0.99</v>
      </c>
      <c r="U43" s="12">
        <v>0.97</v>
      </c>
      <c r="V43" s="12">
        <v>0.96</v>
      </c>
      <c r="W43" s="12">
        <v>0.95</v>
      </c>
      <c r="X43" s="12">
        <v>0.94</v>
      </c>
      <c r="Y43" s="12">
        <v>0.93</v>
      </c>
      <c r="Z43" s="12">
        <v>0.91</v>
      </c>
      <c r="AA43" s="12">
        <v>0.9</v>
      </c>
      <c r="AB43" s="12">
        <v>0.88</v>
      </c>
      <c r="AC43" s="12">
        <v>0.87</v>
      </c>
      <c r="AD43" s="12">
        <v>0.85</v>
      </c>
      <c r="AE43" s="12">
        <v>0.83</v>
      </c>
      <c r="AF43" s="12">
        <v>0.81</v>
      </c>
      <c r="AG43" s="12">
        <v>0.8</v>
      </c>
      <c r="AH43" s="12">
        <v>0.78</v>
      </c>
      <c r="AI43" s="12">
        <v>0.76</v>
      </c>
      <c r="AJ43" s="12">
        <v>0.75</v>
      </c>
      <c r="AK43" s="12">
        <v>0.74</v>
      </c>
      <c r="AL43" s="12">
        <v>0.73</v>
      </c>
      <c r="AM43" s="12">
        <v>0.71</v>
      </c>
      <c r="AN43" s="12">
        <v>0.72</v>
      </c>
      <c r="AO43" s="12">
        <v>0.72</v>
      </c>
      <c r="AP43" s="12">
        <v>0.72</v>
      </c>
      <c r="AQ43" s="12">
        <v>0.72</v>
      </c>
      <c r="AR43" s="12">
        <v>0.72</v>
      </c>
      <c r="AS43" s="12">
        <v>0.72</v>
      </c>
      <c r="AT43" s="12">
        <v>0.72</v>
      </c>
      <c r="AU43" s="12">
        <v>0.72</v>
      </c>
      <c r="AV43" s="12">
        <v>0.72</v>
      </c>
      <c r="AW43" s="12">
        <v>0.72</v>
      </c>
      <c r="AX43" s="9"/>
    </row>
    <row r="44" spans="1:50">
      <c r="A44" s="9"/>
      <c r="B44" s="9"/>
      <c r="C44" s="9"/>
      <c r="D44" s="9"/>
      <c r="E44" s="9"/>
      <c r="F44" s="9"/>
      <c r="G44" s="9"/>
      <c r="H44" s="9"/>
      <c r="I44" s="9"/>
      <c r="J44" s="9"/>
      <c r="K44" s="9"/>
      <c r="L44" s="9"/>
      <c r="M44" s="9"/>
      <c r="N44" s="9"/>
      <c r="O44" s="9"/>
      <c r="P44" s="9"/>
      <c r="Q44" s="9" t="e">
        <v>#REF!</v>
      </c>
      <c r="R44" s="12">
        <v>1</v>
      </c>
      <c r="S44" s="12">
        <v>1</v>
      </c>
      <c r="T44" s="12">
        <v>0.99</v>
      </c>
      <c r="U44" s="12">
        <v>0.97</v>
      </c>
      <c r="V44" s="12">
        <v>0.96</v>
      </c>
      <c r="W44" s="12">
        <v>0.95</v>
      </c>
      <c r="X44" s="12">
        <v>0.94</v>
      </c>
      <c r="Y44" s="12">
        <v>0.93</v>
      </c>
      <c r="Z44" s="12">
        <v>0.91</v>
      </c>
      <c r="AA44" s="12">
        <v>0.9</v>
      </c>
      <c r="AB44" s="12">
        <v>0.88</v>
      </c>
      <c r="AC44" s="12">
        <v>0.87</v>
      </c>
      <c r="AD44" s="12">
        <v>0.85</v>
      </c>
      <c r="AE44" s="12">
        <v>0.83</v>
      </c>
      <c r="AF44" s="12">
        <v>0.81</v>
      </c>
      <c r="AG44" s="12">
        <v>0.79</v>
      </c>
      <c r="AH44" s="12">
        <v>0.78</v>
      </c>
      <c r="AI44" s="12">
        <v>0.76</v>
      </c>
      <c r="AJ44" s="12">
        <v>0.75</v>
      </c>
      <c r="AK44" s="12">
        <v>0.73</v>
      </c>
      <c r="AL44" s="12">
        <v>0.72</v>
      </c>
      <c r="AM44" s="12">
        <v>0.7</v>
      </c>
      <c r="AN44" s="12">
        <v>0.7</v>
      </c>
      <c r="AO44" s="12">
        <v>0.69</v>
      </c>
      <c r="AP44" s="12">
        <v>0.69</v>
      </c>
      <c r="AQ44" s="12">
        <v>0.69</v>
      </c>
      <c r="AR44" s="12">
        <v>0.68</v>
      </c>
      <c r="AS44" s="12">
        <v>0.68</v>
      </c>
      <c r="AT44" s="12">
        <v>0.68</v>
      </c>
      <c r="AU44" s="12">
        <v>0.68</v>
      </c>
      <c r="AV44" s="12">
        <v>0.68</v>
      </c>
      <c r="AW44" s="12">
        <v>0.68</v>
      </c>
      <c r="AX44" s="9"/>
    </row>
    <row r="45" spans="1:50">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row>
    <row r="46" spans="1:50">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row>
    <row r="47" spans="1:50">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row>
    <row r="48" spans="1:50">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row>
    <row r="49" spans="1:50">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row>
    <row r="50" spans="1: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row>
    <row r="51" spans="1:50">
      <c r="A51" s="9"/>
      <c r="B51" s="9"/>
      <c r="C51" s="9"/>
      <c r="D51" s="9"/>
      <c r="E51" s="9"/>
      <c r="F51" s="9"/>
      <c r="G51" s="9"/>
      <c r="H51" s="9" t="s">
        <v>29</v>
      </c>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row>
    <row r="52" spans="1:50">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row>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4A2BA-CC43-4D0B-A532-24EECDC35A91}">
  <sheetPr>
    <tabColor rgb="FFEFE973"/>
    <outlinePr summaryBelow="0"/>
  </sheetPr>
  <dimension ref="A1:AZ138"/>
  <sheetViews>
    <sheetView showGridLines="0" zoomScaleNormal="100" workbookViewId="0">
      <pane xSplit="3" ySplit="2" topLeftCell="D3" activePane="bottomRight" state="frozen"/>
      <selection pane="topRight" activeCell="I82" sqref="I82"/>
      <selection pane="bottomLeft" activeCell="I82" sqref="I82"/>
      <selection pane="bottomRight" activeCell="AE13" sqref="AE13"/>
    </sheetView>
  </sheetViews>
  <sheetFormatPr defaultRowHeight="14.4" outlineLevelRow="2"/>
  <cols>
    <col min="1" max="1" width="25.88671875" bestFit="1" customWidth="1"/>
    <col min="2" max="2" width="20.44140625" style="7" customWidth="1"/>
    <col min="3" max="3" width="8.5546875" style="7" customWidth="1"/>
    <col min="4" max="4" width="9.88671875" bestFit="1" customWidth="1"/>
    <col min="5" max="5" width="10.44140625" bestFit="1" customWidth="1"/>
    <col min="7" max="7" width="9.109375" customWidth="1"/>
    <col min="29" max="29" width="9.5546875" bestFit="1" customWidth="1"/>
  </cols>
  <sheetData>
    <row r="1" spans="1:52" ht="10.5" customHeight="1">
      <c r="A1" s="4" t="s">
        <v>30</v>
      </c>
      <c r="B1" s="6"/>
      <c r="C1" s="6"/>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row>
    <row r="2" spans="1:52">
      <c r="B2" s="7" t="s">
        <v>31</v>
      </c>
      <c r="C2" s="7" t="s">
        <v>32</v>
      </c>
      <c r="D2" t="s">
        <v>33</v>
      </c>
      <c r="I2" t="s">
        <v>34</v>
      </c>
      <c r="N2" t="s">
        <v>35</v>
      </c>
      <c r="S2" t="s">
        <v>36</v>
      </c>
      <c r="X2">
        <v>2025</v>
      </c>
      <c r="AC2">
        <v>2030</v>
      </c>
      <c r="AH2">
        <v>2035</v>
      </c>
      <c r="AM2">
        <v>2040</v>
      </c>
      <c r="AR2">
        <v>2045</v>
      </c>
      <c r="AW2">
        <v>2050</v>
      </c>
    </row>
    <row r="3" spans="1:52">
      <c r="A3" t="s">
        <v>37</v>
      </c>
      <c r="B3" s="7" t="s">
        <v>38</v>
      </c>
      <c r="C3" s="7" t="s">
        <v>39</v>
      </c>
      <c r="D3" s="3">
        <f>(D46+D54)/1000</f>
        <v>981.27375675773737</v>
      </c>
      <c r="E3" s="3">
        <f t="shared" ref="E3:U3" si="0">(E46+E54)/1000</f>
        <v>973.78646434993243</v>
      </c>
      <c r="F3" s="3">
        <f t="shared" si="0"/>
        <v>995.61813454821174</v>
      </c>
      <c r="G3" s="3">
        <f t="shared" si="0"/>
        <v>952.33844686364966</v>
      </c>
      <c r="H3" s="3">
        <f t="shared" si="0"/>
        <v>789.42830625605859</v>
      </c>
      <c r="I3" s="3">
        <f t="shared" si="0"/>
        <v>838.81444269307735</v>
      </c>
      <c r="J3" s="3">
        <f t="shared" si="0"/>
        <v>826.15345441810177</v>
      </c>
      <c r="K3" s="3">
        <f t="shared" si="0"/>
        <v>795.67043454180543</v>
      </c>
      <c r="L3" s="3">
        <f t="shared" si="0"/>
        <v>775.53234103270825</v>
      </c>
      <c r="M3" s="3">
        <f t="shared" si="0"/>
        <v>769.1653962810484</v>
      </c>
      <c r="N3" s="3">
        <f t="shared" si="0"/>
        <v>768.8490453104929</v>
      </c>
      <c r="O3" s="3">
        <f t="shared" si="0"/>
        <v>776.21967063764043</v>
      </c>
      <c r="P3" s="3">
        <f t="shared" si="0"/>
        <v>791.03609964228258</v>
      </c>
      <c r="Q3" s="3">
        <f t="shared" si="0"/>
        <v>785.27660783836836</v>
      </c>
      <c r="R3" s="3">
        <f t="shared" si="0"/>
        <v>760.12812941600464</v>
      </c>
      <c r="S3" s="3">
        <f t="shared" si="0"/>
        <v>719.60032901981651</v>
      </c>
      <c r="T3" s="3">
        <f t="shared" si="0"/>
        <v>757.47409379603994</v>
      </c>
      <c r="U3" s="3">
        <f t="shared" si="0"/>
        <v>691.32881325000005</v>
      </c>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Z3" s="2"/>
    </row>
    <row r="4" spans="1:52">
      <c r="A4" t="s">
        <v>40</v>
      </c>
      <c r="B4" s="7" t="s">
        <v>38</v>
      </c>
      <c r="C4" s="7" t="s">
        <v>39</v>
      </c>
      <c r="D4" s="3">
        <f>(D104+D105)/1000</f>
        <v>846.23154354407802</v>
      </c>
      <c r="E4" s="3">
        <f t="shared" ref="E4:U4" si="1">(E104+E105)/1000</f>
        <v>841.93793560583686</v>
      </c>
      <c r="F4" s="3">
        <f t="shared" si="1"/>
        <v>858.35253776579259</v>
      </c>
      <c r="G4" s="3">
        <f t="shared" si="1"/>
        <v>819.45572811341481</v>
      </c>
      <c r="H4" s="3">
        <f t="shared" si="1"/>
        <v>664.81233344768327</v>
      </c>
      <c r="I4" s="3">
        <f t="shared" si="1"/>
        <v>719.55540152330991</v>
      </c>
      <c r="J4" s="3">
        <f t="shared" si="1"/>
        <v>707.40422836903304</v>
      </c>
      <c r="K4" s="3">
        <f t="shared" si="1"/>
        <v>676.08115909442517</v>
      </c>
      <c r="L4" s="3">
        <f t="shared" si="1"/>
        <v>655.89113590586021</v>
      </c>
      <c r="M4" s="3">
        <f t="shared" si="1"/>
        <v>648.53725249198999</v>
      </c>
      <c r="N4" s="3">
        <f t="shared" si="1"/>
        <v>655.87077872760131</v>
      </c>
      <c r="O4" s="3">
        <f t="shared" si="1"/>
        <v>662.53183037020608</v>
      </c>
      <c r="P4" s="3">
        <f t="shared" si="1"/>
        <v>678.35062195961109</v>
      </c>
      <c r="Q4" s="3">
        <f t="shared" si="1"/>
        <v>676.65550862830082</v>
      </c>
      <c r="R4" s="3">
        <f t="shared" si="1"/>
        <v>656.63440446888421</v>
      </c>
      <c r="S4" s="3">
        <f t="shared" si="1"/>
        <v>623.81416597094312</v>
      </c>
      <c r="T4" s="3">
        <f t="shared" si="1"/>
        <v>665.47714540980587</v>
      </c>
      <c r="U4" s="3">
        <f t="shared" si="1"/>
        <v>605.55116176000001</v>
      </c>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Z4" s="2"/>
    </row>
    <row r="5" spans="1:52">
      <c r="A5" t="s">
        <v>41</v>
      </c>
      <c r="B5" s="7" t="s">
        <v>38</v>
      </c>
      <c r="C5" s="7" t="s">
        <v>39</v>
      </c>
      <c r="D5" s="3">
        <f>(D47+D72)/1000</f>
        <v>193.15412946216313</v>
      </c>
      <c r="E5" s="3">
        <f t="shared" ref="E5:T5" si="2">(E47+E72)/1000</f>
        <v>198.50065922816287</v>
      </c>
      <c r="F5" s="3">
        <f t="shared" si="2"/>
        <v>201.86983712006455</v>
      </c>
      <c r="G5" s="3">
        <f t="shared" si="2"/>
        <v>186.83827584807668</v>
      </c>
      <c r="H5" s="3">
        <f t="shared" si="2"/>
        <v>129.57683584178383</v>
      </c>
      <c r="I5" s="3">
        <f t="shared" si="2"/>
        <v>162.1331940215793</v>
      </c>
      <c r="J5" s="3">
        <f t="shared" si="2"/>
        <v>158.78095307233838</v>
      </c>
      <c r="K5" s="3">
        <f t="shared" si="2"/>
        <v>149.00263628651714</v>
      </c>
      <c r="L5" s="3">
        <f>(L47+L72)/1000</f>
        <v>146.58641637442801</v>
      </c>
      <c r="M5" s="3">
        <f t="shared" si="2"/>
        <v>147.29970275758265</v>
      </c>
      <c r="N5" s="3">
        <f t="shared" si="2"/>
        <v>153.12719091307923</v>
      </c>
      <c r="O5" s="3">
        <f t="shared" si="2"/>
        <v>152.14899184908688</v>
      </c>
      <c r="P5" s="3">
        <f t="shared" si="2"/>
        <v>155.3325935740678</v>
      </c>
      <c r="Q5" s="3">
        <f t="shared" si="2"/>
        <v>152.4799965457901</v>
      </c>
      <c r="R5" s="3">
        <f t="shared" si="2"/>
        <v>145.36341629684426</v>
      </c>
      <c r="S5" s="3">
        <f t="shared" si="2"/>
        <v>126.99395379015225</v>
      </c>
      <c r="T5" s="3">
        <f t="shared" si="2"/>
        <v>147.01485496641223</v>
      </c>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Z5" s="2"/>
    </row>
    <row r="6" spans="1:52">
      <c r="A6" t="s">
        <v>42</v>
      </c>
      <c r="B6" s="7" t="s">
        <v>38</v>
      </c>
      <c r="C6" s="7" t="s">
        <v>39</v>
      </c>
      <c r="D6" s="3">
        <f>(D49+D60)/1000</f>
        <v>194.7029959335315</v>
      </c>
      <c r="E6" s="3">
        <f t="shared" ref="E6:T6" si="3">(E49+E60)/1000</f>
        <v>181.20545226978746</v>
      </c>
      <c r="F6" s="3">
        <f t="shared" si="3"/>
        <v>182.77373281402927</v>
      </c>
      <c r="G6" s="3">
        <f t="shared" si="3"/>
        <v>171.13871521704434</v>
      </c>
      <c r="H6" s="3">
        <f t="shared" si="3"/>
        <v>144.65984201607054</v>
      </c>
      <c r="I6" s="3">
        <f t="shared" si="3"/>
        <v>144.54892736036399</v>
      </c>
      <c r="J6" s="3">
        <f t="shared" si="3"/>
        <v>140.6777019367884</v>
      </c>
      <c r="K6" s="3">
        <f t="shared" si="3"/>
        <v>134.88674440518045</v>
      </c>
      <c r="L6" s="3">
        <f t="shared" si="3"/>
        <v>129.80677160048646</v>
      </c>
      <c r="M6" s="3">
        <f t="shared" si="3"/>
        <v>123.72561658297994</v>
      </c>
      <c r="N6" s="3">
        <f t="shared" si="3"/>
        <v>122.30839805762737</v>
      </c>
      <c r="O6" s="3">
        <f t="shared" si="3"/>
        <v>121.9818101568775</v>
      </c>
      <c r="P6" s="3">
        <f t="shared" si="3"/>
        <v>127.45008308844743</v>
      </c>
      <c r="Q6" s="3">
        <f t="shared" si="3"/>
        <v>127.87767968904043</v>
      </c>
      <c r="R6" s="3">
        <f t="shared" si="3"/>
        <v>121.31098070921099</v>
      </c>
      <c r="S6" s="3">
        <f t="shared" si="3"/>
        <v>120.89259934682484</v>
      </c>
      <c r="T6" s="3">
        <f t="shared" si="3"/>
        <v>123.86513832614585</v>
      </c>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Z6" s="2"/>
    </row>
    <row r="7" spans="1:52">
      <c r="A7" t="s">
        <v>43</v>
      </c>
      <c r="B7" s="7" t="s">
        <v>44</v>
      </c>
      <c r="C7" s="7" t="s">
        <v>39</v>
      </c>
      <c r="D7" s="3">
        <f>(D99)/1000</f>
        <v>143.411945</v>
      </c>
      <c r="E7" s="3">
        <f t="shared" ref="E7:T7" si="4">(E99)/1000</f>
        <v>147.15260599999999</v>
      </c>
      <c r="F7" s="3">
        <f t="shared" si="4"/>
        <v>163.114981</v>
      </c>
      <c r="G7" s="3">
        <f t="shared" si="4"/>
        <v>150.48990599999999</v>
      </c>
      <c r="H7" s="3">
        <f t="shared" si="4"/>
        <v>121.311887</v>
      </c>
      <c r="I7" s="3">
        <f t="shared" si="4"/>
        <v>119.34111800000001</v>
      </c>
      <c r="J7" s="3">
        <f t="shared" si="4"/>
        <v>116.976625</v>
      </c>
      <c r="K7" s="3">
        <f t="shared" si="4"/>
        <v>109.895055</v>
      </c>
      <c r="L7" s="3">
        <f t="shared" si="4"/>
        <v>105.817395</v>
      </c>
      <c r="M7" s="3">
        <f t="shared" si="4"/>
        <v>110.73125</v>
      </c>
      <c r="N7" s="3">
        <f t="shared" si="4"/>
        <v>109.01402800000001</v>
      </c>
      <c r="O7" s="3">
        <f t="shared" si="4"/>
        <v>109.10977899999999</v>
      </c>
      <c r="P7" s="3">
        <f t="shared" si="4"/>
        <v>111.867166</v>
      </c>
      <c r="Q7" s="3">
        <f t="shared" si="4"/>
        <v>113.69557399999999</v>
      </c>
      <c r="R7" s="3">
        <f t="shared" si="4"/>
        <v>113.098703</v>
      </c>
      <c r="S7" s="3">
        <f t="shared" si="4"/>
        <v>107.41644700000001</v>
      </c>
      <c r="T7" s="3">
        <f t="shared" si="4"/>
        <v>110.22327199999999</v>
      </c>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Z7" s="2"/>
    </row>
    <row r="8" spans="1:52">
      <c r="A8" t="s">
        <v>45</v>
      </c>
      <c r="B8" s="7" t="s">
        <v>38</v>
      </c>
      <c r="C8" s="7" t="s">
        <v>39</v>
      </c>
      <c r="D8" s="3">
        <f>D3-D5-D6-D7</f>
        <v>450.00468636204272</v>
      </c>
      <c r="E8" s="3">
        <f t="shared" ref="E8:T8" si="5">E3-E5-E6-E7</f>
        <v>446.92774685198208</v>
      </c>
      <c r="F8" s="3">
        <f t="shared" si="5"/>
        <v>447.85958361411798</v>
      </c>
      <c r="G8" s="3">
        <f t="shared" si="5"/>
        <v>443.87154979852858</v>
      </c>
      <c r="H8" s="3">
        <f t="shared" si="5"/>
        <v>393.8797413982042</v>
      </c>
      <c r="I8" s="3">
        <f t="shared" si="5"/>
        <v>412.79120331113398</v>
      </c>
      <c r="J8" s="3">
        <f t="shared" si="5"/>
        <v>409.71817440897496</v>
      </c>
      <c r="K8" s="3">
        <f t="shared" si="5"/>
        <v>401.8859988501078</v>
      </c>
      <c r="L8" s="3">
        <f t="shared" si="5"/>
        <v>393.32175805779377</v>
      </c>
      <c r="M8" s="3">
        <f t="shared" si="5"/>
        <v>387.40882694048588</v>
      </c>
      <c r="N8" s="3">
        <f t="shared" si="5"/>
        <v>384.39942833978625</v>
      </c>
      <c r="O8" s="3">
        <f t="shared" si="5"/>
        <v>392.97908963167606</v>
      </c>
      <c r="P8" s="3">
        <f t="shared" si="5"/>
        <v>396.38625697976738</v>
      </c>
      <c r="Q8" s="3">
        <f t="shared" si="5"/>
        <v>391.22335760353792</v>
      </c>
      <c r="R8" s="3">
        <f t="shared" si="5"/>
        <v>380.35502940994945</v>
      </c>
      <c r="S8" s="3">
        <f t="shared" si="5"/>
        <v>364.29732888283945</v>
      </c>
      <c r="T8" s="3">
        <f t="shared" si="5"/>
        <v>376.37082850348185</v>
      </c>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Z8" s="2"/>
    </row>
    <row r="9" spans="1:52">
      <c r="A9" t="s">
        <v>46</v>
      </c>
      <c r="B9" s="7" t="s">
        <v>47</v>
      </c>
      <c r="C9" s="7" t="s">
        <v>39</v>
      </c>
      <c r="D9" s="3"/>
      <c r="E9" s="3"/>
      <c r="F9" s="3"/>
      <c r="G9" s="3"/>
      <c r="H9" s="3"/>
      <c r="I9" s="3"/>
      <c r="J9" s="3"/>
      <c r="K9" s="3"/>
      <c r="L9" s="3"/>
      <c r="M9" s="3"/>
      <c r="N9" s="3"/>
      <c r="O9" s="3"/>
      <c r="P9" s="3"/>
      <c r="Q9" s="3"/>
      <c r="R9" s="3"/>
      <c r="S9" s="3"/>
      <c r="T9" s="3"/>
      <c r="U9" s="3">
        <v>691.32881325000005</v>
      </c>
      <c r="V9" s="3">
        <v>666.96469936526614</v>
      </c>
      <c r="W9" s="3">
        <v>642.60058548053212</v>
      </c>
      <c r="X9" s="3">
        <v>618.23647159579821</v>
      </c>
      <c r="Y9" s="3">
        <v>593.8723577110643</v>
      </c>
      <c r="Z9" s="3">
        <v>569.50824382633039</v>
      </c>
      <c r="AA9" s="3">
        <v>545.14412994159647</v>
      </c>
      <c r="AB9" s="3">
        <v>520.78001605686245</v>
      </c>
      <c r="AC9" s="3">
        <v>496.41590217212837</v>
      </c>
      <c r="AD9" s="3">
        <v>475.47010706352194</v>
      </c>
      <c r="AE9" s="3">
        <v>454.52431195491556</v>
      </c>
      <c r="AF9" s="3">
        <v>433.57851684630913</v>
      </c>
      <c r="AG9" s="3">
        <v>412.6327217377027</v>
      </c>
      <c r="AH9" s="3">
        <v>391.68692662909632</v>
      </c>
      <c r="AI9" s="3">
        <v>370.74113152048989</v>
      </c>
      <c r="AJ9" s="3">
        <v>349.79533641188345</v>
      </c>
      <c r="AK9" s="3">
        <v>328.84954130327702</v>
      </c>
      <c r="AL9" s="3">
        <v>307.90374619467059</v>
      </c>
      <c r="AM9" s="3">
        <v>286.95795108606421</v>
      </c>
      <c r="AN9" s="3">
        <v>266.01215597745778</v>
      </c>
      <c r="AO9" s="3">
        <v>245.06636086885135</v>
      </c>
      <c r="AP9" s="3">
        <v>224.12056576024497</v>
      </c>
      <c r="AQ9" s="3">
        <v>203.17477065163854</v>
      </c>
      <c r="AR9" s="3">
        <v>182.22897554303211</v>
      </c>
      <c r="AS9" s="3">
        <v>161.28318043442567</v>
      </c>
      <c r="AT9" s="3">
        <v>140.33738532581924</v>
      </c>
      <c r="AU9" s="3">
        <v>119.39159021721287</v>
      </c>
      <c r="AV9" s="3">
        <v>98.445795108606433</v>
      </c>
      <c r="AW9" s="3">
        <v>77.5</v>
      </c>
    </row>
    <row r="10" spans="1:52">
      <c r="A10" t="s">
        <v>48</v>
      </c>
      <c r="B10" s="7" t="s">
        <v>47</v>
      </c>
      <c r="C10" s="7" t="s">
        <v>39</v>
      </c>
      <c r="D10" s="3"/>
      <c r="E10" s="3"/>
      <c r="F10" s="3"/>
      <c r="G10" s="3"/>
      <c r="H10" s="3"/>
      <c r="I10" s="3"/>
      <c r="J10" s="3"/>
      <c r="K10" s="3"/>
      <c r="L10" s="3"/>
      <c r="M10" s="3"/>
      <c r="N10" s="3"/>
      <c r="O10" s="3"/>
      <c r="P10" s="3"/>
      <c r="Q10" s="3"/>
      <c r="R10" s="2"/>
      <c r="S10" s="3"/>
      <c r="T10" s="3"/>
      <c r="U10" s="3">
        <v>605.55116176000001</v>
      </c>
      <c r="V10" s="3">
        <v>589.09820294442875</v>
      </c>
      <c r="W10" s="3">
        <v>572.64524412885737</v>
      </c>
      <c r="X10" s="3">
        <v>556.19228531328599</v>
      </c>
      <c r="Y10" s="3">
        <v>539.73932649771473</v>
      </c>
      <c r="Z10" s="3">
        <v>523.28636768214335</v>
      </c>
      <c r="AA10" s="3">
        <v>506.83340886657203</v>
      </c>
      <c r="AB10" s="3">
        <v>490.38045005100071</v>
      </c>
      <c r="AC10" s="3">
        <v>473.92749123542927</v>
      </c>
      <c r="AD10" s="3">
        <v>453.60611667365777</v>
      </c>
      <c r="AE10" s="3">
        <v>433.28474211188632</v>
      </c>
      <c r="AF10" s="3">
        <v>412.96336755011487</v>
      </c>
      <c r="AG10" s="3">
        <v>392.64199298834342</v>
      </c>
      <c r="AH10" s="3">
        <v>372.32061842657197</v>
      </c>
      <c r="AI10" s="3">
        <v>351.99924386480046</v>
      </c>
      <c r="AJ10" s="3">
        <v>331.67786930302901</v>
      </c>
      <c r="AK10" s="3">
        <v>311.35649474125756</v>
      </c>
      <c r="AL10" s="3">
        <v>291.03512017948606</v>
      </c>
      <c r="AM10" s="3">
        <v>270.71374561771461</v>
      </c>
      <c r="AN10" s="3">
        <v>250.39237105594316</v>
      </c>
      <c r="AO10" s="3">
        <v>230.07099649417171</v>
      </c>
      <c r="AP10" s="3">
        <v>209.7496219324002</v>
      </c>
      <c r="AQ10" s="3">
        <v>189.42824737062875</v>
      </c>
      <c r="AR10" s="3">
        <v>169.1068728088573</v>
      </c>
      <c r="AS10" s="3">
        <v>148.78549824708585</v>
      </c>
      <c r="AT10" s="3">
        <v>128.46412368531441</v>
      </c>
      <c r="AU10" s="3">
        <v>108.1427491235429</v>
      </c>
      <c r="AV10" s="3">
        <v>87.821374561771449</v>
      </c>
      <c r="AW10" s="3">
        <v>67.5</v>
      </c>
    </row>
    <row r="11" spans="1:52">
      <c r="A11" t="s">
        <v>49</v>
      </c>
      <c r="B11" s="7" t="s">
        <v>50</v>
      </c>
      <c r="C11" s="7" t="s">
        <v>39</v>
      </c>
      <c r="D11" s="3"/>
      <c r="E11" s="3"/>
      <c r="F11" s="3"/>
      <c r="G11" s="3"/>
      <c r="H11" s="3"/>
      <c r="I11" s="3"/>
      <c r="J11" s="3"/>
      <c r="K11" s="3"/>
      <c r="L11" s="3"/>
      <c r="M11" s="3"/>
      <c r="N11" s="3"/>
      <c r="O11" s="3"/>
      <c r="P11" s="3"/>
      <c r="Q11" s="3"/>
      <c r="R11" s="3"/>
      <c r="S11" s="3"/>
      <c r="T11" s="3"/>
      <c r="U11" s="3"/>
      <c r="V11" s="3"/>
      <c r="W11" s="3"/>
      <c r="X11" s="3"/>
      <c r="Y11" s="3"/>
      <c r="Z11" s="3"/>
      <c r="AA11" s="3"/>
      <c r="AB11" s="3"/>
      <c r="AC11" s="3">
        <f>SUM(AC109:AC113)</f>
        <v>496.41590217212865</v>
      </c>
      <c r="AD11" s="3"/>
      <c r="AE11" s="3"/>
      <c r="AF11" s="3"/>
      <c r="AG11" s="3"/>
      <c r="AH11" s="3"/>
      <c r="AI11" s="3"/>
      <c r="AJ11" s="3"/>
      <c r="AK11" s="3"/>
      <c r="AL11" s="3"/>
      <c r="AM11" s="3"/>
      <c r="AN11" s="3"/>
      <c r="AO11" s="3"/>
      <c r="AP11" s="3"/>
      <c r="AQ11" s="3"/>
      <c r="AR11" s="3"/>
      <c r="AS11" s="3"/>
      <c r="AT11" s="3"/>
      <c r="AU11" s="3"/>
      <c r="AV11" s="3"/>
      <c r="AW11" s="3"/>
    </row>
    <row r="12" spans="1:52">
      <c r="A12" t="s">
        <v>51</v>
      </c>
      <c r="B12" s="7" t="s">
        <v>50</v>
      </c>
      <c r="D12" s="3"/>
      <c r="E12" s="3"/>
      <c r="F12" s="3"/>
      <c r="G12" s="3"/>
      <c r="H12" s="3"/>
      <c r="I12" s="3"/>
      <c r="J12" s="3"/>
      <c r="K12" s="3"/>
      <c r="L12" s="3"/>
      <c r="M12" s="3"/>
      <c r="N12" s="3"/>
      <c r="O12" s="3"/>
      <c r="P12" s="3"/>
      <c r="Q12" s="3"/>
      <c r="R12" s="3"/>
      <c r="S12" s="3"/>
      <c r="T12" s="3"/>
      <c r="U12" s="3"/>
      <c r="V12" s="3"/>
      <c r="W12" s="3"/>
      <c r="X12" s="3"/>
      <c r="Y12" s="3"/>
      <c r="Z12" s="3"/>
      <c r="AA12" s="3"/>
      <c r="AB12" s="3"/>
      <c r="AC12" s="3">
        <f>AC109+AC110</f>
        <v>473.92749123542933</v>
      </c>
      <c r="AD12" s="3"/>
      <c r="AE12" s="3"/>
      <c r="AF12" s="3"/>
      <c r="AG12" s="3"/>
      <c r="AH12" s="3"/>
      <c r="AI12" s="3"/>
      <c r="AJ12" s="3"/>
      <c r="AK12" s="3"/>
      <c r="AL12" s="3"/>
      <c r="AM12" s="3"/>
      <c r="AN12" s="3"/>
      <c r="AO12" s="3"/>
      <c r="AP12" s="3"/>
      <c r="AQ12" s="3"/>
      <c r="AR12" s="3"/>
      <c r="AS12" s="3"/>
      <c r="AT12" s="3"/>
      <c r="AU12" s="3"/>
      <c r="AV12" s="3"/>
      <c r="AW12" s="3"/>
    </row>
    <row r="13" spans="1:52">
      <c r="A13" t="s">
        <v>52</v>
      </c>
      <c r="B13" s="8" t="s">
        <v>53</v>
      </c>
      <c r="C13" s="7" t="s">
        <v>39</v>
      </c>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f>E121</f>
        <v>77.5</v>
      </c>
    </row>
    <row r="14" spans="1:52">
      <c r="A14" t="s">
        <v>54</v>
      </c>
      <c r="B14" s="8" t="s">
        <v>53</v>
      </c>
      <c r="C14" s="7" t="s">
        <v>39</v>
      </c>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f>E119+E118</f>
        <v>67.5</v>
      </c>
    </row>
    <row r="15" spans="1:52">
      <c r="A15" s="7" t="s">
        <v>55</v>
      </c>
      <c r="C15" s="7" t="s">
        <v>39</v>
      </c>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v>129</v>
      </c>
      <c r="AN15" s="3"/>
      <c r="AO15" s="3"/>
      <c r="AP15" s="3"/>
      <c r="AQ15" s="3"/>
      <c r="AR15" s="3"/>
      <c r="AS15" s="3"/>
      <c r="AT15" s="3"/>
      <c r="AU15" s="3"/>
      <c r="AV15" s="3"/>
      <c r="AW15" s="3">
        <f>AW138</f>
        <v>21.707699999999999</v>
      </c>
      <c r="AZ15" s="3"/>
    </row>
    <row r="16" spans="1:52">
      <c r="A16" s="7" t="s">
        <v>56</v>
      </c>
      <c r="C16" s="7" t="s">
        <v>39</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v>89</v>
      </c>
      <c r="AN16" s="3"/>
      <c r="AO16" s="3"/>
      <c r="AP16" s="3"/>
      <c r="AQ16" s="3"/>
      <c r="AR16" s="3"/>
      <c r="AS16" s="3"/>
      <c r="AT16" s="3"/>
      <c r="AU16" s="3"/>
      <c r="AV16" s="3"/>
      <c r="AW16" s="3">
        <f>AW137</f>
        <v>5.2356999999999978</v>
      </c>
      <c r="AZ16" s="3"/>
    </row>
    <row r="17" spans="1:52">
      <c r="A17" s="7" t="s">
        <v>57</v>
      </c>
      <c r="C17" s="7" t="s">
        <v>58</v>
      </c>
      <c r="D17" s="143">
        <v>100</v>
      </c>
      <c r="E17" s="144">
        <v>101.541</v>
      </c>
      <c r="F17" s="144">
        <v>103.794</v>
      </c>
      <c r="G17" s="144">
        <v>106.502</v>
      </c>
      <c r="H17" s="144">
        <v>107.121</v>
      </c>
      <c r="I17" s="144">
        <v>106.46299999999999</v>
      </c>
      <c r="J17" s="144">
        <v>107.861</v>
      </c>
      <c r="K17" s="144">
        <v>109.73099999999999</v>
      </c>
      <c r="L17" s="144">
        <v>110.792</v>
      </c>
      <c r="M17" s="144">
        <v>110.97199999999999</v>
      </c>
      <c r="N17" s="144">
        <v>114.084</v>
      </c>
      <c r="O17" s="144">
        <v>114.14100000000001</v>
      </c>
      <c r="P17" s="144">
        <v>114.224</v>
      </c>
      <c r="Q17" s="144">
        <v>115.075</v>
      </c>
      <c r="R17" s="143">
        <v>117.21</v>
      </c>
      <c r="S17" s="143">
        <v>118.66</v>
      </c>
      <c r="T17" s="144">
        <v>121.182</v>
      </c>
      <c r="U17" s="144">
        <v>133.059</v>
      </c>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Z17" s="3"/>
    </row>
    <row r="18" spans="1:52">
      <c r="O18" s="3"/>
      <c r="P18" s="3"/>
      <c r="Q18" s="3"/>
      <c r="R18" s="3"/>
    </row>
    <row r="19" spans="1:52">
      <c r="A19" t="s">
        <v>59</v>
      </c>
      <c r="B19" s="7" t="s">
        <v>60</v>
      </c>
      <c r="C19" s="7" t="s">
        <v>39</v>
      </c>
      <c r="D19" s="1">
        <f>(U3-D3)/17</f>
        <v>-17.055584912219842</v>
      </c>
      <c r="O19" s="3"/>
      <c r="P19" s="3"/>
      <c r="Q19" s="3"/>
      <c r="R19" s="3"/>
    </row>
    <row r="20" spans="1:52">
      <c r="A20" t="s">
        <v>61</v>
      </c>
      <c r="B20" s="7" t="s">
        <v>60</v>
      </c>
      <c r="C20" s="7" t="s">
        <v>39</v>
      </c>
      <c r="D20" s="1">
        <f>(T3-P3)/4</f>
        <v>-8.3905014615606603</v>
      </c>
      <c r="G20" s="139" t="s">
        <v>62</v>
      </c>
      <c r="H20" s="138"/>
      <c r="I20" s="138"/>
      <c r="J20" s="138"/>
      <c r="K20" s="138"/>
      <c r="L20" s="138"/>
      <c r="M20" s="138"/>
      <c r="N20" s="138"/>
      <c r="O20" s="141"/>
      <c r="P20" s="141"/>
      <c r="Q20" s="141"/>
      <c r="R20" s="141"/>
      <c r="S20" s="138"/>
      <c r="T20" s="138"/>
      <c r="U20" s="138"/>
    </row>
    <row r="21" spans="1:52">
      <c r="A21" t="s">
        <v>63</v>
      </c>
      <c r="B21" s="7" t="s">
        <v>60</v>
      </c>
      <c r="C21" s="7" t="s">
        <v>39</v>
      </c>
      <c r="D21" s="1">
        <f>AVERAGE(U3-Q3)/4</f>
        <v>-23.486948647092078</v>
      </c>
      <c r="G21" s="138"/>
      <c r="H21" s="138"/>
      <c r="I21" s="138"/>
      <c r="J21" s="138"/>
      <c r="K21" s="138"/>
      <c r="L21" s="138"/>
      <c r="M21" s="138"/>
      <c r="N21" s="138"/>
      <c r="O21" s="141"/>
      <c r="P21" s="141"/>
      <c r="Q21" s="141"/>
      <c r="R21" s="141"/>
      <c r="S21" s="138"/>
      <c r="T21" s="138"/>
      <c r="U21" s="138"/>
    </row>
    <row r="22" spans="1:52">
      <c r="A22" t="s">
        <v>64</v>
      </c>
      <c r="B22" s="7" t="s">
        <v>60</v>
      </c>
      <c r="C22" s="7" t="s">
        <v>39</v>
      </c>
      <c r="D22" s="3">
        <f>(AC9-T3)/9</f>
        <v>-29.006465735990176</v>
      </c>
      <c r="G22" s="138"/>
      <c r="H22" s="138"/>
      <c r="I22" s="138"/>
      <c r="J22" s="138"/>
      <c r="K22" s="138"/>
      <c r="L22" s="138"/>
      <c r="M22" s="138"/>
      <c r="N22" s="138"/>
      <c r="O22" s="141"/>
      <c r="P22" s="141"/>
      <c r="Q22" s="141"/>
      <c r="R22" s="141"/>
      <c r="S22" s="138"/>
      <c r="T22" s="138"/>
      <c r="U22" s="138"/>
    </row>
    <row r="23" spans="1:52">
      <c r="A23" t="s">
        <v>65</v>
      </c>
      <c r="B23" s="7" t="s">
        <v>60</v>
      </c>
      <c r="C23" s="7" t="s">
        <v>39</v>
      </c>
      <c r="D23" s="1">
        <f>(AC9-U3)/8</f>
        <v>-24.36411388473396</v>
      </c>
      <c r="G23" s="138"/>
      <c r="H23" s="138"/>
      <c r="I23" s="138"/>
      <c r="J23" s="138"/>
      <c r="K23" s="138"/>
      <c r="L23" s="138"/>
      <c r="M23" s="138"/>
      <c r="N23" s="138"/>
      <c r="O23" s="141"/>
      <c r="P23" s="141"/>
      <c r="Q23" s="141"/>
      <c r="R23" s="141"/>
      <c r="S23" s="138"/>
      <c r="T23" s="138"/>
      <c r="U23" s="138"/>
    </row>
    <row r="24" spans="1:52">
      <c r="A24" t="s">
        <v>66</v>
      </c>
      <c r="B24" s="7" t="s">
        <v>60</v>
      </c>
      <c r="C24" s="7" t="s">
        <v>39</v>
      </c>
      <c r="D24" s="1">
        <f>AE9-AD9</f>
        <v>-20.945795108606376</v>
      </c>
      <c r="G24" s="138"/>
      <c r="H24" s="138"/>
      <c r="I24" s="138"/>
      <c r="J24" s="138"/>
      <c r="K24" s="138"/>
      <c r="L24" s="138"/>
      <c r="M24" s="138"/>
      <c r="N24" s="138"/>
      <c r="O24" s="141"/>
      <c r="P24" s="141"/>
      <c r="Q24" s="141"/>
      <c r="R24" s="141"/>
      <c r="S24" s="138"/>
      <c r="T24" s="138"/>
      <c r="U24" s="138"/>
      <c r="AV24" s="3"/>
    </row>
    <row r="25" spans="1:52">
      <c r="D25" s="1"/>
      <c r="G25" s="138"/>
      <c r="H25" s="138"/>
      <c r="I25" s="138"/>
      <c r="J25" s="138"/>
      <c r="K25" s="138"/>
      <c r="L25" s="138"/>
      <c r="M25" s="138"/>
      <c r="N25" s="138"/>
      <c r="O25" s="141"/>
      <c r="P25" s="141"/>
      <c r="Q25" s="141"/>
      <c r="R25" s="141"/>
      <c r="S25" s="138"/>
      <c r="T25" s="138"/>
      <c r="U25" s="138"/>
    </row>
    <row r="26" spans="1:52">
      <c r="A26" t="s">
        <v>67</v>
      </c>
      <c r="B26" s="7" t="s">
        <v>60</v>
      </c>
      <c r="C26" s="7" t="s">
        <v>39</v>
      </c>
      <c r="D26" s="1">
        <f>(U4-D4)/17</f>
        <v>-14.15766951671047</v>
      </c>
      <c r="G26" s="138"/>
      <c r="H26" s="138"/>
      <c r="I26" s="138"/>
      <c r="J26" s="138"/>
      <c r="K26" s="138"/>
      <c r="L26" s="138"/>
      <c r="M26" s="138"/>
      <c r="N26" s="138"/>
      <c r="O26" s="141"/>
      <c r="P26" s="141"/>
      <c r="Q26" s="141"/>
      <c r="R26" s="141"/>
      <c r="S26" s="138"/>
      <c r="T26" s="138"/>
      <c r="U26" s="138"/>
    </row>
    <row r="27" spans="1:52">
      <c r="D27" s="1" t="s">
        <v>68</v>
      </c>
      <c r="G27" s="138"/>
      <c r="H27" s="138"/>
      <c r="I27" s="138"/>
      <c r="J27" s="138"/>
      <c r="K27" s="138"/>
      <c r="L27" s="138"/>
      <c r="M27" s="138"/>
      <c r="N27" s="138"/>
      <c r="O27" s="141"/>
      <c r="P27" s="141"/>
      <c r="Q27" s="141"/>
      <c r="R27" s="141"/>
      <c r="S27" s="138"/>
      <c r="T27" s="138"/>
      <c r="U27" s="138"/>
    </row>
    <row r="28" spans="1:52">
      <c r="A28" t="s">
        <v>41</v>
      </c>
      <c r="D28" s="2">
        <f>T5/D5-1</f>
        <v>-0.23887283499568723</v>
      </c>
      <c r="G28" s="138"/>
      <c r="H28" s="138"/>
      <c r="I28" s="138"/>
      <c r="J28" s="138"/>
      <c r="K28" s="138"/>
      <c r="L28" s="138"/>
      <c r="M28" s="138"/>
      <c r="N28" s="138"/>
      <c r="O28" s="141"/>
      <c r="P28" s="141"/>
      <c r="Q28" s="141"/>
      <c r="R28" s="141"/>
      <c r="S28" s="138"/>
      <c r="T28" s="138"/>
      <c r="U28" s="138"/>
    </row>
    <row r="29" spans="1:52">
      <c r="A29" t="s">
        <v>69</v>
      </c>
      <c r="D29" s="2">
        <f>T6/D6-1</f>
        <v>-0.36382520601567203</v>
      </c>
      <c r="G29" s="138"/>
      <c r="H29" s="138"/>
      <c r="I29" s="138"/>
      <c r="J29" s="138"/>
      <c r="K29" s="138"/>
      <c r="L29" s="138"/>
      <c r="M29" s="138"/>
      <c r="N29" s="138"/>
      <c r="O29" s="141"/>
      <c r="P29" s="141"/>
      <c r="Q29" s="141"/>
      <c r="R29" s="141"/>
      <c r="S29" s="138"/>
      <c r="T29" s="138"/>
      <c r="U29" s="138"/>
    </row>
    <row r="30" spans="1:52">
      <c r="A30" t="s">
        <v>70</v>
      </c>
      <c r="D30" s="2">
        <f>T7/D7-1</f>
        <v>-0.23142195721562808</v>
      </c>
      <c r="G30" s="138"/>
      <c r="H30" s="138"/>
      <c r="I30" s="138"/>
      <c r="J30" s="138"/>
      <c r="K30" s="138"/>
      <c r="L30" s="138"/>
      <c r="M30" s="138"/>
      <c r="N30" s="138"/>
      <c r="O30" s="141"/>
      <c r="P30" s="141"/>
      <c r="Q30" s="141"/>
      <c r="R30" s="141"/>
      <c r="S30" s="138"/>
      <c r="T30" s="138"/>
      <c r="U30" s="138"/>
    </row>
    <row r="31" spans="1:52">
      <c r="A31" t="s">
        <v>71</v>
      </c>
      <c r="D31" s="2">
        <f>T8/D8-1</f>
        <v>-0.16362909118533076</v>
      </c>
      <c r="G31" s="138"/>
      <c r="H31" s="138"/>
      <c r="I31" s="138"/>
      <c r="J31" s="138"/>
      <c r="K31" s="138"/>
      <c r="L31" s="138"/>
      <c r="M31" s="138"/>
      <c r="N31" s="138"/>
      <c r="O31" s="141"/>
      <c r="P31" s="141"/>
      <c r="Q31" s="141"/>
      <c r="R31" s="141"/>
      <c r="S31" s="138"/>
      <c r="T31" s="138"/>
      <c r="U31" s="138"/>
    </row>
    <row r="32" spans="1:52">
      <c r="G32" s="138"/>
      <c r="H32" s="138"/>
      <c r="I32" s="138"/>
      <c r="J32" s="138"/>
      <c r="K32" s="138"/>
      <c r="L32" s="138"/>
      <c r="M32" s="138"/>
      <c r="N32" s="138"/>
      <c r="O32" s="141"/>
      <c r="P32" s="141"/>
      <c r="Q32" s="141"/>
      <c r="R32" s="141"/>
      <c r="S32" s="138"/>
      <c r="T32" s="138"/>
      <c r="U32" s="138"/>
    </row>
    <row r="33" spans="1:49">
      <c r="G33" s="138"/>
      <c r="H33" s="138"/>
      <c r="I33" s="138"/>
      <c r="J33" s="138"/>
      <c r="K33" s="138"/>
      <c r="L33" s="138"/>
      <c r="M33" s="138"/>
      <c r="N33" s="138"/>
      <c r="O33" s="141"/>
      <c r="P33" s="141"/>
      <c r="Q33" s="141"/>
      <c r="R33" s="141"/>
      <c r="S33" s="138"/>
      <c r="T33" s="138"/>
      <c r="U33" s="138"/>
    </row>
    <row r="34" spans="1:49">
      <c r="G34" s="138"/>
      <c r="H34" s="138"/>
      <c r="I34" s="138"/>
      <c r="J34" s="138"/>
      <c r="K34" s="138"/>
      <c r="L34" s="138"/>
      <c r="M34" s="138"/>
      <c r="N34" s="138"/>
      <c r="O34" s="141"/>
      <c r="P34" s="141"/>
      <c r="Q34" s="141"/>
      <c r="R34" s="141"/>
      <c r="S34" s="138"/>
      <c r="T34" s="138"/>
      <c r="U34" s="138"/>
    </row>
    <row r="35" spans="1:49">
      <c r="G35" s="138"/>
      <c r="H35" s="138"/>
      <c r="I35" s="138"/>
      <c r="J35" s="138"/>
      <c r="K35" s="138"/>
      <c r="L35" s="138"/>
      <c r="M35" s="138"/>
      <c r="N35" s="138"/>
      <c r="O35" s="141"/>
      <c r="P35" s="141"/>
      <c r="Q35" s="141"/>
      <c r="R35" s="141"/>
      <c r="S35" s="138"/>
      <c r="T35" s="138"/>
      <c r="U35" s="138"/>
    </row>
    <row r="36" spans="1:49">
      <c r="G36" s="138"/>
      <c r="H36" s="138"/>
      <c r="I36" s="138"/>
      <c r="J36" s="138"/>
      <c r="K36" s="138"/>
      <c r="L36" s="138"/>
      <c r="M36" s="138"/>
      <c r="N36" s="138"/>
      <c r="O36" s="141"/>
      <c r="P36" s="141"/>
      <c r="Q36" s="141"/>
      <c r="R36" s="141"/>
      <c r="S36" s="138"/>
      <c r="T36" s="138"/>
      <c r="U36" s="138"/>
    </row>
    <row r="37" spans="1:49">
      <c r="G37" s="138"/>
      <c r="H37" s="138"/>
      <c r="I37" s="138"/>
      <c r="J37" s="138"/>
      <c r="K37" s="138"/>
      <c r="L37" s="138"/>
      <c r="M37" s="138"/>
      <c r="N37" s="138"/>
      <c r="O37" s="141"/>
      <c r="P37" s="141"/>
      <c r="Q37" s="141"/>
      <c r="R37" s="141"/>
      <c r="S37" s="138"/>
      <c r="T37" s="138"/>
      <c r="U37" s="138"/>
    </row>
    <row r="38" spans="1:49">
      <c r="O38" s="3"/>
      <c r="P38" s="3"/>
      <c r="Q38" s="3"/>
      <c r="R38" s="3"/>
    </row>
    <row r="39" spans="1:49">
      <c r="O39" s="3"/>
      <c r="P39" s="3"/>
      <c r="Q39" s="3"/>
      <c r="R39" s="3"/>
    </row>
    <row r="40" spans="1:49">
      <c r="D40">
        <v>473.92749123542933</v>
      </c>
      <c r="O40" s="3"/>
      <c r="P40" s="3"/>
      <c r="Q40" s="3"/>
      <c r="R40" s="3"/>
    </row>
    <row r="41" spans="1:49" ht="17.25" customHeight="1">
      <c r="O41" s="3"/>
      <c r="P41" s="3"/>
      <c r="Q41" s="3"/>
      <c r="R41" s="3"/>
    </row>
    <row r="43" spans="1:49" ht="10.5" customHeight="1">
      <c r="A43" s="4" t="s">
        <v>72</v>
      </c>
      <c r="B43" s="6"/>
      <c r="C43" s="6"/>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row>
    <row r="44" spans="1:49" s="118" customFormat="1" ht="10.5" customHeight="1">
      <c r="A44" s="116" t="s">
        <v>73</v>
      </c>
      <c r="B44" s="117"/>
      <c r="C44" s="117"/>
    </row>
    <row r="45" spans="1:49">
      <c r="A45" t="s">
        <v>74</v>
      </c>
      <c r="B45" s="7" t="s">
        <v>31</v>
      </c>
      <c r="C45" s="7" t="s">
        <v>32</v>
      </c>
      <c r="D45" s="115" t="s">
        <v>33</v>
      </c>
      <c r="E45" s="115" t="s">
        <v>75</v>
      </c>
      <c r="F45" s="115" t="s">
        <v>76</v>
      </c>
      <c r="G45" s="115" t="s">
        <v>77</v>
      </c>
      <c r="H45" s="115" t="s">
        <v>78</v>
      </c>
      <c r="I45" s="115" t="s">
        <v>34</v>
      </c>
      <c r="J45" s="115" t="s">
        <v>79</v>
      </c>
      <c r="K45" s="115" t="s">
        <v>80</v>
      </c>
      <c r="L45" s="115" t="s">
        <v>81</v>
      </c>
      <c r="M45" s="115" t="s">
        <v>82</v>
      </c>
      <c r="N45" s="115" t="s">
        <v>35</v>
      </c>
      <c r="O45" s="115" t="s">
        <v>83</v>
      </c>
      <c r="P45" s="115" t="s">
        <v>84</v>
      </c>
      <c r="Q45" s="115" t="s">
        <v>85</v>
      </c>
      <c r="R45" s="115" t="s">
        <v>86</v>
      </c>
      <c r="S45" s="115" t="s">
        <v>36</v>
      </c>
      <c r="T45" s="115" t="s">
        <v>87</v>
      </c>
      <c r="U45" s="115" t="s">
        <v>88</v>
      </c>
    </row>
    <row r="46" spans="1:49">
      <c r="A46" s="145" t="s">
        <v>89</v>
      </c>
      <c r="B46" s="7" t="s">
        <v>38</v>
      </c>
      <c r="C46" s="7" t="s">
        <v>90</v>
      </c>
      <c r="D46" s="146">
        <v>556523.79943343182</v>
      </c>
      <c r="E46" s="146">
        <v>546025.34439376334</v>
      </c>
      <c r="F46" s="146">
        <v>558821.73731368873</v>
      </c>
      <c r="G46" s="146">
        <v>539298.55818943225</v>
      </c>
      <c r="H46" s="146">
        <v>447681.16542716348</v>
      </c>
      <c r="I46" s="146">
        <v>480724.96661687526</v>
      </c>
      <c r="J46" s="146">
        <v>468688.84210737539</v>
      </c>
      <c r="K46" s="146">
        <v>450892.5625642318</v>
      </c>
      <c r="L46" s="146">
        <v>432830.46698978741</v>
      </c>
      <c r="M46" s="146">
        <v>419987.19537616114</v>
      </c>
      <c r="N46" s="146">
        <v>428994.70467562927</v>
      </c>
      <c r="O46" s="146">
        <v>434138.46733066376</v>
      </c>
      <c r="P46" s="146">
        <v>441345.54675687663</v>
      </c>
      <c r="Q46" s="146">
        <v>442369.91823639435</v>
      </c>
      <c r="R46" s="146">
        <v>428579.89530152688</v>
      </c>
      <c r="S46" s="146">
        <v>412771.87569894543</v>
      </c>
      <c r="T46" s="146">
        <v>439540.13245647895</v>
      </c>
      <c r="U46" s="146">
        <v>398202.32206999999</v>
      </c>
      <c r="X46" s="2"/>
    </row>
    <row r="47" spans="1:49" outlineLevel="1">
      <c r="A47" s="145" t="s">
        <v>91</v>
      </c>
      <c r="B47" s="7" t="s">
        <v>38</v>
      </c>
      <c r="C47" s="7" t="s">
        <v>90</v>
      </c>
      <c r="D47" s="146">
        <v>105195.77631532206</v>
      </c>
      <c r="E47" s="146">
        <v>105786.76407124392</v>
      </c>
      <c r="F47" s="146">
        <v>113121.87399527049</v>
      </c>
      <c r="G47" s="146">
        <v>105942.33079224537</v>
      </c>
      <c r="H47" s="146">
        <v>74338.593556158361</v>
      </c>
      <c r="I47" s="146">
        <v>93329.779494589253</v>
      </c>
      <c r="J47" s="146">
        <v>92651.345421672231</v>
      </c>
      <c r="K47" s="146">
        <v>86978.152029760109</v>
      </c>
      <c r="L47" s="146">
        <v>81983.504754510257</v>
      </c>
      <c r="M47" s="146">
        <v>80583.691071033914</v>
      </c>
      <c r="N47" s="146">
        <v>85620.561872763836</v>
      </c>
      <c r="O47" s="146">
        <v>82270.658023269614</v>
      </c>
      <c r="P47" s="146">
        <v>82921.438466824067</v>
      </c>
      <c r="Q47" s="146">
        <v>82741.114638924308</v>
      </c>
      <c r="R47" s="146">
        <v>78548.166730805082</v>
      </c>
      <c r="S47" s="146">
        <v>69669.792901942739</v>
      </c>
      <c r="T47" s="146">
        <v>79592.43490907563</v>
      </c>
    </row>
    <row r="48" spans="1:49" outlineLevel="1">
      <c r="A48" s="145" t="s">
        <v>92</v>
      </c>
      <c r="B48" s="7" t="s">
        <v>38</v>
      </c>
      <c r="C48" s="7" t="s">
        <v>90</v>
      </c>
      <c r="D48" s="146">
        <v>11481.89655055894</v>
      </c>
      <c r="E48" s="146">
        <v>11507.632478327216</v>
      </c>
      <c r="F48" s="146">
        <v>11589.219387553107</v>
      </c>
      <c r="G48" s="146">
        <v>11099.260394142908</v>
      </c>
      <c r="H48" s="146">
        <v>10078.700991816733</v>
      </c>
      <c r="I48" s="146">
        <v>11058.485814135276</v>
      </c>
      <c r="J48" s="146">
        <v>10185.993672581284</v>
      </c>
      <c r="K48" s="146">
        <v>9248.422498433858</v>
      </c>
      <c r="L48" s="146">
        <v>8994.9345498216207</v>
      </c>
      <c r="M48" s="146">
        <v>8471.8817280827752</v>
      </c>
      <c r="N48" s="146">
        <v>8610.4113301440284</v>
      </c>
      <c r="O48" s="146">
        <v>8720.0899151042922</v>
      </c>
      <c r="P48" s="146">
        <v>8900.5286708567382</v>
      </c>
      <c r="Q48" s="146">
        <v>8614.4303976166811</v>
      </c>
      <c r="R48" s="146">
        <v>8881.1902546650708</v>
      </c>
      <c r="S48" s="146">
        <v>8387.0875515956941</v>
      </c>
      <c r="T48" s="146">
        <v>9496.5355822698348</v>
      </c>
    </row>
    <row r="49" spans="1:34" outlineLevel="1">
      <c r="A49" s="145" t="s">
        <v>93</v>
      </c>
      <c r="B49" s="7" t="s">
        <v>38</v>
      </c>
      <c r="C49" s="7" t="s">
        <v>90</v>
      </c>
      <c r="D49" s="146">
        <v>84642.992326855456</v>
      </c>
      <c r="E49" s="146">
        <v>83294.120815396294</v>
      </c>
      <c r="F49" s="146">
        <v>83946.66327031581</v>
      </c>
      <c r="G49" s="146">
        <v>83378.024614233742</v>
      </c>
      <c r="H49" s="146">
        <v>72400.560393788808</v>
      </c>
      <c r="I49" s="146">
        <v>76266.277300863148</v>
      </c>
      <c r="J49" s="146">
        <v>74843.112363031076</v>
      </c>
      <c r="K49" s="146">
        <v>73217.124985210045</v>
      </c>
      <c r="L49" s="146">
        <v>69690.367196563267</v>
      </c>
      <c r="M49" s="146">
        <v>64414.159950753063</v>
      </c>
      <c r="N49" s="146">
        <v>63994.163653083386</v>
      </c>
      <c r="O49" s="146">
        <v>65140.922693393746</v>
      </c>
      <c r="P49" s="146">
        <v>67504.68267253814</v>
      </c>
      <c r="Q49" s="146">
        <v>69772.980793143928</v>
      </c>
      <c r="R49" s="146">
        <v>65596.111385736862</v>
      </c>
      <c r="S49" s="146">
        <v>66957.921962570588</v>
      </c>
      <c r="T49" s="146">
        <v>71819.845451372574</v>
      </c>
    </row>
    <row r="50" spans="1:34" outlineLevel="1">
      <c r="A50" s="145" t="s">
        <v>94</v>
      </c>
      <c r="B50" s="7" t="s">
        <v>38</v>
      </c>
      <c r="C50" s="7" t="s">
        <v>90</v>
      </c>
      <c r="D50" s="146">
        <v>30831.444366417931</v>
      </c>
      <c r="E50" s="146">
        <v>30433.125423811118</v>
      </c>
      <c r="F50" s="146">
        <v>29562.723218700266</v>
      </c>
      <c r="G50" s="146">
        <v>28226.145026716757</v>
      </c>
      <c r="H50" s="146">
        <v>26485.72523223082</v>
      </c>
      <c r="I50" s="146">
        <v>27205.071851387758</v>
      </c>
      <c r="J50" s="146">
        <v>26138.147914879526</v>
      </c>
      <c r="K50" s="146">
        <v>25422.207010946029</v>
      </c>
      <c r="L50" s="146">
        <v>24910.828717406548</v>
      </c>
      <c r="M50" s="146">
        <v>23365.407033668402</v>
      </c>
      <c r="N50" s="146">
        <v>23589.919296653308</v>
      </c>
      <c r="O50" s="146">
        <v>23974.439412621432</v>
      </c>
      <c r="P50" s="146">
        <v>24024.491959038063</v>
      </c>
      <c r="Q50" s="146">
        <v>23951.275209408268</v>
      </c>
      <c r="R50" s="146">
        <v>24727.017692540565</v>
      </c>
      <c r="S50" s="146">
        <v>22486.314595323074</v>
      </c>
      <c r="T50" s="146">
        <v>23774.5763724512</v>
      </c>
    </row>
    <row r="51" spans="1:34" outlineLevel="1">
      <c r="A51" s="145" t="s">
        <v>95</v>
      </c>
      <c r="B51" s="7" t="s">
        <v>38</v>
      </c>
      <c r="C51" s="7" t="s">
        <v>90</v>
      </c>
      <c r="D51" s="146">
        <v>45384.167708501518</v>
      </c>
      <c r="E51" s="146">
        <v>41185.079215703059</v>
      </c>
      <c r="F51" s="146">
        <v>40457.016608371516</v>
      </c>
      <c r="G51" s="146">
        <v>38587.18383726645</v>
      </c>
      <c r="H51" s="146">
        <v>35153.199096099874</v>
      </c>
      <c r="I51" s="146">
        <v>36444.618596396511</v>
      </c>
      <c r="J51" s="146">
        <v>34739.925966158822</v>
      </c>
      <c r="K51" s="146">
        <v>34662.807908364171</v>
      </c>
      <c r="L51" s="146">
        <v>34953.810113575448</v>
      </c>
      <c r="M51" s="146">
        <v>34746.389454580967</v>
      </c>
      <c r="N51" s="146">
        <v>35459.476306296936</v>
      </c>
      <c r="O51" s="146">
        <v>36002.583766220647</v>
      </c>
      <c r="P51" s="146">
        <v>36579.359731680917</v>
      </c>
      <c r="Q51" s="146">
        <v>36786.971973781612</v>
      </c>
      <c r="R51" s="146">
        <v>36263.171644049522</v>
      </c>
      <c r="S51" s="146">
        <v>34896.666204873378</v>
      </c>
      <c r="T51" s="146">
        <v>36843.584531521999</v>
      </c>
    </row>
    <row r="52" spans="1:34" outlineLevel="1">
      <c r="A52" s="145" t="s">
        <v>96</v>
      </c>
      <c r="B52" s="7" t="s">
        <v>38</v>
      </c>
      <c r="C52" s="7" t="s">
        <v>90</v>
      </c>
      <c r="D52" s="146">
        <v>125162.74995795783</v>
      </c>
      <c r="E52" s="146">
        <v>123512.0186134039</v>
      </c>
      <c r="F52" s="146">
        <v>126165.89545891357</v>
      </c>
      <c r="G52" s="146">
        <v>121290.99818286461</v>
      </c>
      <c r="H52" s="146">
        <v>98848.968640016756</v>
      </c>
      <c r="I52" s="146">
        <v>99975.673001128933</v>
      </c>
      <c r="J52" s="146">
        <v>98054.61867782085</v>
      </c>
      <c r="K52" s="146">
        <v>93107.540506292818</v>
      </c>
      <c r="L52" s="146">
        <v>83163.864970628027</v>
      </c>
      <c r="M52" s="146">
        <v>84427.301251851255</v>
      </c>
      <c r="N52" s="146">
        <v>84249.261859623963</v>
      </c>
      <c r="O52" s="146">
        <v>86503.771137159303</v>
      </c>
      <c r="P52" s="146">
        <v>86737.502815804692</v>
      </c>
      <c r="Q52" s="146">
        <v>88766.998320152896</v>
      </c>
      <c r="R52" s="146">
        <v>85877.741679636412</v>
      </c>
      <c r="S52" s="146">
        <v>81701.412884615551</v>
      </c>
      <c r="T52" s="146">
        <v>84372.778620151614</v>
      </c>
      <c r="AH52">
        <v>0</v>
      </c>
    </row>
    <row r="53" spans="1:34" outlineLevel="1">
      <c r="A53" s="145" t="s">
        <v>97</v>
      </c>
      <c r="B53" s="7" t="s">
        <v>38</v>
      </c>
      <c r="C53" s="7" t="s">
        <v>90</v>
      </c>
      <c r="D53" s="146">
        <v>153824.77220781829</v>
      </c>
      <c r="E53" s="146">
        <v>150306.60377587777</v>
      </c>
      <c r="F53" s="146">
        <v>153978.34537456412</v>
      </c>
      <c r="G53" s="146">
        <v>150774.61534196246</v>
      </c>
      <c r="H53" s="146">
        <v>130375.41751705215</v>
      </c>
      <c r="I53" s="146">
        <v>136445.06055837433</v>
      </c>
      <c r="J53" s="146">
        <v>132075.69809123164</v>
      </c>
      <c r="K53" s="146">
        <v>128256.30762522473</v>
      </c>
      <c r="L53" s="146">
        <v>129133.15668728221</v>
      </c>
      <c r="M53" s="146">
        <v>123978.36488619077</v>
      </c>
      <c r="N53" s="146">
        <v>127470.91035706381</v>
      </c>
      <c r="O53" s="146">
        <v>131526.00238289472</v>
      </c>
      <c r="P53" s="146">
        <v>134677.54244013401</v>
      </c>
      <c r="Q53" s="146">
        <v>131736.14690336669</v>
      </c>
      <c r="R53" s="146">
        <v>128686.49591409335</v>
      </c>
      <c r="S53" s="146">
        <v>128672.67959802432</v>
      </c>
      <c r="T53" s="146">
        <v>133640.37698963605</v>
      </c>
    </row>
    <row r="54" spans="1:34">
      <c r="A54" s="145" t="s">
        <v>98</v>
      </c>
      <c r="B54" s="7" t="s">
        <v>38</v>
      </c>
      <c r="C54" s="7" t="s">
        <v>90</v>
      </c>
      <c r="D54" s="146">
        <v>424749.95732430555</v>
      </c>
      <c r="E54" s="146">
        <v>427761.11995616904</v>
      </c>
      <c r="F54" s="146">
        <v>436796.39723452297</v>
      </c>
      <c r="G54" s="146">
        <v>413039.88867421733</v>
      </c>
      <c r="H54" s="146">
        <v>341747.14082889515</v>
      </c>
      <c r="I54" s="146">
        <v>358089.47607620212</v>
      </c>
      <c r="J54" s="146">
        <v>357464.61231072643</v>
      </c>
      <c r="K54" s="146">
        <v>344777.87197757367</v>
      </c>
      <c r="L54" s="146">
        <v>342701.87404292083</v>
      </c>
      <c r="M54" s="146">
        <v>349178.20090488723</v>
      </c>
      <c r="N54" s="146">
        <v>339854.34063486359</v>
      </c>
      <c r="O54" s="146">
        <v>342081.20330697665</v>
      </c>
      <c r="P54" s="146">
        <v>349690.55288540595</v>
      </c>
      <c r="Q54" s="146">
        <v>342906.68960197404</v>
      </c>
      <c r="R54" s="146">
        <v>331548.23411447776</v>
      </c>
      <c r="S54" s="146">
        <v>306828.45332087105</v>
      </c>
      <c r="T54" s="146">
        <v>317933.96133956104</v>
      </c>
      <c r="U54" s="146">
        <v>293126.49118000001</v>
      </c>
      <c r="X54" s="2"/>
    </row>
    <row r="55" spans="1:34" outlineLevel="1" collapsed="1">
      <c r="A55" s="145" t="s">
        <v>99</v>
      </c>
      <c r="B55" s="7" t="s">
        <v>38</v>
      </c>
      <c r="C55" s="7" t="s">
        <v>90</v>
      </c>
      <c r="D55" s="146">
        <v>134942.18316591802</v>
      </c>
      <c r="E55" s="146">
        <v>138917.95753560943</v>
      </c>
      <c r="F55" s="146">
        <v>143961.06176965067</v>
      </c>
      <c r="G55" s="146">
        <v>134868.85022430174</v>
      </c>
      <c r="H55" s="146">
        <v>109190.14951912711</v>
      </c>
      <c r="I55" s="146">
        <v>110165.24423129778</v>
      </c>
      <c r="J55" s="146">
        <v>110550.54981499558</v>
      </c>
      <c r="K55" s="146">
        <v>103993.84947423416</v>
      </c>
      <c r="L55" s="146">
        <v>99752.67498036183</v>
      </c>
      <c r="M55" s="146">
        <v>103209.19051178449</v>
      </c>
      <c r="N55" s="146">
        <v>102195.85312937593</v>
      </c>
      <c r="O55" s="146">
        <v>101919.32362550219</v>
      </c>
      <c r="P55" s="146">
        <v>104919.15995355349</v>
      </c>
      <c r="Q55" s="146">
        <v>106586.53446840227</v>
      </c>
      <c r="R55" s="146">
        <v>105196.88859696107</v>
      </c>
      <c r="S55" s="146">
        <v>99134.60281023565</v>
      </c>
      <c r="T55" s="146">
        <v>104085.6353282105</v>
      </c>
    </row>
    <row r="56" spans="1:34" hidden="1" outlineLevel="2">
      <c r="A56" s="145" t="s">
        <v>100</v>
      </c>
      <c r="B56" s="7" t="s">
        <v>38</v>
      </c>
      <c r="C56" s="7" t="s">
        <v>90</v>
      </c>
      <c r="D56" s="146">
        <v>96018.699760116899</v>
      </c>
      <c r="E56" s="146">
        <v>98794.53923568294</v>
      </c>
      <c r="F56" s="146">
        <v>103243.79174272703</v>
      </c>
      <c r="G56" s="146">
        <v>96063.325866546642</v>
      </c>
      <c r="H56" s="146">
        <v>78538.560329497908</v>
      </c>
      <c r="I56" s="146">
        <v>76952.11601150615</v>
      </c>
      <c r="J56" s="146">
        <v>75694.639396131868</v>
      </c>
      <c r="K56" s="146">
        <v>71334.584316651642</v>
      </c>
      <c r="L56" s="146">
        <v>67609.412332754189</v>
      </c>
      <c r="M56" s="146">
        <v>70798.265187307523</v>
      </c>
      <c r="N56" s="146">
        <v>70178.38250372211</v>
      </c>
      <c r="O56" s="146">
        <v>70151.658779877282</v>
      </c>
      <c r="P56" s="146">
        <v>72298.225672062341</v>
      </c>
      <c r="Q56" s="146">
        <v>73607.94927136763</v>
      </c>
      <c r="R56" s="146">
        <v>73556.099877739558</v>
      </c>
      <c r="S56" s="146">
        <v>70408.308122855102</v>
      </c>
      <c r="T56" s="146">
        <v>72419.613292998023</v>
      </c>
    </row>
    <row r="57" spans="1:34" hidden="1" outlineLevel="2">
      <c r="A57" s="145" t="s">
        <v>101</v>
      </c>
      <c r="B57" s="7" t="s">
        <v>38</v>
      </c>
      <c r="C57" s="7" t="s">
        <v>90</v>
      </c>
      <c r="D57" s="146">
        <v>21081.137380673343</v>
      </c>
      <c r="E57" s="146">
        <v>21973.194302478209</v>
      </c>
      <c r="F57" s="146">
        <v>22578.333417943835</v>
      </c>
      <c r="G57" s="146">
        <v>21769.58336820528</v>
      </c>
      <c r="H57" s="146">
        <v>16933.147764686044</v>
      </c>
      <c r="I57" s="146">
        <v>18809.296170157078</v>
      </c>
      <c r="J57" s="146">
        <v>19500.990750866837</v>
      </c>
      <c r="K57" s="146">
        <v>18094.518140958582</v>
      </c>
      <c r="L57" s="146">
        <v>18227.304585735339</v>
      </c>
      <c r="M57" s="146">
        <v>18652.193032970776</v>
      </c>
      <c r="N57" s="146">
        <v>18116.405243953708</v>
      </c>
      <c r="O57" s="146">
        <v>17813.765025573237</v>
      </c>
      <c r="P57" s="146">
        <v>18393.393149806692</v>
      </c>
      <c r="Q57" s="146">
        <v>18587.157819904889</v>
      </c>
      <c r="R57" s="146">
        <v>17703.412727110128</v>
      </c>
      <c r="S57" s="146">
        <v>15994.819121275896</v>
      </c>
      <c r="T57" s="146">
        <v>17728.138426357593</v>
      </c>
    </row>
    <row r="58" spans="1:34" hidden="1" outlineLevel="2">
      <c r="A58" s="145" t="s">
        <v>102</v>
      </c>
      <c r="B58" s="7" t="s">
        <v>38</v>
      </c>
      <c r="C58" s="7" t="s">
        <v>90</v>
      </c>
      <c r="D58" s="146">
        <v>4343.1796706097457</v>
      </c>
      <c r="E58" s="146">
        <v>4406.5474739726624</v>
      </c>
      <c r="F58" s="146">
        <v>4464.09451799209</v>
      </c>
      <c r="G58" s="146">
        <v>4254.738674752416</v>
      </c>
      <c r="H58" s="146">
        <v>3671.9851169707681</v>
      </c>
      <c r="I58" s="146">
        <v>3809.2691396176833</v>
      </c>
      <c r="J58" s="146">
        <v>3896.1709570215103</v>
      </c>
      <c r="K58" s="146">
        <v>3775.7106605604877</v>
      </c>
      <c r="L58" s="146">
        <v>3729.2083042006952</v>
      </c>
      <c r="M58" s="146">
        <v>3786.4590167857436</v>
      </c>
      <c r="N58" s="146">
        <v>3847.0024074095145</v>
      </c>
      <c r="O58" s="146">
        <v>3848.3739213450617</v>
      </c>
      <c r="P58" s="146">
        <v>3898.9916856346345</v>
      </c>
      <c r="Q58" s="146">
        <v>3960.8536674763063</v>
      </c>
      <c r="R58" s="146">
        <v>3969.1734976424004</v>
      </c>
      <c r="S58" s="146">
        <v>3771.9716234734756</v>
      </c>
      <c r="T58" s="146">
        <v>4064.7184127660585</v>
      </c>
    </row>
    <row r="59" spans="1:34" hidden="1" outlineLevel="2">
      <c r="A59" s="145" t="s">
        <v>103</v>
      </c>
      <c r="B59" s="7" t="s">
        <v>38</v>
      </c>
      <c r="C59" s="7" t="s">
        <v>90</v>
      </c>
      <c r="D59" s="146">
        <v>13499.166354518033</v>
      </c>
      <c r="E59" s="146">
        <v>13743.676523475628</v>
      </c>
      <c r="F59" s="146">
        <v>13674.842090987722</v>
      </c>
      <c r="G59" s="146">
        <v>12781.202314797436</v>
      </c>
      <c r="H59" s="146">
        <v>10046.456307972414</v>
      </c>
      <c r="I59" s="146">
        <v>10594.562910016861</v>
      </c>
      <c r="J59" s="146">
        <v>11458.748710975362</v>
      </c>
      <c r="K59" s="146">
        <v>10789.036356063465</v>
      </c>
      <c r="L59" s="146">
        <v>10186.749757671607</v>
      </c>
      <c r="M59" s="146">
        <v>9972.2732747204445</v>
      </c>
      <c r="N59" s="146">
        <v>10054.062974290606</v>
      </c>
      <c r="O59" s="146">
        <v>10105.525898706625</v>
      </c>
      <c r="P59" s="146">
        <v>10328.549446049848</v>
      </c>
      <c r="Q59" s="146">
        <v>10430.573709653441</v>
      </c>
      <c r="R59" s="146">
        <v>9968.2024944689601</v>
      </c>
      <c r="S59" s="146">
        <v>8959.5039426311887</v>
      </c>
      <c r="T59" s="146">
        <v>9873.1651960888321</v>
      </c>
    </row>
    <row r="60" spans="1:34" outlineLevel="1" collapsed="1">
      <c r="A60" s="145" t="s">
        <v>104</v>
      </c>
      <c r="B60" s="7" t="s">
        <v>38</v>
      </c>
      <c r="C60" s="7" t="s">
        <v>90</v>
      </c>
      <c r="D60" s="146">
        <v>110060.00360667604</v>
      </c>
      <c r="E60" s="146">
        <v>97911.331454391169</v>
      </c>
      <c r="F60" s="146">
        <v>98827.069543713442</v>
      </c>
      <c r="G60" s="146">
        <v>87760.690602810602</v>
      </c>
      <c r="H60" s="146">
        <v>72259.28162228172</v>
      </c>
      <c r="I60" s="146">
        <v>68282.650059500869</v>
      </c>
      <c r="J60" s="146">
        <v>65834.589573757316</v>
      </c>
      <c r="K60" s="146">
        <v>61669.619419970404</v>
      </c>
      <c r="L60" s="146">
        <v>60116.404403923174</v>
      </c>
      <c r="M60" s="146">
        <v>59311.456632226873</v>
      </c>
      <c r="N60" s="146">
        <v>58314.234404543982</v>
      </c>
      <c r="O60" s="146">
        <v>56840.887463483748</v>
      </c>
      <c r="P60" s="146">
        <v>59945.400415909295</v>
      </c>
      <c r="Q60" s="146">
        <v>58104.698895896508</v>
      </c>
      <c r="R60" s="146">
        <v>55714.869323474144</v>
      </c>
      <c r="S60" s="146">
        <v>53934.677384254246</v>
      </c>
      <c r="T60" s="146">
        <v>52045.29287477328</v>
      </c>
    </row>
    <row r="61" spans="1:34" hidden="1" outlineLevel="2">
      <c r="A61" s="145" t="s">
        <v>105</v>
      </c>
      <c r="B61" s="7" t="s">
        <v>38</v>
      </c>
      <c r="C61" s="7" t="s">
        <v>90</v>
      </c>
      <c r="D61" s="146">
        <v>27471.936089735096</v>
      </c>
      <c r="E61" s="146">
        <v>24908.708144565113</v>
      </c>
      <c r="F61" s="146">
        <v>26633.295666597347</v>
      </c>
      <c r="G61" s="146">
        <v>25609.080334963513</v>
      </c>
      <c r="H61" s="146">
        <v>20621.732112674781</v>
      </c>
      <c r="I61" s="146">
        <v>23820.67719438938</v>
      </c>
      <c r="J61" s="146">
        <v>25570.251756877031</v>
      </c>
      <c r="K61" s="146">
        <v>24798.434931579861</v>
      </c>
      <c r="L61" s="146">
        <v>23726.771531729533</v>
      </c>
      <c r="M61" s="146">
        <v>22178.659137137114</v>
      </c>
      <c r="N61" s="146">
        <v>21162.753681616276</v>
      </c>
      <c r="O61" s="146">
        <v>20925.221674895565</v>
      </c>
      <c r="P61" s="146">
        <v>22124.75819622181</v>
      </c>
      <c r="Q61" s="146">
        <v>20696.223477850523</v>
      </c>
      <c r="R61" s="146">
        <v>19943.800860870513</v>
      </c>
      <c r="S61" s="146">
        <v>20849.998108680797</v>
      </c>
      <c r="T61" s="146">
        <v>19301.4601380491</v>
      </c>
    </row>
    <row r="62" spans="1:34" hidden="1" outlineLevel="2">
      <c r="A62" s="145" t="s">
        <v>106</v>
      </c>
      <c r="B62" s="7" t="s">
        <v>38</v>
      </c>
      <c r="C62" s="7" t="s">
        <v>90</v>
      </c>
      <c r="D62" s="146">
        <v>34582.135788428313</v>
      </c>
      <c r="E62" s="146">
        <v>31334.926541067791</v>
      </c>
      <c r="F62" s="146">
        <v>29343.93954063104</v>
      </c>
      <c r="G62" s="146">
        <v>20742.588536461</v>
      </c>
      <c r="H62" s="146">
        <v>11308.697113837025</v>
      </c>
      <c r="I62" s="146">
        <v>9512.9888501146143</v>
      </c>
      <c r="J62" s="146">
        <v>6857.4486173607183</v>
      </c>
      <c r="K62" s="146">
        <v>5874.4668999404284</v>
      </c>
      <c r="L62" s="146">
        <v>4119.824879038968</v>
      </c>
      <c r="M62" s="146">
        <v>4110.600615762939</v>
      </c>
      <c r="N62" s="146">
        <v>3886.934722076639</v>
      </c>
      <c r="O62" s="146">
        <v>3483.7211131365757</v>
      </c>
      <c r="P62" s="146">
        <v>3192.5252528836763</v>
      </c>
      <c r="Q62" s="146">
        <v>3009.8269720700396</v>
      </c>
      <c r="R62" s="146">
        <v>2745.4540247965019</v>
      </c>
      <c r="S62" s="146">
        <v>2457.2710964995722</v>
      </c>
      <c r="T62" s="146">
        <v>2397.6388557050673</v>
      </c>
    </row>
    <row r="63" spans="1:34" hidden="1" outlineLevel="2">
      <c r="A63" s="145" t="s">
        <v>107</v>
      </c>
      <c r="B63" s="7" t="s">
        <v>38</v>
      </c>
      <c r="C63" s="7" t="s">
        <v>90</v>
      </c>
      <c r="D63" s="146">
        <v>9329.9107836743424</v>
      </c>
      <c r="E63" s="146">
        <v>5138.2169421740273</v>
      </c>
      <c r="F63" s="146">
        <v>6857.2509610149882</v>
      </c>
      <c r="G63" s="146">
        <v>6593.3702307826952</v>
      </c>
      <c r="H63" s="146">
        <v>9205.9402662077846</v>
      </c>
      <c r="I63" s="146">
        <v>1390.8576408327658</v>
      </c>
      <c r="J63" s="146">
        <v>686.75532650977004</v>
      </c>
      <c r="K63" s="146">
        <v>483.44434772380629</v>
      </c>
      <c r="L63" s="146">
        <v>562.10771044866692</v>
      </c>
      <c r="M63" s="146">
        <v>389.68568604844722</v>
      </c>
      <c r="N63" s="146">
        <v>412.52859922577818</v>
      </c>
      <c r="O63" s="146">
        <v>333.60392387469818</v>
      </c>
      <c r="P63" s="146">
        <v>966.10454579032353</v>
      </c>
      <c r="Q63" s="146">
        <v>371.43855142593128</v>
      </c>
      <c r="R63" s="146">
        <v>283.23686574907759</v>
      </c>
      <c r="S63" s="146">
        <v>262.60018155264805</v>
      </c>
      <c r="T63" s="146">
        <v>143.74206055109971</v>
      </c>
    </row>
    <row r="64" spans="1:34" hidden="1" outlineLevel="2">
      <c r="A64" s="145" t="s">
        <v>108</v>
      </c>
      <c r="B64" s="7" t="s">
        <v>38</v>
      </c>
      <c r="C64" s="7" t="s">
        <v>90</v>
      </c>
      <c r="D64" s="146">
        <v>1896.2950613</v>
      </c>
      <c r="E64" s="146">
        <v>1975.5529043000001</v>
      </c>
      <c r="F64" s="146">
        <v>1893.9514171999999</v>
      </c>
      <c r="G64" s="146">
        <v>1731.9042351999999</v>
      </c>
      <c r="H64" s="146">
        <v>1936.3604749000001</v>
      </c>
      <c r="I64" s="146">
        <v>2055.8252627000002</v>
      </c>
      <c r="J64" s="146">
        <v>2210.6922379000002</v>
      </c>
      <c r="K64" s="146">
        <v>2159.0709375000001</v>
      </c>
      <c r="L64" s="146">
        <v>2019.2772735999999</v>
      </c>
      <c r="M64" s="146">
        <v>1996.3453130999999</v>
      </c>
      <c r="N64" s="146">
        <v>1973.2975369999999</v>
      </c>
      <c r="O64" s="146">
        <v>1727.5531427181211</v>
      </c>
      <c r="P64" s="146">
        <v>1768.9281854999999</v>
      </c>
      <c r="Q64" s="146">
        <v>1703.0475689999998</v>
      </c>
      <c r="R64" s="146">
        <v>1508.009188945</v>
      </c>
      <c r="S64" s="146">
        <v>1267.7137641249999</v>
      </c>
      <c r="T64" s="146">
        <v>1035.4030582800001</v>
      </c>
    </row>
    <row r="65" spans="1:20" hidden="1" outlineLevel="2">
      <c r="A65" s="145" t="s">
        <v>109</v>
      </c>
      <c r="B65" s="7" t="s">
        <v>38</v>
      </c>
      <c r="C65" s="7" t="s">
        <v>90</v>
      </c>
      <c r="D65" s="146">
        <v>588.02817469513866</v>
      </c>
      <c r="E65" s="146">
        <v>567.92310393950606</v>
      </c>
      <c r="F65" s="146">
        <v>504.82963473733611</v>
      </c>
      <c r="G65" s="146">
        <v>504.65647200428526</v>
      </c>
      <c r="H65" s="146">
        <v>414.59987091475426</v>
      </c>
      <c r="I65" s="146">
        <v>419.17383934497678</v>
      </c>
      <c r="J65" s="146">
        <v>480.24453980156017</v>
      </c>
      <c r="K65" s="146">
        <v>374.73798737019649</v>
      </c>
      <c r="L65" s="146">
        <v>317.22512897129531</v>
      </c>
      <c r="M65" s="146">
        <v>286.64350579709543</v>
      </c>
      <c r="N65" s="146">
        <v>254.99887564247709</v>
      </c>
      <c r="O65" s="146">
        <v>272.04350506115406</v>
      </c>
      <c r="P65" s="146">
        <v>255.45715196322899</v>
      </c>
      <c r="Q65" s="146">
        <v>276.9563567786887</v>
      </c>
      <c r="R65" s="146">
        <v>270.93929033011773</v>
      </c>
      <c r="S65" s="146">
        <v>220.54927394044907</v>
      </c>
      <c r="T65" s="146">
        <v>262.11688764137131</v>
      </c>
    </row>
    <row r="66" spans="1:20" hidden="1" outlineLevel="2">
      <c r="A66" s="145" t="s">
        <v>110</v>
      </c>
      <c r="B66" s="7" t="s">
        <v>38</v>
      </c>
      <c r="C66" s="7" t="s">
        <v>90</v>
      </c>
      <c r="D66" s="146">
        <v>40.254924054925631</v>
      </c>
      <c r="E66" s="146">
        <v>49.921532022857143</v>
      </c>
      <c r="F66" s="146">
        <v>53.49799868142857</v>
      </c>
      <c r="G66" s="146">
        <v>50.855123797142866</v>
      </c>
      <c r="H66" s="146">
        <v>48.290877918571425</v>
      </c>
      <c r="I66" s="146">
        <v>53.464553232857142</v>
      </c>
      <c r="J66" s="146">
        <v>55.197428045714275</v>
      </c>
      <c r="K66" s="146">
        <v>42.108178485714291</v>
      </c>
      <c r="L66" s="146">
        <v>120.29777242285715</v>
      </c>
      <c r="M66" s="146">
        <v>122.83435683642857</v>
      </c>
      <c r="N66" s="146">
        <v>124.71710003000001</v>
      </c>
      <c r="O66" s="146">
        <v>131.22270083499998</v>
      </c>
      <c r="P66" s="146">
        <v>136.86151739590002</v>
      </c>
      <c r="Q66" s="146">
        <v>120.4601533007</v>
      </c>
      <c r="R66" s="146">
        <v>120.0983662238</v>
      </c>
      <c r="S66" s="146">
        <v>116.57946152</v>
      </c>
      <c r="T66" s="146">
        <v>123.50909324</v>
      </c>
    </row>
    <row r="67" spans="1:20" hidden="1" outlineLevel="2">
      <c r="A67" s="145" t="s">
        <v>111</v>
      </c>
      <c r="B67" s="7" t="s">
        <v>38</v>
      </c>
      <c r="C67" s="7" t="s">
        <v>90</v>
      </c>
      <c r="D67" s="146">
        <v>2098.9898626211116</v>
      </c>
      <c r="E67" s="146">
        <v>2065.3645783998122</v>
      </c>
      <c r="F67" s="146">
        <v>2095.5821757675008</v>
      </c>
      <c r="G67" s="146">
        <v>2109.2772246406453</v>
      </c>
      <c r="H67" s="146">
        <v>1559.4233228476892</v>
      </c>
      <c r="I67" s="146">
        <v>1810.504270862677</v>
      </c>
      <c r="J67" s="146">
        <v>1926.9672868141809</v>
      </c>
      <c r="K67" s="146">
        <v>1882.2224326917219</v>
      </c>
      <c r="L67" s="146">
        <v>1851.5543824452809</v>
      </c>
      <c r="M67" s="146">
        <v>2006.7193417690314</v>
      </c>
      <c r="N67" s="146">
        <v>2012.4526329867806</v>
      </c>
      <c r="O67" s="146">
        <v>2061.8968006762102</v>
      </c>
      <c r="P67" s="146">
        <v>2076.7257894694635</v>
      </c>
      <c r="Q67" s="146">
        <v>2057.6265841744812</v>
      </c>
      <c r="R67" s="146">
        <v>1948.8550612818208</v>
      </c>
      <c r="S67" s="146">
        <v>1672.1377861654232</v>
      </c>
      <c r="T67" s="146">
        <v>1832.150967278757</v>
      </c>
    </row>
    <row r="68" spans="1:20" hidden="1" outlineLevel="2">
      <c r="A68" s="145" t="s">
        <v>112</v>
      </c>
      <c r="B68" s="7" t="s">
        <v>38</v>
      </c>
      <c r="C68" s="7" t="s">
        <v>90</v>
      </c>
      <c r="D68" s="146">
        <v>15266.908283518327</v>
      </c>
      <c r="E68" s="146">
        <v>15571.090970397032</v>
      </c>
      <c r="F68" s="146">
        <v>15653.095356934607</v>
      </c>
      <c r="G68" s="146">
        <v>14336.288217587931</v>
      </c>
      <c r="H68" s="146">
        <v>13307.061341932782</v>
      </c>
      <c r="I68" s="146">
        <v>14280.968320507056</v>
      </c>
      <c r="J68" s="146">
        <v>13815.502487623316</v>
      </c>
      <c r="K68" s="146">
        <v>12298.046672010036</v>
      </c>
      <c r="L68" s="146">
        <v>12558.878831945873</v>
      </c>
      <c r="M68" s="146">
        <v>13359.67602739374</v>
      </c>
      <c r="N68" s="146">
        <v>13557.191784725894</v>
      </c>
      <c r="O68" s="146">
        <v>12739.470679925276</v>
      </c>
      <c r="P68" s="146">
        <v>13505.939993350134</v>
      </c>
      <c r="Q68" s="146">
        <v>13520.78328762552</v>
      </c>
      <c r="R68" s="146">
        <v>12895.283582661827</v>
      </c>
      <c r="S68" s="146">
        <v>13114.960921264783</v>
      </c>
      <c r="T68" s="146">
        <v>13207.576563026958</v>
      </c>
    </row>
    <row r="69" spans="1:20" hidden="1" outlineLevel="2">
      <c r="A69" s="145" t="s">
        <v>113</v>
      </c>
      <c r="B69" s="7" t="s">
        <v>38</v>
      </c>
      <c r="C69" s="7" t="s">
        <v>90</v>
      </c>
      <c r="D69" s="146">
        <v>7325.4836542285648</v>
      </c>
      <c r="E69" s="146">
        <v>4967.1656147845097</v>
      </c>
      <c r="F69" s="146">
        <v>4225.6886650913102</v>
      </c>
      <c r="G69" s="146">
        <v>4639.0920320639043</v>
      </c>
      <c r="H69" s="146">
        <v>3821.2395449298169</v>
      </c>
      <c r="I69" s="146">
        <v>3842.3129589202354</v>
      </c>
      <c r="J69" s="146">
        <v>3232.8458577491888</v>
      </c>
      <c r="K69" s="146">
        <v>2871.2159945586072</v>
      </c>
      <c r="L69" s="146">
        <v>3071.1453575154096</v>
      </c>
      <c r="M69" s="146">
        <v>2703.4338109316291</v>
      </c>
      <c r="N69" s="146">
        <v>2982.1194644720053</v>
      </c>
      <c r="O69" s="146">
        <v>3267.8144240053089</v>
      </c>
      <c r="P69" s="146">
        <v>3040.4377616206552</v>
      </c>
      <c r="Q69" s="146">
        <v>3471.8488403165843</v>
      </c>
      <c r="R69" s="146">
        <v>2662.6250084984613</v>
      </c>
      <c r="S69" s="146">
        <v>1618.8979103206286</v>
      </c>
      <c r="T69" s="146">
        <v>1051.1049277281634</v>
      </c>
    </row>
    <row r="70" spans="1:20" hidden="1" outlineLevel="2">
      <c r="A70" s="145" t="s">
        <v>114</v>
      </c>
      <c r="B70" s="7" t="s">
        <v>38</v>
      </c>
      <c r="C70" s="7" t="s">
        <v>90</v>
      </c>
      <c r="D70" s="146">
        <v>11460.060984420214</v>
      </c>
      <c r="E70" s="146">
        <v>11332.461122740513</v>
      </c>
      <c r="F70" s="146">
        <v>11565.938127057872</v>
      </c>
      <c r="G70" s="146">
        <v>11443.578195309545</v>
      </c>
      <c r="H70" s="146">
        <v>10035.936696118564</v>
      </c>
      <c r="I70" s="146">
        <v>11095.877168596293</v>
      </c>
      <c r="J70" s="146">
        <v>10998.684035075779</v>
      </c>
      <c r="K70" s="146">
        <v>10885.871038110126</v>
      </c>
      <c r="L70" s="146">
        <v>11769.32153580534</v>
      </c>
      <c r="M70" s="146">
        <v>12156.858837450414</v>
      </c>
      <c r="N70" s="146">
        <v>11947.240006768034</v>
      </c>
      <c r="O70" s="146">
        <v>11898.339498355796</v>
      </c>
      <c r="P70" s="146">
        <v>12877.662021714001</v>
      </c>
      <c r="Q70" s="146">
        <v>12876.487103354111</v>
      </c>
      <c r="R70" s="146">
        <v>13336.567074116929</v>
      </c>
      <c r="S70" s="146">
        <v>12353.968880184942</v>
      </c>
      <c r="T70" s="146">
        <v>12690.590323272878</v>
      </c>
    </row>
    <row r="71" spans="1:20" outlineLevel="1">
      <c r="A71" s="145" t="s">
        <v>115</v>
      </c>
      <c r="B71" s="7" t="s">
        <v>38</v>
      </c>
      <c r="C71" s="7" t="s">
        <v>90</v>
      </c>
      <c r="D71" s="146">
        <v>101990.0945339483</v>
      </c>
      <c r="E71" s="146">
        <v>105402.52172355569</v>
      </c>
      <c r="F71" s="146">
        <v>101495.08217281828</v>
      </c>
      <c r="G71" s="146">
        <v>92415.618618641442</v>
      </c>
      <c r="H71" s="146">
        <v>62519.877486253579</v>
      </c>
      <c r="I71" s="146">
        <v>77829.516829124419</v>
      </c>
      <c r="J71" s="146">
        <v>75709.025926615752</v>
      </c>
      <c r="K71" s="146">
        <v>70983.600193139879</v>
      </c>
      <c r="L71" s="146">
        <v>73005.434405121123</v>
      </c>
      <c r="M71" s="146">
        <v>75241.134184664275</v>
      </c>
      <c r="N71" s="146">
        <v>76066.502671996481</v>
      </c>
      <c r="O71" s="146">
        <v>78698.312949102037</v>
      </c>
      <c r="P71" s="146">
        <v>81374.802995736871</v>
      </c>
      <c r="Q71" s="146">
        <v>78702.020352956344</v>
      </c>
      <c r="R71" s="146">
        <v>74906.840789959635</v>
      </c>
      <c r="S71" s="146">
        <v>64307.446350370599</v>
      </c>
      <c r="T71" s="146">
        <v>74664.26758996697</v>
      </c>
    </row>
    <row r="72" spans="1:20" outlineLevel="2">
      <c r="A72" s="145" t="s">
        <v>116</v>
      </c>
      <c r="B72" s="7" t="s">
        <v>38</v>
      </c>
      <c r="C72" s="7" t="s">
        <v>90</v>
      </c>
      <c r="D72" s="146">
        <v>87958.353146841095</v>
      </c>
      <c r="E72" s="146">
        <v>92713.895156918952</v>
      </c>
      <c r="F72" s="146">
        <v>88747.963124794027</v>
      </c>
      <c r="G72" s="146">
        <v>80895.945055831326</v>
      </c>
      <c r="H72" s="146">
        <v>55238.242285625493</v>
      </c>
      <c r="I72" s="146">
        <v>68803.414526990018</v>
      </c>
      <c r="J72" s="146">
        <v>66129.607650666119</v>
      </c>
      <c r="K72" s="146">
        <v>62024.484256757016</v>
      </c>
      <c r="L72" s="146">
        <v>64602.911619917766</v>
      </c>
      <c r="M72" s="146">
        <v>66716.011686548736</v>
      </c>
      <c r="N72" s="146">
        <v>67506.629040315383</v>
      </c>
      <c r="O72" s="146">
        <v>69878.333825817273</v>
      </c>
      <c r="P72" s="146">
        <v>72411.155107243758</v>
      </c>
      <c r="Q72" s="146">
        <v>69738.881906865819</v>
      </c>
      <c r="R72" s="146">
        <v>66815.249566039172</v>
      </c>
      <c r="S72" s="146">
        <v>57324.160888209495</v>
      </c>
      <c r="T72" s="146">
        <v>67422.420057336611</v>
      </c>
    </row>
    <row r="73" spans="1:20" outlineLevel="2">
      <c r="A73" s="145" t="s">
        <v>117</v>
      </c>
      <c r="B73" s="7" t="s">
        <v>38</v>
      </c>
      <c r="C73" s="7" t="s">
        <v>90</v>
      </c>
      <c r="D73" s="146">
        <v>3420.87500282468</v>
      </c>
      <c r="E73" s="146">
        <v>3286.1138118536078</v>
      </c>
      <c r="F73" s="146">
        <v>3399.9390609007114</v>
      </c>
      <c r="G73" s="146">
        <v>3142.9085426143574</v>
      </c>
      <c r="H73" s="146">
        <v>1634.2070314009043</v>
      </c>
      <c r="I73" s="146">
        <v>2873.0621027095049</v>
      </c>
      <c r="J73" s="146">
        <v>3197.2607624351722</v>
      </c>
      <c r="K73" s="146">
        <v>3153.5824849337719</v>
      </c>
      <c r="L73" s="146">
        <v>2830.2812822648921</v>
      </c>
      <c r="M73" s="146">
        <v>3018.4856073539327</v>
      </c>
      <c r="N73" s="146">
        <v>2898.4381664027983</v>
      </c>
      <c r="O73" s="146">
        <v>3009.2808407666253</v>
      </c>
      <c r="P73" s="146">
        <v>3093.0738500722773</v>
      </c>
      <c r="Q73" s="146">
        <v>3058.1865335637103</v>
      </c>
      <c r="R73" s="146">
        <v>2609.3177792333195</v>
      </c>
      <c r="S73" s="146">
        <v>1740.393607590544</v>
      </c>
      <c r="T73" s="146">
        <v>2189.1354453742538</v>
      </c>
    </row>
    <row r="74" spans="1:20" outlineLevel="2">
      <c r="A74" s="145" t="s">
        <v>118</v>
      </c>
      <c r="B74" s="7" t="s">
        <v>38</v>
      </c>
      <c r="C74" s="7" t="s">
        <v>90</v>
      </c>
      <c r="D74" s="146">
        <v>7027.3742238004415</v>
      </c>
      <c r="E74" s="146">
        <v>6133.7425166660578</v>
      </c>
      <c r="F74" s="146">
        <v>6067.1869964455846</v>
      </c>
      <c r="G74" s="146">
        <v>5497.8497145009715</v>
      </c>
      <c r="H74" s="146">
        <v>3639.3915689651417</v>
      </c>
      <c r="I74" s="146">
        <v>4000.7405450595406</v>
      </c>
      <c r="J74" s="146">
        <v>4336.7992233827372</v>
      </c>
      <c r="K74" s="146">
        <v>3700.8792415069775</v>
      </c>
      <c r="L74" s="146">
        <v>3535.6482100765975</v>
      </c>
      <c r="M74" s="146">
        <v>3461.6020988435985</v>
      </c>
      <c r="N74" s="146">
        <v>3588.9744722481732</v>
      </c>
      <c r="O74" s="146">
        <v>3723.429144893425</v>
      </c>
      <c r="P74" s="146">
        <v>3695.4688759525397</v>
      </c>
      <c r="Q74" s="146">
        <v>3743.8464813745572</v>
      </c>
      <c r="R74" s="146">
        <v>3434.1316379304781</v>
      </c>
      <c r="S74" s="146">
        <v>3311.6080420906237</v>
      </c>
      <c r="T74" s="146">
        <v>3215.5850853629172</v>
      </c>
    </row>
    <row r="75" spans="1:20" outlineLevel="2">
      <c r="A75" s="145" t="s">
        <v>119</v>
      </c>
      <c r="B75" s="7" t="s">
        <v>38</v>
      </c>
      <c r="C75" s="7" t="s">
        <v>90</v>
      </c>
      <c r="D75" s="146">
        <v>904.2229528830228</v>
      </c>
      <c r="E75" s="146">
        <v>776.36857876828492</v>
      </c>
      <c r="F75" s="146">
        <v>588.00630221648737</v>
      </c>
      <c r="G75" s="146">
        <v>277.27256751536243</v>
      </c>
      <c r="H75" s="146">
        <v>158.36117808281742</v>
      </c>
      <c r="I75" s="146">
        <v>172.58208204540483</v>
      </c>
      <c r="J75" s="146">
        <v>108.15281104085831</v>
      </c>
      <c r="K75" s="146">
        <v>94.345903698148618</v>
      </c>
      <c r="L75" s="146">
        <v>80.305098048946334</v>
      </c>
      <c r="M75" s="146">
        <v>105.68252556808498</v>
      </c>
      <c r="N75" s="146">
        <v>82.62728888133806</v>
      </c>
      <c r="O75" s="146">
        <v>109.75128138133805</v>
      </c>
      <c r="P75" s="146">
        <v>166.19116556808498</v>
      </c>
      <c r="Q75" s="146">
        <v>121.04009320240971</v>
      </c>
      <c r="R75" s="146">
        <v>70.649640361445734</v>
      </c>
      <c r="S75" s="146">
        <v>70.751100000000008</v>
      </c>
      <c r="T75" s="146">
        <v>68.727014999999994</v>
      </c>
    </row>
    <row r="76" spans="1:20" outlineLevel="2">
      <c r="A76" s="145" t="s">
        <v>120</v>
      </c>
      <c r="B76" s="7" t="s">
        <v>38</v>
      </c>
      <c r="C76" s="7" t="s">
        <v>90</v>
      </c>
      <c r="D76" s="146">
        <v>330.2894868763467</v>
      </c>
      <c r="E76" s="146">
        <v>313.16615677227549</v>
      </c>
      <c r="F76" s="146">
        <v>356.78085318053706</v>
      </c>
      <c r="G76" s="146">
        <v>373.87063959736224</v>
      </c>
      <c r="H76" s="146">
        <v>326.02752600659005</v>
      </c>
      <c r="I76" s="146">
        <v>349.28401744571562</v>
      </c>
      <c r="J76" s="146">
        <v>346.62734605871054</v>
      </c>
      <c r="K76" s="146">
        <v>313.07693174340255</v>
      </c>
      <c r="L76" s="146">
        <v>296.5424965388089</v>
      </c>
      <c r="M76" s="146">
        <v>297.01583138745985</v>
      </c>
      <c r="N76" s="146">
        <v>280.78959815104304</v>
      </c>
      <c r="O76" s="146">
        <v>246.50502959956958</v>
      </c>
      <c r="P76" s="146">
        <v>210.03035187741619</v>
      </c>
      <c r="Q76" s="146">
        <v>200.93525372273859</v>
      </c>
      <c r="R76" s="146">
        <v>202.97435505708023</v>
      </c>
      <c r="S76" s="146">
        <v>201.45797964970106</v>
      </c>
      <c r="T76" s="146">
        <v>204.42807844468899</v>
      </c>
    </row>
    <row r="77" spans="1:20" outlineLevel="2">
      <c r="A77" s="145" t="s">
        <v>121</v>
      </c>
      <c r="B77" s="7" t="s">
        <v>38</v>
      </c>
      <c r="C77" s="7" t="s">
        <v>90</v>
      </c>
      <c r="D77" s="146">
        <v>1475.1135972372331</v>
      </c>
      <c r="E77" s="146">
        <v>1389.1284817478295</v>
      </c>
      <c r="F77" s="146">
        <v>1470.2592647124627</v>
      </c>
      <c r="G77" s="146">
        <v>1388.472065946735</v>
      </c>
      <c r="H77" s="146">
        <v>892.12642523953502</v>
      </c>
      <c r="I77" s="146">
        <v>913.84595399536477</v>
      </c>
      <c r="J77" s="146">
        <v>955.66025852731843</v>
      </c>
      <c r="K77" s="146">
        <v>1029.2928612023507</v>
      </c>
      <c r="L77" s="146">
        <v>1007.3023538333416</v>
      </c>
      <c r="M77" s="146">
        <v>1028.4274240704249</v>
      </c>
      <c r="N77" s="146">
        <v>1000.1792873437448</v>
      </c>
      <c r="O77" s="146">
        <v>1026.868726717212</v>
      </c>
      <c r="P77" s="146">
        <v>1073.672923449858</v>
      </c>
      <c r="Q77" s="146">
        <v>1060.830976358217</v>
      </c>
      <c r="R77" s="146">
        <v>1062.3407114966801</v>
      </c>
      <c r="S77" s="146">
        <v>999.48936925131636</v>
      </c>
      <c r="T77" s="146">
        <v>1017.5232117510143</v>
      </c>
    </row>
    <row r="78" spans="1:20" outlineLevel="2">
      <c r="A78" s="145" t="s">
        <v>122</v>
      </c>
      <c r="B78" s="7" t="s">
        <v>38</v>
      </c>
      <c r="C78" s="7" t="s">
        <v>90</v>
      </c>
      <c r="D78" s="146">
        <v>873.8661234853995</v>
      </c>
      <c r="E78" s="146">
        <v>790.10702082865623</v>
      </c>
      <c r="F78" s="146">
        <v>864.94657056844301</v>
      </c>
      <c r="G78" s="146">
        <v>839.30003263536094</v>
      </c>
      <c r="H78" s="146">
        <v>631.52147093301039</v>
      </c>
      <c r="I78" s="146">
        <v>716.58760087884355</v>
      </c>
      <c r="J78" s="146">
        <v>634.91787450481957</v>
      </c>
      <c r="K78" s="146">
        <v>667.93851329810684</v>
      </c>
      <c r="L78" s="146">
        <v>652.44334444082699</v>
      </c>
      <c r="M78" s="146">
        <v>613.90901089196632</v>
      </c>
      <c r="N78" s="146">
        <v>708.86481865390147</v>
      </c>
      <c r="O78" s="146">
        <v>704.14409992651383</v>
      </c>
      <c r="P78" s="146">
        <v>725.21072157284812</v>
      </c>
      <c r="Q78" s="146">
        <v>778.29910786893379</v>
      </c>
      <c r="R78" s="146">
        <v>712.1770998415376</v>
      </c>
      <c r="S78" s="146">
        <v>659.5853635789266</v>
      </c>
      <c r="T78" s="146">
        <v>546.44869669748016</v>
      </c>
    </row>
    <row r="79" spans="1:20" outlineLevel="1" collapsed="1">
      <c r="A79" s="145" t="s">
        <v>123</v>
      </c>
      <c r="B79" s="7" t="s">
        <v>38</v>
      </c>
      <c r="C79" s="7" t="s">
        <v>90</v>
      </c>
      <c r="D79" s="146">
        <v>8878.9122511039113</v>
      </c>
      <c r="E79" s="146">
        <v>8807.9914139201628</v>
      </c>
      <c r="F79" s="146">
        <v>9005.9437232704458</v>
      </c>
      <c r="G79" s="146">
        <v>8788.8880761504479</v>
      </c>
      <c r="H79" s="146">
        <v>7472.1998945972882</v>
      </c>
      <c r="I79" s="146">
        <v>8042.5516947121605</v>
      </c>
      <c r="J79" s="146">
        <v>7912.1965459671128</v>
      </c>
      <c r="K79" s="146">
        <v>7771.6925881510697</v>
      </c>
      <c r="L79" s="146">
        <v>7663.9058376053854</v>
      </c>
      <c r="M79" s="146">
        <v>7653.7771744313932</v>
      </c>
      <c r="N79" s="146">
        <v>7404.6810675981651</v>
      </c>
      <c r="O79" s="146">
        <v>7589.952348106136</v>
      </c>
      <c r="P79" s="146">
        <v>7692.1239085692141</v>
      </c>
      <c r="Q79" s="146">
        <v>7496.6694213647888</v>
      </c>
      <c r="R79" s="146">
        <v>7233.6302384787405</v>
      </c>
      <c r="S79" s="146">
        <v>6939.2662945931161</v>
      </c>
      <c r="T79" s="146">
        <v>7723.1542300165811</v>
      </c>
    </row>
    <row r="80" spans="1:20" hidden="1" outlineLevel="2">
      <c r="A80" s="145" t="s">
        <v>124</v>
      </c>
      <c r="B80" s="7" t="s">
        <v>38</v>
      </c>
      <c r="C80" s="7" t="s">
        <v>90</v>
      </c>
      <c r="D80" s="146">
        <v>2554.8629311753934</v>
      </c>
      <c r="E80" s="146">
        <v>2517.2718786125793</v>
      </c>
      <c r="F80" s="146">
        <v>2524.8178714688356</v>
      </c>
      <c r="G80" s="146">
        <v>2443.8698440286162</v>
      </c>
      <c r="H80" s="146">
        <v>2125.7872260590048</v>
      </c>
      <c r="I80" s="146">
        <v>2230.7687987159638</v>
      </c>
      <c r="J80" s="146">
        <v>2181.4180090079753</v>
      </c>
      <c r="K80" s="146">
        <v>2157.690690962113</v>
      </c>
      <c r="L80" s="146">
        <v>2121.6772195300809</v>
      </c>
      <c r="M80" s="146">
        <v>2164.4931386779472</v>
      </c>
      <c r="N80" s="146">
        <v>2187.343024545994</v>
      </c>
      <c r="O80" s="146">
        <v>2271.9900636423608</v>
      </c>
      <c r="P80" s="146">
        <v>2299.02208636251</v>
      </c>
      <c r="Q80" s="146">
        <v>2327.408845680442</v>
      </c>
      <c r="R80" s="146">
        <v>2272.8986779942047</v>
      </c>
      <c r="S80" s="146">
        <v>1829.125945776849</v>
      </c>
      <c r="T80" s="146">
        <v>1965.924935071778</v>
      </c>
    </row>
    <row r="81" spans="1:20" hidden="1" outlineLevel="2">
      <c r="A81" s="145" t="s">
        <v>125</v>
      </c>
      <c r="B81" s="7" t="s">
        <v>38</v>
      </c>
      <c r="C81" s="7" t="s">
        <v>90</v>
      </c>
      <c r="D81" s="146">
        <v>1145.5689523482488</v>
      </c>
      <c r="E81" s="146">
        <v>1061.0248149363345</v>
      </c>
      <c r="F81" s="146">
        <v>1230.4187933958315</v>
      </c>
      <c r="G81" s="146">
        <v>1119.3162725137852</v>
      </c>
      <c r="H81" s="146">
        <v>1139.6338498575331</v>
      </c>
      <c r="I81" s="146">
        <v>1200.0790818042399</v>
      </c>
      <c r="J81" s="146">
        <v>1200.7686953081618</v>
      </c>
      <c r="K81" s="146">
        <v>1102.7726320186368</v>
      </c>
      <c r="L81" s="146">
        <v>1169.6053803619016</v>
      </c>
      <c r="M81" s="146">
        <v>1157.5742367739426</v>
      </c>
      <c r="N81" s="146">
        <v>1107.7490726282076</v>
      </c>
      <c r="O81" s="146">
        <v>1105.3230042372118</v>
      </c>
      <c r="P81" s="146">
        <v>1112.3837679251278</v>
      </c>
      <c r="Q81" s="146">
        <v>1076.6992499653713</v>
      </c>
      <c r="R81" s="146">
        <v>1042.0915200021325</v>
      </c>
      <c r="S81" s="146">
        <v>1027.6175077167541</v>
      </c>
      <c r="T81" s="146">
        <v>1116.0717748774418</v>
      </c>
    </row>
    <row r="82" spans="1:20" hidden="1" outlineLevel="2">
      <c r="A82" s="145" t="s">
        <v>126</v>
      </c>
      <c r="B82" s="7" t="s">
        <v>38</v>
      </c>
      <c r="C82" s="7" t="s">
        <v>90</v>
      </c>
      <c r="D82" s="146">
        <v>5178.4803675802696</v>
      </c>
      <c r="E82" s="146">
        <v>5229.6947203712489</v>
      </c>
      <c r="F82" s="146">
        <v>5250.7070584057792</v>
      </c>
      <c r="G82" s="146">
        <v>5225.7019596080472</v>
      </c>
      <c r="H82" s="146">
        <v>4206.7788186807502</v>
      </c>
      <c r="I82" s="146">
        <v>4611.7038141919547</v>
      </c>
      <c r="J82" s="146">
        <v>4530.0098416509754</v>
      </c>
      <c r="K82" s="146">
        <v>4511.2292651703192</v>
      </c>
      <c r="L82" s="146">
        <v>4372.6232377134029</v>
      </c>
      <c r="M82" s="146">
        <v>4331.7097989795029</v>
      </c>
      <c r="N82" s="146">
        <v>4109.5889704239626</v>
      </c>
      <c r="O82" s="146">
        <v>4212.6392802265636</v>
      </c>
      <c r="P82" s="146">
        <v>4280.7180542815768</v>
      </c>
      <c r="Q82" s="146">
        <v>4092.5613257189752</v>
      </c>
      <c r="R82" s="146">
        <v>3918.6400404824035</v>
      </c>
      <c r="S82" s="146">
        <v>4082.5228410995137</v>
      </c>
      <c r="T82" s="146">
        <v>4641.1575200673615</v>
      </c>
    </row>
    <row r="83" spans="1:20" outlineLevel="1" collapsed="1">
      <c r="A83" s="145" t="s">
        <v>127</v>
      </c>
      <c r="B83" s="7" t="s">
        <v>38</v>
      </c>
      <c r="C83" s="7" t="s">
        <v>90</v>
      </c>
      <c r="D83" s="146">
        <v>2032.7740184968579</v>
      </c>
      <c r="E83" s="146">
        <v>1876.8583649353534</v>
      </c>
      <c r="F83" s="146">
        <v>1721.7514079049351</v>
      </c>
      <c r="G83" s="146">
        <v>1604.2336345243186</v>
      </c>
      <c r="H83" s="146">
        <v>998.40086869642892</v>
      </c>
      <c r="I83" s="146">
        <v>1178.5825394361509</v>
      </c>
      <c r="J83" s="146">
        <v>1060.2945778985061</v>
      </c>
      <c r="K83" s="146">
        <v>891.0457084893784</v>
      </c>
      <c r="L83" s="146">
        <v>775.77896719243176</v>
      </c>
      <c r="M83" s="146">
        <v>793.3574681988697</v>
      </c>
      <c r="N83" s="146">
        <v>763.62925792443241</v>
      </c>
      <c r="O83" s="146">
        <v>803.30496231075381</v>
      </c>
      <c r="P83" s="146">
        <v>814.63313844449544</v>
      </c>
      <c r="Q83" s="146">
        <v>783.03198674694067</v>
      </c>
      <c r="R83" s="146">
        <v>793.39719993542849</v>
      </c>
      <c r="S83" s="146">
        <v>705.95825974196612</v>
      </c>
      <c r="T83" s="146">
        <v>767.67389461209575</v>
      </c>
    </row>
    <row r="84" spans="1:20" hidden="1" outlineLevel="2">
      <c r="A84" s="145" t="s">
        <v>128</v>
      </c>
      <c r="B84" s="7" t="s">
        <v>38</v>
      </c>
      <c r="C84" s="7" t="s">
        <v>90</v>
      </c>
      <c r="D84" s="146">
        <v>1986.1680243128581</v>
      </c>
      <c r="E84" s="146">
        <v>1821.6980621513537</v>
      </c>
      <c r="F84" s="146">
        <v>1643.0776873209352</v>
      </c>
      <c r="G84" s="146">
        <v>1477.6181535403186</v>
      </c>
      <c r="H84" s="146">
        <v>901.95677187742911</v>
      </c>
      <c r="I84" s="146">
        <v>1038.5998635821506</v>
      </c>
      <c r="J84" s="146">
        <v>962.5087585145061</v>
      </c>
      <c r="K84" s="146">
        <v>830.6638475053785</v>
      </c>
      <c r="L84" s="146">
        <v>740.45248360843186</v>
      </c>
      <c r="M84" s="146">
        <v>759.27732667486987</v>
      </c>
      <c r="N84" s="146">
        <v>738.95745015243222</v>
      </c>
      <c r="O84" s="146">
        <v>778.68893952675376</v>
      </c>
      <c r="P84" s="146">
        <v>789.17745149949542</v>
      </c>
      <c r="Q84" s="146">
        <v>760.16238432694058</v>
      </c>
      <c r="R84" s="146">
        <v>769.11721493542848</v>
      </c>
      <c r="S84" s="146">
        <v>683.45275474196615</v>
      </c>
      <c r="T84" s="146">
        <v>742.20341461209568</v>
      </c>
    </row>
    <row r="85" spans="1:20" hidden="1" outlineLevel="2">
      <c r="A85" s="145" t="s">
        <v>129</v>
      </c>
      <c r="B85" s="7" t="s">
        <v>38</v>
      </c>
      <c r="C85" s="7" t="s">
        <v>90</v>
      </c>
      <c r="D85" s="146"/>
      <c r="E85" s="146"/>
      <c r="F85" s="146"/>
      <c r="G85" s="146"/>
      <c r="H85" s="146"/>
      <c r="I85" s="146"/>
      <c r="J85" s="146"/>
      <c r="K85" s="146"/>
      <c r="L85" s="146"/>
      <c r="M85" s="146"/>
      <c r="N85" s="146"/>
      <c r="O85" s="146"/>
      <c r="P85" s="146"/>
      <c r="Q85" s="146"/>
      <c r="R85" s="146"/>
      <c r="S85" s="146"/>
      <c r="T85" s="146"/>
    </row>
    <row r="86" spans="1:20" hidden="1" outlineLevel="2">
      <c r="A86" s="145" t="s">
        <v>130</v>
      </c>
      <c r="B86" s="7" t="s">
        <v>38</v>
      </c>
      <c r="C86" s="7" t="s">
        <v>90</v>
      </c>
      <c r="D86" s="146">
        <v>22.1776974</v>
      </c>
      <c r="E86" s="146">
        <v>26.118384200000001</v>
      </c>
      <c r="F86" s="146">
        <v>46.005361999999998</v>
      </c>
      <c r="G86" s="146">
        <v>96.601282400000002</v>
      </c>
      <c r="H86" s="146">
        <v>62.317138235000002</v>
      </c>
      <c r="I86" s="146">
        <v>104.36771727</v>
      </c>
      <c r="J86" s="146">
        <v>63.708660799999997</v>
      </c>
      <c r="K86" s="146">
        <v>31.3213024</v>
      </c>
      <c r="L86" s="146">
        <v>7.5403250000000002</v>
      </c>
      <c r="M86" s="146">
        <v>5.4247339999999999</v>
      </c>
      <c r="N86" s="146">
        <v>0.24085599999999999</v>
      </c>
      <c r="O86" s="146">
        <v>0.187726</v>
      </c>
      <c r="P86" s="146">
        <v>1.0964100000000001E-2</v>
      </c>
      <c r="Q86" s="146">
        <v>2.5582899999999999E-2</v>
      </c>
      <c r="R86" s="146"/>
      <c r="S86" s="146"/>
      <c r="T86" s="146"/>
    </row>
    <row r="87" spans="1:20" hidden="1" outlineLevel="2">
      <c r="A87" s="145" t="s">
        <v>131</v>
      </c>
      <c r="B87" s="7" t="s">
        <v>38</v>
      </c>
      <c r="C87" s="7" t="s">
        <v>90</v>
      </c>
      <c r="D87" s="146">
        <v>24.428296783999997</v>
      </c>
      <c r="E87" s="146">
        <v>24.471158584000001</v>
      </c>
      <c r="F87" s="146">
        <v>24.471158584000001</v>
      </c>
      <c r="G87" s="146">
        <v>24.471158584000001</v>
      </c>
      <c r="H87" s="146">
        <v>24.471158584000001</v>
      </c>
      <c r="I87" s="146">
        <v>24.471158584000001</v>
      </c>
      <c r="J87" s="146">
        <v>24.471158584000001</v>
      </c>
      <c r="K87" s="146">
        <v>24.471158584000001</v>
      </c>
      <c r="L87" s="146">
        <v>24.471158584000001</v>
      </c>
      <c r="M87" s="146">
        <v>24.481007523999999</v>
      </c>
      <c r="N87" s="146">
        <v>24.430951772</v>
      </c>
      <c r="O87" s="146">
        <v>24.428296783999997</v>
      </c>
      <c r="P87" s="146">
        <v>24.470112844999999</v>
      </c>
      <c r="Q87" s="146">
        <v>22.844019520000003</v>
      </c>
      <c r="R87" s="146">
        <v>23.292115000000003</v>
      </c>
      <c r="S87" s="146">
        <v>22.505504999999999</v>
      </c>
      <c r="T87" s="146">
        <v>25.470479999999998</v>
      </c>
    </row>
    <row r="88" spans="1:20" hidden="1" outlineLevel="2">
      <c r="A88" s="145" t="s">
        <v>132</v>
      </c>
      <c r="B88" s="7" t="s">
        <v>38</v>
      </c>
      <c r="C88" s="7" t="s">
        <v>90</v>
      </c>
      <c r="D88" s="146"/>
      <c r="E88" s="146">
        <v>4.5707599999999999</v>
      </c>
      <c r="F88" s="146">
        <v>8.1972000000000005</v>
      </c>
      <c r="G88" s="146">
        <v>5.5430399999999995</v>
      </c>
      <c r="H88" s="146">
        <v>9.6557999999999993</v>
      </c>
      <c r="I88" s="146">
        <v>11.143799999999999</v>
      </c>
      <c r="J88" s="146">
        <v>9.6059999999999999</v>
      </c>
      <c r="K88" s="146">
        <v>4.5893999999999995</v>
      </c>
      <c r="L88" s="146">
        <v>3.3149999999999999</v>
      </c>
      <c r="M88" s="146">
        <v>4.1743999999999994</v>
      </c>
      <c r="N88" s="146"/>
      <c r="O88" s="146"/>
      <c r="P88" s="146">
        <v>0.97460999999999998</v>
      </c>
      <c r="Q88" s="146"/>
      <c r="R88" s="146">
        <v>0.98787000000000003</v>
      </c>
      <c r="S88" s="146"/>
      <c r="T88" s="146"/>
    </row>
    <row r="89" spans="1:20" outlineLevel="1" collapsed="1">
      <c r="A89" s="145" t="s">
        <v>133</v>
      </c>
      <c r="B89" s="7" t="s">
        <v>38</v>
      </c>
      <c r="C89" s="7" t="s">
        <v>90</v>
      </c>
      <c r="D89" s="146">
        <v>57702.924502198104</v>
      </c>
      <c r="E89" s="146">
        <v>65502.761557565726</v>
      </c>
      <c r="F89" s="146">
        <v>72594.372290784202</v>
      </c>
      <c r="G89" s="146">
        <v>78356.892394587267</v>
      </c>
      <c r="H89" s="146">
        <v>80202.468451133667</v>
      </c>
      <c r="I89" s="146">
        <v>83675.71051061849</v>
      </c>
      <c r="J89" s="146">
        <v>87589.565348623684</v>
      </c>
      <c r="K89" s="146">
        <v>90512.529825047284</v>
      </c>
      <c r="L89" s="146">
        <v>92620.63267518027</v>
      </c>
      <c r="M89" s="146">
        <v>94592.855101497495</v>
      </c>
      <c r="N89" s="146">
        <v>86468.982493404415</v>
      </c>
      <c r="O89" s="146">
        <v>87365.483078906662</v>
      </c>
      <c r="P89" s="146">
        <v>85767.314168505443</v>
      </c>
      <c r="Q89" s="146">
        <v>81803.508295163934</v>
      </c>
      <c r="R89" s="146">
        <v>78104.078323960901</v>
      </c>
      <c r="S89" s="146">
        <v>73359.015019229832</v>
      </c>
      <c r="T89" s="146">
        <v>70842.224861149269</v>
      </c>
    </row>
    <row r="90" spans="1:20" hidden="1" outlineLevel="2">
      <c r="A90" s="145" t="s">
        <v>134</v>
      </c>
      <c r="B90" s="7" t="s">
        <v>38</v>
      </c>
      <c r="C90" s="7" t="s">
        <v>90</v>
      </c>
      <c r="D90" s="146">
        <v>48762.260442310857</v>
      </c>
      <c r="E90" s="146">
        <v>56137.873729965148</v>
      </c>
      <c r="F90" s="146">
        <v>62765.882782655091</v>
      </c>
      <c r="G90" s="146">
        <v>68857.930723587182</v>
      </c>
      <c r="H90" s="146">
        <v>71738.814056534087</v>
      </c>
      <c r="I90" s="146">
        <v>75219.144770641229</v>
      </c>
      <c r="J90" s="146">
        <v>78831.414131268073</v>
      </c>
      <c r="K90" s="146">
        <v>81989.113778179628</v>
      </c>
      <c r="L90" s="146">
        <v>84313.327756050814</v>
      </c>
      <c r="M90" s="146">
        <v>86276.610103369938</v>
      </c>
      <c r="N90" s="146">
        <v>78089.989602387461</v>
      </c>
      <c r="O90" s="146">
        <v>78967.52604222839</v>
      </c>
      <c r="P90" s="146">
        <v>77266.904289467362</v>
      </c>
      <c r="Q90" s="146">
        <v>74572.903328812477</v>
      </c>
      <c r="R90" s="146">
        <v>71756.134994041175</v>
      </c>
      <c r="S90" s="146">
        <v>67350.96673951397</v>
      </c>
      <c r="T90" s="146">
        <v>65043.871152967047</v>
      </c>
    </row>
    <row r="91" spans="1:20" hidden="1" outlineLevel="2">
      <c r="A91" s="145" t="s">
        <v>135</v>
      </c>
      <c r="B91" s="7" t="s">
        <v>38</v>
      </c>
      <c r="C91" s="7" t="s">
        <v>90</v>
      </c>
      <c r="D91" s="146">
        <v>3560.1017756854317</v>
      </c>
      <c r="E91" s="146">
        <v>3497.2910390082416</v>
      </c>
      <c r="F91" s="146">
        <v>3810.9305482495074</v>
      </c>
      <c r="G91" s="146">
        <v>3482.6374006484793</v>
      </c>
      <c r="H91" s="146">
        <v>2595.4620826537939</v>
      </c>
      <c r="I91" s="146">
        <v>2555.0921244620276</v>
      </c>
      <c r="J91" s="146">
        <v>2571.9537978673125</v>
      </c>
      <c r="K91" s="146">
        <v>2418.0546844733854</v>
      </c>
      <c r="L91" s="146">
        <v>2269.6099097624779</v>
      </c>
      <c r="M91" s="146">
        <v>2357.1876660703801</v>
      </c>
      <c r="N91" s="146">
        <v>2399.914542860161</v>
      </c>
      <c r="O91" s="146">
        <v>2435.13989768997</v>
      </c>
      <c r="P91" s="146">
        <v>2497.3920299982897</v>
      </c>
      <c r="Q91" s="146">
        <v>2068.2701230785165</v>
      </c>
      <c r="R91" s="146">
        <v>1828.9242758980402</v>
      </c>
      <c r="S91" s="146">
        <v>1668.334902323671</v>
      </c>
      <c r="T91" s="146">
        <v>1634.5317176040251</v>
      </c>
    </row>
    <row r="92" spans="1:20" hidden="1" outlineLevel="2">
      <c r="A92" s="145" t="s">
        <v>136</v>
      </c>
      <c r="B92" s="7" t="s">
        <v>38</v>
      </c>
      <c r="C92" s="7" t="s">
        <v>90</v>
      </c>
      <c r="D92" s="146">
        <v>1042.6965610330178</v>
      </c>
      <c r="E92" s="146">
        <v>1213.3143331959063</v>
      </c>
      <c r="F92" s="146">
        <v>1372.4150196918024</v>
      </c>
      <c r="G92" s="146">
        <v>1513.5355969541395</v>
      </c>
      <c r="H92" s="146">
        <v>1719.6051716786551</v>
      </c>
      <c r="I92" s="146">
        <v>1874.2417233202725</v>
      </c>
      <c r="J92" s="146">
        <v>2017.1754625499425</v>
      </c>
      <c r="K92" s="146">
        <v>2121.6210036744374</v>
      </c>
      <c r="L92" s="146">
        <v>2212.7141147188199</v>
      </c>
      <c r="M92" s="146">
        <v>2268.3220461172828</v>
      </c>
      <c r="N92" s="146">
        <v>2317.4336226647642</v>
      </c>
      <c r="O92" s="146">
        <v>2357.522073840993</v>
      </c>
      <c r="P92" s="146">
        <v>2410.5009942858301</v>
      </c>
      <c r="Q92" s="146">
        <v>2420.1701577628164</v>
      </c>
      <c r="R92" s="146">
        <v>2403.7241102733619</v>
      </c>
      <c r="S92" s="146">
        <v>2370.8465298461424</v>
      </c>
      <c r="T92" s="146">
        <v>2383.2846552475826</v>
      </c>
    </row>
    <row r="93" spans="1:20" hidden="1" outlineLevel="2">
      <c r="A93" s="145" t="s">
        <v>137</v>
      </c>
      <c r="B93" s="7" t="s">
        <v>38</v>
      </c>
      <c r="C93" s="7" t="s">
        <v>90</v>
      </c>
      <c r="D93" s="146">
        <v>4052.0204060223041</v>
      </c>
      <c r="E93" s="146">
        <v>4365.602564513084</v>
      </c>
      <c r="F93" s="146">
        <v>4213.231071473223</v>
      </c>
      <c r="G93" s="146">
        <v>4032.4645225555573</v>
      </c>
      <c r="H93" s="146">
        <v>3756.6235573369286</v>
      </c>
      <c r="I93" s="146">
        <v>3683.5892085677851</v>
      </c>
      <c r="J93" s="146">
        <v>3647.0127235392506</v>
      </c>
      <c r="K93" s="146">
        <v>3462.9274239146339</v>
      </c>
      <c r="L93" s="146">
        <v>3368.4105716701606</v>
      </c>
      <c r="M93" s="146">
        <v>3321.9731694298216</v>
      </c>
      <c r="N93" s="146">
        <v>3329.2982914759737</v>
      </c>
      <c r="O93" s="146">
        <v>3340.1996763295433</v>
      </c>
      <c r="P93" s="146">
        <v>3320.9228919932889</v>
      </c>
      <c r="Q93" s="146">
        <v>2561.0070024435663</v>
      </c>
      <c r="R93" s="146">
        <v>1948.0514051170717</v>
      </c>
      <c r="S93" s="146">
        <v>1802.4273144230904</v>
      </c>
      <c r="T93" s="146">
        <v>1619.8323444836074</v>
      </c>
    </row>
    <row r="94" spans="1:20" hidden="1" outlineLevel="2">
      <c r="A94" s="145" t="s">
        <v>138</v>
      </c>
      <c r="B94" s="7" t="s">
        <v>38</v>
      </c>
      <c r="C94" s="7" t="s">
        <v>90</v>
      </c>
      <c r="D94" s="146">
        <v>144.8695890075</v>
      </c>
      <c r="E94" s="146">
        <v>128.65623079625001</v>
      </c>
      <c r="F94" s="146">
        <v>209.74633946124999</v>
      </c>
      <c r="G94" s="146">
        <v>227.85465048250001</v>
      </c>
      <c r="H94" s="146">
        <v>181.53472303250001</v>
      </c>
      <c r="I94" s="146">
        <v>152.36279578</v>
      </c>
      <c r="J94" s="146">
        <v>249.00156052250003</v>
      </c>
      <c r="K94" s="146">
        <v>308.24310834625004</v>
      </c>
      <c r="L94" s="146">
        <v>275.25642631374996</v>
      </c>
      <c r="M94" s="146">
        <v>196.57599757499997</v>
      </c>
      <c r="N94" s="146">
        <v>144.23302916999998</v>
      </c>
      <c r="O94" s="146">
        <v>66.287338440000013</v>
      </c>
      <c r="P94" s="146">
        <v>64.784759692500003</v>
      </c>
      <c r="Q94" s="146">
        <v>45.54733919625</v>
      </c>
      <c r="R94" s="146">
        <v>33.560718000000001</v>
      </c>
      <c r="S94" s="146">
        <v>34.607837099999998</v>
      </c>
      <c r="T94" s="146">
        <v>30.522549600000001</v>
      </c>
    </row>
    <row r="95" spans="1:20" hidden="1" outlineLevel="2">
      <c r="A95" s="145" t="s">
        <v>139</v>
      </c>
      <c r="B95" s="7" t="s">
        <v>38</v>
      </c>
      <c r="C95" s="7" t="s">
        <v>90</v>
      </c>
      <c r="D95" s="146">
        <v>140.97572813900001</v>
      </c>
      <c r="E95" s="146">
        <v>160.02366008710098</v>
      </c>
      <c r="F95" s="146">
        <v>222.16652925332005</v>
      </c>
      <c r="G95" s="146">
        <v>242.46950035941197</v>
      </c>
      <c r="H95" s="146">
        <v>210.42885989770403</v>
      </c>
      <c r="I95" s="146">
        <v>191.27988784720097</v>
      </c>
      <c r="J95" s="146">
        <v>273.00767287662802</v>
      </c>
      <c r="K95" s="146">
        <v>212.569826458937</v>
      </c>
      <c r="L95" s="146">
        <v>181.31389666426401</v>
      </c>
      <c r="M95" s="146">
        <v>172.18611893506701</v>
      </c>
      <c r="N95" s="146">
        <v>188.113404846055</v>
      </c>
      <c r="O95" s="146">
        <v>198.80805037777199</v>
      </c>
      <c r="P95" s="146">
        <v>206.80920306817302</v>
      </c>
      <c r="Q95" s="146">
        <v>135.61034387029801</v>
      </c>
      <c r="R95" s="146">
        <v>133.68282063125199</v>
      </c>
      <c r="S95" s="146">
        <v>131.83169602297298</v>
      </c>
      <c r="T95" s="146">
        <v>130.18244124698703</v>
      </c>
    </row>
    <row r="96" spans="1:20" outlineLevel="1">
      <c r="A96" s="145" t="s">
        <v>140</v>
      </c>
      <c r="B96" s="7" t="s">
        <v>38</v>
      </c>
      <c r="C96" s="7" t="s">
        <v>90</v>
      </c>
      <c r="D96" s="146">
        <v>8540.8783914054675</v>
      </c>
      <c r="E96" s="146">
        <v>8676.5482862562931</v>
      </c>
      <c r="F96" s="146">
        <v>8573.5008348244864</v>
      </c>
      <c r="G96" s="146">
        <v>8654.6412390148053</v>
      </c>
      <c r="H96" s="146">
        <v>8571.1883707789129</v>
      </c>
      <c r="I96" s="146">
        <v>8407.917998710438</v>
      </c>
      <c r="J96" s="146">
        <v>8385.7354782471757</v>
      </c>
      <c r="K96" s="146">
        <v>8501.3396175959315</v>
      </c>
      <c r="L96" s="146">
        <v>8305.2660122162888</v>
      </c>
      <c r="M96" s="146">
        <v>7991.528001784568</v>
      </c>
      <c r="N96" s="146">
        <v>8262.4101570452367</v>
      </c>
      <c r="O96" s="146">
        <v>8546.9962036608031</v>
      </c>
      <c r="P96" s="146">
        <v>8822.9681938806298</v>
      </c>
      <c r="Q96" s="146">
        <v>9078.3061707923098</v>
      </c>
      <c r="R96" s="146">
        <v>9224.8451978579869</v>
      </c>
      <c r="S96" s="146">
        <v>8144.0543085686131</v>
      </c>
      <c r="T96" s="146">
        <v>7473.034007553606</v>
      </c>
    </row>
    <row r="97" spans="1:49" outlineLevel="1">
      <c r="A97" s="145" t="s">
        <v>141</v>
      </c>
      <c r="B97" s="7" t="s">
        <v>38</v>
      </c>
      <c r="C97" s="7" t="s">
        <v>90</v>
      </c>
      <c r="D97" s="146">
        <v>602.18685455880188</v>
      </c>
      <c r="E97" s="146">
        <v>665.14961993507814</v>
      </c>
      <c r="F97" s="146">
        <v>617.61549155655803</v>
      </c>
      <c r="G97" s="146">
        <v>590.07388418669041</v>
      </c>
      <c r="H97" s="146">
        <v>533.57461602636351</v>
      </c>
      <c r="I97" s="146">
        <v>507.30221280181996</v>
      </c>
      <c r="J97" s="146">
        <v>422.65504462117013</v>
      </c>
      <c r="K97" s="146">
        <v>454.19515094560074</v>
      </c>
      <c r="L97" s="146">
        <v>461.77676132044064</v>
      </c>
      <c r="M97" s="146">
        <v>384.9018302992539</v>
      </c>
      <c r="N97" s="146">
        <v>378.04745297486136</v>
      </c>
      <c r="O97" s="146">
        <v>316.94267590442109</v>
      </c>
      <c r="P97" s="146">
        <v>354.1501108064586</v>
      </c>
      <c r="Q97" s="146">
        <v>351.92001065101061</v>
      </c>
      <c r="R97" s="146">
        <v>373.68444384989874</v>
      </c>
      <c r="S97" s="146">
        <v>303.43289387689549</v>
      </c>
      <c r="T97" s="146">
        <v>332.67855327873514</v>
      </c>
    </row>
    <row r="99" spans="1:49">
      <c r="A99" s="145" t="s">
        <v>43</v>
      </c>
      <c r="B99" s="7" t="s">
        <v>44</v>
      </c>
      <c r="C99" s="7" t="s">
        <v>90</v>
      </c>
      <c r="D99" s="146">
        <f>'[1]Sheet 1'!C4/1000</f>
        <v>143411.94500000001</v>
      </c>
      <c r="E99" s="146">
        <f>'[1]Sheet 1'!D4/1000</f>
        <v>147152.606</v>
      </c>
      <c r="F99" s="146">
        <f>'[1]Sheet 1'!E4/1000</f>
        <v>163114.981</v>
      </c>
      <c r="G99" s="146">
        <f>'[1]Sheet 1'!F4/1000</f>
        <v>150489.90599999999</v>
      </c>
      <c r="H99" s="146">
        <f>'[1]Sheet 1'!G4/1000</f>
        <v>121311.887</v>
      </c>
      <c r="I99" s="146">
        <f>'[1]Sheet 1'!H4/1000</f>
        <v>119341.118</v>
      </c>
      <c r="J99" s="146">
        <f>'[1]Sheet 1'!I4/1000</f>
        <v>116976.625</v>
      </c>
      <c r="K99" s="146">
        <f>'[1]Sheet 1'!J4/1000</f>
        <v>109895.05499999999</v>
      </c>
      <c r="L99" s="146">
        <f>'[1]Sheet 1'!K4/1000</f>
        <v>105817.395</v>
      </c>
      <c r="M99" s="146">
        <f>'[1]Sheet 1'!L4/1000</f>
        <v>110731.25</v>
      </c>
      <c r="N99" s="146">
        <f>'[1]Sheet 1'!M4/1000</f>
        <v>109014.02800000001</v>
      </c>
      <c r="O99" s="146">
        <f>'[1]Sheet 1'!N4/1000</f>
        <v>109109.77899999999</v>
      </c>
      <c r="P99" s="146">
        <f>'[1]Sheet 1'!O4/1000</f>
        <v>111867.166</v>
      </c>
      <c r="Q99" s="146">
        <f>'[1]Sheet 1'!P4/1000</f>
        <v>113695.57399999999</v>
      </c>
      <c r="R99" s="146">
        <f>'[1]Sheet 1'!Q4/1000</f>
        <v>113098.70299999999</v>
      </c>
      <c r="S99" s="146">
        <f>'[1]Sheet 1'!R4/1000</f>
        <v>107416.447</v>
      </c>
      <c r="T99" s="146">
        <f>'[1]Sheet 1'!S4/1000</f>
        <v>110223.272</v>
      </c>
      <c r="U99" s="146">
        <f>'[1]Sheet 1'!T4/1000</f>
        <v>102239.74099999999</v>
      </c>
    </row>
    <row r="100" spans="1:49">
      <c r="A100" s="145" t="s">
        <v>142</v>
      </c>
      <c r="B100" s="7" t="s">
        <v>44</v>
      </c>
      <c r="C100" s="7" t="s">
        <v>90</v>
      </c>
      <c r="D100" s="146">
        <f>'[1]Sheet 1'!U4/1000</f>
        <v>31876.89</v>
      </c>
      <c r="E100" s="146">
        <f>'[1]Sheet 1'!V4/1000</f>
        <v>31567.278999999999</v>
      </c>
      <c r="F100" s="146">
        <f>'[1]Sheet 1'!W4/1000</f>
        <v>33124.661</v>
      </c>
      <c r="G100" s="146">
        <f>'[1]Sheet 1'!X4/1000</f>
        <v>32120.332999999999</v>
      </c>
      <c r="H100" s="146">
        <f>'[1]Sheet 1'!Y4/1000</f>
        <v>25718.957999999999</v>
      </c>
      <c r="I100" s="146">
        <f>'[1]Sheet 1'!Z4/1000</f>
        <v>28450.774000000001</v>
      </c>
      <c r="J100" s="146">
        <f>'[1]Sheet 1'!AA4/1000</f>
        <v>29433.932000000001</v>
      </c>
      <c r="K100" s="146">
        <f>'[1]Sheet 1'!AB4/1000</f>
        <v>27603.986000000001</v>
      </c>
      <c r="L100" s="146">
        <f>'[1]Sheet 1'!AC4/1000</f>
        <v>28543.43</v>
      </c>
      <c r="M100" s="146">
        <f>'[1]Sheet 1'!AD4/1000</f>
        <v>28531.129000000001</v>
      </c>
      <c r="N100" s="146">
        <f>'[1]Sheet 1'!AE4/1000</f>
        <v>27846.621999999999</v>
      </c>
      <c r="O100" s="146">
        <f>'[1]Sheet 1'!AF4/1000</f>
        <v>27523.875</v>
      </c>
      <c r="P100" s="146">
        <f>'[1]Sheet 1'!AG4/1000</f>
        <v>28784.769</v>
      </c>
      <c r="Q100" s="146">
        <f>'[1]Sheet 1'!AH4/1000</f>
        <v>28953.835999999999</v>
      </c>
      <c r="R100" s="146">
        <f>'[1]Sheet 1'!AI4/1000</f>
        <v>27258.190999999999</v>
      </c>
      <c r="S100" s="146">
        <f>'[1]Sheet 1'!AJ4/1000</f>
        <v>24769.488000000001</v>
      </c>
      <c r="T100" s="146">
        <f>'[1]Sheet 1'!AK4/1000</f>
        <v>27340.073</v>
      </c>
      <c r="U100" s="146">
        <f>'[1]Sheet 1'!AL4/1000</f>
        <v>25196.237000000001</v>
      </c>
    </row>
    <row r="101" spans="1:49">
      <c r="D101" s="146"/>
      <c r="E101" s="146"/>
      <c r="F101" s="146"/>
      <c r="G101" s="146"/>
      <c r="H101" s="146"/>
      <c r="I101" s="146"/>
      <c r="J101" s="146"/>
      <c r="K101" s="146"/>
      <c r="L101" s="146"/>
      <c r="M101" s="146"/>
      <c r="N101" s="146"/>
      <c r="O101" s="146"/>
      <c r="P101" s="146"/>
      <c r="Q101" s="146"/>
      <c r="R101" s="146"/>
      <c r="S101" s="146"/>
      <c r="T101" s="146"/>
      <c r="U101" s="146"/>
    </row>
    <row r="102" spans="1:49" s="118" customFormat="1" ht="10.5" customHeight="1">
      <c r="A102" s="116" t="s">
        <v>143</v>
      </c>
      <c r="B102" s="117"/>
      <c r="C102" s="117"/>
    </row>
    <row r="103" spans="1:49">
      <c r="A103" t="s">
        <v>74</v>
      </c>
      <c r="B103" s="7" t="s">
        <v>31</v>
      </c>
      <c r="C103" s="7" t="s">
        <v>32</v>
      </c>
      <c r="D103" s="115" t="s">
        <v>33</v>
      </c>
      <c r="E103" s="115" t="s">
        <v>75</v>
      </c>
      <c r="F103" s="115" t="s">
        <v>76</v>
      </c>
      <c r="G103" s="115" t="s">
        <v>77</v>
      </c>
      <c r="H103" s="115" t="s">
        <v>78</v>
      </c>
      <c r="I103" s="115" t="s">
        <v>34</v>
      </c>
      <c r="J103" s="115" t="s">
        <v>79</v>
      </c>
      <c r="K103" s="115" t="s">
        <v>80</v>
      </c>
      <c r="L103" s="115" t="s">
        <v>81</v>
      </c>
      <c r="M103" s="115" t="s">
        <v>82</v>
      </c>
      <c r="N103" s="115" t="s">
        <v>35</v>
      </c>
      <c r="O103" s="115" t="s">
        <v>83</v>
      </c>
      <c r="P103" s="115" t="s">
        <v>84</v>
      </c>
      <c r="Q103" s="115" t="s">
        <v>85</v>
      </c>
      <c r="R103" s="115" t="s">
        <v>86</v>
      </c>
      <c r="S103" s="115" t="s">
        <v>36</v>
      </c>
      <c r="T103" s="115" t="s">
        <v>87</v>
      </c>
      <c r="U103" s="115" t="s">
        <v>88</v>
      </c>
    </row>
    <row r="104" spans="1:49">
      <c r="A104" s="145" t="s">
        <v>89</v>
      </c>
      <c r="B104" s="7" t="s">
        <v>38</v>
      </c>
      <c r="C104" s="7" t="s">
        <v>144</v>
      </c>
      <c r="D104" s="119">
        <v>550116.01408055041</v>
      </c>
      <c r="E104" s="119">
        <v>540008.07844570163</v>
      </c>
      <c r="F104" s="119">
        <v>552705.20055769163</v>
      </c>
      <c r="G104" s="119">
        <v>533271.34998439194</v>
      </c>
      <c r="H104" s="119">
        <v>442529.16120376135</v>
      </c>
      <c r="I104" s="119">
        <v>475272.03577159659</v>
      </c>
      <c r="J104" s="119">
        <v>463198.3237216305</v>
      </c>
      <c r="K104" s="119">
        <v>445486.84109951649</v>
      </c>
      <c r="L104" s="119">
        <v>427419.05822673708</v>
      </c>
      <c r="M104" s="119">
        <v>414786.8769174277</v>
      </c>
      <c r="N104" s="119">
        <v>423568.7685567736</v>
      </c>
      <c r="O104" s="119">
        <v>428740.22135878121</v>
      </c>
      <c r="P104" s="119">
        <v>435805.45243105927</v>
      </c>
      <c r="Q104" s="119">
        <v>436657.26996687305</v>
      </c>
      <c r="R104" s="119">
        <v>422971.59052579541</v>
      </c>
      <c r="S104" s="119">
        <v>407337.37729684357</v>
      </c>
      <c r="T104" s="119">
        <v>433739.77814636921</v>
      </c>
      <c r="U104" s="146">
        <v>392416.82429999998</v>
      </c>
    </row>
    <row r="105" spans="1:49">
      <c r="A105" s="145" t="s">
        <v>98</v>
      </c>
      <c r="B105" s="7" t="s">
        <v>38</v>
      </c>
      <c r="C105" s="7" t="s">
        <v>144</v>
      </c>
      <c r="D105" s="119">
        <v>296115.52946352767</v>
      </c>
      <c r="E105" s="119">
        <v>301929.85716013523</v>
      </c>
      <c r="F105" s="119">
        <v>305647.33720810094</v>
      </c>
      <c r="G105" s="119">
        <v>286184.37812902289</v>
      </c>
      <c r="H105" s="119">
        <v>222283.17224392187</v>
      </c>
      <c r="I105" s="119">
        <v>244283.36575171328</v>
      </c>
      <c r="J105" s="119">
        <v>244205.90464740258</v>
      </c>
      <c r="K105" s="119">
        <v>230594.31799490866</v>
      </c>
      <c r="L105" s="119">
        <v>228472.07767912315</v>
      </c>
      <c r="M105" s="119">
        <v>233750.37557456232</v>
      </c>
      <c r="N105" s="119">
        <v>232302.01017082774</v>
      </c>
      <c r="O105" s="119">
        <v>233791.60901142485</v>
      </c>
      <c r="P105" s="119">
        <v>242545.16952855175</v>
      </c>
      <c r="Q105" s="119">
        <v>239998.23866142784</v>
      </c>
      <c r="R105" s="119">
        <v>233662.81394308884</v>
      </c>
      <c r="S105" s="119">
        <v>216476.78867409963</v>
      </c>
      <c r="T105" s="119">
        <v>231737.36726343664</v>
      </c>
      <c r="U105" s="146">
        <v>213134.33746000001</v>
      </c>
    </row>
    <row r="107" spans="1:49" ht="18.75" customHeight="1">
      <c r="A107" s="4" t="s">
        <v>49</v>
      </c>
      <c r="B107" s="6"/>
      <c r="C107" s="6"/>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row>
    <row r="108" spans="1:49">
      <c r="B108" s="7" t="s">
        <v>31</v>
      </c>
      <c r="C108" s="7" t="s">
        <v>32</v>
      </c>
      <c r="D108" t="s">
        <v>33</v>
      </c>
      <c r="I108" t="s">
        <v>34</v>
      </c>
      <c r="N108" t="s">
        <v>35</v>
      </c>
      <c r="S108" t="s">
        <v>36</v>
      </c>
      <c r="X108">
        <v>2025</v>
      </c>
      <c r="AC108">
        <v>2030</v>
      </c>
      <c r="AH108">
        <v>2035</v>
      </c>
      <c r="AM108">
        <v>2040</v>
      </c>
      <c r="AR108">
        <v>2045</v>
      </c>
      <c r="AW108">
        <v>2050</v>
      </c>
    </row>
    <row r="109" spans="1:49">
      <c r="A109" t="s">
        <v>145</v>
      </c>
      <c r="B109" s="7" t="s">
        <v>50</v>
      </c>
      <c r="C109" s="7" t="s">
        <v>39</v>
      </c>
      <c r="AC109" s="1">
        <v>237.81152316563896</v>
      </c>
    </row>
    <row r="110" spans="1:49">
      <c r="A110" t="s">
        <v>146</v>
      </c>
      <c r="B110" s="7" t="s">
        <v>50</v>
      </c>
      <c r="C110" s="7" t="s">
        <v>39</v>
      </c>
      <c r="AC110" s="1">
        <v>236.11596806979034</v>
      </c>
    </row>
    <row r="111" spans="1:49">
      <c r="A111" t="s">
        <v>147</v>
      </c>
      <c r="B111" s="7" t="s">
        <v>50</v>
      </c>
      <c r="C111" s="7" t="s">
        <v>39</v>
      </c>
      <c r="AC111" s="1">
        <v>7.5930222518674153</v>
      </c>
    </row>
    <row r="112" spans="1:49">
      <c r="A112" t="s">
        <v>148</v>
      </c>
      <c r="B112" s="7" t="s">
        <v>50</v>
      </c>
      <c r="C112" s="7" t="s">
        <v>39</v>
      </c>
      <c r="AC112" s="1">
        <v>9.0558653107012681</v>
      </c>
    </row>
    <row r="113" spans="1:49">
      <c r="A113" t="s">
        <v>149</v>
      </c>
      <c r="B113" s="7" t="s">
        <v>50</v>
      </c>
      <c r="C113" s="7" t="s">
        <v>39</v>
      </c>
      <c r="D113" t="s">
        <v>150</v>
      </c>
      <c r="AC113" s="1">
        <v>5.839523374130664</v>
      </c>
    </row>
    <row r="114" spans="1:49">
      <c r="AC114" s="1"/>
    </row>
    <row r="116" spans="1:49" ht="18.75" customHeight="1">
      <c r="A116" s="4" t="s">
        <v>151</v>
      </c>
      <c r="B116" s="6"/>
      <c r="C116" s="6"/>
      <c r="D116" s="5"/>
      <c r="E116" s="5"/>
      <c r="F116" s="5"/>
      <c r="G116" s="5"/>
      <c r="H116" s="5"/>
      <c r="I116" s="5"/>
      <c r="J116" s="5"/>
      <c r="K116" s="4" t="s">
        <v>152</v>
      </c>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row>
    <row r="117" spans="1:49">
      <c r="D117" t="s">
        <v>153</v>
      </c>
      <c r="E117" t="s">
        <v>154</v>
      </c>
      <c r="F117" t="s">
        <v>155</v>
      </c>
      <c r="G117" s="121"/>
      <c r="H117" s="121"/>
      <c r="I117" s="121"/>
      <c r="J117" s="121"/>
      <c r="K117" s="122"/>
      <c r="L117" s="121"/>
      <c r="M117" s="121" t="s">
        <v>53</v>
      </c>
      <c r="N117" s="121"/>
    </row>
    <row r="118" spans="1:49">
      <c r="A118" t="s">
        <v>156</v>
      </c>
      <c r="B118" s="38" t="s">
        <v>157</v>
      </c>
      <c r="D118">
        <v>40.299999999999997</v>
      </c>
      <c r="E118" s="126">
        <v>38</v>
      </c>
      <c r="F118">
        <v>34.4</v>
      </c>
      <c r="G118" s="121" t="s">
        <v>157</v>
      </c>
      <c r="H118" s="121"/>
      <c r="I118" s="121"/>
      <c r="J118" s="121"/>
      <c r="K118" s="121"/>
      <c r="L118" s="121"/>
      <c r="M118" s="123">
        <f>SUM('[2]Fig 65'!$B$5:$B$14)</f>
        <v>453.11169639964589</v>
      </c>
      <c r="N118" s="121"/>
    </row>
    <row r="119" spans="1:49">
      <c r="A119" t="s">
        <v>158</v>
      </c>
      <c r="B119" s="38" t="s">
        <v>157</v>
      </c>
      <c r="D119">
        <v>44.5</v>
      </c>
      <c r="E119" s="126">
        <v>29.5</v>
      </c>
      <c r="F119">
        <v>20.100000000000001</v>
      </c>
      <c r="G119" s="121" t="s">
        <v>157</v>
      </c>
      <c r="H119" s="121"/>
      <c r="I119" s="121"/>
      <c r="J119" s="121"/>
      <c r="K119" s="121"/>
      <c r="L119" s="121"/>
      <c r="M119" s="123">
        <f>'[2]Fig 65'!$B$4</f>
        <v>267.75122979709363</v>
      </c>
      <c r="N119" s="121"/>
    </row>
    <row r="120" spans="1:49" ht="15" thickBot="1">
      <c r="A120" t="s">
        <v>147</v>
      </c>
      <c r="B120" s="38" t="s">
        <v>159</v>
      </c>
      <c r="D120" s="126">
        <v>10</v>
      </c>
      <c r="E120" s="126">
        <v>10</v>
      </c>
      <c r="F120" s="126">
        <v>10</v>
      </c>
      <c r="G120" s="121" t="s">
        <v>159</v>
      </c>
      <c r="H120" s="121"/>
      <c r="I120" s="121"/>
      <c r="J120" s="121"/>
      <c r="K120" s="121"/>
      <c r="L120" s="121"/>
      <c r="M120" s="123">
        <f>'[2]Fig 9'!$B$7</f>
        <v>36</v>
      </c>
      <c r="N120" s="121"/>
    </row>
    <row r="121" spans="1:49" ht="15" thickBot="1">
      <c r="A121" t="s">
        <v>160</v>
      </c>
      <c r="D121" s="126">
        <f>D120+D119+D118</f>
        <v>94.8</v>
      </c>
      <c r="E121" s="126">
        <f>E120+E119+E118</f>
        <v>77.5</v>
      </c>
      <c r="F121" s="126">
        <f>F120+F119+F118</f>
        <v>64.5</v>
      </c>
      <c r="G121" s="121"/>
      <c r="H121" s="121"/>
      <c r="I121" s="121"/>
      <c r="J121" s="121"/>
      <c r="K121" s="123">
        <f>SUM(K118:K120)</f>
        <v>0</v>
      </c>
      <c r="L121" s="123">
        <f>SUM(L118:L120)</f>
        <v>0</v>
      </c>
      <c r="M121" s="124">
        <f>SUM(M118:M120)</f>
        <v>756.86292619673952</v>
      </c>
      <c r="N121" s="121"/>
    </row>
    <row r="122" spans="1:49">
      <c r="D122" s="128">
        <f>D121/$D$3-1</f>
        <v>-0.90339087400723717</v>
      </c>
      <c r="E122" s="128">
        <f>E121/$D$3-1</f>
        <v>-0.92102102041730882</v>
      </c>
      <c r="F122" s="128">
        <f>F121/$D$3-1</f>
        <v>-0.93426910731505053</v>
      </c>
      <c r="G122" s="121"/>
      <c r="H122" s="121"/>
      <c r="I122" s="121"/>
      <c r="J122" s="121"/>
      <c r="K122" s="123"/>
      <c r="L122" s="123"/>
      <c r="M122" s="127"/>
      <c r="N122" s="121"/>
    </row>
    <row r="123" spans="1:49">
      <c r="D123" s="7"/>
    </row>
    <row r="124" spans="1:49">
      <c r="A124" t="s">
        <v>161</v>
      </c>
      <c r="D124" s="7">
        <v>2005</v>
      </c>
      <c r="E124" t="s">
        <v>162</v>
      </c>
      <c r="F124" t="s">
        <v>163</v>
      </c>
    </row>
    <row r="125" spans="1:49">
      <c r="A125" t="s">
        <v>164</v>
      </c>
      <c r="B125" s="7" t="s">
        <v>165</v>
      </c>
      <c r="D125" s="7">
        <v>846</v>
      </c>
      <c r="E125">
        <f>99.9*89%</f>
        <v>88.911000000000001</v>
      </c>
      <c r="F125">
        <f>109.8*89%</f>
        <v>97.721999999999994</v>
      </c>
    </row>
    <row r="126" spans="1:49">
      <c r="D126" s="7"/>
      <c r="E126" s="2">
        <f>E125/D125-1</f>
        <v>-0.89490425531914897</v>
      </c>
      <c r="F126" s="2">
        <f>F125/D125-1</f>
        <v>-0.88448936170212766</v>
      </c>
    </row>
    <row r="127" spans="1:49">
      <c r="D127" s="7"/>
    </row>
    <row r="128" spans="1:49" ht="18.75" customHeight="1">
      <c r="A128" s="4" t="s">
        <v>166</v>
      </c>
      <c r="B128" s="6"/>
      <c r="C128" s="6"/>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row>
    <row r="129" spans="1:49">
      <c r="N129">
        <v>2015</v>
      </c>
    </row>
    <row r="130" spans="1:49">
      <c r="A130" t="s">
        <v>167</v>
      </c>
      <c r="N130" s="3">
        <f>N3</f>
        <v>768.8490453104929</v>
      </c>
    </row>
    <row r="131" spans="1:49">
      <c r="A131" t="s">
        <v>168</v>
      </c>
      <c r="N131">
        <v>87.257000000000005</v>
      </c>
    </row>
    <row r="132" spans="1:49">
      <c r="A132" t="s">
        <v>169</v>
      </c>
      <c r="N132" s="3">
        <f>N130+N131</f>
        <v>856.10604531049285</v>
      </c>
    </row>
    <row r="133" spans="1:49">
      <c r="A133" t="s">
        <v>166</v>
      </c>
      <c r="N133">
        <f>N130/N132</f>
        <v>0.8980768790525786</v>
      </c>
    </row>
    <row r="135" spans="1:49" ht="18.75" customHeight="1">
      <c r="A135" s="4" t="s">
        <v>170</v>
      </c>
      <c r="B135" s="6"/>
      <c r="C135" s="6"/>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row>
    <row r="136" spans="1:49">
      <c r="A136" s="113" t="s">
        <v>171</v>
      </c>
    </row>
    <row r="137" spans="1:49">
      <c r="A137" s="114" t="s">
        <v>172</v>
      </c>
      <c r="N137">
        <f>[3]Industry!AA$24</f>
        <v>760.88289999999995</v>
      </c>
      <c r="S137">
        <f>[3]Industry!AF$24</f>
        <v>715.61069999999995</v>
      </c>
      <c r="X137">
        <f>[3]Industry!AK$24</f>
        <v>639.7804000000001</v>
      </c>
      <c r="AC137">
        <f>[3]Industry!AP$24</f>
        <v>455.4076</v>
      </c>
      <c r="AH137">
        <f>[3]Industry!AU$24</f>
        <v>239.4605</v>
      </c>
      <c r="AM137">
        <f>[3]Industry!AZ$24</f>
        <v>88.569699999999997</v>
      </c>
      <c r="AR137">
        <f>[3]Industry!BE$24</f>
        <v>18.998699999999999</v>
      </c>
      <c r="AW137">
        <f>[3]Industry!BJ$24</f>
        <v>5.2356999999999978</v>
      </c>
    </row>
    <row r="138" spans="1:49">
      <c r="A138" s="114" t="s">
        <v>173</v>
      </c>
      <c r="N138">
        <f>[3]Industry!AA$25</f>
        <v>760.88289999999995</v>
      </c>
      <c r="S138">
        <f>[3]Industry!AF$25</f>
        <v>715.61069999999995</v>
      </c>
      <c r="X138">
        <f>[3]Industry!AK$25</f>
        <v>643.80939999999998</v>
      </c>
      <c r="AC138">
        <f>[3]Industry!AP$25</f>
        <v>471.55219999999997</v>
      </c>
      <c r="AH138">
        <f>[3]Industry!AU$25</f>
        <v>332.70870000000002</v>
      </c>
      <c r="AM138">
        <f>[3]Industry!AZ$25</f>
        <v>128.749</v>
      </c>
      <c r="AR138">
        <f>[3]Industry!BE$25</f>
        <v>58.303300000000007</v>
      </c>
      <c r="AW138">
        <f>[3]Industry!BJ$25</f>
        <v>21.707699999999999</v>
      </c>
    </row>
  </sheetData>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82792-0C82-4F0D-AD5F-43C921B823CD}">
  <sheetPr>
    <tabColor rgb="FFEFE973"/>
    <outlinePr summaryBelow="0"/>
  </sheetPr>
  <dimension ref="A1:P62"/>
  <sheetViews>
    <sheetView topLeftCell="H1" zoomScale="71" zoomScaleNormal="71" workbookViewId="0">
      <selection activeCell="O2" sqref="O2:P5"/>
    </sheetView>
  </sheetViews>
  <sheetFormatPr defaultRowHeight="14.4" outlineLevelRow="2"/>
  <cols>
    <col min="1" max="1" width="47.88671875" bestFit="1" customWidth="1"/>
    <col min="2" max="2" width="47.88671875" customWidth="1"/>
    <col min="3" max="3" width="47.88671875" hidden="1" customWidth="1"/>
    <col min="5" max="5" width="10.5546875" hidden="1" customWidth="1"/>
    <col min="7" max="8" width="22.44140625" customWidth="1"/>
    <col min="10" max="10" width="16" bestFit="1" customWidth="1"/>
    <col min="11" max="12" width="21.5546875" bestFit="1" customWidth="1"/>
    <col min="13" max="14" width="12" bestFit="1" customWidth="1"/>
    <col min="15" max="15" width="28" bestFit="1" customWidth="1"/>
    <col min="16" max="34" width="12" bestFit="1" customWidth="1"/>
    <col min="35" max="35" width="11" bestFit="1" customWidth="1"/>
    <col min="36" max="37" width="12" bestFit="1" customWidth="1"/>
    <col min="38" max="38" width="7.33203125" bestFit="1" customWidth="1"/>
    <col min="39" max="39" width="11.33203125" bestFit="1" customWidth="1"/>
  </cols>
  <sheetData>
    <row r="1" spans="1:16">
      <c r="A1" s="30" t="s">
        <v>174</v>
      </c>
      <c r="B1" s="30" t="s">
        <v>31</v>
      </c>
      <c r="C1" s="30" t="s">
        <v>175</v>
      </c>
      <c r="D1" s="31" t="s">
        <v>176</v>
      </c>
      <c r="E1" s="31" t="s">
        <v>177</v>
      </c>
      <c r="F1" s="31" t="s">
        <v>178</v>
      </c>
      <c r="G1" s="30" t="s">
        <v>179</v>
      </c>
      <c r="H1" s="30" t="s">
        <v>180</v>
      </c>
      <c r="J1" s="35" t="s">
        <v>181</v>
      </c>
      <c r="K1" t="s">
        <v>182</v>
      </c>
      <c r="L1" t="s">
        <v>183</v>
      </c>
      <c r="O1" t="s">
        <v>181</v>
      </c>
      <c r="P1" t="s">
        <v>183</v>
      </c>
    </row>
    <row r="2" spans="1:16">
      <c r="A2" s="32" t="s">
        <v>89</v>
      </c>
      <c r="B2" s="32" t="s">
        <v>38</v>
      </c>
      <c r="C2" s="119">
        <v>428579.89530152688</v>
      </c>
      <c r="D2" s="33">
        <f>C2/1000</f>
        <v>428.5798953015269</v>
      </c>
      <c r="E2" s="33">
        <v>439540.13245647895</v>
      </c>
      <c r="F2" s="33">
        <f>E2/1000</f>
        <v>439.54013245647894</v>
      </c>
      <c r="G2" s="34" t="s">
        <v>184</v>
      </c>
      <c r="H2" s="34" t="s">
        <v>184</v>
      </c>
      <c r="J2" s="36" t="s">
        <v>185</v>
      </c>
      <c r="K2">
        <v>145.17591300000001</v>
      </c>
      <c r="L2">
        <v>118.743145</v>
      </c>
      <c r="O2" s="36" t="s">
        <v>41</v>
      </c>
      <c r="P2" s="1">
        <v>147.01485496641226</v>
      </c>
    </row>
    <row r="3" spans="1:16" outlineLevel="1">
      <c r="A3" s="28" t="s">
        <v>91</v>
      </c>
      <c r="B3" s="28" t="s">
        <v>38</v>
      </c>
      <c r="C3" s="119">
        <v>78548.166730805082</v>
      </c>
      <c r="D3" s="29">
        <f t="shared" ref="D3:D55" si="0">C3/1000</f>
        <v>78.548166730805079</v>
      </c>
      <c r="E3" s="29">
        <v>79592.43490907563</v>
      </c>
      <c r="F3" s="29">
        <f t="shared" ref="F3:F55" si="1">E3/1000</f>
        <v>79.592434909075635</v>
      </c>
      <c r="G3" s="28" t="s">
        <v>41</v>
      </c>
      <c r="H3" s="28" t="s">
        <v>186</v>
      </c>
      <c r="J3" s="36" t="s">
        <v>42</v>
      </c>
      <c r="K3">
        <v>121.31098070921091</v>
      </c>
      <c r="L3">
        <v>123.86513832614595</v>
      </c>
      <c r="O3" s="36" t="s">
        <v>42</v>
      </c>
      <c r="P3" s="1">
        <v>123.86513832614595</v>
      </c>
    </row>
    <row r="4" spans="1:16" outlineLevel="1">
      <c r="A4" s="28" t="s">
        <v>92</v>
      </c>
      <c r="B4" s="28" t="s">
        <v>38</v>
      </c>
      <c r="C4" s="119">
        <v>8881.1902546650708</v>
      </c>
      <c r="D4" s="29">
        <f t="shared" si="0"/>
        <v>8.8811902546650714</v>
      </c>
      <c r="E4" s="29">
        <v>9496.5355822698348</v>
      </c>
      <c r="F4" s="29">
        <f t="shared" si="1"/>
        <v>9.4965355822698356</v>
      </c>
      <c r="G4" s="28" t="s">
        <v>187</v>
      </c>
      <c r="H4" s="28" t="s">
        <v>188</v>
      </c>
      <c r="J4" s="36" t="s">
        <v>41</v>
      </c>
      <c r="K4">
        <v>145.36341629684426</v>
      </c>
      <c r="L4">
        <v>147.01485496641226</v>
      </c>
      <c r="O4" s="36" t="s">
        <v>43</v>
      </c>
      <c r="P4" s="1">
        <f>F57</f>
        <v>93.596201000000008</v>
      </c>
    </row>
    <row r="5" spans="1:16" outlineLevel="1">
      <c r="A5" s="28" t="s">
        <v>93</v>
      </c>
      <c r="B5" s="28" t="s">
        <v>38</v>
      </c>
      <c r="C5" s="119">
        <v>65596.111385736862</v>
      </c>
      <c r="D5" s="29">
        <f t="shared" si="0"/>
        <v>65.596111385736862</v>
      </c>
      <c r="E5" s="29">
        <v>71819.845451372574</v>
      </c>
      <c r="F5" s="29">
        <f t="shared" si="1"/>
        <v>71.819845451372572</v>
      </c>
      <c r="G5" s="28" t="s">
        <v>42</v>
      </c>
      <c r="H5" s="28" t="s">
        <v>69</v>
      </c>
      <c r="J5" s="36" t="s">
        <v>187</v>
      </c>
      <c r="K5">
        <v>348.27781940994953</v>
      </c>
      <c r="L5">
        <v>367.85095550348177</v>
      </c>
      <c r="O5" s="36" t="s">
        <v>187</v>
      </c>
      <c r="P5" s="1">
        <f>GETPIVOTDATA("Sum of 2021 (Mt CO2e)",$J$1)-P4-P3-P2</f>
        <v>392.99789950348179</v>
      </c>
    </row>
    <row r="6" spans="1:16" outlineLevel="1">
      <c r="A6" s="28" t="s">
        <v>94</v>
      </c>
      <c r="B6" s="28" t="s">
        <v>38</v>
      </c>
      <c r="C6" s="119">
        <v>24727.017692540565</v>
      </c>
      <c r="D6" s="29">
        <f t="shared" si="0"/>
        <v>24.727017692540564</v>
      </c>
      <c r="E6" s="29">
        <v>23774.5763724512</v>
      </c>
      <c r="F6" s="29">
        <f t="shared" si="1"/>
        <v>23.7745763724512</v>
      </c>
      <c r="G6" s="28" t="s">
        <v>187</v>
      </c>
      <c r="H6" s="28" t="s">
        <v>189</v>
      </c>
      <c r="J6" s="36" t="s">
        <v>190</v>
      </c>
      <c r="K6">
        <v>760.12812941600464</v>
      </c>
      <c r="L6">
        <v>757.47409379604005</v>
      </c>
    </row>
    <row r="7" spans="1:16" outlineLevel="1">
      <c r="A7" s="28" t="s">
        <v>95</v>
      </c>
      <c r="B7" s="28" t="s">
        <v>38</v>
      </c>
      <c r="C7" s="119">
        <v>36263.171644049522</v>
      </c>
      <c r="D7" s="29">
        <f t="shared" si="0"/>
        <v>36.263171644049521</v>
      </c>
      <c r="E7" s="29">
        <v>36843.584531521999</v>
      </c>
      <c r="F7" s="29">
        <f t="shared" si="1"/>
        <v>36.843584531521998</v>
      </c>
      <c r="G7" s="28" t="s">
        <v>187</v>
      </c>
      <c r="H7" s="28" t="s">
        <v>191</v>
      </c>
    </row>
    <row r="8" spans="1:16" outlineLevel="1">
      <c r="A8" s="28" t="s">
        <v>96</v>
      </c>
      <c r="B8" s="28" t="s">
        <v>38</v>
      </c>
      <c r="C8" s="119">
        <v>85877.741679636412</v>
      </c>
      <c r="D8" s="29">
        <f t="shared" si="0"/>
        <v>85.877741679636415</v>
      </c>
      <c r="E8" s="29">
        <v>84372.778620151614</v>
      </c>
      <c r="F8" s="29">
        <f t="shared" si="1"/>
        <v>84.372778620151607</v>
      </c>
      <c r="G8" s="28" t="s">
        <v>184</v>
      </c>
      <c r="H8" s="28" t="s">
        <v>184</v>
      </c>
      <c r="O8" s="36"/>
      <c r="P8" s="1"/>
    </row>
    <row r="9" spans="1:16" outlineLevel="1">
      <c r="A9" s="147" t="s">
        <v>192</v>
      </c>
      <c r="B9" s="28"/>
      <c r="C9" s="29">
        <f>C57+C58-C14-C15</f>
        <v>53916.400395150311</v>
      </c>
      <c r="D9" s="29">
        <f t="shared" si="0"/>
        <v>53.916400395150312</v>
      </c>
      <c r="E9" s="29">
        <f>E57+E58-E14-E15</f>
        <v>28595.393280644388</v>
      </c>
      <c r="F9" s="29">
        <f>E9/1000</f>
        <v>28.595393280644387</v>
      </c>
      <c r="G9" s="28" t="s">
        <v>185</v>
      </c>
      <c r="H9" s="28" t="s">
        <v>185</v>
      </c>
      <c r="O9" s="36"/>
      <c r="P9" s="1"/>
    </row>
    <row r="10" spans="1:16" outlineLevel="1">
      <c r="A10" s="147" t="s">
        <v>193</v>
      </c>
      <c r="B10" s="28"/>
      <c r="C10" s="29">
        <f>C8-C9</f>
        <v>31961.341284486101</v>
      </c>
      <c r="D10" s="29">
        <f t="shared" si="0"/>
        <v>31.961341284486103</v>
      </c>
      <c r="E10" s="29">
        <f>E8-E9</f>
        <v>55777.385339507222</v>
      </c>
      <c r="F10" s="29">
        <f>E10/1000</f>
        <v>55.777385339507219</v>
      </c>
      <c r="G10" s="28" t="s">
        <v>187</v>
      </c>
      <c r="H10" s="28" t="s">
        <v>194</v>
      </c>
      <c r="O10" s="36"/>
      <c r="P10" s="1"/>
    </row>
    <row r="11" spans="1:16" outlineLevel="1">
      <c r="A11" s="28" t="s">
        <v>97</v>
      </c>
      <c r="B11" s="28" t="s">
        <v>38</v>
      </c>
      <c r="C11" s="119">
        <v>128686.49591409335</v>
      </c>
      <c r="D11" s="29">
        <f t="shared" si="0"/>
        <v>128.68649591409334</v>
      </c>
      <c r="E11" s="29">
        <v>133640.37698963605</v>
      </c>
      <c r="F11" s="29">
        <f t="shared" si="1"/>
        <v>133.64037698963605</v>
      </c>
      <c r="G11" s="28" t="s">
        <v>187</v>
      </c>
      <c r="H11" s="28" t="s">
        <v>187</v>
      </c>
    </row>
    <row r="12" spans="1:16">
      <c r="A12" s="32" t="s">
        <v>98</v>
      </c>
      <c r="B12" s="32" t="s">
        <v>38</v>
      </c>
      <c r="C12" s="119">
        <v>331548.23411447776</v>
      </c>
      <c r="D12" s="33">
        <f t="shared" si="0"/>
        <v>331.54823411447774</v>
      </c>
      <c r="E12" s="33">
        <v>317933.96133956104</v>
      </c>
      <c r="F12" s="33">
        <f t="shared" si="1"/>
        <v>317.93396133956105</v>
      </c>
      <c r="G12" s="34" t="s">
        <v>184</v>
      </c>
      <c r="H12" s="34" t="s">
        <v>184</v>
      </c>
    </row>
    <row r="13" spans="1:16" outlineLevel="1">
      <c r="A13" s="28" t="s">
        <v>99</v>
      </c>
      <c r="B13" s="28" t="s">
        <v>38</v>
      </c>
      <c r="C13" s="119">
        <v>105196.88859696107</v>
      </c>
      <c r="D13" s="29">
        <f t="shared" si="0"/>
        <v>105.19688859696107</v>
      </c>
      <c r="E13" s="29">
        <v>104085.6353282105</v>
      </c>
      <c r="F13" s="29">
        <f t="shared" si="1"/>
        <v>104.0856353282105</v>
      </c>
      <c r="G13" t="s">
        <v>184</v>
      </c>
      <c r="H13" s="28" t="s">
        <v>184</v>
      </c>
    </row>
    <row r="14" spans="1:16" outlineLevel="2">
      <c r="A14" s="28" t="s">
        <v>100</v>
      </c>
      <c r="B14" s="28" t="s">
        <v>38</v>
      </c>
      <c r="C14" s="119">
        <v>73556.099877739558</v>
      </c>
      <c r="D14" s="29">
        <f t="shared" si="0"/>
        <v>73.556099877739555</v>
      </c>
      <c r="E14" s="29">
        <v>72419.613292998023</v>
      </c>
      <c r="F14" s="29">
        <f t="shared" si="1"/>
        <v>72.419613292998022</v>
      </c>
      <c r="G14" s="28" t="s">
        <v>185</v>
      </c>
      <c r="H14" s="28" t="s">
        <v>195</v>
      </c>
    </row>
    <row r="15" spans="1:16" outlineLevel="2">
      <c r="A15" s="28" t="s">
        <v>101</v>
      </c>
      <c r="B15" s="28" t="s">
        <v>38</v>
      </c>
      <c r="C15" s="119">
        <v>17703.412727110128</v>
      </c>
      <c r="D15" s="29">
        <f t="shared" si="0"/>
        <v>17.703412727110127</v>
      </c>
      <c r="E15" s="29">
        <v>17728.138426357593</v>
      </c>
      <c r="F15" s="29">
        <f t="shared" si="1"/>
        <v>17.728138426357592</v>
      </c>
      <c r="G15" s="28" t="s">
        <v>185</v>
      </c>
      <c r="H15" s="28" t="s">
        <v>194</v>
      </c>
    </row>
    <row r="16" spans="1:16" outlineLevel="2">
      <c r="A16" s="28" t="s">
        <v>102</v>
      </c>
      <c r="B16" s="28" t="s">
        <v>38</v>
      </c>
      <c r="C16" s="119">
        <v>3969.1734976424004</v>
      </c>
      <c r="D16" s="29">
        <f t="shared" si="0"/>
        <v>3.9691734976424002</v>
      </c>
      <c r="E16" s="29">
        <v>4064.7184127660585</v>
      </c>
      <c r="F16" s="29">
        <f t="shared" si="1"/>
        <v>4.0647184127660587</v>
      </c>
      <c r="G16" s="28" t="s">
        <v>187</v>
      </c>
      <c r="H16" s="28" t="s">
        <v>194</v>
      </c>
    </row>
    <row r="17" spans="1:15" outlineLevel="2">
      <c r="A17" s="28" t="s">
        <v>103</v>
      </c>
      <c r="B17" s="28" t="s">
        <v>38</v>
      </c>
      <c r="C17" s="119">
        <v>9968.2024944689601</v>
      </c>
      <c r="D17" s="29">
        <f t="shared" si="0"/>
        <v>9.9682024944689598</v>
      </c>
      <c r="E17" s="29">
        <v>9873.1651960888321</v>
      </c>
      <c r="F17" s="29">
        <f t="shared" si="1"/>
        <v>9.8731651960888325</v>
      </c>
      <c r="G17" s="28" t="s">
        <v>187</v>
      </c>
      <c r="H17" s="28" t="s">
        <v>194</v>
      </c>
    </row>
    <row r="18" spans="1:15" outlineLevel="1">
      <c r="A18" s="28" t="s">
        <v>104</v>
      </c>
      <c r="B18" s="28" t="s">
        <v>38</v>
      </c>
      <c r="C18" s="119">
        <v>55714.869323474144</v>
      </c>
      <c r="D18" s="29">
        <f t="shared" si="0"/>
        <v>55.714869323474147</v>
      </c>
      <c r="E18" s="29">
        <v>52045.29287477328</v>
      </c>
      <c r="F18" s="29">
        <f t="shared" si="1"/>
        <v>52.045292874773281</v>
      </c>
      <c r="G18" s="28" t="s">
        <v>184</v>
      </c>
      <c r="H18" s="28" t="s">
        <v>184</v>
      </c>
    </row>
    <row r="19" spans="1:15" ht="15" outlineLevel="2">
      <c r="A19" s="28" t="s">
        <v>105</v>
      </c>
      <c r="B19" s="28" t="s">
        <v>38</v>
      </c>
      <c r="C19" s="119">
        <v>19943.800860870513</v>
      </c>
      <c r="D19" s="29">
        <f t="shared" si="0"/>
        <v>19.943800860870514</v>
      </c>
      <c r="E19" s="29">
        <v>19301.4601380491</v>
      </c>
      <c r="F19" s="29">
        <f t="shared" si="1"/>
        <v>19.301460138049102</v>
      </c>
      <c r="G19" s="28" t="s">
        <v>42</v>
      </c>
      <c r="H19" s="28" t="s">
        <v>69</v>
      </c>
      <c r="K19" s="136" t="s">
        <v>196</v>
      </c>
    </row>
    <row r="20" spans="1:15" outlineLevel="2">
      <c r="A20" s="28" t="s">
        <v>106</v>
      </c>
      <c r="B20" s="28" t="s">
        <v>38</v>
      </c>
      <c r="C20" s="119">
        <v>2745.4540247965019</v>
      </c>
      <c r="D20" s="29">
        <f t="shared" si="0"/>
        <v>2.7454540247965018</v>
      </c>
      <c r="E20" s="29">
        <v>2397.6388557050673</v>
      </c>
      <c r="F20" s="29">
        <f t="shared" si="1"/>
        <v>2.3976388557050674</v>
      </c>
      <c r="G20" s="28" t="s">
        <v>42</v>
      </c>
      <c r="H20" s="28" t="s">
        <v>69</v>
      </c>
      <c r="K20" s="142"/>
      <c r="L20" s="142"/>
      <c r="M20" s="142"/>
      <c r="N20" s="142"/>
      <c r="O20" s="142"/>
    </row>
    <row r="21" spans="1:15" outlineLevel="2">
      <c r="A21" s="28" t="s">
        <v>107</v>
      </c>
      <c r="B21" s="28" t="s">
        <v>38</v>
      </c>
      <c r="C21" s="119">
        <v>283.23686574907759</v>
      </c>
      <c r="D21" s="29">
        <f t="shared" si="0"/>
        <v>0.28323686574907758</v>
      </c>
      <c r="E21" s="29">
        <v>143.74206055109971</v>
      </c>
      <c r="F21" s="29">
        <f t="shared" si="1"/>
        <v>0.1437420605510997</v>
      </c>
      <c r="G21" s="28" t="s">
        <v>42</v>
      </c>
      <c r="H21" s="28" t="s">
        <v>69</v>
      </c>
      <c r="K21" s="142"/>
      <c r="L21" s="142"/>
      <c r="M21" s="142"/>
      <c r="N21" s="142"/>
      <c r="O21" s="142"/>
    </row>
    <row r="22" spans="1:15" outlineLevel="2">
      <c r="A22" s="28" t="s">
        <v>108</v>
      </c>
      <c r="B22" s="28" t="s">
        <v>38</v>
      </c>
      <c r="C22" s="119">
        <v>1508.009188945</v>
      </c>
      <c r="D22" s="29">
        <f t="shared" si="0"/>
        <v>1.508009188945</v>
      </c>
      <c r="E22" s="29">
        <v>1035.4030582800001</v>
      </c>
      <c r="F22" s="29">
        <f t="shared" si="1"/>
        <v>1.03540305828</v>
      </c>
      <c r="G22" s="28" t="s">
        <v>42</v>
      </c>
      <c r="H22" s="28" t="s">
        <v>69</v>
      </c>
      <c r="K22" s="142"/>
      <c r="L22" s="142"/>
      <c r="M22" s="142"/>
      <c r="N22" s="142"/>
      <c r="O22" s="142"/>
    </row>
    <row r="23" spans="1:15" outlineLevel="2">
      <c r="A23" s="28" t="s">
        <v>109</v>
      </c>
      <c r="B23" s="28" t="s">
        <v>38</v>
      </c>
      <c r="C23" s="119">
        <v>270.93929033011773</v>
      </c>
      <c r="D23" s="29">
        <f t="shared" si="0"/>
        <v>0.27093929033011771</v>
      </c>
      <c r="E23" s="29">
        <v>262.11688764137131</v>
      </c>
      <c r="F23" s="29">
        <f t="shared" si="1"/>
        <v>0.26211688764137131</v>
      </c>
      <c r="G23" s="28" t="s">
        <v>42</v>
      </c>
      <c r="H23" s="28" t="s">
        <v>69</v>
      </c>
      <c r="K23" s="142"/>
      <c r="L23" s="142"/>
      <c r="M23" s="142"/>
      <c r="N23" s="142"/>
      <c r="O23" s="142"/>
    </row>
    <row r="24" spans="1:15" outlineLevel="2">
      <c r="A24" s="28" t="s">
        <v>110</v>
      </c>
      <c r="B24" s="28" t="s">
        <v>38</v>
      </c>
      <c r="C24" s="119">
        <v>120.0983662238</v>
      </c>
      <c r="D24" s="29">
        <f t="shared" si="0"/>
        <v>0.1200983662238</v>
      </c>
      <c r="E24" s="29">
        <v>123.50909324</v>
      </c>
      <c r="F24" s="29">
        <f t="shared" si="1"/>
        <v>0.12350909323999999</v>
      </c>
      <c r="G24" s="28" t="s">
        <v>42</v>
      </c>
      <c r="H24" s="28" t="s">
        <v>69</v>
      </c>
      <c r="K24" s="142"/>
      <c r="L24" s="142"/>
      <c r="M24" s="142"/>
      <c r="N24" s="142"/>
      <c r="O24" s="142"/>
    </row>
    <row r="25" spans="1:15" outlineLevel="2">
      <c r="A25" s="28" t="s">
        <v>111</v>
      </c>
      <c r="B25" s="28" t="s">
        <v>38</v>
      </c>
      <c r="C25" s="119">
        <v>1948.8550612818208</v>
      </c>
      <c r="D25" s="29">
        <f t="shared" si="0"/>
        <v>1.9488550612818207</v>
      </c>
      <c r="E25" s="29">
        <v>1832.150967278757</v>
      </c>
      <c r="F25" s="29">
        <f t="shared" si="1"/>
        <v>1.832150967278757</v>
      </c>
      <c r="G25" s="28" t="s">
        <v>42</v>
      </c>
      <c r="H25" s="28" t="s">
        <v>69</v>
      </c>
      <c r="K25" s="142"/>
      <c r="L25" s="142"/>
      <c r="M25" s="142"/>
      <c r="N25" s="142"/>
      <c r="O25" s="142"/>
    </row>
    <row r="26" spans="1:15" outlineLevel="2">
      <c r="A26" s="28" t="s">
        <v>112</v>
      </c>
      <c r="B26" s="28" t="s">
        <v>38</v>
      </c>
      <c r="C26" s="119">
        <v>12895.283582661827</v>
      </c>
      <c r="D26" s="29">
        <f t="shared" si="0"/>
        <v>12.895283582661827</v>
      </c>
      <c r="E26" s="29">
        <v>13207.576563026958</v>
      </c>
      <c r="F26" s="29">
        <f t="shared" si="1"/>
        <v>13.207576563026958</v>
      </c>
      <c r="G26" s="28" t="s">
        <v>42</v>
      </c>
      <c r="H26" s="28" t="s">
        <v>69</v>
      </c>
      <c r="K26" s="142"/>
      <c r="L26" s="142"/>
      <c r="M26" s="142"/>
      <c r="N26" s="142"/>
      <c r="O26" s="142"/>
    </row>
    <row r="27" spans="1:15" outlineLevel="2">
      <c r="A27" s="28" t="s">
        <v>113</v>
      </c>
      <c r="B27" s="28" t="s">
        <v>38</v>
      </c>
      <c r="C27" s="119">
        <v>2662.6250084984613</v>
      </c>
      <c r="D27" s="29">
        <f t="shared" si="0"/>
        <v>2.6626250084984613</v>
      </c>
      <c r="E27" s="29">
        <v>1051.1049277281634</v>
      </c>
      <c r="F27" s="29">
        <f t="shared" si="1"/>
        <v>1.0511049277281634</v>
      </c>
      <c r="G27" s="28" t="s">
        <v>42</v>
      </c>
      <c r="H27" s="28" t="s">
        <v>69</v>
      </c>
      <c r="K27" s="142"/>
      <c r="L27" s="142"/>
      <c r="M27" s="142"/>
      <c r="N27" s="142"/>
      <c r="O27" s="142"/>
    </row>
    <row r="28" spans="1:15" outlineLevel="2">
      <c r="A28" s="28" t="s">
        <v>114</v>
      </c>
      <c r="B28" s="28" t="s">
        <v>38</v>
      </c>
      <c r="C28" s="119">
        <v>13336.567074116929</v>
      </c>
      <c r="D28" s="29">
        <f t="shared" si="0"/>
        <v>13.336567074116928</v>
      </c>
      <c r="E28" s="29">
        <v>12690.590323272878</v>
      </c>
      <c r="F28" s="29">
        <f t="shared" si="1"/>
        <v>12.690590323272877</v>
      </c>
      <c r="G28" s="28" t="s">
        <v>42</v>
      </c>
      <c r="H28" s="28" t="s">
        <v>69</v>
      </c>
      <c r="K28" s="142"/>
      <c r="L28" s="142"/>
      <c r="M28" s="142"/>
      <c r="N28" s="142"/>
      <c r="O28" s="142"/>
    </row>
    <row r="29" spans="1:15" outlineLevel="1">
      <c r="A29" s="28" t="s">
        <v>115</v>
      </c>
      <c r="B29" s="28" t="s">
        <v>38</v>
      </c>
      <c r="C29" s="119">
        <v>74906.840789959635</v>
      </c>
      <c r="D29" s="29">
        <f t="shared" si="0"/>
        <v>74.906840789959631</v>
      </c>
      <c r="E29" s="29">
        <v>74664.26758996697</v>
      </c>
      <c r="F29" s="29">
        <f t="shared" si="1"/>
        <v>74.664267589966968</v>
      </c>
      <c r="G29" s="28" t="s">
        <v>184</v>
      </c>
      <c r="H29" s="28" t="s">
        <v>184</v>
      </c>
      <c r="K29" s="142"/>
      <c r="L29" s="142"/>
      <c r="M29" s="142"/>
      <c r="N29" s="142"/>
      <c r="O29" s="142"/>
    </row>
    <row r="30" spans="1:15" outlineLevel="2">
      <c r="A30" s="28" t="s">
        <v>116</v>
      </c>
      <c r="B30" s="28" t="s">
        <v>38</v>
      </c>
      <c r="C30" s="119">
        <v>66815.249566039172</v>
      </c>
      <c r="D30" s="29">
        <f t="shared" si="0"/>
        <v>66.815249566039171</v>
      </c>
      <c r="E30" s="29">
        <v>67422.420057336611</v>
      </c>
      <c r="F30" s="29">
        <f t="shared" si="1"/>
        <v>67.422420057336609</v>
      </c>
      <c r="G30" s="28" t="s">
        <v>41</v>
      </c>
      <c r="H30" s="28" t="s">
        <v>41</v>
      </c>
      <c r="K30" s="142"/>
      <c r="L30" s="142"/>
      <c r="M30" s="142"/>
      <c r="N30" s="142"/>
      <c r="O30" s="142"/>
    </row>
    <row r="31" spans="1:15" outlineLevel="2">
      <c r="A31" s="28" t="s">
        <v>117</v>
      </c>
      <c r="B31" s="28" t="s">
        <v>38</v>
      </c>
      <c r="C31" s="119">
        <v>2609.3177792333195</v>
      </c>
      <c r="D31" s="29">
        <f t="shared" si="0"/>
        <v>2.6093177792333195</v>
      </c>
      <c r="E31" s="29">
        <v>2189.1354453742538</v>
      </c>
      <c r="F31" s="29">
        <f t="shared" si="1"/>
        <v>2.1891354453742538</v>
      </c>
      <c r="G31" s="28" t="s">
        <v>187</v>
      </c>
      <c r="H31" s="28" t="s">
        <v>188</v>
      </c>
      <c r="K31" s="142"/>
      <c r="L31" s="142"/>
      <c r="M31" s="142"/>
      <c r="N31" s="142"/>
      <c r="O31" s="142"/>
    </row>
    <row r="32" spans="1:15" outlineLevel="2">
      <c r="A32" s="28" t="s">
        <v>118</v>
      </c>
      <c r="B32" s="28" t="s">
        <v>38</v>
      </c>
      <c r="C32" s="119">
        <v>3434.1316379304781</v>
      </c>
      <c r="D32" s="29">
        <f t="shared" si="0"/>
        <v>3.434131637930478</v>
      </c>
      <c r="E32" s="29">
        <v>3215.5850853629172</v>
      </c>
      <c r="F32" s="29">
        <f t="shared" si="1"/>
        <v>3.2155850853629171</v>
      </c>
      <c r="G32" s="28" t="s">
        <v>187</v>
      </c>
      <c r="H32" s="28" t="s">
        <v>188</v>
      </c>
      <c r="K32" s="142"/>
      <c r="L32" s="142"/>
      <c r="M32" s="142"/>
      <c r="N32" s="142"/>
      <c r="O32" s="142"/>
    </row>
    <row r="33" spans="1:15" outlineLevel="2">
      <c r="A33" s="28" t="s">
        <v>119</v>
      </c>
      <c r="B33" s="28" t="s">
        <v>38</v>
      </c>
      <c r="C33" s="119">
        <v>70.649640361445734</v>
      </c>
      <c r="D33" s="29">
        <f t="shared" si="0"/>
        <v>7.0649640361445734E-2</v>
      </c>
      <c r="E33" s="29">
        <v>68.727014999999994</v>
      </c>
      <c r="F33" s="29">
        <f t="shared" si="1"/>
        <v>6.8727014999999989E-2</v>
      </c>
      <c r="G33" s="28" t="s">
        <v>187</v>
      </c>
      <c r="H33" s="28" t="s">
        <v>188</v>
      </c>
      <c r="K33" s="142"/>
      <c r="L33" s="142"/>
      <c r="M33" s="142"/>
      <c r="N33" s="142"/>
      <c r="O33" s="142"/>
    </row>
    <row r="34" spans="1:15" outlineLevel="2">
      <c r="A34" s="28" t="s">
        <v>120</v>
      </c>
      <c r="B34" s="28" t="s">
        <v>38</v>
      </c>
      <c r="C34" s="119">
        <v>202.97435505708023</v>
      </c>
      <c r="D34" s="29">
        <f t="shared" si="0"/>
        <v>0.20297435505708022</v>
      </c>
      <c r="E34" s="29">
        <v>204.42807844468899</v>
      </c>
      <c r="F34" s="29">
        <f t="shared" si="1"/>
        <v>0.20442807844468899</v>
      </c>
      <c r="G34" s="28" t="s">
        <v>187</v>
      </c>
      <c r="H34" s="28" t="s">
        <v>188</v>
      </c>
      <c r="K34" s="142"/>
      <c r="L34" s="142"/>
      <c r="M34" s="142"/>
      <c r="N34" s="142"/>
      <c r="O34" s="142"/>
    </row>
    <row r="35" spans="1:15" outlineLevel="2">
      <c r="A35" s="28" t="s">
        <v>121</v>
      </c>
      <c r="B35" s="28" t="s">
        <v>38</v>
      </c>
      <c r="C35" s="119">
        <v>1062.3407114966801</v>
      </c>
      <c r="D35" s="29">
        <f t="shared" si="0"/>
        <v>1.0623407114966801</v>
      </c>
      <c r="E35" s="29">
        <v>1017.5232117510143</v>
      </c>
      <c r="F35" s="29">
        <f t="shared" si="1"/>
        <v>1.0175232117510142</v>
      </c>
      <c r="G35" s="28" t="s">
        <v>187</v>
      </c>
      <c r="H35" s="28" t="s">
        <v>188</v>
      </c>
      <c r="K35" s="142"/>
      <c r="L35" s="142"/>
      <c r="M35" s="142"/>
      <c r="N35" s="142"/>
      <c r="O35" s="142"/>
    </row>
    <row r="36" spans="1:15" outlineLevel="2">
      <c r="A36" s="28" t="s">
        <v>122</v>
      </c>
      <c r="B36" s="28" t="s">
        <v>38</v>
      </c>
      <c r="C36" s="119">
        <v>712.1770998415376</v>
      </c>
      <c r="D36" s="29">
        <f t="shared" si="0"/>
        <v>0.71217709984153754</v>
      </c>
      <c r="E36" s="29">
        <v>546.44869669748016</v>
      </c>
      <c r="F36" s="29">
        <f t="shared" si="1"/>
        <v>0.5464486966974802</v>
      </c>
      <c r="G36" s="28" t="s">
        <v>187</v>
      </c>
      <c r="H36" s="28" t="s">
        <v>188</v>
      </c>
      <c r="K36" s="142"/>
      <c r="L36" s="142"/>
      <c r="M36" s="142"/>
      <c r="N36" s="142"/>
      <c r="O36" s="142"/>
    </row>
    <row r="37" spans="1:15" outlineLevel="1">
      <c r="A37" s="28" t="s">
        <v>123</v>
      </c>
      <c r="B37" s="28" t="s">
        <v>38</v>
      </c>
      <c r="C37" s="119">
        <v>7233.6302384787405</v>
      </c>
      <c r="D37" s="29">
        <f t="shared" si="0"/>
        <v>7.2336302384787405</v>
      </c>
      <c r="E37" s="29">
        <v>7723.1542300165811</v>
      </c>
      <c r="F37" s="29">
        <f t="shared" si="1"/>
        <v>7.723154230016581</v>
      </c>
      <c r="G37" s="28" t="s">
        <v>184</v>
      </c>
      <c r="H37" s="28" t="s">
        <v>184</v>
      </c>
    </row>
    <row r="38" spans="1:15" outlineLevel="2">
      <c r="A38" s="28" t="s">
        <v>124</v>
      </c>
      <c r="B38" s="28" t="s">
        <v>38</v>
      </c>
      <c r="C38" s="119">
        <v>2272.8986779942047</v>
      </c>
      <c r="D38" s="29">
        <f t="shared" si="0"/>
        <v>2.2728986779942049</v>
      </c>
      <c r="E38" s="29">
        <v>1965.924935071778</v>
      </c>
      <c r="F38" s="29">
        <f t="shared" si="1"/>
        <v>1.965924935071778</v>
      </c>
      <c r="G38" s="28" t="s">
        <v>187</v>
      </c>
      <c r="H38" s="28" t="s">
        <v>187</v>
      </c>
    </row>
    <row r="39" spans="1:15" outlineLevel="2">
      <c r="A39" s="28" t="s">
        <v>125</v>
      </c>
      <c r="B39" s="28" t="s">
        <v>38</v>
      </c>
      <c r="C39" s="119">
        <v>1042.0915200021325</v>
      </c>
      <c r="D39" s="29">
        <f t="shared" si="0"/>
        <v>1.0420915200021326</v>
      </c>
      <c r="E39" s="29">
        <v>1116.0717748774418</v>
      </c>
      <c r="F39" s="29">
        <f t="shared" si="1"/>
        <v>1.1160717748774418</v>
      </c>
      <c r="G39" s="28" t="s">
        <v>187</v>
      </c>
      <c r="H39" s="28" t="s">
        <v>187</v>
      </c>
    </row>
    <row r="40" spans="1:15" outlineLevel="2">
      <c r="A40" s="28" t="s">
        <v>126</v>
      </c>
      <c r="B40" s="28" t="s">
        <v>38</v>
      </c>
      <c r="C40" s="119">
        <v>3918.6400404824035</v>
      </c>
      <c r="D40" s="29">
        <f t="shared" si="0"/>
        <v>3.9186400404824036</v>
      </c>
      <c r="E40" s="29">
        <v>4641.1575200673615</v>
      </c>
      <c r="F40" s="29">
        <f t="shared" si="1"/>
        <v>4.6411575200673614</v>
      </c>
      <c r="G40" s="28" t="s">
        <v>187</v>
      </c>
      <c r="H40" s="28" t="s">
        <v>187</v>
      </c>
    </row>
    <row r="41" spans="1:15" outlineLevel="1">
      <c r="A41" s="28" t="s">
        <v>127</v>
      </c>
      <c r="B41" s="28" t="s">
        <v>38</v>
      </c>
      <c r="C41" s="119">
        <v>793.39719993542849</v>
      </c>
      <c r="D41" s="29">
        <f t="shared" si="0"/>
        <v>0.79339719993542845</v>
      </c>
      <c r="E41" s="29">
        <v>767.67389461209575</v>
      </c>
      <c r="F41" s="29">
        <f t="shared" si="1"/>
        <v>0.76767389461209579</v>
      </c>
      <c r="G41" s="28" t="s">
        <v>184</v>
      </c>
      <c r="H41" s="28" t="s">
        <v>184</v>
      </c>
    </row>
    <row r="42" spans="1:15" outlineLevel="2">
      <c r="A42" s="28" t="s">
        <v>128</v>
      </c>
      <c r="B42" s="28" t="s">
        <v>38</v>
      </c>
      <c r="C42" s="119">
        <v>769.11721493542848</v>
      </c>
      <c r="D42" s="29">
        <f t="shared" si="0"/>
        <v>0.76911721493542851</v>
      </c>
      <c r="E42" s="29">
        <v>742.20341461209568</v>
      </c>
      <c r="F42" s="29">
        <f t="shared" si="1"/>
        <v>0.74220341461209571</v>
      </c>
      <c r="G42" s="28" t="s">
        <v>187</v>
      </c>
      <c r="H42" s="28" t="s">
        <v>187</v>
      </c>
    </row>
    <row r="43" spans="1:15" outlineLevel="2">
      <c r="A43" s="28" t="s">
        <v>129</v>
      </c>
      <c r="B43" s="28" t="s">
        <v>38</v>
      </c>
      <c r="C43" s="119"/>
      <c r="D43" s="29">
        <f t="shared" si="0"/>
        <v>0</v>
      </c>
      <c r="E43" s="29"/>
      <c r="F43" s="29">
        <f t="shared" si="1"/>
        <v>0</v>
      </c>
      <c r="G43" s="28" t="s">
        <v>187</v>
      </c>
      <c r="H43" s="28" t="s">
        <v>187</v>
      </c>
    </row>
    <row r="44" spans="1:15" outlineLevel="2">
      <c r="A44" s="28" t="s">
        <v>130</v>
      </c>
      <c r="B44" s="28" t="s">
        <v>38</v>
      </c>
      <c r="C44" s="119"/>
      <c r="D44" s="29">
        <f t="shared" si="0"/>
        <v>0</v>
      </c>
      <c r="E44" s="29"/>
      <c r="F44" s="29">
        <f t="shared" si="1"/>
        <v>0</v>
      </c>
      <c r="G44" s="28" t="s">
        <v>187</v>
      </c>
      <c r="H44" s="28" t="s">
        <v>187</v>
      </c>
    </row>
    <row r="45" spans="1:15" outlineLevel="2">
      <c r="A45" s="28" t="s">
        <v>131</v>
      </c>
      <c r="B45" s="28" t="s">
        <v>38</v>
      </c>
      <c r="C45" s="119">
        <v>23.292115000000003</v>
      </c>
      <c r="D45" s="29">
        <f t="shared" si="0"/>
        <v>2.3292115000000002E-2</v>
      </c>
      <c r="E45" s="29">
        <v>25.470479999999998</v>
      </c>
      <c r="F45" s="29">
        <f t="shared" si="1"/>
        <v>2.5470479999999997E-2</v>
      </c>
      <c r="G45" s="28" t="s">
        <v>187</v>
      </c>
      <c r="H45" s="28" t="s">
        <v>187</v>
      </c>
    </row>
    <row r="46" spans="1:15" outlineLevel="2">
      <c r="A46" s="28" t="s">
        <v>132</v>
      </c>
      <c r="B46" s="28" t="s">
        <v>38</v>
      </c>
      <c r="C46" s="119">
        <v>0.98787000000000003</v>
      </c>
      <c r="D46" s="29">
        <f t="shared" si="0"/>
        <v>9.8787000000000007E-4</v>
      </c>
      <c r="E46" s="29"/>
      <c r="F46" s="29">
        <f t="shared" si="1"/>
        <v>0</v>
      </c>
      <c r="G46" s="28" t="s">
        <v>187</v>
      </c>
      <c r="H46" s="28" t="s">
        <v>187</v>
      </c>
    </row>
    <row r="47" spans="1:15" outlineLevel="1">
      <c r="A47" s="28" t="s">
        <v>133</v>
      </c>
      <c r="B47" s="28" t="s">
        <v>38</v>
      </c>
      <c r="C47" s="119">
        <v>78104.078323960901</v>
      </c>
      <c r="D47" s="29">
        <f t="shared" si="0"/>
        <v>78.104078323960906</v>
      </c>
      <c r="E47" s="29">
        <v>70842.224861149269</v>
      </c>
      <c r="F47" s="29">
        <f t="shared" si="1"/>
        <v>70.842224861149262</v>
      </c>
      <c r="G47" s="28" t="s">
        <v>184</v>
      </c>
      <c r="H47" s="28" t="s">
        <v>184</v>
      </c>
    </row>
    <row r="48" spans="1:15" outlineLevel="2">
      <c r="A48" s="28" t="s">
        <v>134</v>
      </c>
      <c r="B48" s="28" t="s">
        <v>38</v>
      </c>
      <c r="C48" s="119">
        <v>71756.134994041175</v>
      </c>
      <c r="D48" s="29">
        <f t="shared" si="0"/>
        <v>71.756134994041176</v>
      </c>
      <c r="E48" s="29">
        <v>65043.871152967047</v>
      </c>
      <c r="F48" s="29">
        <f t="shared" si="1"/>
        <v>65.043871152967043</v>
      </c>
      <c r="G48" s="28" t="s">
        <v>187</v>
      </c>
      <c r="H48" s="28" t="s">
        <v>197</v>
      </c>
    </row>
    <row r="49" spans="1:8" outlineLevel="2">
      <c r="A49" s="28" t="s">
        <v>135</v>
      </c>
      <c r="B49" s="28" t="s">
        <v>38</v>
      </c>
      <c r="C49" s="119">
        <v>1828.9242758980402</v>
      </c>
      <c r="D49" s="29">
        <f t="shared" si="0"/>
        <v>1.8289242758980402</v>
      </c>
      <c r="E49" s="29">
        <v>1634.5317176040251</v>
      </c>
      <c r="F49" s="29">
        <f t="shared" si="1"/>
        <v>1.634531717604025</v>
      </c>
      <c r="G49" s="28" t="s">
        <v>187</v>
      </c>
      <c r="H49" s="28" t="s">
        <v>197</v>
      </c>
    </row>
    <row r="50" spans="1:8" outlineLevel="2">
      <c r="A50" s="28" t="s">
        <v>136</v>
      </c>
      <c r="B50" s="28" t="s">
        <v>38</v>
      </c>
      <c r="C50" s="119">
        <v>2403.7241102733619</v>
      </c>
      <c r="D50" s="29">
        <f t="shared" si="0"/>
        <v>2.403724110273362</v>
      </c>
      <c r="E50" s="29">
        <v>2383.2846552475826</v>
      </c>
      <c r="F50" s="29">
        <f t="shared" si="1"/>
        <v>2.3832846552475826</v>
      </c>
      <c r="G50" s="28" t="s">
        <v>187</v>
      </c>
      <c r="H50" s="28" t="s">
        <v>197</v>
      </c>
    </row>
    <row r="51" spans="1:8" outlineLevel="2">
      <c r="A51" s="28" t="s">
        <v>137</v>
      </c>
      <c r="B51" s="28" t="s">
        <v>38</v>
      </c>
      <c r="C51" s="119">
        <v>1948.0514051170717</v>
      </c>
      <c r="D51" s="29">
        <f t="shared" si="0"/>
        <v>1.9480514051170716</v>
      </c>
      <c r="E51" s="29">
        <v>1619.8323444836074</v>
      </c>
      <c r="F51" s="29">
        <f t="shared" si="1"/>
        <v>1.6198323444836074</v>
      </c>
      <c r="G51" s="28" t="s">
        <v>187</v>
      </c>
      <c r="H51" s="28" t="s">
        <v>197</v>
      </c>
    </row>
    <row r="52" spans="1:8" outlineLevel="2">
      <c r="A52" s="28" t="s">
        <v>138</v>
      </c>
      <c r="B52" s="28" t="s">
        <v>38</v>
      </c>
      <c r="C52" s="119">
        <v>33.560718000000001</v>
      </c>
      <c r="D52" s="29">
        <f t="shared" si="0"/>
        <v>3.3560718000000003E-2</v>
      </c>
      <c r="E52" s="29">
        <v>30.522549600000001</v>
      </c>
      <c r="F52" s="29">
        <f t="shared" si="1"/>
        <v>3.0522549600000001E-2</v>
      </c>
      <c r="G52" s="28" t="s">
        <v>187</v>
      </c>
      <c r="H52" s="28" t="s">
        <v>197</v>
      </c>
    </row>
    <row r="53" spans="1:8" outlineLevel="2">
      <c r="A53" s="28" t="s">
        <v>139</v>
      </c>
      <c r="B53" s="28" t="s">
        <v>38</v>
      </c>
      <c r="C53" s="119">
        <v>133.68282063125199</v>
      </c>
      <c r="D53" s="29">
        <f t="shared" si="0"/>
        <v>0.13368282063125198</v>
      </c>
      <c r="E53" s="29">
        <v>130.18244124698703</v>
      </c>
      <c r="F53" s="29">
        <f t="shared" si="1"/>
        <v>0.13018244124698702</v>
      </c>
      <c r="G53" s="28" t="s">
        <v>187</v>
      </c>
      <c r="H53" s="28" t="s">
        <v>197</v>
      </c>
    </row>
    <row r="54" spans="1:8" outlineLevel="1">
      <c r="A54" s="28" t="s">
        <v>140</v>
      </c>
      <c r="B54" s="28" t="s">
        <v>38</v>
      </c>
      <c r="C54" s="119">
        <v>9224.8451978579869</v>
      </c>
      <c r="D54" s="29">
        <f t="shared" si="0"/>
        <v>9.2248451978579862</v>
      </c>
      <c r="E54" s="29">
        <v>7473.034007553606</v>
      </c>
      <c r="F54" s="29">
        <f t="shared" si="1"/>
        <v>7.4730340075536059</v>
      </c>
      <c r="G54" s="28" t="s">
        <v>187</v>
      </c>
      <c r="H54" s="28" t="s">
        <v>187</v>
      </c>
    </row>
    <row r="55" spans="1:8" outlineLevel="1">
      <c r="A55" s="28" t="s">
        <v>141</v>
      </c>
      <c r="B55" s="28" t="s">
        <v>38</v>
      </c>
      <c r="C55" s="119">
        <v>373.68444384989874</v>
      </c>
      <c r="D55" s="29">
        <f t="shared" si="0"/>
        <v>0.37368444384989874</v>
      </c>
      <c r="E55" s="29">
        <v>332.67855327873514</v>
      </c>
      <c r="F55" s="29">
        <f t="shared" si="1"/>
        <v>0.33267855327873513</v>
      </c>
      <c r="G55" s="28" t="s">
        <v>187</v>
      </c>
      <c r="H55" s="28" t="s">
        <v>187</v>
      </c>
    </row>
    <row r="57" spans="1:8">
      <c r="A57" s="28" t="s">
        <v>198</v>
      </c>
      <c r="B57" s="28" t="s">
        <v>199</v>
      </c>
      <c r="C57" s="29">
        <v>117336.482</v>
      </c>
      <c r="D57" s="29">
        <f>C57/1000</f>
        <v>117.336482</v>
      </c>
      <c r="E57" s="29">
        <v>93596.201000000001</v>
      </c>
      <c r="F57" s="29">
        <f>E57/1000</f>
        <v>93.596201000000008</v>
      </c>
    </row>
    <row r="58" spans="1:8">
      <c r="A58" s="28" t="s">
        <v>200</v>
      </c>
      <c r="B58" s="28" t="s">
        <v>201</v>
      </c>
      <c r="C58" s="29">
        <v>27839.431</v>
      </c>
      <c r="D58" s="29">
        <f t="shared" ref="D58:F62" si="2">C58/1000</f>
        <v>27.839431000000001</v>
      </c>
      <c r="E58" s="29">
        <v>25146.944</v>
      </c>
      <c r="F58" s="29">
        <f t="shared" si="2"/>
        <v>25.146943999999998</v>
      </c>
    </row>
    <row r="59" spans="1:8">
      <c r="A59" s="28" t="s">
        <v>202</v>
      </c>
      <c r="B59" s="28" t="s">
        <v>203</v>
      </c>
      <c r="C59" s="29">
        <v>17368.035</v>
      </c>
      <c r="D59" s="29">
        <f t="shared" si="2"/>
        <v>17.368034999999999</v>
      </c>
      <c r="E59" s="29">
        <v>13327.251</v>
      </c>
      <c r="F59" s="29">
        <f t="shared" si="2"/>
        <v>13.327251</v>
      </c>
    </row>
    <row r="60" spans="1:8">
      <c r="A60" t="s">
        <v>204</v>
      </c>
      <c r="B60" s="28" t="s">
        <v>205</v>
      </c>
      <c r="C60" s="29">
        <v>13910.4</v>
      </c>
      <c r="D60" s="29">
        <f t="shared" si="2"/>
        <v>13.910399999999999</v>
      </c>
      <c r="E60" s="29">
        <v>11817.824000000001</v>
      </c>
      <c r="F60" s="29">
        <f t="shared" si="2"/>
        <v>11.817824</v>
      </c>
    </row>
    <row r="61" spans="1:8">
      <c r="A61" t="s">
        <v>206</v>
      </c>
      <c r="B61" s="28" t="s">
        <v>207</v>
      </c>
      <c r="C61" s="29">
        <v>2009.386</v>
      </c>
      <c r="D61" s="29">
        <f t="shared" si="2"/>
        <v>2.0093860000000001</v>
      </c>
      <c r="E61" s="29">
        <v>1526.2929999999999</v>
      </c>
      <c r="F61" s="29">
        <f t="shared" si="2"/>
        <v>1.5262929999999999</v>
      </c>
    </row>
    <row r="62" spans="1:8">
      <c r="A62" s="28" t="s">
        <v>208</v>
      </c>
      <c r="B62" s="28" t="s">
        <v>209</v>
      </c>
      <c r="C62" s="29">
        <v>1248.3810000000001</v>
      </c>
      <c r="D62" s="29">
        <f t="shared" si="2"/>
        <v>1.2483810000000002</v>
      </c>
      <c r="E62" s="29">
        <v>922.36800000000005</v>
      </c>
      <c r="F62" s="29">
        <f t="shared" si="2"/>
        <v>0.92236800000000008</v>
      </c>
    </row>
  </sheetData>
  <autoFilter ref="A1:H55" xr:uid="{D9182792-0C82-4F0D-AD5F-43C921B823CD}"/>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1E7DF-2FB2-49C4-AB8E-BACAF98681AC}">
  <sheetPr>
    <tabColor rgb="FFEFE973"/>
    <outlinePr summaryBelow="0"/>
  </sheetPr>
  <dimension ref="A1:V76"/>
  <sheetViews>
    <sheetView showGridLines="0" zoomScale="126" zoomScaleNormal="126" workbookViewId="0">
      <selection activeCell="G3" sqref="G3"/>
    </sheetView>
  </sheetViews>
  <sheetFormatPr defaultRowHeight="14.4" outlineLevelRow="2"/>
  <cols>
    <col min="1" max="1" width="20.88671875" customWidth="1"/>
    <col min="2" max="2" width="38" customWidth="1"/>
    <col min="3" max="6" width="9.109375" customWidth="1"/>
    <col min="7" max="20" width="9.5546875" bestFit="1" customWidth="1"/>
  </cols>
  <sheetData>
    <row r="1" spans="1:21" s="4" customFormat="1">
      <c r="A1" s="4" t="s">
        <v>210</v>
      </c>
    </row>
    <row r="2" spans="1:21">
      <c r="B2" t="s">
        <v>31</v>
      </c>
      <c r="C2" t="s">
        <v>32</v>
      </c>
      <c r="D2">
        <v>2005</v>
      </c>
      <c r="I2">
        <v>2010</v>
      </c>
      <c r="N2">
        <v>2015</v>
      </c>
      <c r="S2">
        <v>2020</v>
      </c>
    </row>
    <row r="3" spans="1:21">
      <c r="A3" t="s">
        <v>211</v>
      </c>
      <c r="B3" s="41" t="s">
        <v>212</v>
      </c>
      <c r="C3" t="s">
        <v>213</v>
      </c>
      <c r="G3" s="1">
        <v>185.03224299999999</v>
      </c>
      <c r="H3" s="1">
        <v>129.26978199999999</v>
      </c>
      <c r="I3" s="1">
        <v>163.076525</v>
      </c>
      <c r="J3" s="1">
        <v>168.09782100000001</v>
      </c>
      <c r="K3" s="1">
        <v>159.003433</v>
      </c>
      <c r="L3" s="1">
        <v>154.31767400000001</v>
      </c>
      <c r="M3" s="1">
        <v>157.06495699999999</v>
      </c>
      <c r="N3" s="1">
        <v>155.12873200000001</v>
      </c>
      <c r="O3" s="1">
        <v>154.297811</v>
      </c>
      <c r="P3" s="1">
        <v>160.86903000000001</v>
      </c>
      <c r="Q3" s="1">
        <v>160.06575599999999</v>
      </c>
      <c r="R3" s="1">
        <v>150.24444500000001</v>
      </c>
      <c r="S3" s="1">
        <v>132.21725799999999</v>
      </c>
      <c r="T3" s="1">
        <v>152.782083</v>
      </c>
    </row>
    <row r="4" spans="1:21">
      <c r="A4" t="s">
        <v>211</v>
      </c>
      <c r="B4" s="41" t="s">
        <v>214</v>
      </c>
      <c r="C4" t="s">
        <v>213</v>
      </c>
      <c r="G4" s="1"/>
      <c r="H4" s="1"/>
      <c r="I4" s="1"/>
      <c r="J4" s="1"/>
      <c r="K4" s="1">
        <v>145.358</v>
      </c>
      <c r="L4" s="1">
        <v>142.25</v>
      </c>
      <c r="M4" s="1">
        <v>144.05199999999999</v>
      </c>
      <c r="N4" s="1">
        <v>142.874</v>
      </c>
      <c r="O4" s="1">
        <v>143.65299999999999</v>
      </c>
      <c r="P4" s="1">
        <v>147.77199999999999</v>
      </c>
      <c r="Q4" s="1">
        <v>148.47800000000001</v>
      </c>
      <c r="R4" s="1">
        <v>139.19900000000001</v>
      </c>
      <c r="S4" s="1">
        <v>123.664</v>
      </c>
      <c r="T4" s="1">
        <v>140.65</v>
      </c>
    </row>
    <row r="5" spans="1:21">
      <c r="A5" t="s">
        <v>215</v>
      </c>
      <c r="B5" s="41" t="s">
        <v>216</v>
      </c>
      <c r="C5" t="s">
        <v>213</v>
      </c>
      <c r="G5" s="1">
        <v>173.81100000000001</v>
      </c>
      <c r="H5" s="1">
        <v>113.52</v>
      </c>
      <c r="I5" s="1">
        <v>139.077</v>
      </c>
      <c r="J5" s="1">
        <v>147.828</v>
      </c>
      <c r="K5" s="1">
        <v>132.18</v>
      </c>
      <c r="L5" s="1">
        <v>132.072</v>
      </c>
      <c r="M5" s="1">
        <v>135.732</v>
      </c>
      <c r="N5" s="1">
        <v>142.06800000000001</v>
      </c>
      <c r="O5" s="1">
        <v>146.79599999999999</v>
      </c>
      <c r="P5" s="1">
        <v>148.91999999999999</v>
      </c>
      <c r="Q5" s="1">
        <v>152.71199999999999</v>
      </c>
      <c r="R5" s="1">
        <v>144.768</v>
      </c>
      <c r="S5" s="1">
        <v>129.28800000000001</v>
      </c>
      <c r="T5" s="1">
        <v>148.95599999999999</v>
      </c>
    </row>
    <row r="6" spans="1:21">
      <c r="A6" t="s">
        <v>217</v>
      </c>
      <c r="B6" t="s">
        <v>60</v>
      </c>
      <c r="C6" t="s">
        <v>213</v>
      </c>
      <c r="G6" s="1"/>
      <c r="H6" s="1"/>
      <c r="I6" s="1"/>
      <c r="J6" s="1"/>
      <c r="K6" s="1">
        <f t="shared" ref="K6:M6" si="0">K4-K5</f>
        <v>13.177999999999997</v>
      </c>
      <c r="L6" s="1">
        <f t="shared" si="0"/>
        <v>10.177999999999997</v>
      </c>
      <c r="M6" s="1">
        <f t="shared" si="0"/>
        <v>8.3199999999999932</v>
      </c>
      <c r="N6" s="1">
        <f>N4-N5</f>
        <v>0.80599999999998317</v>
      </c>
      <c r="O6" s="1">
        <f t="shared" ref="O6:T6" si="1">O4-O5</f>
        <v>-3.1430000000000007</v>
      </c>
      <c r="P6" s="1">
        <f t="shared" si="1"/>
        <v>-1.1479999999999961</v>
      </c>
      <c r="Q6" s="1">
        <f t="shared" si="1"/>
        <v>-4.2339999999999804</v>
      </c>
      <c r="R6" s="1">
        <f t="shared" si="1"/>
        <v>-5.5689999999999884</v>
      </c>
      <c r="S6" s="1">
        <f t="shared" si="1"/>
        <v>-5.6240000000000094</v>
      </c>
      <c r="T6" s="1">
        <f t="shared" si="1"/>
        <v>-8.3059999999999832</v>
      </c>
    </row>
    <row r="7" spans="1:21">
      <c r="A7" t="s">
        <v>218</v>
      </c>
      <c r="B7" t="s">
        <v>219</v>
      </c>
      <c r="C7" t="s">
        <v>213</v>
      </c>
      <c r="G7" s="1">
        <v>48.8293964</v>
      </c>
      <c r="H7" s="1">
        <v>26.5300507</v>
      </c>
      <c r="I7" s="1">
        <v>33.209668200000003</v>
      </c>
      <c r="J7" s="1">
        <v>39.4783817</v>
      </c>
      <c r="K7" s="1">
        <v>30.4401759</v>
      </c>
      <c r="L7" s="1">
        <v>33.975869400000001</v>
      </c>
      <c r="M7" s="1">
        <v>36.280126099999997</v>
      </c>
      <c r="N7" s="1">
        <v>43.016654600000003</v>
      </c>
      <c r="O7" s="1">
        <v>44.162148899999998</v>
      </c>
      <c r="P7" s="1">
        <v>44.908823900000002</v>
      </c>
      <c r="Q7" s="1">
        <v>49.450438200000001</v>
      </c>
      <c r="R7" s="1">
        <v>44.2679416</v>
      </c>
      <c r="S7" s="1">
        <v>36.525231099999999</v>
      </c>
      <c r="T7" s="1">
        <v>47.176036199999999</v>
      </c>
    </row>
    <row r="8" spans="1:21">
      <c r="A8" t="s">
        <v>220</v>
      </c>
      <c r="B8" t="s">
        <v>219</v>
      </c>
      <c r="C8" t="s">
        <v>213</v>
      </c>
      <c r="G8" s="1">
        <v>29.806234400000001</v>
      </c>
      <c r="H8" s="1">
        <v>26.6728041</v>
      </c>
      <c r="I8" s="1">
        <v>30.294906699999999</v>
      </c>
      <c r="J8" s="1">
        <v>31.052820400000002</v>
      </c>
      <c r="K8" s="1">
        <v>33.553666499999999</v>
      </c>
      <c r="L8" s="1">
        <v>30.462541000000002</v>
      </c>
      <c r="M8" s="1">
        <v>30.850525900000001</v>
      </c>
      <c r="N8" s="1">
        <v>28.806755299999999</v>
      </c>
      <c r="O8" s="1">
        <v>27.946372499999999</v>
      </c>
      <c r="P8" s="1">
        <v>28.482286899999998</v>
      </c>
      <c r="Q8" s="1">
        <v>26.152524400000001</v>
      </c>
      <c r="R8" s="1">
        <v>25.760836999999999</v>
      </c>
      <c r="S8" s="1">
        <v>21.340454399999999</v>
      </c>
      <c r="T8" s="1">
        <v>21.409915300000002</v>
      </c>
    </row>
    <row r="9" spans="1:21">
      <c r="A9" t="s">
        <v>221</v>
      </c>
      <c r="B9" t="s">
        <v>60</v>
      </c>
      <c r="C9" t="s">
        <v>213</v>
      </c>
      <c r="G9" s="1">
        <f>G8-G7</f>
        <v>-19.023161999999999</v>
      </c>
      <c r="H9" s="1">
        <f t="shared" ref="H9:T9" si="2">H8-H7</f>
        <v>0.14275340000000014</v>
      </c>
      <c r="I9" s="1">
        <f t="shared" si="2"/>
        <v>-2.9147615000000044</v>
      </c>
      <c r="J9" s="1">
        <f t="shared" si="2"/>
        <v>-8.4255612999999983</v>
      </c>
      <c r="K9" s="1">
        <f t="shared" si="2"/>
        <v>3.1134905999999987</v>
      </c>
      <c r="L9" s="1">
        <f t="shared" si="2"/>
        <v>-3.5133283999999989</v>
      </c>
      <c r="M9" s="1">
        <f t="shared" si="2"/>
        <v>-5.4296001999999959</v>
      </c>
      <c r="N9" s="1">
        <f t="shared" si="2"/>
        <v>-14.209899300000004</v>
      </c>
      <c r="O9" s="1">
        <f t="shared" si="2"/>
        <v>-16.215776399999999</v>
      </c>
      <c r="P9" s="1">
        <f t="shared" si="2"/>
        <v>-16.426537000000003</v>
      </c>
      <c r="Q9" s="1">
        <f t="shared" si="2"/>
        <v>-23.2979138</v>
      </c>
      <c r="R9" s="1">
        <f t="shared" si="2"/>
        <v>-18.507104600000002</v>
      </c>
      <c r="S9" s="1">
        <f t="shared" si="2"/>
        <v>-15.1847767</v>
      </c>
      <c r="T9" s="1">
        <f t="shared" si="2"/>
        <v>-25.766120899999997</v>
      </c>
      <c r="U9" s="1"/>
    </row>
    <row r="10" spans="1:21">
      <c r="G10" s="1"/>
      <c r="H10" s="1"/>
      <c r="I10" s="1"/>
      <c r="J10" s="1"/>
      <c r="K10" s="1"/>
      <c r="L10" s="1"/>
      <c r="M10" s="1"/>
      <c r="N10" s="1"/>
      <c r="O10" s="1"/>
      <c r="P10" s="1"/>
      <c r="Q10" s="1"/>
      <c r="R10" s="1"/>
      <c r="S10" s="1"/>
      <c r="T10" s="1"/>
      <c r="U10" s="1"/>
    </row>
    <row r="11" spans="1:21">
      <c r="A11" t="s">
        <v>61</v>
      </c>
      <c r="D11" s="40">
        <f>AVERAGE(T5-S5,S5-R5,R5-Q5,Q5-P5)</f>
        <v>9.0000000000003411E-3</v>
      </c>
      <c r="G11" s="1"/>
      <c r="H11" s="1"/>
      <c r="I11" s="1"/>
      <c r="J11" s="1"/>
      <c r="K11" s="1"/>
      <c r="L11" s="1"/>
      <c r="M11" s="2">
        <f t="shared" ref="M11:S11" si="3">M4/M3</f>
        <v>0.91714920216098872</v>
      </c>
      <c r="N11" s="2">
        <f t="shared" si="3"/>
        <v>0.92100282235272823</v>
      </c>
      <c r="O11" s="2">
        <f t="shared" si="3"/>
        <v>0.93101126366595044</v>
      </c>
      <c r="P11" s="2">
        <f t="shared" si="3"/>
        <v>0.91858575886234894</v>
      </c>
      <c r="Q11" s="2">
        <f t="shared" si="3"/>
        <v>0.92760627701030574</v>
      </c>
      <c r="R11" s="2">
        <f t="shared" si="3"/>
        <v>0.92648350493091447</v>
      </c>
      <c r="S11" s="2">
        <f t="shared" si="3"/>
        <v>0.93530906532640401</v>
      </c>
      <c r="T11" s="2">
        <f>T4/T3</f>
        <v>0.92059223986362326</v>
      </c>
      <c r="U11" s="1"/>
    </row>
    <row r="12" spans="1:21">
      <c r="G12" s="1"/>
      <c r="H12" s="1"/>
      <c r="I12" s="1"/>
      <c r="J12" s="1"/>
      <c r="K12" s="1"/>
      <c r="L12" s="1"/>
      <c r="M12" s="1"/>
      <c r="N12" s="1"/>
      <c r="O12" s="1"/>
      <c r="P12" s="1"/>
      <c r="Q12" s="1"/>
      <c r="R12" s="1"/>
      <c r="S12" s="1"/>
      <c r="T12" s="1"/>
    </row>
    <row r="13" spans="1:21" s="4" customFormat="1">
      <c r="A13" s="4" t="s">
        <v>43</v>
      </c>
    </row>
    <row r="14" spans="1:21">
      <c r="B14" t="s">
        <v>31</v>
      </c>
      <c r="C14" t="s">
        <v>32</v>
      </c>
      <c r="I14">
        <v>2010</v>
      </c>
      <c r="N14">
        <v>2015</v>
      </c>
      <c r="S14">
        <v>2020</v>
      </c>
    </row>
    <row r="15" spans="1:21">
      <c r="A15" t="s">
        <v>211</v>
      </c>
      <c r="B15" t="s">
        <v>222</v>
      </c>
      <c r="C15" t="s">
        <v>213</v>
      </c>
      <c r="D15" s="1">
        <v>239.52699999999999</v>
      </c>
      <c r="E15" s="1">
        <v>256.16899999999998</v>
      </c>
      <c r="F15" s="1">
        <v>261.81200000000001</v>
      </c>
      <c r="G15" s="1">
        <v>244.35499999999999</v>
      </c>
      <c r="H15" s="1">
        <v>197.892</v>
      </c>
      <c r="I15" s="1">
        <v>185.62299999999999</v>
      </c>
      <c r="J15" s="1">
        <v>187.21600000000001</v>
      </c>
      <c r="K15" s="1">
        <v>164.68700000000001</v>
      </c>
      <c r="L15" s="1">
        <v>156.994</v>
      </c>
      <c r="M15" s="1">
        <v>157.52500000000001</v>
      </c>
      <c r="N15" s="1">
        <v>158.108</v>
      </c>
      <c r="O15" s="1">
        <v>159.874</v>
      </c>
      <c r="P15" s="1">
        <v>165.69399999999999</v>
      </c>
      <c r="Q15" s="1">
        <v>179.792</v>
      </c>
      <c r="R15" s="1">
        <v>173.053</v>
      </c>
      <c r="S15" s="1">
        <v>172.23099999999999</v>
      </c>
      <c r="T15" s="1">
        <v>182.54900000000001</v>
      </c>
    </row>
    <row r="16" spans="1:21">
      <c r="A16" t="s">
        <v>215</v>
      </c>
      <c r="B16" t="s">
        <v>222</v>
      </c>
      <c r="C16" t="s">
        <v>213</v>
      </c>
      <c r="D16" s="1">
        <v>232.29</v>
      </c>
      <c r="E16" s="1">
        <v>250.17500000000001</v>
      </c>
      <c r="F16" s="1">
        <v>254.029</v>
      </c>
      <c r="G16" s="1">
        <v>235.559</v>
      </c>
      <c r="H16" s="1">
        <v>189.10599999999999</v>
      </c>
      <c r="I16" s="1">
        <v>176.40899999999999</v>
      </c>
      <c r="J16" s="1">
        <v>178.25299999999999</v>
      </c>
      <c r="K16" s="1">
        <v>151.76400000000001</v>
      </c>
      <c r="L16" s="1">
        <v>142.18799999999999</v>
      </c>
      <c r="M16" s="1">
        <v>140.49</v>
      </c>
      <c r="N16" s="1">
        <v>141.35599999999999</v>
      </c>
      <c r="O16" s="1">
        <v>142.74600000000001</v>
      </c>
      <c r="P16" s="1">
        <v>147.83600000000001</v>
      </c>
      <c r="Q16" s="1">
        <v>155.34200000000001</v>
      </c>
      <c r="R16" s="1">
        <v>157.44399999999999</v>
      </c>
      <c r="S16" s="1">
        <v>159.215</v>
      </c>
      <c r="T16" s="1">
        <v>170.47200000000001</v>
      </c>
    </row>
    <row r="17" spans="1:21">
      <c r="A17" t="s">
        <v>217</v>
      </c>
      <c r="B17" t="s">
        <v>60</v>
      </c>
      <c r="C17" t="s">
        <v>213</v>
      </c>
      <c r="D17" s="1">
        <f>D15-D16</f>
        <v>7.2369999999999948</v>
      </c>
      <c r="E17" s="1">
        <f t="shared" ref="E17:T17" si="4">E15-E16</f>
        <v>5.9939999999999714</v>
      </c>
      <c r="F17" s="1">
        <f t="shared" si="4"/>
        <v>7.7830000000000155</v>
      </c>
      <c r="G17" s="1">
        <f t="shared" si="4"/>
        <v>8.7959999999999923</v>
      </c>
      <c r="H17" s="1">
        <f t="shared" si="4"/>
        <v>8.7860000000000014</v>
      </c>
      <c r="I17" s="1">
        <f t="shared" si="4"/>
        <v>9.2139999999999986</v>
      </c>
      <c r="J17" s="1">
        <f t="shared" si="4"/>
        <v>8.9630000000000223</v>
      </c>
      <c r="K17" s="1">
        <f t="shared" si="4"/>
        <v>12.923000000000002</v>
      </c>
      <c r="L17" s="1">
        <f t="shared" si="4"/>
        <v>14.806000000000012</v>
      </c>
      <c r="M17" s="1">
        <f t="shared" si="4"/>
        <v>17.034999999999997</v>
      </c>
      <c r="N17" s="1">
        <f t="shared" si="4"/>
        <v>16.75200000000001</v>
      </c>
      <c r="O17" s="1">
        <f t="shared" si="4"/>
        <v>17.127999999999986</v>
      </c>
      <c r="P17" s="1">
        <f t="shared" si="4"/>
        <v>17.857999999999976</v>
      </c>
      <c r="Q17" s="1">
        <f t="shared" si="4"/>
        <v>24.449999999999989</v>
      </c>
      <c r="R17" s="1">
        <f t="shared" si="4"/>
        <v>15.609000000000009</v>
      </c>
      <c r="S17" s="1">
        <f t="shared" si="4"/>
        <v>13.015999999999991</v>
      </c>
      <c r="T17" s="1">
        <f t="shared" si="4"/>
        <v>12.076999999999998</v>
      </c>
    </row>
    <row r="18" spans="1:21">
      <c r="A18" t="s">
        <v>218</v>
      </c>
      <c r="B18" t="s">
        <v>219</v>
      </c>
      <c r="C18" t="s">
        <v>213</v>
      </c>
      <c r="D18" s="1">
        <v>15.252736799999999</v>
      </c>
      <c r="E18" s="1">
        <v>16.0105814</v>
      </c>
      <c r="F18" s="1">
        <v>18.3328484</v>
      </c>
      <c r="G18" s="1">
        <v>10.8960946</v>
      </c>
      <c r="H18" s="1">
        <v>7.6650245000000004</v>
      </c>
      <c r="I18" s="1">
        <v>5.6254365999999996</v>
      </c>
      <c r="J18" s="1">
        <v>4.3293103000000004</v>
      </c>
      <c r="K18" s="1">
        <v>2.9449350000000001</v>
      </c>
      <c r="L18" s="1">
        <v>2.6824018999999999</v>
      </c>
      <c r="M18" s="1">
        <v>2.5325484999999999</v>
      </c>
      <c r="N18" s="1">
        <v>2.6133071000000001</v>
      </c>
      <c r="O18" s="1">
        <v>2.4252699999999998</v>
      </c>
      <c r="P18" s="1">
        <v>3.1882888</v>
      </c>
      <c r="Q18" s="1">
        <v>3.4076021999999999</v>
      </c>
      <c r="R18" s="1">
        <v>5.2322343</v>
      </c>
      <c r="S18" s="1">
        <v>6.3119639000000003</v>
      </c>
      <c r="T18" s="1">
        <v>9.7064403000000006</v>
      </c>
    </row>
    <row r="19" spans="1:21">
      <c r="A19" t="s">
        <v>220</v>
      </c>
      <c r="B19" t="s">
        <v>219</v>
      </c>
      <c r="C19" t="s">
        <v>213</v>
      </c>
      <c r="D19" s="1">
        <v>12.936851000000001</v>
      </c>
      <c r="E19" s="1">
        <v>11.4543865</v>
      </c>
      <c r="F19" s="1">
        <v>10.934449900000001</v>
      </c>
      <c r="G19" s="1">
        <v>13.100720799999999</v>
      </c>
      <c r="H19" s="1">
        <v>13.8920317</v>
      </c>
      <c r="I19" s="1">
        <v>16.3614505</v>
      </c>
      <c r="J19" s="1">
        <v>13.1706126</v>
      </c>
      <c r="K19" s="1">
        <v>19.953939399999999</v>
      </c>
      <c r="L19" s="1">
        <v>25.077026499999999</v>
      </c>
      <c r="M19" s="1">
        <v>27.918478100000002</v>
      </c>
      <c r="N19" s="1">
        <v>26.8202225</v>
      </c>
      <c r="O19" s="1">
        <v>24.625602300000001</v>
      </c>
      <c r="P19" s="1">
        <v>22.341496299999999</v>
      </c>
      <c r="Q19" s="1">
        <v>18.5809386</v>
      </c>
      <c r="R19" s="1">
        <v>14.9429935</v>
      </c>
      <c r="S19" s="1">
        <v>13.219774900000001</v>
      </c>
      <c r="T19" s="1">
        <v>13.1980375</v>
      </c>
    </row>
    <row r="20" spans="1:21">
      <c r="A20" t="s">
        <v>221</v>
      </c>
      <c r="B20" t="s">
        <v>60</v>
      </c>
      <c r="C20" t="s">
        <v>213</v>
      </c>
      <c r="D20" s="1">
        <f t="shared" ref="D20:F20" si="5">D19-D18</f>
        <v>-2.3158857999999984</v>
      </c>
      <c r="E20" s="1">
        <f t="shared" si="5"/>
        <v>-4.5561948999999995</v>
      </c>
      <c r="F20" s="1">
        <f t="shared" si="5"/>
        <v>-7.398398499999999</v>
      </c>
      <c r="G20" s="1">
        <f>G19-G18</f>
        <v>2.2046261999999999</v>
      </c>
      <c r="H20" s="1">
        <f t="shared" ref="H20:T20" si="6">H19-H18</f>
        <v>6.2270072000000001</v>
      </c>
      <c r="I20" s="1">
        <f t="shared" si="6"/>
        <v>10.7360139</v>
      </c>
      <c r="J20" s="1">
        <f t="shared" si="6"/>
        <v>8.8413022999999988</v>
      </c>
      <c r="K20" s="1">
        <f t="shared" si="6"/>
        <v>17.009004399999998</v>
      </c>
      <c r="L20" s="1">
        <f t="shared" si="6"/>
        <v>22.3946246</v>
      </c>
      <c r="M20" s="1">
        <f t="shared" si="6"/>
        <v>25.385929600000001</v>
      </c>
      <c r="N20" s="1">
        <f t="shared" si="6"/>
        <v>24.2069154</v>
      </c>
      <c r="O20" s="1">
        <f t="shared" si="6"/>
        <v>22.200332299999999</v>
      </c>
      <c r="P20" s="1">
        <f t="shared" si="6"/>
        <v>19.153207500000001</v>
      </c>
      <c r="Q20" s="1">
        <f t="shared" si="6"/>
        <v>15.1733364</v>
      </c>
      <c r="R20" s="1">
        <f t="shared" si="6"/>
        <v>9.7107592</v>
      </c>
      <c r="S20" s="1">
        <f t="shared" si="6"/>
        <v>6.9078110000000006</v>
      </c>
      <c r="T20" s="1">
        <f t="shared" si="6"/>
        <v>3.4915971999999993</v>
      </c>
      <c r="U20" s="1"/>
    </row>
    <row r="21" spans="1:21">
      <c r="D21" s="1"/>
      <c r="E21" s="1"/>
      <c r="F21" s="1"/>
      <c r="G21" s="1"/>
      <c r="H21" s="1"/>
      <c r="I21" s="1"/>
      <c r="J21" s="1"/>
      <c r="K21" s="1"/>
      <c r="L21" s="1"/>
      <c r="M21" s="1"/>
      <c r="N21" s="1"/>
      <c r="O21" s="1"/>
      <c r="P21" s="1"/>
      <c r="Q21" s="1"/>
      <c r="R21" s="1"/>
      <c r="S21" s="1"/>
      <c r="T21" s="1"/>
      <c r="U21" s="1"/>
    </row>
    <row r="22" spans="1:21">
      <c r="A22" t="s">
        <v>61</v>
      </c>
      <c r="D22" s="40">
        <f>AVERAGE(T16-S16,S16-R16,R16-Q16,Q16-P16)</f>
        <v>5.6589999999999989</v>
      </c>
      <c r="E22" s="1"/>
      <c r="F22" s="1"/>
      <c r="G22" s="1"/>
      <c r="H22" s="1"/>
      <c r="I22" s="1"/>
      <c r="J22" s="1"/>
      <c r="K22" s="1"/>
      <c r="L22" s="1"/>
      <c r="M22" s="1"/>
      <c r="N22" s="1"/>
      <c r="O22" s="1"/>
      <c r="P22" s="1"/>
      <c r="Q22" s="1"/>
      <c r="R22" s="1"/>
      <c r="S22" s="1"/>
      <c r="T22" s="1"/>
      <c r="U22" s="1"/>
    </row>
    <row r="24" spans="1:21" s="4" customFormat="1">
      <c r="A24" s="4" t="s">
        <v>42</v>
      </c>
    </row>
    <row r="25" spans="1:21">
      <c r="B25" t="s">
        <v>31</v>
      </c>
      <c r="C25" t="s">
        <v>32</v>
      </c>
      <c r="I25">
        <v>2010</v>
      </c>
      <c r="N25">
        <v>2015</v>
      </c>
      <c r="S25">
        <v>2020</v>
      </c>
    </row>
    <row r="26" spans="1:21" collapsed="1">
      <c r="A26" t="s">
        <v>211</v>
      </c>
      <c r="B26" t="s">
        <v>60</v>
      </c>
      <c r="C26" t="s">
        <v>213</v>
      </c>
      <c r="E26" s="1">
        <f>SUM(E27:E33)</f>
        <v>33.518074861000002</v>
      </c>
      <c r="F26" s="1">
        <f t="shared" ref="F26:U26" si="7">SUM(F27:F33)</f>
        <v>36.246995546999997</v>
      </c>
      <c r="G26" s="1">
        <f t="shared" si="7"/>
        <v>31.117618604</v>
      </c>
      <c r="H26" s="1">
        <f t="shared" si="7"/>
        <v>28.083483579999996</v>
      </c>
      <c r="I26" s="1">
        <f t="shared" si="7"/>
        <v>30.660656660000001</v>
      </c>
      <c r="J26" s="1">
        <f t="shared" si="7"/>
        <v>32.080733672999997</v>
      </c>
      <c r="K26" s="1">
        <f t="shared" si="7"/>
        <v>31.200394035000002</v>
      </c>
      <c r="L26" s="1">
        <f t="shared" si="7"/>
        <v>29.589364181000001</v>
      </c>
      <c r="M26" s="1">
        <f t="shared" si="7"/>
        <v>30.577944293999998</v>
      </c>
      <c r="N26" s="1">
        <f t="shared" si="7"/>
        <v>30.129284892999998</v>
      </c>
      <c r="O26" s="1">
        <f t="shared" si="7"/>
        <v>30.139163417999995</v>
      </c>
      <c r="P26" s="1">
        <f t="shared" si="7"/>
        <v>31.956297761000002</v>
      </c>
      <c r="Q26" s="1">
        <f t="shared" si="7"/>
        <v>29.640241881000001</v>
      </c>
      <c r="R26" s="1">
        <f t="shared" si="7"/>
        <v>28.353109871999997</v>
      </c>
      <c r="S26" s="1">
        <f t="shared" si="7"/>
        <v>28.007374761999994</v>
      </c>
      <c r="T26" s="1">
        <f t="shared" si="7"/>
        <v>28.717024608999999</v>
      </c>
      <c r="U26" s="1">
        <f t="shared" si="7"/>
        <v>26.839573981000004</v>
      </c>
    </row>
    <row r="27" spans="1:21" hidden="1" outlineLevel="1">
      <c r="A27" s="42" t="s">
        <v>223</v>
      </c>
      <c r="B27" s="41" t="s">
        <v>224</v>
      </c>
      <c r="C27" t="s">
        <v>213</v>
      </c>
      <c r="E27" s="1">
        <v>12.099995103000001</v>
      </c>
      <c r="F27" s="1">
        <v>14.178714974</v>
      </c>
      <c r="G27" s="1">
        <v>11.868966767</v>
      </c>
      <c r="H27" s="1">
        <v>9.9257452930000003</v>
      </c>
      <c r="I27" s="1">
        <v>12.156694004</v>
      </c>
      <c r="J27" s="1">
        <v>12.107574942999999</v>
      </c>
      <c r="K27" s="1">
        <v>11.713151142999999</v>
      </c>
      <c r="L27" s="1">
        <v>10.341059562</v>
      </c>
      <c r="M27" s="1">
        <v>11.024052039000001</v>
      </c>
      <c r="N27" s="1">
        <v>10.657337064</v>
      </c>
      <c r="O27" s="1">
        <v>10.860380935999999</v>
      </c>
      <c r="P27" s="1">
        <v>11.744647133999999</v>
      </c>
      <c r="Q27" s="1">
        <v>10.690057552000001</v>
      </c>
      <c r="R27" s="1">
        <v>9.8176890270000001</v>
      </c>
      <c r="S27" s="1">
        <v>9.7353331569999995</v>
      </c>
      <c r="T27" s="1">
        <v>10</v>
      </c>
      <c r="U27" s="1">
        <v>9.6064601740000004</v>
      </c>
    </row>
    <row r="28" spans="1:21" hidden="1" outlineLevel="1">
      <c r="A28" s="42" t="s">
        <v>225</v>
      </c>
      <c r="B28" s="41" t="s">
        <v>224</v>
      </c>
      <c r="C28" t="s">
        <v>213</v>
      </c>
      <c r="E28" s="1">
        <v>10.355845500999999</v>
      </c>
      <c r="F28" s="1">
        <v>11.390538658999999</v>
      </c>
      <c r="G28" s="1">
        <v>10.412180439000002</v>
      </c>
      <c r="H28" s="1">
        <v>9.2213145490000006</v>
      </c>
      <c r="I28" s="1">
        <v>9.6312747309999995</v>
      </c>
      <c r="J28" s="1">
        <v>9.8828846009999989</v>
      </c>
      <c r="K28" s="1">
        <v>9.5138378760000002</v>
      </c>
      <c r="L28" s="1">
        <v>8.9870171340000002</v>
      </c>
      <c r="M28" s="1">
        <v>9.4741108499999989</v>
      </c>
      <c r="N28" s="1">
        <v>9.5595880449999999</v>
      </c>
      <c r="O28" s="1">
        <v>9.7137053760000001</v>
      </c>
      <c r="P28" s="1">
        <v>10.287056519</v>
      </c>
      <c r="Q28" s="1">
        <v>10.044501431999999</v>
      </c>
      <c r="R28" s="1">
        <v>9.7924461259999998</v>
      </c>
      <c r="S28" s="1">
        <v>10</v>
      </c>
      <c r="T28" s="1">
        <v>9.7426019480000008</v>
      </c>
      <c r="U28" s="1">
        <v>8.9217570950000002</v>
      </c>
    </row>
    <row r="29" spans="1:21" hidden="1" outlineLevel="1">
      <c r="A29" s="42" t="s">
        <v>226</v>
      </c>
      <c r="B29" s="41" t="s">
        <v>224</v>
      </c>
      <c r="C29" t="s">
        <v>213</v>
      </c>
      <c r="E29" s="1">
        <v>5.6473539800000001</v>
      </c>
      <c r="F29" s="1">
        <v>5.6871700009999993</v>
      </c>
      <c r="G29" s="1">
        <v>4.8</v>
      </c>
      <c r="H29" s="1">
        <v>4.8132951009999996</v>
      </c>
      <c r="I29" s="1">
        <v>4.9728469180000001</v>
      </c>
      <c r="J29" s="1">
        <v>6.1928237279999996</v>
      </c>
      <c r="K29" s="1">
        <v>6.1298410700000003</v>
      </c>
      <c r="L29" s="1">
        <v>6.3477445780000004</v>
      </c>
      <c r="M29" s="1">
        <v>6.2895173620000007</v>
      </c>
      <c r="N29" s="1">
        <v>5.9145912389999999</v>
      </c>
      <c r="O29" s="1">
        <v>5.9792809780000002</v>
      </c>
      <c r="P29" s="1">
        <v>6.1085583120000004</v>
      </c>
      <c r="Q29" s="1">
        <v>5.6</v>
      </c>
      <c r="R29" s="1">
        <v>5.4064826330000004</v>
      </c>
      <c r="S29" s="1">
        <v>5.2544714250000002</v>
      </c>
      <c r="T29" s="1">
        <v>6.2944226609999996</v>
      </c>
      <c r="U29" s="1">
        <v>5.6394829880000001</v>
      </c>
    </row>
    <row r="30" spans="1:21" hidden="1" outlineLevel="1">
      <c r="A30" s="42" t="s">
        <v>227</v>
      </c>
      <c r="B30" s="41" t="s">
        <v>224</v>
      </c>
      <c r="C30" t="s">
        <v>213</v>
      </c>
      <c r="E30" s="1">
        <v>1.6957345799999999</v>
      </c>
      <c r="F30" s="1">
        <v>1.6899812410000001</v>
      </c>
      <c r="G30" s="1">
        <v>1.5274441379999999</v>
      </c>
      <c r="H30" s="1">
        <v>1.44088098</v>
      </c>
      <c r="I30" s="1">
        <v>1.317170986</v>
      </c>
      <c r="J30" s="1">
        <v>1.293342945</v>
      </c>
      <c r="K30" s="1">
        <v>1.2343715310000001</v>
      </c>
      <c r="L30" s="1">
        <v>1.2791024260000001</v>
      </c>
      <c r="M30" s="1">
        <v>1.3188164</v>
      </c>
      <c r="N30" s="1">
        <v>1.3852642900000001</v>
      </c>
      <c r="O30" s="1">
        <v>1.313959595</v>
      </c>
      <c r="P30" s="1">
        <v>1.4238730879999999</v>
      </c>
      <c r="Q30" s="1">
        <v>1.3258778820000001</v>
      </c>
      <c r="R30" s="1">
        <v>1.2794011080000001</v>
      </c>
      <c r="S30" s="1">
        <v>1.2495070370000001</v>
      </c>
      <c r="T30" s="1">
        <v>1</v>
      </c>
      <c r="U30" s="1">
        <v>1.175140667</v>
      </c>
    </row>
    <row r="31" spans="1:21" hidden="1" outlineLevel="1">
      <c r="A31" s="42" t="s">
        <v>228</v>
      </c>
      <c r="B31" s="41" t="s">
        <v>224</v>
      </c>
      <c r="C31" t="s">
        <v>213</v>
      </c>
      <c r="E31" s="1">
        <v>0.56918118200000001</v>
      </c>
      <c r="F31" s="1">
        <v>0.47680124099999999</v>
      </c>
      <c r="G31" s="1">
        <v>0.66969656300000002</v>
      </c>
      <c r="H31" s="1">
        <v>0.70989644799999996</v>
      </c>
      <c r="I31" s="1">
        <v>0.40345642400000004</v>
      </c>
      <c r="J31" s="1">
        <v>0.41198504600000002</v>
      </c>
      <c r="K31" s="1">
        <v>0.36213909599999999</v>
      </c>
      <c r="L31" s="1">
        <v>0.44467339699999997</v>
      </c>
      <c r="M31" s="1">
        <v>0.49692034000000002</v>
      </c>
      <c r="N31" s="1">
        <v>0.49141533000000004</v>
      </c>
      <c r="O31" s="1">
        <v>0.37896918600000001</v>
      </c>
      <c r="P31" s="1">
        <v>0.40081100399999997</v>
      </c>
      <c r="Q31" s="1">
        <v>0.22893626099999997</v>
      </c>
      <c r="R31" s="1">
        <v>0.229557755</v>
      </c>
      <c r="S31" s="1">
        <v>0.17870471500000001</v>
      </c>
      <c r="T31" s="1">
        <v>0.18</v>
      </c>
      <c r="U31" s="1">
        <v>0.147034057</v>
      </c>
    </row>
    <row r="32" spans="1:21" hidden="1" outlineLevel="1">
      <c r="A32" s="42" t="s">
        <v>229</v>
      </c>
      <c r="B32" s="41" t="s">
        <v>224</v>
      </c>
      <c r="C32" t="s">
        <v>213</v>
      </c>
      <c r="E32" s="1">
        <v>2.0085954020000001</v>
      </c>
      <c r="F32" s="1">
        <v>1.79524668</v>
      </c>
      <c r="G32" s="1">
        <v>0.91445818700000003</v>
      </c>
      <c r="H32" s="1">
        <v>1.105290289</v>
      </c>
      <c r="I32" s="1">
        <v>1.1851053249999999</v>
      </c>
      <c r="J32" s="1">
        <v>1.303367419</v>
      </c>
      <c r="K32" s="1">
        <v>1.3780774520000001</v>
      </c>
      <c r="L32" s="1">
        <v>1.3397637230000001</v>
      </c>
      <c r="M32" s="1">
        <v>1.1028810439999999</v>
      </c>
      <c r="N32" s="1">
        <v>1.2076283779999999</v>
      </c>
      <c r="O32" s="1">
        <v>0.975504017</v>
      </c>
      <c r="P32" s="1">
        <v>1.0452295169999999</v>
      </c>
      <c r="Q32" s="1">
        <v>0.80931744499999991</v>
      </c>
      <c r="R32" s="1">
        <v>0.89550440800000009</v>
      </c>
      <c r="S32" s="1">
        <v>0.73878120600000008</v>
      </c>
      <c r="T32" s="1">
        <v>0.6</v>
      </c>
      <c r="U32" s="1">
        <v>0.54969900000000005</v>
      </c>
    </row>
    <row r="33" spans="1:21" hidden="1" outlineLevel="1">
      <c r="A33" s="42" t="s">
        <v>230</v>
      </c>
      <c r="B33" s="41" t="s">
        <v>224</v>
      </c>
      <c r="C33" t="s">
        <v>213</v>
      </c>
      <c r="E33" s="1">
        <v>1.1413691129999999</v>
      </c>
      <c r="F33" s="1">
        <v>1.028542751</v>
      </c>
      <c r="G33" s="1">
        <v>0.92487251000000004</v>
      </c>
      <c r="H33" s="1">
        <v>0.86706092000000001</v>
      </c>
      <c r="I33" s="1">
        <v>0.99410827199999996</v>
      </c>
      <c r="J33" s="1">
        <v>0.88875499099999999</v>
      </c>
      <c r="K33" s="1">
        <v>0.86897586700000007</v>
      </c>
      <c r="L33" s="1">
        <v>0.85000336099999996</v>
      </c>
      <c r="M33" s="1">
        <v>0.87164625900000003</v>
      </c>
      <c r="N33" s="1">
        <v>0.91346054700000001</v>
      </c>
      <c r="O33" s="1">
        <v>0.91736333000000003</v>
      </c>
      <c r="P33" s="1">
        <v>0.94612218699999995</v>
      </c>
      <c r="Q33" s="1">
        <v>0.94155130900000006</v>
      </c>
      <c r="R33" s="1">
        <v>0.93202881500000001</v>
      </c>
      <c r="S33" s="1">
        <v>0.85057722199999997</v>
      </c>
      <c r="T33" s="1">
        <v>0.9</v>
      </c>
      <c r="U33" s="1">
        <v>0.8</v>
      </c>
    </row>
    <row r="34" spans="1:21">
      <c r="A34" t="s">
        <v>215</v>
      </c>
      <c r="B34" t="s">
        <v>60</v>
      </c>
      <c r="C34" t="s">
        <v>213</v>
      </c>
      <c r="E34" s="1">
        <f t="shared" ref="E34:U34" si="8">E26-E35</f>
        <v>35.991753761000005</v>
      </c>
      <c r="F34" s="1">
        <f t="shared" si="8"/>
        <v>39.390656647</v>
      </c>
      <c r="G34" s="1">
        <f t="shared" si="8"/>
        <v>33.351163403999998</v>
      </c>
      <c r="H34" s="1">
        <f t="shared" si="8"/>
        <v>29.562271579999997</v>
      </c>
      <c r="I34" s="1">
        <f t="shared" si="8"/>
        <v>32.741204760000002</v>
      </c>
      <c r="J34" s="1">
        <f t="shared" si="8"/>
        <v>33.954248473</v>
      </c>
      <c r="K34" s="1">
        <f t="shared" si="8"/>
        <v>32.582583634999999</v>
      </c>
      <c r="L34" s="1">
        <f t="shared" si="8"/>
        <v>30.984954081000001</v>
      </c>
      <c r="M34" s="1">
        <f t="shared" si="8"/>
        <v>31.760744394</v>
      </c>
      <c r="N34" s="1">
        <f t="shared" si="8"/>
        <v>31.535456092999997</v>
      </c>
      <c r="O34" s="1">
        <f t="shared" si="8"/>
        <v>31.698830717999996</v>
      </c>
      <c r="P34" s="1">
        <f t="shared" si="8"/>
        <v>33.747228261000004</v>
      </c>
      <c r="Q34" s="1">
        <f t="shared" si="8"/>
        <v>31.724481081</v>
      </c>
      <c r="R34" s="1">
        <f t="shared" si="8"/>
        <v>31.190688212999998</v>
      </c>
      <c r="S34" s="1">
        <f t="shared" si="8"/>
        <v>30.387398974999996</v>
      </c>
      <c r="T34" s="1">
        <f t="shared" si="8"/>
        <v>31.336192617999998</v>
      </c>
      <c r="U34" s="1">
        <f t="shared" si="8"/>
        <v>29.107127679000005</v>
      </c>
    </row>
    <row r="35" spans="1:21" collapsed="1">
      <c r="A35" t="s">
        <v>221</v>
      </c>
      <c r="B35" t="s">
        <v>60</v>
      </c>
      <c r="C35" t="s">
        <v>213</v>
      </c>
      <c r="E35" s="1">
        <f t="shared" ref="E35:U35" si="9">E44-E36</f>
        <v>-2.4736789000000003</v>
      </c>
      <c r="F35" s="1">
        <f t="shared" si="9"/>
        <v>-3.1436610999999992</v>
      </c>
      <c r="G35" s="1">
        <f t="shared" si="9"/>
        <v>-2.2335447999999998</v>
      </c>
      <c r="H35" s="1">
        <f t="shared" si="9"/>
        <v>-1.478788</v>
      </c>
      <c r="I35" s="1">
        <f t="shared" si="9"/>
        <v>-2.0805480999999997</v>
      </c>
      <c r="J35" s="1">
        <f t="shared" si="9"/>
        <v>-1.8735147999999997</v>
      </c>
      <c r="K35" s="1">
        <f t="shared" si="9"/>
        <v>-1.3821895999999998</v>
      </c>
      <c r="L35" s="1">
        <f t="shared" si="9"/>
        <v>-1.3955899000000007</v>
      </c>
      <c r="M35" s="1">
        <f t="shared" si="9"/>
        <v>-1.1828000999999997</v>
      </c>
      <c r="N35" s="1">
        <f t="shared" si="9"/>
        <v>-1.4061712</v>
      </c>
      <c r="O35" s="1">
        <f t="shared" si="9"/>
        <v>-1.5596672999999999</v>
      </c>
      <c r="P35" s="1">
        <f t="shared" si="9"/>
        <v>-1.7909305</v>
      </c>
      <c r="Q35" s="1">
        <f t="shared" si="9"/>
        <v>-2.0842392000000003</v>
      </c>
      <c r="R35" s="1">
        <f t="shared" si="9"/>
        <v>-2.8375783410000004</v>
      </c>
      <c r="S35" s="1">
        <f t="shared" si="9"/>
        <v>-2.3800242130000004</v>
      </c>
      <c r="T35" s="1">
        <f t="shared" si="9"/>
        <v>-2.619168009</v>
      </c>
      <c r="U35" s="1">
        <f t="shared" si="9"/>
        <v>-2.2675536979999995</v>
      </c>
    </row>
    <row r="36" spans="1:21" hidden="1" outlineLevel="1">
      <c r="A36" t="s">
        <v>218</v>
      </c>
      <c r="B36" t="s">
        <v>60</v>
      </c>
      <c r="C36" t="s">
        <v>213</v>
      </c>
      <c r="E36" s="1">
        <f>SUM(E37:E43)</f>
        <v>3.6972343000000008</v>
      </c>
      <c r="F36" s="1">
        <f t="shared" ref="F36:U36" si="10">SUM(F37:F43)</f>
        <v>4.4879988999999991</v>
      </c>
      <c r="G36" s="1">
        <f t="shared" si="10"/>
        <v>3.4573381999999997</v>
      </c>
      <c r="H36" s="1">
        <f t="shared" si="10"/>
        <v>2.8117923</v>
      </c>
      <c r="I36" s="1">
        <f t="shared" si="10"/>
        <v>2.9841959</v>
      </c>
      <c r="J36" s="1">
        <f t="shared" si="10"/>
        <v>3.1926907999999998</v>
      </c>
      <c r="K36" s="1">
        <f t="shared" si="10"/>
        <v>2.7053227999999998</v>
      </c>
      <c r="L36" s="1">
        <f t="shared" si="10"/>
        <v>2.7682372000000006</v>
      </c>
      <c r="M36" s="1">
        <f t="shared" si="10"/>
        <v>2.4179874999999997</v>
      </c>
      <c r="N36" s="1">
        <f t="shared" si="10"/>
        <v>2.8506969</v>
      </c>
      <c r="O36" s="1">
        <f t="shared" si="10"/>
        <v>3.2779246999999998</v>
      </c>
      <c r="P36" s="1">
        <f t="shared" si="10"/>
        <v>3.3703715999999999</v>
      </c>
      <c r="Q36" s="1">
        <f t="shared" si="10"/>
        <v>3.5744713000000004</v>
      </c>
      <c r="R36" s="1">
        <f t="shared" si="10"/>
        <v>3.9626233650000007</v>
      </c>
      <c r="S36" s="1">
        <f t="shared" si="10"/>
        <v>3.7436253980000003</v>
      </c>
      <c r="T36" s="1">
        <f t="shared" si="10"/>
        <v>3.6496926969999999</v>
      </c>
      <c r="U36" s="1">
        <f t="shared" si="10"/>
        <v>3.3315651929999994</v>
      </c>
    </row>
    <row r="37" spans="1:21" hidden="1" outlineLevel="2">
      <c r="A37" s="42" t="s">
        <v>223</v>
      </c>
      <c r="B37" s="41" t="s">
        <v>224</v>
      </c>
      <c r="C37" t="s">
        <v>213</v>
      </c>
      <c r="E37" s="1">
        <v>1.5486027000000002</v>
      </c>
      <c r="F37" s="1">
        <v>1.9101667</v>
      </c>
      <c r="G37" s="1">
        <v>1.4475951</v>
      </c>
      <c r="H37" s="1">
        <v>1.2290101</v>
      </c>
      <c r="I37" s="1">
        <v>1.1949306</v>
      </c>
      <c r="J37" s="1">
        <v>1.1784766</v>
      </c>
      <c r="K37" s="1">
        <v>1.0051484000000002</v>
      </c>
      <c r="L37" s="1">
        <v>1.1650942</v>
      </c>
      <c r="M37" s="1">
        <v>0.81404949999999998</v>
      </c>
      <c r="N37" s="1">
        <v>1.1288497</v>
      </c>
      <c r="O37" s="1">
        <v>1.2494755</v>
      </c>
      <c r="P37" s="1">
        <v>1.3261649</v>
      </c>
      <c r="Q37" s="1">
        <v>1.376512</v>
      </c>
      <c r="R37" s="1">
        <v>1.41857959</v>
      </c>
      <c r="S37" s="1">
        <v>1.2961026680000001</v>
      </c>
      <c r="T37" s="1">
        <v>0.87732495799999999</v>
      </c>
      <c r="U37" s="1">
        <v>1.242608237</v>
      </c>
    </row>
    <row r="38" spans="1:21" hidden="1" outlineLevel="2">
      <c r="A38" s="42" t="s">
        <v>225</v>
      </c>
      <c r="B38" s="41" t="s">
        <v>224</v>
      </c>
      <c r="C38" t="s">
        <v>213</v>
      </c>
      <c r="E38" s="1">
        <v>1.0040396</v>
      </c>
      <c r="F38" s="1">
        <v>1.1494441</v>
      </c>
      <c r="G38" s="1">
        <v>0.63382349999999998</v>
      </c>
      <c r="H38" s="1">
        <v>0.55888499999999997</v>
      </c>
      <c r="I38" s="1">
        <v>0.72330499999999998</v>
      </c>
      <c r="J38" s="1">
        <v>0.74943520000000008</v>
      </c>
      <c r="K38" s="1">
        <v>0.61656149999999998</v>
      </c>
      <c r="L38" s="1">
        <v>0.5628204</v>
      </c>
      <c r="M38" s="1">
        <v>0.43509169999999997</v>
      </c>
      <c r="N38" s="1">
        <v>0.51946840000000005</v>
      </c>
      <c r="O38" s="1">
        <v>0.62898350000000003</v>
      </c>
      <c r="P38" s="1">
        <v>0.7030132</v>
      </c>
      <c r="Q38" s="1">
        <v>0.62616000000000005</v>
      </c>
      <c r="R38" s="1">
        <v>0.84556990099999996</v>
      </c>
      <c r="S38" s="1">
        <v>0.69313842300000006</v>
      </c>
      <c r="T38" s="1">
        <v>0.7479215050000001</v>
      </c>
      <c r="U38" s="1">
        <v>0.50772953899999995</v>
      </c>
    </row>
    <row r="39" spans="1:21" hidden="1" outlineLevel="2">
      <c r="A39" s="42" t="s">
        <v>226</v>
      </c>
      <c r="B39" s="41" t="s">
        <v>224</v>
      </c>
      <c r="C39" t="s">
        <v>213</v>
      </c>
      <c r="E39" s="1">
        <v>0.74789649999999996</v>
      </c>
      <c r="F39" s="1">
        <v>0.85060789999999997</v>
      </c>
      <c r="G39" s="1">
        <v>0.9144625999999999</v>
      </c>
      <c r="H39" s="1">
        <v>0.68687219999999993</v>
      </c>
      <c r="I39" s="1">
        <v>0.7713624</v>
      </c>
      <c r="J39" s="1">
        <v>0.90343720000000005</v>
      </c>
      <c r="K39" s="1">
        <v>0.75240770000000001</v>
      </c>
      <c r="L39" s="1">
        <v>0.87088239999999995</v>
      </c>
      <c r="M39" s="1">
        <v>0.94880229999999999</v>
      </c>
      <c r="N39" s="1">
        <v>0.94019699999999995</v>
      </c>
      <c r="O39" s="1">
        <v>1.0769815</v>
      </c>
      <c r="P39" s="1">
        <v>1.0521057999999999</v>
      </c>
      <c r="Q39" s="1">
        <v>1.0495044</v>
      </c>
      <c r="R39" s="1">
        <v>1.03025821</v>
      </c>
      <c r="S39" s="1">
        <v>1.0372321950000001</v>
      </c>
      <c r="T39" s="1">
        <v>1.1247475929999999</v>
      </c>
      <c r="U39" s="1">
        <v>0.72380394499999989</v>
      </c>
    </row>
    <row r="40" spans="1:21" hidden="1" outlineLevel="2">
      <c r="A40" s="42" t="s">
        <v>227</v>
      </c>
      <c r="B40" s="41" t="s">
        <v>224</v>
      </c>
      <c r="C40" t="s">
        <v>213</v>
      </c>
      <c r="E40" s="1">
        <v>5.2916400000000002E-2</v>
      </c>
      <c r="F40" s="1">
        <v>0.14833640000000001</v>
      </c>
      <c r="G40" s="1">
        <v>0.14062260000000001</v>
      </c>
      <c r="H40" s="1">
        <v>7.0911000000000002E-2</v>
      </c>
      <c r="I40" s="1">
        <v>4.7793599999999999E-2</v>
      </c>
      <c r="J40" s="1">
        <v>4.9915300000000003E-2</v>
      </c>
      <c r="K40" s="1">
        <v>4.9163199999999997E-2</v>
      </c>
      <c r="L40" s="1">
        <v>2.4203000000000002E-2</v>
      </c>
      <c r="M40" s="1">
        <v>3.8177099999999999E-2</v>
      </c>
      <c r="N40" s="1">
        <v>2.3864999999999997E-2</v>
      </c>
      <c r="O40" s="1">
        <v>3.6522899999999997E-2</v>
      </c>
      <c r="P40" s="1">
        <v>2.7924999999999998E-2</v>
      </c>
      <c r="Q40" s="1">
        <v>2.8328799999999998E-2</v>
      </c>
      <c r="R40" s="1">
        <v>5.0491827999999996E-2</v>
      </c>
      <c r="S40" s="1">
        <v>2.6964020999999998E-2</v>
      </c>
      <c r="T40" s="1">
        <v>1.4039965999999999E-2</v>
      </c>
      <c r="U40" s="1">
        <v>2.3749281999999997E-2</v>
      </c>
    </row>
    <row r="41" spans="1:21" hidden="1" outlineLevel="2">
      <c r="A41" s="42" t="s">
        <v>228</v>
      </c>
      <c r="B41" s="41" t="s">
        <v>224</v>
      </c>
      <c r="C41" t="s">
        <v>213</v>
      </c>
      <c r="E41" s="1">
        <v>8.61513E-2</v>
      </c>
      <c r="F41" s="1">
        <v>0.1058511</v>
      </c>
      <c r="G41" s="1">
        <v>9.1234599999999999E-2</v>
      </c>
      <c r="H41" s="1">
        <v>6.7267599999999997E-2</v>
      </c>
      <c r="I41" s="1">
        <v>8.9781E-2</v>
      </c>
      <c r="J41" s="1">
        <v>8.5044400000000006E-2</v>
      </c>
      <c r="K41" s="1">
        <v>7.0212200000000002E-2</v>
      </c>
      <c r="L41" s="1">
        <v>5.8431300000000005E-2</v>
      </c>
      <c r="M41" s="1">
        <v>6.4507000000000009E-2</v>
      </c>
      <c r="N41" s="1">
        <v>8.5504300000000005E-2</v>
      </c>
      <c r="O41" s="1">
        <v>0.11666349999999999</v>
      </c>
      <c r="P41" s="1">
        <v>8.5138900000000003E-2</v>
      </c>
      <c r="Q41" s="1">
        <v>0.11000989999999999</v>
      </c>
      <c r="R41" s="1">
        <v>0.11357238900000001</v>
      </c>
      <c r="S41" s="1">
        <v>0.14139792699999998</v>
      </c>
      <c r="T41" s="1">
        <v>0.154977533</v>
      </c>
      <c r="U41" s="1">
        <v>0.17563637900000001</v>
      </c>
    </row>
    <row r="42" spans="1:21" hidden="1" outlineLevel="2">
      <c r="A42" s="42" t="s">
        <v>229</v>
      </c>
      <c r="B42" s="41" t="s">
        <v>224</v>
      </c>
      <c r="C42" t="s">
        <v>213</v>
      </c>
      <c r="E42" s="1">
        <v>0.170929</v>
      </c>
      <c r="F42" s="1">
        <v>0.22732869999999999</v>
      </c>
      <c r="G42" s="1">
        <v>0.1781055</v>
      </c>
      <c r="H42" s="1">
        <v>0.1077158</v>
      </c>
      <c r="I42" s="1">
        <v>8.967180000000001E-2</v>
      </c>
      <c r="J42" s="1">
        <v>0.13585159999999999</v>
      </c>
      <c r="K42" s="1">
        <v>0.17811730000000001</v>
      </c>
      <c r="L42" s="1">
        <v>8.4057499999999993E-2</v>
      </c>
      <c r="M42" s="1">
        <v>6.5806500000000004E-2</v>
      </c>
      <c r="N42" s="1">
        <v>0.11995570000000001</v>
      </c>
      <c r="O42" s="1">
        <v>0.13478419999999999</v>
      </c>
      <c r="P42" s="1">
        <v>0.1287653</v>
      </c>
      <c r="Q42" s="1">
        <v>0.3021161</v>
      </c>
      <c r="R42" s="1">
        <v>0.46647631699999997</v>
      </c>
      <c r="S42" s="1">
        <v>0.521570541</v>
      </c>
      <c r="T42" s="1">
        <v>0.71478313999999998</v>
      </c>
      <c r="U42" s="1">
        <v>0.63661447299999996</v>
      </c>
    </row>
    <row r="43" spans="1:21" hidden="1" outlineLevel="2">
      <c r="A43" s="42" t="s">
        <v>230</v>
      </c>
      <c r="B43" s="41" t="s">
        <v>224</v>
      </c>
      <c r="C43" t="s">
        <v>213</v>
      </c>
      <c r="E43" s="1">
        <v>8.6698799999999993E-2</v>
      </c>
      <c r="F43" s="1">
        <v>9.6264000000000002E-2</v>
      </c>
      <c r="G43" s="1">
        <v>5.14943E-2</v>
      </c>
      <c r="H43" s="1">
        <v>9.1130600000000006E-2</v>
      </c>
      <c r="I43" s="1">
        <v>6.7351499999999995E-2</v>
      </c>
      <c r="J43" s="1">
        <v>9.0530500000000014E-2</v>
      </c>
      <c r="K43" s="1">
        <v>3.3712499999999999E-2</v>
      </c>
      <c r="L43" s="1">
        <v>2.7483999999999998E-3</v>
      </c>
      <c r="M43" s="1">
        <v>5.1553399999999999E-2</v>
      </c>
      <c r="N43" s="1">
        <v>3.2856799999999999E-2</v>
      </c>
      <c r="O43" s="1">
        <v>3.4513600000000005E-2</v>
      </c>
      <c r="P43" s="1">
        <v>4.7258500000000002E-2</v>
      </c>
      <c r="Q43" s="1">
        <v>8.1840100000000013E-2</v>
      </c>
      <c r="R43" s="1">
        <v>3.7675130000000001E-2</v>
      </c>
      <c r="S43" s="1">
        <v>2.7219622999999998E-2</v>
      </c>
      <c r="T43" s="1">
        <v>1.5898002000000001E-2</v>
      </c>
      <c r="U43" s="1">
        <v>2.1423338E-2</v>
      </c>
    </row>
    <row r="44" spans="1:21" hidden="1" outlineLevel="1">
      <c r="A44" t="s">
        <v>220</v>
      </c>
      <c r="B44" t="s">
        <v>60</v>
      </c>
      <c r="C44" t="s">
        <v>213</v>
      </c>
      <c r="E44" s="1">
        <f>SUM(E45:E51)</f>
        <v>1.2235554000000002</v>
      </c>
      <c r="F44" s="1">
        <f t="shared" ref="F44" si="11">SUM(F45:F51)</f>
        <v>1.3443378000000001</v>
      </c>
      <c r="G44" s="1">
        <f t="shared" ref="G44" si="12">SUM(G45:G51)</f>
        <v>1.2237934000000001</v>
      </c>
      <c r="H44" s="1">
        <f t="shared" ref="H44" si="13">SUM(H45:H51)</f>
        <v>1.3330043</v>
      </c>
      <c r="I44" s="1">
        <f t="shared" ref="I44" si="14">SUM(I45:I51)</f>
        <v>0.90364780000000011</v>
      </c>
      <c r="J44" s="1">
        <f t="shared" ref="J44" si="15">SUM(J45:J51)</f>
        <v>1.3191760000000001</v>
      </c>
      <c r="K44" s="1">
        <f t="shared" ref="K44" si="16">SUM(K45:K51)</f>
        <v>1.3231332</v>
      </c>
      <c r="L44" s="1">
        <f t="shared" ref="L44" si="17">SUM(L45:L51)</f>
        <v>1.3726472999999999</v>
      </c>
      <c r="M44" s="1">
        <f t="shared" ref="M44" si="18">SUM(M45:M51)</f>
        <v>1.2351874</v>
      </c>
      <c r="N44" s="1">
        <f t="shared" ref="N44" si="19">SUM(N45:N51)</f>
        <v>1.4445257</v>
      </c>
      <c r="O44" s="1">
        <f t="shared" ref="O44" si="20">SUM(O45:O51)</f>
        <v>1.7182573999999999</v>
      </c>
      <c r="P44" s="1">
        <f t="shared" ref="P44" si="21">SUM(P45:P51)</f>
        <v>1.5794410999999999</v>
      </c>
      <c r="Q44" s="1">
        <f t="shared" ref="Q44" si="22">SUM(Q45:Q51)</f>
        <v>1.4902321000000001</v>
      </c>
      <c r="R44" s="1">
        <f t="shared" ref="R44" si="23">SUM(R45:R51)</f>
        <v>1.1250450240000001</v>
      </c>
      <c r="S44" s="1">
        <f t="shared" ref="S44" si="24">SUM(S45:S51)</f>
        <v>1.363601185</v>
      </c>
      <c r="T44" s="1">
        <f t="shared" ref="T44" si="25">SUM(T45:T51)</f>
        <v>1.0305246879999999</v>
      </c>
      <c r="U44" s="1">
        <f t="shared" ref="U44" si="26">SUM(U45:U51)</f>
        <v>1.0640114950000001</v>
      </c>
    </row>
    <row r="45" spans="1:21" hidden="1" outlineLevel="2">
      <c r="A45" s="42" t="s">
        <v>223</v>
      </c>
      <c r="B45" s="41" t="s">
        <v>224</v>
      </c>
      <c r="C45" t="s">
        <v>213</v>
      </c>
      <c r="E45" s="1">
        <v>5.9673299999999999E-2</v>
      </c>
      <c r="F45" s="1">
        <v>7.1420999999999998E-2</v>
      </c>
      <c r="G45" s="1">
        <v>2.5129800000000001E-2</v>
      </c>
      <c r="H45" s="1">
        <v>2.9214199999999999E-2</v>
      </c>
      <c r="I45" s="1">
        <v>8.6211499999999996E-2</v>
      </c>
      <c r="J45" s="1">
        <v>0.1329833</v>
      </c>
      <c r="K45" s="1">
        <v>0.33551830000000005</v>
      </c>
      <c r="L45" s="1">
        <v>0.20929469999999997</v>
      </c>
      <c r="M45" s="1">
        <v>0.24825839999999999</v>
      </c>
      <c r="N45" s="1">
        <v>0.17854890000000001</v>
      </c>
      <c r="O45" s="1">
        <v>0.51236629999999994</v>
      </c>
      <c r="P45" s="1">
        <v>0.38922570000000001</v>
      </c>
      <c r="Q45" s="1">
        <v>0.6027401</v>
      </c>
      <c r="R45" s="1">
        <v>0.28075873800000001</v>
      </c>
      <c r="S45" s="1">
        <v>0.41958018899999999</v>
      </c>
      <c r="T45" s="1">
        <v>0.20819404899999999</v>
      </c>
      <c r="U45" s="1">
        <v>0.13014699800000001</v>
      </c>
    </row>
    <row r="46" spans="1:21" hidden="1" outlineLevel="2">
      <c r="A46" s="42" t="s">
        <v>225</v>
      </c>
      <c r="B46" s="41" t="s">
        <v>224</v>
      </c>
      <c r="C46" t="s">
        <v>213</v>
      </c>
      <c r="E46" s="1">
        <v>0.14810019999999999</v>
      </c>
      <c r="F46" s="1">
        <v>0.22508910000000001</v>
      </c>
      <c r="G46" s="1">
        <v>0.23008629999999999</v>
      </c>
      <c r="H46" s="1">
        <v>0.1477694</v>
      </c>
      <c r="I46" s="1">
        <v>0.16442860000000001</v>
      </c>
      <c r="J46" s="1">
        <v>0.1924882</v>
      </c>
      <c r="K46" s="1">
        <v>6.8622299999999997E-2</v>
      </c>
      <c r="L46" s="1">
        <v>9.6684199999999998E-2</v>
      </c>
      <c r="M46" s="1">
        <v>0.11865769999999999</v>
      </c>
      <c r="N46" s="1">
        <v>0.1068684</v>
      </c>
      <c r="O46" s="1">
        <v>0.15373889999999998</v>
      </c>
      <c r="P46" s="1">
        <v>0.14639279999999999</v>
      </c>
      <c r="Q46" s="1">
        <v>0.11674</v>
      </c>
      <c r="R46" s="1">
        <v>0.124453445</v>
      </c>
      <c r="S46" s="1">
        <v>9.3275188999999994E-2</v>
      </c>
      <c r="T46" s="1">
        <v>0.11955574399999999</v>
      </c>
      <c r="U46" s="1">
        <v>0.19959427300000002</v>
      </c>
    </row>
    <row r="47" spans="1:21" hidden="1" outlineLevel="2">
      <c r="A47" s="42" t="s">
        <v>226</v>
      </c>
      <c r="B47" s="41" t="s">
        <v>224</v>
      </c>
      <c r="C47" t="s">
        <v>213</v>
      </c>
      <c r="E47" s="1">
        <v>0.21396770000000001</v>
      </c>
      <c r="F47" s="1">
        <v>0.18765180000000001</v>
      </c>
      <c r="G47" s="1">
        <v>0.17212890000000003</v>
      </c>
      <c r="H47" s="1">
        <v>0.3375127</v>
      </c>
      <c r="I47" s="1">
        <v>0.16010100000000002</v>
      </c>
      <c r="J47" s="1">
        <v>0.29314319999999999</v>
      </c>
      <c r="K47" s="1">
        <v>0.293101</v>
      </c>
      <c r="L47" s="1">
        <v>0.40849800000000003</v>
      </c>
      <c r="M47" s="1">
        <v>0.373892</v>
      </c>
      <c r="N47" s="1">
        <v>0.3270322</v>
      </c>
      <c r="O47" s="1">
        <v>0.24900829999999999</v>
      </c>
      <c r="P47" s="1">
        <v>0.24601949999999997</v>
      </c>
      <c r="Q47" s="1">
        <v>0.20177630000000002</v>
      </c>
      <c r="R47" s="1">
        <v>0.113144308</v>
      </c>
      <c r="S47" s="1">
        <v>0.27447724099999998</v>
      </c>
      <c r="T47" s="1">
        <v>0.13632388000000001</v>
      </c>
      <c r="U47" s="1">
        <v>0.314821874</v>
      </c>
    </row>
    <row r="48" spans="1:21" hidden="1" outlineLevel="2">
      <c r="A48" s="42" t="s">
        <v>227</v>
      </c>
      <c r="B48" s="41" t="s">
        <v>224</v>
      </c>
      <c r="C48" t="s">
        <v>213</v>
      </c>
      <c r="E48" s="1">
        <v>0.52295449999999999</v>
      </c>
      <c r="F48" s="1">
        <v>0.55057650000000002</v>
      </c>
      <c r="G48" s="1">
        <v>0.47317360000000003</v>
      </c>
      <c r="H48" s="1">
        <v>0.43127080000000001</v>
      </c>
      <c r="I48" s="1">
        <v>0.2171217</v>
      </c>
      <c r="J48" s="1">
        <v>0.188919</v>
      </c>
      <c r="K48" s="1">
        <v>0.18157319999999999</v>
      </c>
      <c r="L48" s="1">
        <v>0.23718319999999998</v>
      </c>
      <c r="M48" s="1">
        <v>0.2100185</v>
      </c>
      <c r="N48" s="1">
        <v>0.2309543</v>
      </c>
      <c r="O48" s="1">
        <v>0.27049600000000001</v>
      </c>
      <c r="P48" s="1">
        <v>0.28719359999999999</v>
      </c>
      <c r="Q48" s="1">
        <v>0.2898095</v>
      </c>
      <c r="R48" s="1">
        <v>0.21093157099999998</v>
      </c>
      <c r="S48" s="1">
        <v>0.34497419200000001</v>
      </c>
      <c r="T48" s="1">
        <v>0.32253202399999997</v>
      </c>
      <c r="U48" s="1">
        <v>0.24509784100000001</v>
      </c>
    </row>
    <row r="49" spans="1:22" hidden="1" outlineLevel="2">
      <c r="A49" s="42" t="s">
        <v>228</v>
      </c>
      <c r="B49" s="41" t="s">
        <v>224</v>
      </c>
      <c r="C49" t="s">
        <v>213</v>
      </c>
      <c r="E49" s="1">
        <v>2.07479E-2</v>
      </c>
      <c r="F49" s="1">
        <v>1.8586999999999999E-2</v>
      </c>
      <c r="G49" s="1">
        <v>2.8655499999999997E-2</v>
      </c>
      <c r="H49" s="1">
        <v>7.6791600000000002E-2</v>
      </c>
      <c r="I49" s="1">
        <v>3.3699899999999998E-2</v>
      </c>
      <c r="J49" s="1">
        <v>7.0430699999999999E-2</v>
      </c>
      <c r="K49" s="1">
        <v>4.8070399999999999E-2</v>
      </c>
      <c r="L49" s="1">
        <v>5.8051899999999997E-2</v>
      </c>
      <c r="M49" s="1">
        <v>2.5194499999999998E-2</v>
      </c>
      <c r="N49" s="1">
        <v>4.5423999999999999E-2</v>
      </c>
      <c r="O49" s="1">
        <v>2.66331E-2</v>
      </c>
      <c r="P49" s="1">
        <v>1.37751E-2</v>
      </c>
      <c r="Q49" s="1">
        <v>1.7326600000000001E-2</v>
      </c>
      <c r="R49" s="1">
        <v>2.3182839999999996E-2</v>
      </c>
      <c r="S49" s="1">
        <v>2.6501882000000001E-2</v>
      </c>
      <c r="T49" s="1">
        <v>2.3381115000000001E-2</v>
      </c>
      <c r="U49" s="1">
        <v>1.7890036000000002E-2</v>
      </c>
    </row>
    <row r="50" spans="1:22" hidden="1" outlineLevel="2">
      <c r="A50" s="42" t="s">
        <v>229</v>
      </c>
      <c r="B50" s="41" t="s">
        <v>224</v>
      </c>
      <c r="C50" t="s">
        <v>213</v>
      </c>
      <c r="E50" s="1">
        <v>0.14536189999999999</v>
      </c>
      <c r="F50" s="1">
        <v>0.18146689999999999</v>
      </c>
      <c r="G50" s="1">
        <v>0.2330825</v>
      </c>
      <c r="H50" s="1">
        <v>0.2650846</v>
      </c>
      <c r="I50" s="1">
        <v>0.20303660000000001</v>
      </c>
      <c r="J50" s="1">
        <v>0.38112520000000005</v>
      </c>
      <c r="K50" s="1">
        <v>0.3207779</v>
      </c>
      <c r="L50" s="1">
        <v>0.23022780000000001</v>
      </c>
      <c r="M50" s="1">
        <v>0.18472380000000002</v>
      </c>
      <c r="N50" s="1">
        <v>0.45514840000000001</v>
      </c>
      <c r="O50" s="1">
        <v>0.43391260000000004</v>
      </c>
      <c r="P50" s="1">
        <v>0.46480469999999996</v>
      </c>
      <c r="Q50" s="1">
        <v>0.25139890000000004</v>
      </c>
      <c r="R50" s="1">
        <v>0.36928942999999997</v>
      </c>
      <c r="S50" s="1">
        <v>0.202727712</v>
      </c>
      <c r="T50" s="1">
        <v>0.21637197799999999</v>
      </c>
      <c r="U50" s="1">
        <v>0.15465156299999999</v>
      </c>
    </row>
    <row r="51" spans="1:22" hidden="1" outlineLevel="2">
      <c r="A51" s="42" t="s">
        <v>230</v>
      </c>
      <c r="B51" s="41" t="s">
        <v>224</v>
      </c>
      <c r="C51" t="s">
        <v>213</v>
      </c>
      <c r="E51" s="1">
        <v>0.11274990000000001</v>
      </c>
      <c r="F51" s="1">
        <v>0.10954549999999999</v>
      </c>
      <c r="G51" s="1">
        <v>6.1536799999999996E-2</v>
      </c>
      <c r="H51" s="1">
        <v>4.5361000000000005E-2</v>
      </c>
      <c r="I51" s="1">
        <v>3.90485E-2</v>
      </c>
      <c r="J51" s="1">
        <v>6.0086399999999998E-2</v>
      </c>
      <c r="K51" s="1">
        <v>7.5470099999999998E-2</v>
      </c>
      <c r="L51" s="1">
        <v>0.13270750000000001</v>
      </c>
      <c r="M51" s="1">
        <v>7.4442500000000009E-2</v>
      </c>
      <c r="N51" s="1">
        <v>0.1005495</v>
      </c>
      <c r="O51" s="1">
        <v>7.2102199999999991E-2</v>
      </c>
      <c r="P51" s="1">
        <v>3.2029700000000001E-2</v>
      </c>
      <c r="Q51" s="1">
        <v>1.0440700000000001E-2</v>
      </c>
      <c r="R51" s="1">
        <v>3.2846920000000001E-3</v>
      </c>
      <c r="S51" s="1">
        <v>2.06478E-3</v>
      </c>
      <c r="T51" s="1">
        <v>4.1658980000000003E-3</v>
      </c>
      <c r="U51" s="1">
        <v>1.8089099999999999E-3</v>
      </c>
    </row>
    <row r="54" spans="1:22">
      <c r="A54" t="s">
        <v>61</v>
      </c>
      <c r="D54" s="40">
        <f>AVERAGE(T34-S34,S34-R34,R34-Q34,Q34-P34)</f>
        <v>-0.60275891075000132</v>
      </c>
      <c r="E54" s="1"/>
      <c r="F54" s="1"/>
      <c r="G54" s="1"/>
      <c r="H54" s="1"/>
      <c r="I54" s="1"/>
      <c r="J54" s="1"/>
      <c r="K54" s="1"/>
      <c r="L54" s="1"/>
      <c r="M54" s="1"/>
      <c r="N54" s="1"/>
      <c r="O54" s="1"/>
      <c r="P54" s="1"/>
      <c r="Q54" s="1"/>
      <c r="R54" s="1"/>
      <c r="S54" s="1"/>
      <c r="T54" s="1"/>
      <c r="U54" s="1"/>
      <c r="V54" s="1"/>
    </row>
    <row r="55" spans="1:22">
      <c r="F55" s="2"/>
      <c r="G55" s="2"/>
      <c r="H55" s="2"/>
      <c r="I55" s="2"/>
      <c r="J55" s="2"/>
      <c r="K55" s="2"/>
      <c r="L55" s="2"/>
      <c r="M55" s="2"/>
      <c r="N55" s="2"/>
      <c r="O55" s="2"/>
      <c r="P55" s="2"/>
      <c r="Q55" s="2"/>
      <c r="R55" s="2"/>
      <c r="S55" s="2"/>
      <c r="T55" s="2"/>
      <c r="U55" s="2"/>
    </row>
    <row r="58" spans="1:22">
      <c r="A58" s="34" t="s">
        <v>231</v>
      </c>
    </row>
    <row r="59" spans="1:22">
      <c r="A59" s="138"/>
      <c r="B59" s="138"/>
      <c r="C59" s="138"/>
      <c r="D59" s="138"/>
      <c r="E59" s="138"/>
      <c r="F59" s="138"/>
      <c r="G59" s="138"/>
      <c r="H59" s="138"/>
      <c r="I59" s="138"/>
      <c r="J59" s="138"/>
      <c r="K59" s="138"/>
      <c r="L59" s="138"/>
      <c r="M59" s="138"/>
      <c r="N59" s="138"/>
      <c r="O59" s="138"/>
      <c r="P59" s="138"/>
      <c r="Q59" s="138"/>
      <c r="R59" s="138"/>
      <c r="S59" s="138"/>
      <c r="T59" s="138"/>
    </row>
    <row r="60" spans="1:22">
      <c r="A60" s="138"/>
      <c r="B60" s="138"/>
      <c r="C60" s="138"/>
      <c r="D60" s="138"/>
      <c r="E60" s="138"/>
      <c r="F60" s="138"/>
      <c r="G60" s="138"/>
      <c r="H60" s="138"/>
      <c r="I60" s="138"/>
      <c r="J60" s="138"/>
      <c r="K60" s="138"/>
      <c r="L60" s="138"/>
      <c r="M60" s="138"/>
      <c r="N60" s="138"/>
      <c r="O60" s="138"/>
      <c r="P60" s="138"/>
      <c r="Q60" s="138"/>
      <c r="R60" s="138"/>
      <c r="S60" s="138"/>
      <c r="T60" s="138"/>
    </row>
    <row r="61" spans="1:22">
      <c r="A61" s="138"/>
      <c r="B61" s="138"/>
      <c r="C61" s="138"/>
      <c r="D61" s="138"/>
      <c r="E61" s="138"/>
      <c r="F61" s="138"/>
      <c r="G61" s="138"/>
      <c r="H61" s="138"/>
      <c r="I61" s="138"/>
      <c r="J61" s="138"/>
      <c r="K61" s="138"/>
      <c r="L61" s="138"/>
      <c r="M61" s="138"/>
      <c r="N61" s="138"/>
      <c r="O61" s="138"/>
      <c r="P61" s="138"/>
      <c r="Q61" s="138"/>
      <c r="R61" s="138"/>
      <c r="S61" s="138"/>
      <c r="T61" s="138"/>
    </row>
    <row r="62" spans="1:22">
      <c r="A62" s="138"/>
      <c r="B62" s="138"/>
      <c r="C62" s="138"/>
      <c r="D62" s="138"/>
      <c r="E62" s="138"/>
      <c r="F62" s="138"/>
      <c r="G62" s="138"/>
      <c r="H62" s="138"/>
      <c r="I62" s="138"/>
      <c r="J62" s="138"/>
      <c r="K62" s="138"/>
      <c r="L62" s="138"/>
      <c r="M62" s="138"/>
      <c r="N62" s="138"/>
      <c r="O62" s="138"/>
      <c r="P62" s="138"/>
      <c r="Q62" s="138"/>
      <c r="R62" s="138"/>
      <c r="S62" s="138"/>
      <c r="T62" s="138"/>
    </row>
    <row r="63" spans="1:22">
      <c r="A63" s="138"/>
      <c r="B63" s="138"/>
      <c r="C63" s="138"/>
      <c r="D63" s="138"/>
      <c r="E63" s="138"/>
      <c r="F63" s="138"/>
      <c r="G63" s="138"/>
      <c r="H63" s="138"/>
      <c r="I63" s="138"/>
      <c r="J63" s="138"/>
      <c r="K63" s="138"/>
      <c r="L63" s="138"/>
      <c r="M63" s="138"/>
      <c r="N63" s="138"/>
      <c r="O63" s="138"/>
      <c r="P63" s="138"/>
      <c r="Q63" s="138"/>
      <c r="R63" s="138"/>
      <c r="S63" s="138"/>
      <c r="T63" s="138"/>
    </row>
    <row r="64" spans="1:22">
      <c r="A64" s="138"/>
      <c r="B64" s="138"/>
      <c r="C64" s="138"/>
      <c r="D64" s="138"/>
      <c r="E64" s="138"/>
      <c r="F64" s="138"/>
      <c r="G64" s="138"/>
      <c r="H64" s="138"/>
      <c r="I64" s="138"/>
      <c r="J64" s="138"/>
      <c r="K64" s="138"/>
      <c r="L64" s="138"/>
      <c r="M64" s="138"/>
      <c r="N64" s="138"/>
      <c r="O64" s="138"/>
      <c r="P64" s="138"/>
      <c r="Q64" s="138"/>
      <c r="R64" s="138"/>
      <c r="S64" s="138"/>
      <c r="T64" s="138"/>
    </row>
    <row r="65" spans="1:20">
      <c r="A65" s="138"/>
      <c r="B65" s="138"/>
      <c r="C65" s="138"/>
      <c r="D65" s="138"/>
      <c r="E65" s="138"/>
      <c r="F65" s="138"/>
      <c r="G65" s="138"/>
      <c r="H65" s="138"/>
      <c r="I65" s="138"/>
      <c r="J65" s="138"/>
      <c r="K65" s="138"/>
      <c r="L65" s="138"/>
      <c r="M65" s="138"/>
      <c r="N65" s="138"/>
      <c r="O65" s="138"/>
      <c r="P65" s="138"/>
      <c r="Q65" s="138"/>
      <c r="R65" s="138"/>
      <c r="S65" s="138"/>
      <c r="T65" s="138"/>
    </row>
    <row r="66" spans="1:20">
      <c r="A66" s="138"/>
      <c r="B66" s="138"/>
      <c r="C66" s="138"/>
      <c r="D66" s="138"/>
      <c r="E66" s="138"/>
      <c r="F66" s="138"/>
      <c r="G66" s="138"/>
      <c r="H66" s="138"/>
      <c r="I66" s="138"/>
      <c r="J66" s="138"/>
      <c r="K66" s="138"/>
      <c r="L66" s="138"/>
      <c r="M66" s="138"/>
      <c r="N66" s="138"/>
      <c r="O66" s="138"/>
      <c r="P66" s="138"/>
      <c r="Q66" s="138"/>
      <c r="R66" s="138"/>
      <c r="S66" s="138"/>
      <c r="T66" s="138"/>
    </row>
    <row r="67" spans="1:20">
      <c r="A67" s="138"/>
      <c r="B67" s="138"/>
      <c r="C67" s="138"/>
      <c r="D67" s="138"/>
      <c r="E67" s="138"/>
      <c r="F67" s="138"/>
      <c r="G67" s="138"/>
      <c r="H67" s="138"/>
      <c r="I67" s="138"/>
      <c r="J67" s="138"/>
      <c r="K67" s="138"/>
      <c r="L67" s="138"/>
      <c r="M67" s="138"/>
      <c r="N67" s="138"/>
      <c r="O67" s="138"/>
      <c r="P67" s="138"/>
      <c r="Q67" s="138"/>
      <c r="R67" s="138"/>
      <c r="S67" s="138"/>
      <c r="T67" s="138"/>
    </row>
    <row r="68" spans="1:20">
      <c r="A68" s="138"/>
      <c r="B68" s="138"/>
      <c r="C68" s="138"/>
      <c r="D68" s="138"/>
      <c r="E68" s="138"/>
      <c r="F68" s="138"/>
      <c r="G68" s="138"/>
      <c r="H68" s="138"/>
      <c r="I68" s="138"/>
      <c r="J68" s="138"/>
      <c r="K68" s="138"/>
      <c r="L68" s="138"/>
      <c r="M68" s="138"/>
      <c r="N68" s="138"/>
      <c r="O68" s="138"/>
      <c r="P68" s="138"/>
      <c r="Q68" s="138"/>
      <c r="R68" s="138"/>
      <c r="S68" s="138"/>
      <c r="T68" s="138"/>
    </row>
    <row r="69" spans="1:20" ht="13.5" customHeight="1">
      <c r="A69" s="138"/>
      <c r="B69" s="138"/>
      <c r="C69" s="138"/>
      <c r="D69" s="138"/>
      <c r="E69" s="138"/>
      <c r="F69" s="138"/>
      <c r="G69" s="138"/>
      <c r="H69" s="138"/>
      <c r="I69" s="138"/>
      <c r="J69" s="138"/>
      <c r="K69" s="138"/>
      <c r="L69" s="138"/>
      <c r="M69" s="138"/>
      <c r="N69" s="138"/>
      <c r="O69" s="138"/>
      <c r="P69" s="138"/>
      <c r="Q69" s="138"/>
      <c r="R69" s="138"/>
      <c r="S69" s="138"/>
      <c r="T69" s="138"/>
    </row>
    <row r="70" spans="1:20">
      <c r="A70" s="138"/>
      <c r="B70" s="138"/>
      <c r="C70" s="138"/>
      <c r="D70" s="138"/>
      <c r="E70" s="138"/>
      <c r="F70" s="138"/>
      <c r="G70" s="138"/>
      <c r="H70" s="138"/>
      <c r="I70" s="138"/>
      <c r="J70" s="138"/>
      <c r="K70" s="138"/>
      <c r="L70" s="138"/>
      <c r="M70" s="138"/>
      <c r="N70" s="138"/>
      <c r="O70" s="138"/>
      <c r="P70" s="138"/>
      <c r="Q70" s="138"/>
      <c r="R70" s="138"/>
      <c r="S70" s="138"/>
      <c r="T70" s="138"/>
    </row>
    <row r="71" spans="1:20">
      <c r="A71" s="138"/>
      <c r="B71" s="138"/>
      <c r="C71" s="138"/>
      <c r="D71" s="138"/>
      <c r="E71" s="138"/>
      <c r="F71" s="138"/>
      <c r="G71" s="138"/>
      <c r="H71" s="138"/>
      <c r="I71" s="138"/>
      <c r="J71" s="138"/>
      <c r="K71" s="138"/>
      <c r="L71" s="138"/>
      <c r="M71" s="138"/>
      <c r="N71" s="138"/>
      <c r="O71" s="138"/>
      <c r="P71" s="138"/>
      <c r="Q71" s="138"/>
      <c r="R71" s="138"/>
      <c r="S71" s="138"/>
      <c r="T71" s="138"/>
    </row>
    <row r="72" spans="1:20">
      <c r="A72" s="138"/>
      <c r="B72" s="138"/>
      <c r="C72" s="138"/>
      <c r="D72" s="138"/>
      <c r="E72" s="138"/>
      <c r="F72" s="138"/>
      <c r="G72" s="138"/>
      <c r="H72" s="138"/>
      <c r="I72" s="138"/>
      <c r="J72" s="138"/>
      <c r="K72" s="138"/>
      <c r="L72" s="138"/>
      <c r="M72" s="138"/>
      <c r="N72" s="138"/>
      <c r="O72" s="138"/>
      <c r="P72" s="138"/>
      <c r="Q72" s="138"/>
      <c r="R72" s="138"/>
      <c r="S72" s="138"/>
      <c r="T72" s="138"/>
    </row>
    <row r="73" spans="1:20">
      <c r="A73" s="138"/>
      <c r="B73" s="138"/>
      <c r="C73" s="138"/>
      <c r="D73" s="138"/>
      <c r="E73" s="138"/>
      <c r="F73" s="138"/>
      <c r="G73" s="138"/>
      <c r="H73" s="138"/>
      <c r="I73" s="138"/>
      <c r="J73" s="138"/>
      <c r="K73" s="138"/>
      <c r="L73" s="138"/>
      <c r="M73" s="138"/>
      <c r="N73" s="138"/>
      <c r="O73" s="138"/>
      <c r="P73" s="138"/>
      <c r="Q73" s="138"/>
      <c r="R73" s="138"/>
      <c r="S73" s="138"/>
      <c r="T73" s="138"/>
    </row>
    <row r="74" spans="1:20">
      <c r="A74" s="138"/>
      <c r="B74" s="138"/>
      <c r="C74" s="138"/>
      <c r="D74" s="138"/>
      <c r="E74" s="138"/>
      <c r="F74" s="138"/>
      <c r="G74" s="138"/>
      <c r="H74" s="138"/>
      <c r="I74" s="138"/>
      <c r="J74" s="138"/>
      <c r="K74" s="138"/>
      <c r="L74" s="138"/>
      <c r="M74" s="138"/>
      <c r="N74" s="138"/>
      <c r="O74" s="138"/>
      <c r="P74" s="138"/>
      <c r="Q74" s="138"/>
      <c r="R74" s="138"/>
      <c r="S74" s="138"/>
      <c r="T74" s="138"/>
    </row>
    <row r="75" spans="1:20">
      <c r="A75" s="138"/>
      <c r="B75" s="138"/>
      <c r="C75" s="138"/>
      <c r="D75" s="138"/>
      <c r="E75" s="138"/>
      <c r="F75" s="138"/>
      <c r="G75" s="138"/>
      <c r="H75" s="138"/>
      <c r="I75" s="138"/>
      <c r="J75" s="138"/>
      <c r="K75" s="138"/>
      <c r="L75" s="138"/>
      <c r="M75" s="138"/>
      <c r="N75" s="138"/>
      <c r="O75" s="138"/>
      <c r="P75" s="138"/>
      <c r="Q75" s="138"/>
      <c r="R75" s="138"/>
      <c r="S75" s="138"/>
      <c r="T75" s="138"/>
    </row>
    <row r="76" spans="1:20">
      <c r="A76" s="138"/>
      <c r="B76" s="138"/>
      <c r="C76" s="138"/>
      <c r="D76" s="138"/>
      <c r="E76" s="138"/>
      <c r="F76" s="138"/>
      <c r="G76" s="138"/>
      <c r="H76" s="138"/>
      <c r="I76" s="138"/>
      <c r="J76" s="138"/>
      <c r="K76" s="138"/>
      <c r="L76" s="138"/>
      <c r="M76" s="138"/>
      <c r="N76" s="138"/>
      <c r="O76" s="138"/>
      <c r="P76" s="138"/>
      <c r="Q76" s="138"/>
      <c r="R76" s="138"/>
      <c r="S76" s="138"/>
      <c r="T76" s="138"/>
    </row>
  </sheetData>
  <hyperlinks>
    <hyperlink ref="B27:B33" r:id="rId1" display="Eurostat sold production, exports and imports (code DS-056120)" xr:uid="{D5469C6B-07A6-43FE-8F5D-2E2A65D41807}"/>
    <hyperlink ref="B37:B43" r:id="rId2" display="Eurostat sold production, exports and imports (code DS-056120)" xr:uid="{1D84FBDA-68D4-4A98-B834-920D7FAF68B1}"/>
    <hyperlink ref="B45:B51" r:id="rId3" display="Eurostat sold production, exports and imports (code DS-056120)" xr:uid="{D32C9505-BC4D-4F1C-A075-C6E09752338E}"/>
  </hyperlink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1AE5-E08F-414A-9C80-4D658246F2F3}">
  <sheetPr>
    <tabColor rgb="FFEFE973"/>
  </sheetPr>
  <dimension ref="A1:X25"/>
  <sheetViews>
    <sheetView showGridLines="0" tabSelected="1" zoomScale="117" zoomScaleNormal="117" workbookViewId="0">
      <selection activeCell="L9" sqref="L9"/>
    </sheetView>
  </sheetViews>
  <sheetFormatPr defaultRowHeight="14.4"/>
  <cols>
    <col min="2" max="2" width="35.109375" bestFit="1" customWidth="1"/>
  </cols>
  <sheetData>
    <row r="1" spans="1:24" s="4" customFormat="1">
      <c r="A1" s="4" t="s">
        <v>232</v>
      </c>
    </row>
    <row r="2" spans="1:24">
      <c r="B2" t="s">
        <v>31</v>
      </c>
      <c r="C2" t="s">
        <v>32</v>
      </c>
      <c r="D2">
        <v>2010</v>
      </c>
      <c r="I2">
        <v>2015</v>
      </c>
      <c r="N2">
        <v>2020</v>
      </c>
      <c r="S2">
        <v>2025</v>
      </c>
      <c r="X2">
        <v>2030</v>
      </c>
    </row>
    <row r="3" spans="1:24">
      <c r="A3" t="s">
        <v>233</v>
      </c>
      <c r="B3" t="s">
        <v>234</v>
      </c>
      <c r="C3" t="s">
        <v>235</v>
      </c>
      <c r="D3" s="43">
        <v>0.108</v>
      </c>
      <c r="E3" s="43">
        <v>0.10299999999999999</v>
      </c>
      <c r="F3" s="43">
        <v>0.111</v>
      </c>
      <c r="G3" s="43">
        <v>0.113</v>
      </c>
      <c r="H3" s="43">
        <v>0.112</v>
      </c>
      <c r="I3" s="43">
        <v>0.113</v>
      </c>
      <c r="J3" s="43">
        <v>0.115</v>
      </c>
      <c r="K3" s="43">
        <v>0.115</v>
      </c>
      <c r="L3" s="43">
        <v>0.11700000000000001</v>
      </c>
      <c r="M3" s="43">
        <v>0.12</v>
      </c>
      <c r="N3" s="43">
        <v>0.11700000000000001</v>
      </c>
      <c r="O3" s="43">
        <v>0.11700000000000001</v>
      </c>
      <c r="P3" s="43"/>
      <c r="Q3" s="43"/>
      <c r="R3" s="43"/>
      <c r="S3" s="43"/>
      <c r="T3" s="43"/>
      <c r="U3" s="43"/>
      <c r="V3" s="43"/>
      <c r="W3" s="43"/>
      <c r="X3" s="43"/>
    </row>
    <row r="4" spans="1:24">
      <c r="A4" t="s">
        <v>49</v>
      </c>
      <c r="B4" t="s">
        <v>236</v>
      </c>
      <c r="C4" t="s">
        <v>235</v>
      </c>
      <c r="D4" s="43"/>
      <c r="E4" s="43"/>
      <c r="F4" s="43"/>
      <c r="G4" s="43"/>
      <c r="H4" s="43"/>
      <c r="I4" s="43"/>
      <c r="J4" s="43"/>
      <c r="K4" s="43"/>
      <c r="L4" s="43"/>
      <c r="M4" s="43"/>
      <c r="N4" s="43"/>
      <c r="O4" s="43"/>
      <c r="P4" s="43"/>
      <c r="Q4" s="43"/>
      <c r="R4" s="43"/>
      <c r="S4" s="43"/>
      <c r="T4" s="43"/>
      <c r="U4" s="43"/>
      <c r="V4" s="43"/>
      <c r="W4" s="43"/>
      <c r="X4" s="43">
        <f>2*N3</f>
        <v>0.23400000000000001</v>
      </c>
    </row>
    <row r="5" spans="1:24">
      <c r="A5" t="s">
        <v>47</v>
      </c>
      <c r="C5" t="s">
        <v>235</v>
      </c>
      <c r="D5" s="43"/>
      <c r="E5" s="43"/>
      <c r="F5" s="43"/>
      <c r="G5" s="43"/>
      <c r="H5" s="43"/>
      <c r="I5" s="43"/>
      <c r="J5" s="43"/>
      <c r="K5" s="43"/>
      <c r="L5" s="43"/>
      <c r="M5" s="43"/>
      <c r="N5" s="43"/>
      <c r="O5" s="43">
        <v>0.11700000000000002</v>
      </c>
      <c r="P5" s="43">
        <v>0.13000000000000003</v>
      </c>
      <c r="Q5" s="43">
        <v>0.14300000000000002</v>
      </c>
      <c r="R5" s="43">
        <v>0.15600000000000003</v>
      </c>
      <c r="S5" s="43">
        <v>0.16900000000000004</v>
      </c>
      <c r="T5" s="43">
        <v>0.18200000000000002</v>
      </c>
      <c r="U5" s="43">
        <v>0.19500000000000001</v>
      </c>
      <c r="V5" s="43">
        <v>0.20800000000000002</v>
      </c>
      <c r="W5" s="43">
        <v>0.22100000000000003</v>
      </c>
      <c r="X5" s="43">
        <v>0.23400000000000004</v>
      </c>
    </row>
    <row r="7" spans="1:24">
      <c r="A7" t="s">
        <v>61</v>
      </c>
      <c r="D7" s="43">
        <f>AVERAGE(O3-N3,N3-M3,M3-L3,L3-K3)</f>
        <v>5.0000000000000044E-4</v>
      </c>
    </row>
    <row r="8" spans="1:24">
      <c r="A8" t="s">
        <v>237</v>
      </c>
      <c r="D8" s="43">
        <f>P5-O5</f>
        <v>1.3000000000000012E-2</v>
      </c>
    </row>
    <row r="11" spans="1:24">
      <c r="A11" s="34" t="s">
        <v>238</v>
      </c>
    </row>
    <row r="12" spans="1:24">
      <c r="A12" s="138"/>
      <c r="B12" s="138"/>
      <c r="C12" s="138"/>
      <c r="D12" s="138"/>
      <c r="E12" s="138"/>
      <c r="F12" s="138"/>
      <c r="G12" s="138"/>
      <c r="H12" s="138"/>
      <c r="I12" s="138"/>
    </row>
    <row r="13" spans="1:24">
      <c r="A13" s="138"/>
      <c r="B13" s="138"/>
      <c r="C13" s="138"/>
      <c r="D13" s="138"/>
      <c r="E13" s="138"/>
      <c r="F13" s="138"/>
      <c r="G13" s="138"/>
      <c r="H13" s="138"/>
      <c r="I13" s="138"/>
    </row>
    <row r="14" spans="1:24">
      <c r="A14" s="138"/>
      <c r="B14" s="138"/>
      <c r="C14" s="138"/>
      <c r="D14" s="138"/>
      <c r="E14" s="138"/>
      <c r="F14" s="138"/>
      <c r="G14" s="138"/>
      <c r="H14" s="138"/>
      <c r="I14" s="138"/>
    </row>
    <row r="15" spans="1:24">
      <c r="A15" s="138"/>
      <c r="B15" s="138"/>
      <c r="C15" s="138"/>
      <c r="D15" s="138"/>
      <c r="E15" s="138"/>
      <c r="F15" s="138"/>
      <c r="G15" s="138"/>
      <c r="H15" s="138"/>
      <c r="I15" s="138"/>
    </row>
    <row r="16" spans="1:24">
      <c r="A16" s="138"/>
      <c r="B16" s="138"/>
      <c r="C16" s="138"/>
      <c r="D16" s="138"/>
      <c r="E16" s="138"/>
      <c r="F16" s="138"/>
      <c r="G16" s="138"/>
      <c r="H16" s="138"/>
      <c r="I16" s="138"/>
    </row>
    <row r="17" spans="1:9">
      <c r="A17" s="138"/>
      <c r="B17" s="138"/>
      <c r="C17" s="138"/>
      <c r="D17" s="138"/>
      <c r="E17" s="138"/>
      <c r="F17" s="138"/>
      <c r="G17" s="138"/>
      <c r="H17" s="138"/>
      <c r="I17" s="138"/>
    </row>
    <row r="18" spans="1:9">
      <c r="A18" s="138"/>
      <c r="B18" s="138"/>
      <c r="C18" s="138"/>
      <c r="D18" s="138"/>
      <c r="E18" s="138"/>
      <c r="F18" s="138"/>
      <c r="G18" s="138"/>
      <c r="H18" s="138"/>
      <c r="I18" s="138"/>
    </row>
    <row r="19" spans="1:9">
      <c r="A19" s="138"/>
      <c r="B19" s="138"/>
      <c r="C19" s="138"/>
      <c r="D19" s="138"/>
      <c r="E19" s="138"/>
      <c r="F19" s="138"/>
      <c r="G19" s="138"/>
      <c r="H19" s="138"/>
      <c r="I19" s="138"/>
    </row>
    <row r="20" spans="1:9">
      <c r="A20" s="138"/>
      <c r="B20" s="138"/>
      <c r="C20" s="138"/>
      <c r="D20" s="138"/>
      <c r="E20" s="138"/>
      <c r="F20" s="138"/>
      <c r="G20" s="138"/>
      <c r="H20" s="138"/>
      <c r="I20" s="138"/>
    </row>
    <row r="21" spans="1:9">
      <c r="A21" s="138"/>
      <c r="B21" s="138"/>
      <c r="C21" s="138"/>
      <c r="D21" s="138"/>
      <c r="E21" s="138"/>
      <c r="F21" s="138"/>
      <c r="G21" s="138"/>
      <c r="H21" s="138"/>
      <c r="I21" s="138"/>
    </row>
    <row r="22" spans="1:9">
      <c r="A22" s="138"/>
      <c r="B22" s="138"/>
      <c r="C22" s="138"/>
      <c r="D22" s="138"/>
      <c r="E22" s="138"/>
      <c r="F22" s="138"/>
      <c r="G22" s="138"/>
      <c r="H22" s="138"/>
      <c r="I22" s="138"/>
    </row>
    <row r="23" spans="1:9">
      <c r="A23" s="138"/>
      <c r="B23" s="138"/>
      <c r="C23" s="138"/>
      <c r="D23" s="138"/>
      <c r="E23" s="138"/>
      <c r="F23" s="138"/>
      <c r="G23" s="138"/>
      <c r="H23" s="138"/>
      <c r="I23" s="138"/>
    </row>
    <row r="24" spans="1:9">
      <c r="A24" s="138"/>
      <c r="B24" s="138"/>
      <c r="C24" s="138"/>
      <c r="D24" s="138"/>
      <c r="E24" s="138"/>
      <c r="F24" s="138"/>
      <c r="G24" s="138"/>
      <c r="H24" s="138"/>
      <c r="I24" s="138"/>
    </row>
    <row r="25" spans="1:9">
      <c r="A25" s="138"/>
      <c r="B25" s="138"/>
      <c r="C25" s="138"/>
      <c r="D25" s="138"/>
      <c r="E25" s="138"/>
      <c r="F25" s="138"/>
      <c r="G25" s="138"/>
      <c r="H25" s="138"/>
      <c r="I25" s="13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19AC-86E7-4313-AC6D-BA539E9AD1E9}">
  <sheetPr>
    <tabColor rgb="FFEFE973"/>
  </sheetPr>
  <dimension ref="A1:V1048576"/>
  <sheetViews>
    <sheetView showGridLines="0" zoomScale="150" zoomScaleNormal="150" workbookViewId="0">
      <selection activeCell="F25" sqref="F25"/>
    </sheetView>
  </sheetViews>
  <sheetFormatPr defaultRowHeight="14.4"/>
  <cols>
    <col min="1" max="1" width="27" bestFit="1" customWidth="1"/>
    <col min="2" max="3" width="9.109375" customWidth="1"/>
    <col min="7" max="20" width="9.5546875" bestFit="1" customWidth="1"/>
  </cols>
  <sheetData>
    <row r="1" spans="1:21" s="4" customFormat="1">
      <c r="A1" s="4" t="s">
        <v>210</v>
      </c>
    </row>
    <row r="2" spans="1:21">
      <c r="B2" t="s">
        <v>31</v>
      </c>
      <c r="C2" t="s">
        <v>32</v>
      </c>
      <c r="D2">
        <v>2005</v>
      </c>
      <c r="I2">
        <v>2010</v>
      </c>
      <c r="N2">
        <v>2015</v>
      </c>
      <c r="S2">
        <v>2020</v>
      </c>
    </row>
    <row r="3" spans="1:21">
      <c r="A3" t="s">
        <v>239</v>
      </c>
      <c r="B3" t="s">
        <v>240</v>
      </c>
      <c r="C3" t="s">
        <v>213</v>
      </c>
      <c r="G3" s="1">
        <f>'I2. Production and consumption'!G3</f>
        <v>185.03224299999999</v>
      </c>
      <c r="H3" s="1">
        <f>'I2. Production and consumption'!H3</f>
        <v>129.26978199999999</v>
      </c>
      <c r="I3" s="1">
        <f>'I2. Production and consumption'!I3</f>
        <v>163.076525</v>
      </c>
      <c r="J3" s="1">
        <f>'I2. Production and consumption'!J3</f>
        <v>168.09782100000001</v>
      </c>
      <c r="K3" s="1">
        <f>'I2. Production and consumption'!K3</f>
        <v>159.003433</v>
      </c>
      <c r="L3" s="1">
        <f>'I2. Production and consumption'!L3</f>
        <v>154.31767400000001</v>
      </c>
      <c r="M3" s="1">
        <f>'I2. Production and consumption'!M3</f>
        <v>157.06495699999999</v>
      </c>
      <c r="N3" s="1">
        <f>'I2. Production and consumption'!N3</f>
        <v>155.12873200000001</v>
      </c>
      <c r="O3" s="1">
        <f>'I2. Production and consumption'!O3</f>
        <v>154.297811</v>
      </c>
      <c r="P3" s="1">
        <f>'I2. Production and consumption'!P3</f>
        <v>160.86903000000001</v>
      </c>
      <c r="Q3" s="1">
        <f>'I2. Production and consumption'!Q3</f>
        <v>160.06575599999999</v>
      </c>
      <c r="R3" s="1">
        <f>'I2. Production and consumption'!R3</f>
        <v>150.24444500000001</v>
      </c>
      <c r="S3" s="1">
        <f>'I2. Production and consumption'!S3</f>
        <v>132.21725799999999</v>
      </c>
      <c r="T3" s="1">
        <f>'I2. Production and consumption'!T3</f>
        <v>152.782083</v>
      </c>
      <c r="U3">
        <v>136.19999999999999</v>
      </c>
    </row>
    <row r="4" spans="1:21">
      <c r="A4" t="s">
        <v>241</v>
      </c>
      <c r="B4" t="s">
        <v>38</v>
      </c>
      <c r="C4" t="s">
        <v>39</v>
      </c>
      <c r="D4" s="3">
        <f>'I1. GHG emissions'!D5</f>
        <v>193.15412946216313</v>
      </c>
      <c r="E4" s="3">
        <f>'I1. GHG emissions'!E5</f>
        <v>198.50065922816287</v>
      </c>
      <c r="F4" s="3">
        <f>'I1. GHG emissions'!F5</f>
        <v>201.86983712006455</v>
      </c>
      <c r="G4" s="3">
        <f>'I1. GHG emissions'!G5</f>
        <v>186.83827584807668</v>
      </c>
      <c r="H4" s="3">
        <f>'I1. GHG emissions'!H5</f>
        <v>129.57683584178383</v>
      </c>
      <c r="I4" s="3">
        <f>'I1. GHG emissions'!I5</f>
        <v>162.1331940215793</v>
      </c>
      <c r="J4" s="3">
        <f>'I1. GHG emissions'!J5</f>
        <v>158.78095307233838</v>
      </c>
      <c r="K4" s="3">
        <f>'I1. GHG emissions'!K5</f>
        <v>149.00263628651714</v>
      </c>
      <c r="L4" s="3">
        <f>'I1. GHG emissions'!L5</f>
        <v>146.58641637442801</v>
      </c>
      <c r="M4" s="3">
        <f>'I1. GHG emissions'!M5</f>
        <v>147.29970275758265</v>
      </c>
      <c r="N4" s="3">
        <f>'I1. GHG emissions'!N5</f>
        <v>153.12719091307923</v>
      </c>
      <c r="O4" s="3">
        <f>'I1. GHG emissions'!O5</f>
        <v>152.14899184908688</v>
      </c>
      <c r="P4" s="3">
        <f>'I1. GHG emissions'!P5</f>
        <v>155.3325935740678</v>
      </c>
      <c r="Q4" s="3">
        <f>'I1. GHG emissions'!Q5</f>
        <v>152.4799965457901</v>
      </c>
      <c r="R4" s="3">
        <f>'I1. GHG emissions'!R5</f>
        <v>145.36341629684426</v>
      </c>
      <c r="S4" s="3">
        <f>'I1. GHG emissions'!S5</f>
        <v>126.99395379015225</v>
      </c>
      <c r="T4" s="3">
        <f>'I1. GHG emissions'!T5</f>
        <v>147.01485496641223</v>
      </c>
    </row>
    <row r="5" spans="1:21">
      <c r="A5" t="s">
        <v>242</v>
      </c>
      <c r="C5" t="s">
        <v>243</v>
      </c>
      <c r="G5" s="39">
        <f>G4/G3</f>
        <v>1.0097606385719309</v>
      </c>
      <c r="H5" s="39">
        <f t="shared" ref="H5:T5" si="0">H4/H3</f>
        <v>1.0023752948062048</v>
      </c>
      <c r="I5" s="39">
        <f t="shared" si="0"/>
        <v>0.99421540912512885</v>
      </c>
      <c r="J5" s="39">
        <f t="shared" si="0"/>
        <v>0.94457472516754615</v>
      </c>
      <c r="K5" s="39">
        <f>K4/K3</f>
        <v>0.93710326547802991</v>
      </c>
      <c r="L5" s="39">
        <f t="shared" si="0"/>
        <v>0.94990037482309386</v>
      </c>
      <c r="M5" s="39">
        <f t="shared" si="0"/>
        <v>0.93782665192199843</v>
      </c>
      <c r="N5" s="39">
        <f t="shared" si="0"/>
        <v>0.98709754755862522</v>
      </c>
      <c r="O5" s="39">
        <f t="shared" si="0"/>
        <v>0.98607356036364568</v>
      </c>
      <c r="P5" s="39">
        <f t="shared" si="0"/>
        <v>0.965584199606772</v>
      </c>
      <c r="Q5" s="39">
        <f t="shared" si="0"/>
        <v>0.95260848014106225</v>
      </c>
      <c r="R5" s="39">
        <f t="shared" si="0"/>
        <v>0.96751275094958922</v>
      </c>
      <c r="S5" s="39">
        <f t="shared" si="0"/>
        <v>0.96049453536657259</v>
      </c>
      <c r="T5" s="39">
        <f t="shared" si="0"/>
        <v>0.96225193477963145</v>
      </c>
    </row>
    <row r="6" spans="1:21">
      <c r="G6" s="39"/>
      <c r="H6" s="39"/>
      <c r="I6" s="39"/>
      <c r="J6" s="39"/>
      <c r="K6" s="39"/>
      <c r="L6" s="39"/>
      <c r="M6" s="39"/>
      <c r="N6" s="39"/>
      <c r="O6" s="39"/>
      <c r="P6" s="39"/>
      <c r="Q6" s="39"/>
      <c r="R6" s="39"/>
      <c r="S6" s="39"/>
      <c r="T6" s="39"/>
    </row>
    <row r="7" spans="1:21">
      <c r="A7" t="s">
        <v>61</v>
      </c>
      <c r="D7" s="39">
        <f>AVERAGE(T5-S5,S5-R5,R5-Q5,Q5-P5)*1000</f>
        <v>-0.83306620678513799</v>
      </c>
      <c r="G7" s="39"/>
      <c r="H7" s="39"/>
      <c r="I7" s="39"/>
      <c r="J7" s="39"/>
      <c r="K7" s="39"/>
      <c r="L7" s="39"/>
      <c r="M7" s="39"/>
      <c r="N7" s="39"/>
      <c r="O7" s="39"/>
      <c r="P7" s="39"/>
      <c r="Q7" s="39"/>
      <c r="R7" s="39"/>
      <c r="S7" s="39"/>
      <c r="T7" s="39"/>
    </row>
    <row r="8" spans="1:21">
      <c r="G8" s="39"/>
      <c r="H8" s="39"/>
      <c r="I8" s="39"/>
      <c r="J8" s="39"/>
      <c r="K8" s="39"/>
      <c r="L8" s="39"/>
      <c r="M8" s="39"/>
      <c r="N8" s="39"/>
      <c r="O8" s="39"/>
      <c r="P8" s="39"/>
      <c r="Q8" s="39"/>
      <c r="R8" s="39"/>
      <c r="S8" s="39"/>
      <c r="T8" s="39"/>
    </row>
    <row r="10" spans="1:21" s="4" customFormat="1">
      <c r="A10" s="4" t="s">
        <v>43</v>
      </c>
    </row>
    <row r="11" spans="1:21">
      <c r="B11" t="s">
        <v>31</v>
      </c>
      <c r="C11" t="s">
        <v>32</v>
      </c>
      <c r="D11">
        <v>2005</v>
      </c>
      <c r="I11">
        <v>2010</v>
      </c>
      <c r="N11">
        <v>2015</v>
      </c>
      <c r="S11">
        <v>2020</v>
      </c>
    </row>
    <row r="12" spans="1:21">
      <c r="A12" t="s">
        <v>239</v>
      </c>
      <c r="B12" t="s">
        <v>244</v>
      </c>
      <c r="C12" t="s">
        <v>213</v>
      </c>
      <c r="D12" s="1">
        <f>'I2. Production and consumption'!D15</f>
        <v>239.52699999999999</v>
      </c>
      <c r="E12" s="1">
        <f>'I2. Production and consumption'!E15</f>
        <v>256.16899999999998</v>
      </c>
      <c r="F12" s="1">
        <f>'I2. Production and consumption'!F15</f>
        <v>261.81200000000001</v>
      </c>
      <c r="G12" s="1">
        <f>'I2. Production and consumption'!G15</f>
        <v>244.35499999999999</v>
      </c>
      <c r="H12" s="1">
        <f>'I2. Production and consumption'!H15</f>
        <v>197.892</v>
      </c>
      <c r="I12" s="1">
        <f>'I2. Production and consumption'!I15</f>
        <v>185.62299999999999</v>
      </c>
      <c r="J12" s="1">
        <f>'I2. Production and consumption'!J15</f>
        <v>187.21600000000001</v>
      </c>
      <c r="K12" s="1">
        <f>'I2. Production and consumption'!K15</f>
        <v>164.68700000000001</v>
      </c>
      <c r="L12" s="1">
        <f>'I2. Production and consumption'!L15</f>
        <v>156.994</v>
      </c>
      <c r="M12" s="1">
        <f>'I2. Production and consumption'!M15</f>
        <v>157.52500000000001</v>
      </c>
      <c r="N12" s="1">
        <f>'I2. Production and consumption'!N15</f>
        <v>158.108</v>
      </c>
      <c r="O12" s="1">
        <f>'I2. Production and consumption'!O15</f>
        <v>159.874</v>
      </c>
      <c r="P12" s="1">
        <f>'I2. Production and consumption'!P15</f>
        <v>165.69399999999999</v>
      </c>
      <c r="Q12" s="1">
        <f>'I2. Production and consumption'!Q15</f>
        <v>179.792</v>
      </c>
      <c r="R12" s="1">
        <f>'I2. Production and consumption'!R15</f>
        <v>173.053</v>
      </c>
      <c r="S12" s="1">
        <f>'I2. Production and consumption'!S15</f>
        <v>172.23099999999999</v>
      </c>
      <c r="T12" s="1">
        <f>'I2. Production and consumption'!T15</f>
        <v>182.54900000000001</v>
      </c>
    </row>
    <row r="13" spans="1:21">
      <c r="A13" t="s">
        <v>241</v>
      </c>
      <c r="B13" t="s">
        <v>245</v>
      </c>
      <c r="C13" t="s">
        <v>39</v>
      </c>
      <c r="D13" s="3">
        <f>'I1. GHG emissions'!D99/1000</f>
        <v>143.411945</v>
      </c>
      <c r="E13" s="3">
        <f>'I1. GHG emissions'!E99/1000</f>
        <v>147.15260599999999</v>
      </c>
      <c r="F13" s="3">
        <f>'I1. GHG emissions'!F99/1000</f>
        <v>163.114981</v>
      </c>
      <c r="G13" s="3">
        <f>'I1. GHG emissions'!G99/1000</f>
        <v>150.48990599999999</v>
      </c>
      <c r="H13" s="3">
        <f>'I1. GHG emissions'!H99/1000</f>
        <v>121.311887</v>
      </c>
      <c r="I13" s="3">
        <f>'I1. GHG emissions'!I99/1000</f>
        <v>119.34111800000001</v>
      </c>
      <c r="J13" s="3">
        <f>'I1. GHG emissions'!J99/1000</f>
        <v>116.976625</v>
      </c>
      <c r="K13" s="3">
        <f>'I1. GHG emissions'!K99/1000</f>
        <v>109.895055</v>
      </c>
      <c r="L13" s="3">
        <f>'I1. GHG emissions'!L99/1000</f>
        <v>105.817395</v>
      </c>
      <c r="M13" s="3">
        <f>'I1. GHG emissions'!M99/1000</f>
        <v>110.73125</v>
      </c>
      <c r="N13" s="3">
        <f>'I1. GHG emissions'!N99/1000</f>
        <v>109.01402800000001</v>
      </c>
      <c r="O13" s="3">
        <f>'I1. GHG emissions'!O99/1000</f>
        <v>109.10977899999999</v>
      </c>
      <c r="P13" s="3">
        <f>'I1. GHG emissions'!P99/1000</f>
        <v>111.867166</v>
      </c>
      <c r="Q13" s="3">
        <f>'I1. GHG emissions'!Q99/1000</f>
        <v>113.69557399999999</v>
      </c>
      <c r="R13" s="3">
        <f>'I1. GHG emissions'!R99/1000</f>
        <v>113.098703</v>
      </c>
      <c r="S13" s="3">
        <f>'I1. GHG emissions'!S99/1000</f>
        <v>107.41644700000001</v>
      </c>
      <c r="T13" s="3">
        <f>'I1. GHG emissions'!T99/1000</f>
        <v>110.22327199999999</v>
      </c>
      <c r="U13">
        <f>T13/D13-1</f>
        <v>-0.23142195721562808</v>
      </c>
    </row>
    <row r="14" spans="1:21">
      <c r="A14" t="s">
        <v>242</v>
      </c>
      <c r="C14" t="s">
        <v>243</v>
      </c>
      <c r="D14" s="39">
        <f t="shared" ref="D14:F14" si="1">D13/D12</f>
        <v>0.59872976741661699</v>
      </c>
      <c r="E14" s="39">
        <f t="shared" si="1"/>
        <v>0.57443564990299378</v>
      </c>
      <c r="F14" s="39">
        <f t="shared" si="1"/>
        <v>0.62302331825890334</v>
      </c>
      <c r="G14" s="39">
        <f>G13/G12</f>
        <v>0.61586587546806904</v>
      </c>
      <c r="H14" s="39">
        <f t="shared" ref="H14" si="2">H13/H12</f>
        <v>0.61302067289228468</v>
      </c>
      <c r="I14" s="39">
        <f t="shared" ref="I14" si="3">I13/I12</f>
        <v>0.64292204091087857</v>
      </c>
      <c r="J14" s="39">
        <f t="shared" ref="J14" si="4">J13/J12</f>
        <v>0.62482172998034358</v>
      </c>
      <c r="K14" s="39">
        <f t="shared" ref="K14" si="5">K13/K12</f>
        <v>0.66729647756046317</v>
      </c>
      <c r="L14" s="39">
        <f t="shared" ref="L14" si="6">L13/L12</f>
        <v>0.6740219052957438</v>
      </c>
      <c r="M14" s="39">
        <f t="shared" ref="M14" si="7">M13/M12</f>
        <v>0.70294397714648471</v>
      </c>
      <c r="N14" s="39">
        <f t="shared" ref="N14" si="8">N13/N12</f>
        <v>0.68949090495104615</v>
      </c>
      <c r="O14" s="39">
        <f t="shared" ref="O14" si="9">O13/O12</f>
        <v>0.68247356668376347</v>
      </c>
      <c r="P14" s="39">
        <f t="shared" ref="P14" si="10">P13/P12</f>
        <v>0.67514313131435055</v>
      </c>
      <c r="Q14" s="39">
        <f t="shared" ref="Q14" si="11">Q13/Q12</f>
        <v>0.6323728197027676</v>
      </c>
      <c r="R14" s="39">
        <f t="shared" ref="R14" si="12">R13/R12</f>
        <v>0.65354950795421052</v>
      </c>
      <c r="S14" s="39">
        <f t="shared" ref="S14" si="13">S13/S12</f>
        <v>0.6236766145467425</v>
      </c>
      <c r="T14" s="39">
        <f t="shared" ref="T14" si="14">T13/T12</f>
        <v>0.60380101780891704</v>
      </c>
      <c r="U14">
        <f>T14/D14-1</f>
        <v>8.4700154698860164E-3</v>
      </c>
    </row>
    <row r="15" spans="1:21">
      <c r="D15" s="39"/>
      <c r="E15" s="39"/>
      <c r="F15" s="39"/>
      <c r="G15" s="39"/>
      <c r="H15" s="39"/>
      <c r="I15" s="39"/>
      <c r="J15" s="39"/>
      <c r="K15" s="39"/>
      <c r="L15" s="39"/>
      <c r="M15" s="39"/>
      <c r="N15" s="39"/>
      <c r="O15" s="39"/>
      <c r="P15" s="39"/>
      <c r="Q15" s="39"/>
      <c r="R15" s="39"/>
      <c r="S15" s="39"/>
      <c r="T15" s="39"/>
    </row>
    <row r="16" spans="1:21">
      <c r="A16" t="s">
        <v>61</v>
      </c>
      <c r="D16" s="39">
        <f>AVERAGE(T14-S14,S14-R14,R14-Q14,Q14-P14)*1000</f>
        <v>-17.835528376358379</v>
      </c>
      <c r="E16" s="39"/>
      <c r="F16" s="39"/>
      <c r="G16" s="39"/>
      <c r="H16" s="39"/>
      <c r="I16" s="39"/>
      <c r="J16" s="39"/>
      <c r="K16" s="39"/>
      <c r="L16" s="39"/>
      <c r="M16" s="39"/>
      <c r="N16" s="39"/>
      <c r="O16" s="39"/>
      <c r="P16" s="39"/>
      <c r="Q16" s="39"/>
      <c r="R16" s="39"/>
      <c r="S16" s="39"/>
      <c r="T16" s="39"/>
    </row>
    <row r="18" spans="1:22" s="4" customFormat="1">
      <c r="A18" s="4" t="s">
        <v>246</v>
      </c>
    </row>
    <row r="19" spans="1:22">
      <c r="B19" t="s">
        <v>31</v>
      </c>
      <c r="C19" t="s">
        <v>32</v>
      </c>
      <c r="D19">
        <v>2005</v>
      </c>
      <c r="I19">
        <v>2010</v>
      </c>
      <c r="N19">
        <v>2015</v>
      </c>
      <c r="S19">
        <v>2020</v>
      </c>
    </row>
    <row r="20" spans="1:22">
      <c r="A20" t="s">
        <v>247</v>
      </c>
      <c r="L20" s="1">
        <f>L21+L22+L23</f>
        <v>41.563354790000005</v>
      </c>
      <c r="M20" s="1">
        <f t="shared" ref="M20:U20" si="15">M21+M22+M23</f>
        <v>45.623830667999997</v>
      </c>
      <c r="N20" s="1">
        <f t="shared" si="15"/>
        <v>42.671854265999997</v>
      </c>
      <c r="O20" s="1">
        <f t="shared" si="15"/>
        <v>44.459176811999995</v>
      </c>
      <c r="P20" s="1">
        <f t="shared" si="15"/>
        <v>43.648533442000002</v>
      </c>
      <c r="Q20" s="1">
        <f t="shared" si="15"/>
        <v>42.821067487999997</v>
      </c>
      <c r="R20" s="1">
        <f t="shared" si="15"/>
        <v>41.648876692999998</v>
      </c>
      <c r="S20" s="1">
        <f t="shared" si="15"/>
        <v>40.441815534999996</v>
      </c>
      <c r="T20" s="1">
        <f t="shared" si="15"/>
        <v>39.185741884000002</v>
      </c>
      <c r="U20" s="1">
        <f t="shared" si="15"/>
        <v>37.504566367000002</v>
      </c>
      <c r="V20" s="2"/>
    </row>
    <row r="21" spans="1:22">
      <c r="A21" t="s">
        <v>248</v>
      </c>
      <c r="B21" t="s">
        <v>249</v>
      </c>
      <c r="C21" t="s">
        <v>213</v>
      </c>
      <c r="D21" s="1"/>
      <c r="E21" s="1"/>
      <c r="F21" s="1"/>
      <c r="G21" s="1"/>
      <c r="H21" s="1"/>
      <c r="I21" s="1"/>
      <c r="J21" s="1"/>
      <c r="K21" s="1"/>
      <c r="L21" s="1">
        <v>16.096332642</v>
      </c>
      <c r="M21" s="1">
        <v>19.039978441999999</v>
      </c>
      <c r="N21" s="1">
        <v>17.404165881000001</v>
      </c>
      <c r="O21" s="1">
        <v>18.037565012999998</v>
      </c>
      <c r="P21" s="1">
        <v>18</v>
      </c>
      <c r="Q21" s="1">
        <v>17.439047297999998</v>
      </c>
      <c r="R21" s="1">
        <v>16.628416308999999</v>
      </c>
      <c r="S21" s="1">
        <v>16.477749295999999</v>
      </c>
      <c r="T21" s="1">
        <v>15.649568262000001</v>
      </c>
      <c r="U21" s="1">
        <v>13.558041401000001</v>
      </c>
    </row>
    <row r="22" spans="1:22">
      <c r="A22" t="s">
        <v>250</v>
      </c>
      <c r="B22" t="s">
        <v>249</v>
      </c>
      <c r="C22" t="s">
        <v>213</v>
      </c>
      <c r="D22" s="1"/>
      <c r="E22" s="1"/>
      <c r="F22" s="1"/>
      <c r="G22" s="1"/>
      <c r="H22" s="1"/>
      <c r="I22" s="1"/>
      <c r="J22" s="1"/>
      <c r="K22" s="1"/>
      <c r="L22" s="1">
        <v>12.935620514</v>
      </c>
      <c r="M22" s="1">
        <v>13.387043378</v>
      </c>
      <c r="N22" s="1">
        <v>12.872032557000001</v>
      </c>
      <c r="O22" s="1">
        <v>12.929713739</v>
      </c>
      <c r="P22" s="1">
        <v>13.1281964</v>
      </c>
      <c r="Q22" s="1">
        <v>12.756552858999999</v>
      </c>
      <c r="R22" s="1">
        <v>12.435085624999999</v>
      </c>
      <c r="S22" s="1">
        <v>11.59056535</v>
      </c>
      <c r="T22" s="1">
        <v>12.109003905</v>
      </c>
      <c r="U22" s="1">
        <v>11.168238016</v>
      </c>
    </row>
    <row r="23" spans="1:22">
      <c r="A23" t="s">
        <v>251</v>
      </c>
      <c r="B23" t="s">
        <v>249</v>
      </c>
      <c r="C23" t="s">
        <v>213</v>
      </c>
      <c r="D23" s="1"/>
      <c r="E23" s="1"/>
      <c r="F23" s="1"/>
      <c r="G23" s="1"/>
      <c r="H23" s="1"/>
      <c r="I23" s="1"/>
      <c r="J23" s="1"/>
      <c r="K23" s="1"/>
      <c r="L23" s="1">
        <v>12.531401634000002</v>
      </c>
      <c r="M23" s="1">
        <v>13.196808848</v>
      </c>
      <c r="N23" s="1">
        <v>12.395655827999999</v>
      </c>
      <c r="O23" s="1">
        <v>13.49189806</v>
      </c>
      <c r="P23" s="1">
        <v>12.520337042</v>
      </c>
      <c r="Q23" s="1">
        <v>12.625467331000001</v>
      </c>
      <c r="R23" s="1">
        <v>12.585374759</v>
      </c>
      <c r="S23" s="1">
        <v>12.373500888999999</v>
      </c>
      <c r="T23" s="1">
        <v>11.427169717000002</v>
      </c>
      <c r="U23" s="1">
        <v>12.77828695</v>
      </c>
    </row>
    <row r="24" spans="1:22">
      <c r="A24" t="s">
        <v>241</v>
      </c>
      <c r="B24" t="s">
        <v>252</v>
      </c>
      <c r="C24" t="s">
        <v>39</v>
      </c>
      <c r="D24" s="3"/>
      <c r="E24" s="3"/>
      <c r="F24" s="3"/>
      <c r="G24" s="3"/>
      <c r="H24" s="3"/>
      <c r="I24" s="3"/>
      <c r="J24" s="3"/>
      <c r="K24" s="3"/>
      <c r="L24" s="3">
        <v>33.431032999999999</v>
      </c>
      <c r="M24" s="3">
        <v>33.366782000000001</v>
      </c>
      <c r="N24" s="3">
        <v>33.600200999999998</v>
      </c>
      <c r="O24" s="3">
        <v>33.407364999999999</v>
      </c>
      <c r="P24" s="3">
        <v>34.007494000000001</v>
      </c>
      <c r="Q24" s="3">
        <v>33.84863</v>
      </c>
      <c r="R24" s="3">
        <v>31.999661</v>
      </c>
      <c r="S24" s="3">
        <v>31.866199000000002</v>
      </c>
      <c r="T24" s="3">
        <v>33.952083000000002</v>
      </c>
      <c r="U24" s="3">
        <v>28.767537000000001</v>
      </c>
      <c r="V24" s="2"/>
    </row>
    <row r="25" spans="1:22">
      <c r="A25" t="s">
        <v>242</v>
      </c>
      <c r="C25" t="s">
        <v>243</v>
      </c>
      <c r="D25" s="39"/>
      <c r="E25" s="39"/>
      <c r="F25" s="39"/>
      <c r="G25" s="39"/>
      <c r="H25" s="39"/>
      <c r="I25" s="39"/>
      <c r="J25" s="39"/>
      <c r="K25" s="39"/>
      <c r="L25" s="39">
        <f t="shared" ref="L25:U25" si="16">L24/SUM(L21:L23)</f>
        <v>0.80433913886189445</v>
      </c>
      <c r="M25" s="39">
        <f t="shared" si="16"/>
        <v>0.73134547256250138</v>
      </c>
      <c r="N25" s="39">
        <f t="shared" si="16"/>
        <v>0.78740897432179102</v>
      </c>
      <c r="O25" s="39">
        <f t="shared" si="16"/>
        <v>0.75141663421404159</v>
      </c>
      <c r="P25" s="39">
        <f t="shared" si="16"/>
        <v>0.77912111400464401</v>
      </c>
      <c r="Q25" s="39">
        <f t="shared" si="16"/>
        <v>0.79046674886107415</v>
      </c>
      <c r="R25" s="39">
        <f t="shared" si="16"/>
        <v>0.76831990538122341</v>
      </c>
      <c r="S25" s="39">
        <f t="shared" si="16"/>
        <v>0.78795174198897411</v>
      </c>
      <c r="T25" s="39">
        <f t="shared" si="16"/>
        <v>0.86643971423348332</v>
      </c>
      <c r="U25" s="39">
        <f t="shared" si="16"/>
        <v>0.76704091759110027</v>
      </c>
      <c r="V25" s="2"/>
    </row>
    <row r="27" spans="1:22">
      <c r="D27" s="39"/>
    </row>
    <row r="28" spans="1:22">
      <c r="D28" s="39"/>
    </row>
    <row r="29" spans="1:22">
      <c r="D29" s="39"/>
    </row>
    <row r="30" spans="1:22">
      <c r="D30" s="39"/>
      <c r="U30" s="39"/>
    </row>
    <row r="31" spans="1:22">
      <c r="D31" s="39"/>
    </row>
    <row r="32" spans="1:22">
      <c r="D32" s="39"/>
    </row>
    <row r="33" spans="1:22">
      <c r="D33" s="39"/>
    </row>
    <row r="36" spans="1:22" s="4" customFormat="1">
      <c r="A36" s="4" t="s">
        <v>30</v>
      </c>
    </row>
    <row r="37" spans="1:22">
      <c r="D37">
        <v>2005</v>
      </c>
      <c r="I37">
        <v>2010</v>
      </c>
      <c r="N37">
        <v>2015</v>
      </c>
      <c r="S37">
        <v>2020</v>
      </c>
    </row>
    <row r="38" spans="1:22">
      <c r="A38" t="s">
        <v>210</v>
      </c>
      <c r="C38" t="s">
        <v>243</v>
      </c>
      <c r="G38" s="39">
        <f t="shared" ref="G38:T38" si="17">G5</f>
        <v>1.0097606385719309</v>
      </c>
      <c r="H38" s="39">
        <f t="shared" si="17"/>
        <v>1.0023752948062048</v>
      </c>
      <c r="I38" s="39">
        <f t="shared" si="17"/>
        <v>0.99421540912512885</v>
      </c>
      <c r="J38" s="39">
        <f t="shared" si="17"/>
        <v>0.94457472516754615</v>
      </c>
      <c r="K38" s="39">
        <f t="shared" si="17"/>
        <v>0.93710326547802991</v>
      </c>
      <c r="L38" s="39">
        <f t="shared" si="17"/>
        <v>0.94990037482309386</v>
      </c>
      <c r="M38" s="39">
        <f t="shared" si="17"/>
        <v>0.93782665192199843</v>
      </c>
      <c r="N38" s="39">
        <f t="shared" si="17"/>
        <v>0.98709754755862522</v>
      </c>
      <c r="O38" s="39">
        <f t="shared" si="17"/>
        <v>0.98607356036364568</v>
      </c>
      <c r="P38" s="39">
        <f t="shared" si="17"/>
        <v>0.965584199606772</v>
      </c>
      <c r="Q38" s="39">
        <f t="shared" si="17"/>
        <v>0.95260848014106225</v>
      </c>
      <c r="R38" s="39">
        <f t="shared" si="17"/>
        <v>0.96751275094958922</v>
      </c>
      <c r="S38" s="39">
        <f t="shared" si="17"/>
        <v>0.96049453536657259</v>
      </c>
      <c r="T38" s="39">
        <f t="shared" si="17"/>
        <v>0.96225193477963145</v>
      </c>
      <c r="V38" s="39"/>
    </row>
    <row r="39" spans="1:22">
      <c r="A39" t="s">
        <v>43</v>
      </c>
      <c r="C39" t="s">
        <v>243</v>
      </c>
      <c r="D39" s="39">
        <f>D14</f>
        <v>0.59872976741661699</v>
      </c>
      <c r="E39" s="39">
        <f t="shared" ref="E39:T39" si="18">E14</f>
        <v>0.57443564990299378</v>
      </c>
      <c r="F39" s="39">
        <f t="shared" si="18"/>
        <v>0.62302331825890334</v>
      </c>
      <c r="G39" s="39">
        <f t="shared" si="18"/>
        <v>0.61586587546806904</v>
      </c>
      <c r="H39" s="39">
        <f t="shared" si="18"/>
        <v>0.61302067289228468</v>
      </c>
      <c r="I39" s="39">
        <f t="shared" si="18"/>
        <v>0.64292204091087857</v>
      </c>
      <c r="J39" s="39">
        <f t="shared" si="18"/>
        <v>0.62482172998034358</v>
      </c>
      <c r="K39" s="39">
        <f t="shared" si="18"/>
        <v>0.66729647756046317</v>
      </c>
      <c r="L39" s="39">
        <f t="shared" si="18"/>
        <v>0.6740219052957438</v>
      </c>
      <c r="M39" s="39">
        <f t="shared" si="18"/>
        <v>0.70294397714648471</v>
      </c>
      <c r="N39" s="39">
        <f t="shared" si="18"/>
        <v>0.68949090495104615</v>
      </c>
      <c r="O39" s="39">
        <f t="shared" si="18"/>
        <v>0.68247356668376347</v>
      </c>
      <c r="P39" s="39">
        <f t="shared" si="18"/>
        <v>0.67514313131435055</v>
      </c>
      <c r="Q39" s="39">
        <f t="shared" si="18"/>
        <v>0.6323728197027676</v>
      </c>
      <c r="R39" s="39">
        <f t="shared" si="18"/>
        <v>0.65354950795421052</v>
      </c>
      <c r="S39" s="39">
        <f t="shared" si="18"/>
        <v>0.6236766145467425</v>
      </c>
      <c r="T39" s="39">
        <f t="shared" si="18"/>
        <v>0.60380101780891704</v>
      </c>
    </row>
    <row r="40" spans="1:22">
      <c r="A40" t="s">
        <v>246</v>
      </c>
      <c r="C40" t="s">
        <v>243</v>
      </c>
      <c r="L40" s="120">
        <f>L25</f>
        <v>0.80433913886189445</v>
      </c>
      <c r="M40" s="120">
        <f t="shared" ref="M40:U40" si="19">M25</f>
        <v>0.73134547256250138</v>
      </c>
      <c r="N40" s="120">
        <f t="shared" si="19"/>
        <v>0.78740897432179102</v>
      </c>
      <c r="O40" s="120">
        <f t="shared" si="19"/>
        <v>0.75141663421404159</v>
      </c>
      <c r="P40" s="120">
        <f t="shared" si="19"/>
        <v>0.77912111400464401</v>
      </c>
      <c r="Q40" s="120">
        <f t="shared" si="19"/>
        <v>0.79046674886107415</v>
      </c>
      <c r="R40" s="120">
        <f t="shared" si="19"/>
        <v>0.76831990538122341</v>
      </c>
      <c r="S40" s="120">
        <f t="shared" si="19"/>
        <v>0.78795174198897411</v>
      </c>
      <c r="T40" s="120">
        <f t="shared" si="19"/>
        <v>0.86643971423348332</v>
      </c>
      <c r="U40" s="120">
        <f t="shared" si="19"/>
        <v>0.76704091759110027</v>
      </c>
      <c r="V40" s="2"/>
    </row>
    <row r="42" spans="1:22">
      <c r="E42" s="139" t="s">
        <v>253</v>
      </c>
      <c r="F42" s="138"/>
      <c r="G42" s="138"/>
      <c r="H42" s="138"/>
      <c r="I42" s="138"/>
      <c r="J42" s="138"/>
      <c r="K42" s="138"/>
      <c r="L42" s="138"/>
      <c r="M42" s="138"/>
      <c r="N42" s="138"/>
    </row>
    <row r="43" spans="1:22">
      <c r="E43" s="138"/>
      <c r="F43" s="138"/>
      <c r="G43" s="138"/>
      <c r="H43" s="138"/>
      <c r="I43" s="138"/>
      <c r="J43" s="138"/>
      <c r="K43" s="138"/>
      <c r="L43" s="138"/>
      <c r="M43" s="138"/>
      <c r="N43" s="138"/>
    </row>
    <row r="44" spans="1:22">
      <c r="E44" s="138"/>
      <c r="F44" s="138"/>
      <c r="G44" s="138"/>
      <c r="H44" s="138"/>
      <c r="I44" s="138"/>
      <c r="J44" s="138"/>
      <c r="K44" s="138"/>
      <c r="L44" s="138"/>
      <c r="M44" s="138"/>
      <c r="N44" s="138"/>
    </row>
    <row r="45" spans="1:22">
      <c r="E45" s="138"/>
      <c r="F45" s="138"/>
      <c r="G45" s="138"/>
      <c r="H45" s="138"/>
      <c r="I45" s="138"/>
      <c r="J45" s="138"/>
      <c r="K45" s="138"/>
      <c r="L45" s="138"/>
      <c r="M45" s="138"/>
      <c r="N45" s="138"/>
    </row>
    <row r="46" spans="1:22">
      <c r="E46" s="138"/>
      <c r="F46" s="138"/>
      <c r="G46" s="138"/>
      <c r="H46" s="138"/>
      <c r="I46" s="138"/>
      <c r="J46" s="138"/>
      <c r="K46" s="138"/>
      <c r="L46" s="138"/>
      <c r="M46" s="138"/>
      <c r="N46" s="138"/>
    </row>
    <row r="47" spans="1:22">
      <c r="E47" s="138"/>
      <c r="F47" s="138"/>
      <c r="G47" s="138"/>
      <c r="H47" s="138"/>
      <c r="I47" s="138"/>
      <c r="J47" s="138"/>
      <c r="K47" s="138"/>
      <c r="L47" s="138"/>
      <c r="M47" s="138"/>
      <c r="N47" s="138"/>
    </row>
    <row r="48" spans="1:22">
      <c r="E48" s="138"/>
      <c r="F48" s="138"/>
      <c r="G48" s="138"/>
      <c r="H48" s="138"/>
      <c r="I48" s="138"/>
      <c r="J48" s="138"/>
      <c r="K48" s="138"/>
      <c r="L48" s="138"/>
      <c r="M48" s="138"/>
      <c r="N48" s="138"/>
    </row>
    <row r="49" spans="5:14">
      <c r="E49" s="138"/>
      <c r="F49" s="138"/>
      <c r="G49" s="138"/>
      <c r="H49" s="138"/>
      <c r="I49" s="138"/>
      <c r="J49" s="138"/>
      <c r="K49" s="138"/>
      <c r="L49" s="138"/>
      <c r="M49" s="138"/>
      <c r="N49" s="138"/>
    </row>
    <row r="50" spans="5:14">
      <c r="E50" s="138"/>
      <c r="F50" s="138"/>
      <c r="G50" s="138"/>
      <c r="H50" s="138"/>
      <c r="I50" s="138"/>
      <c r="J50" s="138"/>
      <c r="K50" s="138"/>
      <c r="L50" s="138"/>
      <c r="M50" s="138"/>
      <c r="N50" s="138"/>
    </row>
    <row r="51" spans="5:14">
      <c r="E51" s="138"/>
      <c r="F51" s="138"/>
      <c r="G51" s="138"/>
      <c r="H51" s="138"/>
      <c r="I51" s="138"/>
      <c r="J51" s="138"/>
      <c r="K51" s="138"/>
      <c r="L51" s="138"/>
      <c r="M51" s="138"/>
      <c r="N51" s="138"/>
    </row>
    <row r="52" spans="5:14">
      <c r="E52" s="138"/>
      <c r="F52" s="138"/>
      <c r="G52" s="138"/>
      <c r="H52" s="138"/>
      <c r="I52" s="138"/>
      <c r="J52" s="138"/>
      <c r="K52" s="138"/>
      <c r="L52" s="138"/>
      <c r="M52" s="138"/>
      <c r="N52" s="138"/>
    </row>
    <row r="53" spans="5:14">
      <c r="E53" s="138"/>
      <c r="F53" s="138"/>
      <c r="G53" s="138"/>
      <c r="H53" s="138"/>
      <c r="I53" s="138"/>
      <c r="J53" s="138"/>
      <c r="K53" s="138"/>
      <c r="L53" s="138"/>
      <c r="M53" s="138"/>
      <c r="N53" s="138"/>
    </row>
    <row r="54" spans="5:14">
      <c r="E54" s="138"/>
      <c r="F54" s="138"/>
      <c r="G54" s="138"/>
      <c r="H54" s="138"/>
      <c r="I54" s="138"/>
      <c r="J54" s="138"/>
      <c r="K54" s="138"/>
      <c r="L54" s="138"/>
      <c r="M54" s="138"/>
      <c r="N54" s="138"/>
    </row>
    <row r="55" spans="5:14">
      <c r="E55" s="138"/>
      <c r="F55" s="138"/>
      <c r="G55" s="138"/>
      <c r="H55" s="138"/>
      <c r="I55" s="138"/>
      <c r="J55" s="138"/>
      <c r="K55" s="138"/>
      <c r="L55" s="138"/>
      <c r="M55" s="138"/>
      <c r="N55" s="138"/>
    </row>
    <row r="1048576" spans="21:21">
      <c r="U1048576" s="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DB0A7-9FC1-4DEE-A515-0E6F3009D7BB}">
  <sheetPr>
    <tabColor rgb="FFEFE973"/>
  </sheetPr>
  <dimension ref="A1:AW62"/>
  <sheetViews>
    <sheetView showGridLines="0" zoomScale="93" zoomScaleNormal="93" workbookViewId="0">
      <pane xSplit="3" ySplit="2" topLeftCell="D3" activePane="bottomRight" state="frozen"/>
      <selection pane="topRight" activeCell="H57" sqref="H57"/>
      <selection pane="bottomLeft" activeCell="H57" sqref="H57"/>
      <selection pane="bottomRight" activeCell="T28" sqref="T23:T28"/>
    </sheetView>
  </sheetViews>
  <sheetFormatPr defaultRowHeight="14.4"/>
  <cols>
    <col min="1" max="1" width="23.44140625" customWidth="1"/>
    <col min="2" max="2" width="25.33203125" customWidth="1"/>
    <col min="3" max="3" width="8.44140625" customWidth="1"/>
    <col min="4" max="20" width="9.5546875" bestFit="1" customWidth="1"/>
  </cols>
  <sheetData>
    <row r="1" spans="1:49" s="5" customFormat="1">
      <c r="A1" s="4" t="s">
        <v>254</v>
      </c>
    </row>
    <row r="2" spans="1:49">
      <c r="B2" t="s">
        <v>31</v>
      </c>
      <c r="C2" t="s">
        <v>32</v>
      </c>
      <c r="D2">
        <v>2005</v>
      </c>
      <c r="I2">
        <v>2010</v>
      </c>
      <c r="N2">
        <v>2015</v>
      </c>
      <c r="S2">
        <v>2020</v>
      </c>
      <c r="X2">
        <v>2025</v>
      </c>
      <c r="AC2">
        <v>2030</v>
      </c>
      <c r="AH2">
        <v>2035</v>
      </c>
      <c r="AM2">
        <v>2040</v>
      </c>
      <c r="AR2">
        <v>2045</v>
      </c>
      <c r="AW2">
        <v>2050</v>
      </c>
    </row>
    <row r="4" spans="1:49" s="121" customFormat="1">
      <c r="A4" s="121" t="s">
        <v>255</v>
      </c>
      <c r="B4" s="121" t="s">
        <v>256</v>
      </c>
      <c r="C4" s="121" t="s">
        <v>257</v>
      </c>
      <c r="D4" s="121">
        <v>99.990622999999999</v>
      </c>
      <c r="E4" s="121">
        <v>99.997191999999998</v>
      </c>
      <c r="F4" s="121">
        <v>100.088221</v>
      </c>
      <c r="G4" s="121">
        <v>97.473406000000011</v>
      </c>
      <c r="H4" s="121">
        <v>88.569503999999995</v>
      </c>
      <c r="I4" s="121">
        <v>93.214571000000007</v>
      </c>
      <c r="J4" s="121">
        <v>91.250167000000005</v>
      </c>
      <c r="K4" s="121">
        <v>87.860120999999992</v>
      </c>
      <c r="L4" s="121">
        <v>85.120678999999996</v>
      </c>
      <c r="M4" s="121">
        <v>87.033583000000007</v>
      </c>
      <c r="N4" s="121">
        <v>84.302239000000014</v>
      </c>
      <c r="O4" s="121">
        <v>84.01866099999998</v>
      </c>
      <c r="P4" s="121">
        <v>90.634032000000005</v>
      </c>
      <c r="Q4" s="121">
        <v>87.111025999999995</v>
      </c>
      <c r="R4" s="121">
        <v>86.765967000000003</v>
      </c>
      <c r="S4" s="121">
        <v>86.237262000000001</v>
      </c>
      <c r="T4" s="121">
        <v>90.078306999999995</v>
      </c>
    </row>
    <row r="5" spans="1:49" s="121" customFormat="1">
      <c r="A5" s="121" t="s">
        <v>37</v>
      </c>
      <c r="B5" s="121" t="s">
        <v>256</v>
      </c>
      <c r="C5" s="121" t="s">
        <v>257</v>
      </c>
      <c r="D5" s="123">
        <v>275.12525400000004</v>
      </c>
      <c r="E5" s="123">
        <v>269.57638299999996</v>
      </c>
      <c r="F5" s="123">
        <v>274.275846</v>
      </c>
      <c r="G5" s="123">
        <v>265.10807400000004</v>
      </c>
      <c r="H5" s="123">
        <v>229.18045999999998</v>
      </c>
      <c r="I5" s="123">
        <v>243.87311099999999</v>
      </c>
      <c r="J5" s="123">
        <v>244.295556</v>
      </c>
      <c r="K5" s="123">
        <v>239.70269500000001</v>
      </c>
      <c r="L5" s="123">
        <v>236.748516</v>
      </c>
      <c r="M5" s="123">
        <v>233.29776699999999</v>
      </c>
      <c r="N5" s="123">
        <v>233.50766300000001</v>
      </c>
      <c r="O5" s="123">
        <v>237.79920300000001</v>
      </c>
      <c r="P5" s="123">
        <v>240.06350800000001</v>
      </c>
      <c r="Q5" s="123">
        <v>242.46632</v>
      </c>
      <c r="R5" s="123">
        <v>239.23959500000001</v>
      </c>
      <c r="S5" s="123">
        <v>230.92330799999999</v>
      </c>
      <c r="T5" s="123">
        <v>240.34384899999998</v>
      </c>
    </row>
    <row r="6" spans="1:49" s="121" customFormat="1">
      <c r="A6" s="121" t="s">
        <v>258</v>
      </c>
      <c r="B6" s="121" t="s">
        <v>256</v>
      </c>
      <c r="C6" s="121" t="s">
        <v>257</v>
      </c>
      <c r="D6" s="123">
        <v>153.973433</v>
      </c>
      <c r="E6" s="123">
        <v>147.170885</v>
      </c>
      <c r="F6" s="123">
        <v>148.63916800000001</v>
      </c>
      <c r="G6" s="123">
        <v>142.21975499999999</v>
      </c>
      <c r="H6" s="123">
        <v>119.206153</v>
      </c>
      <c r="I6" s="123">
        <v>126.45740899999998</v>
      </c>
      <c r="J6" s="123">
        <v>125.23791</v>
      </c>
      <c r="K6" s="123">
        <v>122.01802600000001</v>
      </c>
      <c r="L6" s="123">
        <v>119.61184399999999</v>
      </c>
      <c r="M6" s="123">
        <v>116.21046399999999</v>
      </c>
      <c r="N6" s="123">
        <v>115.37357</v>
      </c>
      <c r="O6" s="123">
        <v>116.904408</v>
      </c>
      <c r="P6" s="123">
        <v>117.57363399999998</v>
      </c>
      <c r="Q6" s="123">
        <v>118.727169</v>
      </c>
      <c r="R6" s="123">
        <v>115.696699</v>
      </c>
      <c r="S6" s="123">
        <v>112.32516599999998</v>
      </c>
      <c r="T6" s="123">
        <v>117.67025000000001</v>
      </c>
    </row>
    <row r="7" spans="1:49" s="121" customFormat="1">
      <c r="A7" s="121" t="s">
        <v>259</v>
      </c>
      <c r="B7" s="121" t="s">
        <v>256</v>
      </c>
      <c r="C7" s="121" t="s">
        <v>257</v>
      </c>
      <c r="D7" s="123">
        <v>87.252589999999998</v>
      </c>
      <c r="E7" s="123">
        <v>87.20215300000001</v>
      </c>
      <c r="F7" s="123">
        <v>88.358376000000007</v>
      </c>
      <c r="G7" s="123">
        <v>86.265145000000004</v>
      </c>
      <c r="H7" s="123">
        <v>74.300823999999992</v>
      </c>
      <c r="I7" s="123">
        <v>79.588030000000003</v>
      </c>
      <c r="J7" s="123">
        <v>80.528220000000005</v>
      </c>
      <c r="K7" s="123">
        <v>79.129937000000012</v>
      </c>
      <c r="L7" s="123">
        <v>77.933982999999998</v>
      </c>
      <c r="M7" s="123">
        <v>78.251376999999991</v>
      </c>
      <c r="N7" s="123">
        <v>78.580681999999996</v>
      </c>
      <c r="O7" s="123">
        <v>79.617354999999989</v>
      </c>
      <c r="P7" s="123">
        <v>81.03699499999999</v>
      </c>
      <c r="Q7" s="123">
        <v>81.292179000000004</v>
      </c>
      <c r="R7" s="123">
        <v>80.233557000000005</v>
      </c>
      <c r="S7" s="123">
        <v>76.037876999999995</v>
      </c>
      <c r="T7" s="123">
        <v>79.831362999999996</v>
      </c>
    </row>
    <row r="8" spans="1:49" s="121" customFormat="1">
      <c r="A8" s="121" t="s">
        <v>260</v>
      </c>
      <c r="B8" s="121" t="s">
        <v>256</v>
      </c>
      <c r="C8" s="121" t="s">
        <v>257</v>
      </c>
      <c r="D8" s="123">
        <v>17.624980999999998</v>
      </c>
      <c r="E8" s="123">
        <v>18.387065999999997</v>
      </c>
      <c r="F8" s="123">
        <v>19.316372999999999</v>
      </c>
      <c r="G8" s="123">
        <v>18.262627999999999</v>
      </c>
      <c r="H8" s="123">
        <v>18.020872999999998</v>
      </c>
      <c r="I8" s="123">
        <v>19.552827000000001</v>
      </c>
      <c r="J8" s="123">
        <v>19.657035</v>
      </c>
      <c r="K8" s="123">
        <v>19.047060000000002</v>
      </c>
      <c r="L8" s="123">
        <v>19.584087</v>
      </c>
      <c r="M8" s="123">
        <v>19.985261999999999</v>
      </c>
      <c r="N8" s="123">
        <v>20.803288000000002</v>
      </c>
      <c r="O8" s="123">
        <v>21.709893000000001</v>
      </c>
      <c r="P8" s="123">
        <v>22.055516999999998</v>
      </c>
      <c r="Q8" s="123">
        <v>22.601830999999997</v>
      </c>
      <c r="R8" s="123">
        <v>23.106380000000001</v>
      </c>
      <c r="S8" s="123">
        <v>23.181768000000002</v>
      </c>
      <c r="T8" s="123">
        <v>23.310920999999997</v>
      </c>
    </row>
    <row r="9" spans="1:49" s="121" customFormat="1">
      <c r="A9" s="121" t="s">
        <v>261</v>
      </c>
      <c r="B9" s="121" t="s">
        <v>256</v>
      </c>
      <c r="C9" s="121" t="s">
        <v>257</v>
      </c>
      <c r="D9" s="123">
        <v>16.207034</v>
      </c>
      <c r="E9" s="123">
        <v>16.764237000000001</v>
      </c>
      <c r="F9" s="123">
        <v>17.887464999999999</v>
      </c>
      <c r="G9" s="123">
        <v>18.290436</v>
      </c>
      <c r="H9" s="123">
        <v>17.620159999999998</v>
      </c>
      <c r="I9" s="123">
        <v>18.230786000000002</v>
      </c>
      <c r="J9" s="123">
        <v>18.820171999999999</v>
      </c>
      <c r="K9" s="123">
        <v>19.466152000000001</v>
      </c>
      <c r="L9" s="123">
        <v>19.582330999999996</v>
      </c>
      <c r="M9" s="123">
        <v>18.816755000000001</v>
      </c>
      <c r="N9" s="123">
        <v>18.735153</v>
      </c>
      <c r="O9" s="123">
        <v>19.557802000000002</v>
      </c>
      <c r="P9" s="123">
        <v>19.377378</v>
      </c>
      <c r="Q9" s="123">
        <v>19.822710999999998</v>
      </c>
      <c r="R9" s="123">
        <v>20.183070999999998</v>
      </c>
      <c r="S9" s="123">
        <v>19.377115</v>
      </c>
      <c r="T9" s="123">
        <v>19.531317000000001</v>
      </c>
    </row>
    <row r="10" spans="1:49" s="121" customFormat="1">
      <c r="A10" s="121" t="s">
        <v>262</v>
      </c>
      <c r="B10" s="121" t="s">
        <v>263</v>
      </c>
      <c r="D10" s="123"/>
      <c r="E10" s="123"/>
      <c r="F10" s="123"/>
      <c r="G10" s="123"/>
      <c r="H10" s="123"/>
      <c r="I10" s="123"/>
      <c r="J10" s="123"/>
      <c r="K10" s="123"/>
      <c r="L10" s="123"/>
      <c r="M10" s="123"/>
      <c r="N10" s="123"/>
      <c r="O10" s="123"/>
      <c r="P10" s="123"/>
      <c r="Q10" s="123"/>
      <c r="R10" s="123"/>
      <c r="S10" s="123"/>
      <c r="T10" s="123"/>
      <c r="AC10" s="133">
        <v>323.02966115999999</v>
      </c>
      <c r="AM10" s="133">
        <v>239.02752296</v>
      </c>
      <c r="AW10" s="133">
        <v>231.86930834</v>
      </c>
    </row>
    <row r="11" spans="1:49" s="121" customFormat="1">
      <c r="A11" s="121" t="s">
        <v>264</v>
      </c>
      <c r="B11" s="121" t="s">
        <v>263</v>
      </c>
      <c r="D11" s="123"/>
      <c r="E11" s="123"/>
      <c r="F11" s="123"/>
      <c r="G11" s="123"/>
      <c r="H11" s="123"/>
      <c r="I11" s="123"/>
      <c r="J11" s="123"/>
      <c r="K11" s="123"/>
      <c r="L11" s="123"/>
      <c r="M11" s="123"/>
      <c r="N11" s="123"/>
      <c r="O11" s="123"/>
      <c r="P11" s="123"/>
      <c r="Q11" s="123"/>
      <c r="R11" s="123"/>
      <c r="S11" s="123"/>
      <c r="T11" s="123"/>
      <c r="AC11" s="133">
        <v>1.951371819999963</v>
      </c>
      <c r="AM11" s="133">
        <v>12.685111059999997</v>
      </c>
      <c r="AW11" s="133">
        <v>17.442923379999996</v>
      </c>
    </row>
    <row r="12" spans="1:49" s="121" customFormat="1">
      <c r="A12" s="121" t="s">
        <v>265</v>
      </c>
      <c r="B12" s="121" t="s">
        <v>50</v>
      </c>
      <c r="C12" s="121" t="s">
        <v>257</v>
      </c>
      <c r="T12" s="123"/>
      <c r="AC12" s="123">
        <v>211.31299999999999</v>
      </c>
    </row>
    <row r="13" spans="1:49" s="121" customFormat="1">
      <c r="A13" s="121" t="s">
        <v>266</v>
      </c>
      <c r="B13" s="121" t="s">
        <v>267</v>
      </c>
      <c r="T13" s="123"/>
      <c r="AC13" s="123">
        <v>196</v>
      </c>
    </row>
    <row r="14" spans="1:49" s="121" customFormat="1">
      <c r="A14" s="121" t="s">
        <v>52</v>
      </c>
      <c r="B14" s="121" t="s">
        <v>154</v>
      </c>
      <c r="C14" s="121" t="s">
        <v>257</v>
      </c>
      <c r="AW14" s="123">
        <v>218.7342315463078</v>
      </c>
    </row>
    <row r="15" spans="1:49" s="121" customFormat="1">
      <c r="A15" s="121" t="s">
        <v>47</v>
      </c>
      <c r="C15" s="121" t="s">
        <v>257</v>
      </c>
      <c r="T15" s="123">
        <v>240.34384899999998</v>
      </c>
      <c r="U15" s="123">
        <v>237.1181991111111</v>
      </c>
      <c r="V15" s="123">
        <v>233.89254922222219</v>
      </c>
      <c r="W15" s="123">
        <v>230.6668993333333</v>
      </c>
      <c r="X15" s="123">
        <v>227.44124944444442</v>
      </c>
      <c r="Y15" s="123">
        <v>224.21559955555554</v>
      </c>
      <c r="Z15" s="123">
        <v>220.98994966666663</v>
      </c>
      <c r="AA15" s="123">
        <v>217.76429977777775</v>
      </c>
      <c r="AB15" s="123">
        <v>214.53864988888887</v>
      </c>
      <c r="AC15" s="123">
        <v>211.31299999999999</v>
      </c>
      <c r="AD15" s="123">
        <v>209.85414885699998</v>
      </c>
      <c r="AE15" s="123">
        <v>208.39529771400001</v>
      </c>
      <c r="AF15" s="123">
        <v>206.936446571</v>
      </c>
      <c r="AG15" s="123">
        <v>205.477595428</v>
      </c>
      <c r="AH15" s="123">
        <v>204.018744285</v>
      </c>
      <c r="AI15" s="123">
        <v>202.55989314200002</v>
      </c>
      <c r="AJ15" s="123">
        <v>201.10104199900002</v>
      </c>
      <c r="AK15" s="123">
        <v>199.64219085600001</v>
      </c>
      <c r="AL15" s="123">
        <v>198.18333971300001</v>
      </c>
      <c r="AM15" s="123">
        <v>196.72448857000001</v>
      </c>
      <c r="AN15" s="123">
        <v>195.26563742700003</v>
      </c>
      <c r="AO15" s="123">
        <v>193.80678628400003</v>
      </c>
      <c r="AP15" s="123">
        <v>192.34793514100002</v>
      </c>
      <c r="AQ15" s="123">
        <v>190.88908399800002</v>
      </c>
      <c r="AR15" s="123">
        <v>189.43023285500004</v>
      </c>
      <c r="AS15" s="123">
        <v>187.97138171200004</v>
      </c>
      <c r="AT15" s="123">
        <v>186.51253056900003</v>
      </c>
      <c r="AU15" s="123">
        <v>185.05367942600003</v>
      </c>
      <c r="AV15" s="123">
        <v>183.59482828300003</v>
      </c>
      <c r="AW15" s="123">
        <v>182.13597714000005</v>
      </c>
    </row>
    <row r="16" spans="1:49" s="121" customFormat="1">
      <c r="A16" s="121" t="s">
        <v>268</v>
      </c>
      <c r="C16" s="121" t="s">
        <v>257</v>
      </c>
      <c r="AC16" s="123">
        <v>211.31299999999999</v>
      </c>
      <c r="AD16" s="123">
        <v>208.80336437349999</v>
      </c>
      <c r="AE16" s="123">
        <v>206.29372874699999</v>
      </c>
      <c r="AF16" s="123">
        <v>203.78409312049999</v>
      </c>
      <c r="AG16" s="123">
        <v>201.27445749399999</v>
      </c>
      <c r="AH16" s="123">
        <v>198.76482186749999</v>
      </c>
      <c r="AI16" s="123">
        <v>196.25518624099999</v>
      </c>
      <c r="AJ16" s="123">
        <v>193.74555061449999</v>
      </c>
      <c r="AK16" s="123">
        <v>191.23591498799999</v>
      </c>
      <c r="AL16" s="123">
        <v>188.72627936149999</v>
      </c>
      <c r="AM16" s="123">
        <v>186.21664373499999</v>
      </c>
      <c r="AN16" s="123">
        <v>183.70700810849999</v>
      </c>
      <c r="AO16" s="123">
        <v>181.19737248199999</v>
      </c>
      <c r="AP16" s="123">
        <v>178.68773685549999</v>
      </c>
      <c r="AQ16" s="123">
        <v>176.17810122899999</v>
      </c>
      <c r="AR16" s="123">
        <v>173.66846560249999</v>
      </c>
      <c r="AS16" s="123">
        <v>171.15882997599999</v>
      </c>
      <c r="AT16" s="123">
        <v>168.64919434949999</v>
      </c>
      <c r="AU16" s="123">
        <v>166.13955872299999</v>
      </c>
      <c r="AV16" s="123">
        <v>163.62992309649999</v>
      </c>
      <c r="AW16" s="123">
        <v>161.12028746999999</v>
      </c>
    </row>
    <row r="17" spans="1:49" s="121" customFormat="1"/>
    <row r="18" spans="1:49" s="121" customFormat="1">
      <c r="A18" s="121" t="s">
        <v>61</v>
      </c>
      <c r="D18" s="133">
        <v>7.0085249999991106E-2</v>
      </c>
    </row>
    <row r="19" spans="1:49" s="121" customFormat="1">
      <c r="A19" s="121" t="s">
        <v>237</v>
      </c>
      <c r="D19" s="123">
        <v>-3.2256498888888814</v>
      </c>
      <c r="U19" s="123"/>
    </row>
    <row r="20" spans="1:49" s="121" customFormat="1">
      <c r="A20" s="121" t="s">
        <v>269</v>
      </c>
      <c r="D20" s="123">
        <v>-1.458851143000004</v>
      </c>
    </row>
    <row r="21" spans="1:49" s="121" customFormat="1">
      <c r="A21" s="121" t="s">
        <v>270</v>
      </c>
      <c r="D21" s="123">
        <v>-2.5096356264999997</v>
      </c>
    </row>
    <row r="22" spans="1:49">
      <c r="D22" s="1"/>
    </row>
    <row r="23" spans="1:49">
      <c r="A23" t="s">
        <v>255</v>
      </c>
      <c r="B23" t="s">
        <v>256</v>
      </c>
      <c r="C23" t="s">
        <v>271</v>
      </c>
      <c r="D23">
        <f>D4*'conversion factor'!$E$6</f>
        <v>1162.8909454900001</v>
      </c>
      <c r="E23">
        <f>E4*'conversion factor'!$E$6</f>
        <v>1162.9673429600002</v>
      </c>
      <c r="F23">
        <f>F4*'conversion factor'!$E$6</f>
        <v>1164.0260102300003</v>
      </c>
      <c r="G23">
        <f>G4*'conversion factor'!$E$6</f>
        <v>1133.6157117800003</v>
      </c>
      <c r="H23">
        <f>H4*'conversion factor'!$E$6</f>
        <v>1030.0633315200002</v>
      </c>
      <c r="I23">
        <f>I4*'conversion factor'!$E$6</f>
        <v>1084.0854607300002</v>
      </c>
      <c r="J23">
        <f>J4*'conversion factor'!$E$6</f>
        <v>1061.2394422100003</v>
      </c>
      <c r="K23">
        <f>K4*'conversion factor'!$E$6</f>
        <v>1021.8132072300001</v>
      </c>
      <c r="L23">
        <f>L4*'conversion factor'!$E$6</f>
        <v>989.95349677000013</v>
      </c>
      <c r="M23">
        <f>M4*'conversion factor'!$E$6</f>
        <v>1012.2005702900003</v>
      </c>
      <c r="N23">
        <f>N4*'conversion factor'!$E$6</f>
        <v>980.43503957000041</v>
      </c>
      <c r="O23">
        <f>O4*'conversion factor'!$E$6</f>
        <v>977.13702742999999</v>
      </c>
      <c r="P23">
        <f>P4*'conversion factor'!$E$6</f>
        <v>1054.0737921600003</v>
      </c>
      <c r="Q23">
        <f>Q4*'conversion factor'!$E$6</f>
        <v>1013.1012323800002</v>
      </c>
      <c r="R23">
        <f>R4*'conversion factor'!$E$6</f>
        <v>1009.0881962100002</v>
      </c>
      <c r="S23">
        <f>S4*'conversion factor'!$E$6</f>
        <v>1002.9393570600002</v>
      </c>
      <c r="T23">
        <f>T4*'conversion factor'!$E$6</f>
        <v>1047.6107104100001</v>
      </c>
    </row>
    <row r="24" spans="1:49">
      <c r="A24" t="s">
        <v>37</v>
      </c>
      <c r="B24" t="s">
        <v>256</v>
      </c>
      <c r="C24" t="s">
        <v>271</v>
      </c>
      <c r="D24">
        <f>D5*'conversion factor'!$E$6</f>
        <v>3199.7067040200013</v>
      </c>
      <c r="E24">
        <f>E5*'conversion factor'!$E$6</f>
        <v>3135.1733342900002</v>
      </c>
      <c r="F24">
        <f>F5*'conversion factor'!$E$6</f>
        <v>3189.8280889800008</v>
      </c>
      <c r="G24">
        <f>G5*'conversion factor'!$E$6</f>
        <v>3083.2069006200013</v>
      </c>
      <c r="H24">
        <f>H5*'conversion factor'!$E$6</f>
        <v>2665.3687498000004</v>
      </c>
      <c r="I24">
        <f>I5*'conversion factor'!$E$6</f>
        <v>2836.2442809300005</v>
      </c>
      <c r="J24">
        <f>J5*'conversion factor'!$E$6</f>
        <v>2841.1573162800005</v>
      </c>
      <c r="K24">
        <f>K5*'conversion factor'!$E$6</f>
        <v>2787.7423428500006</v>
      </c>
      <c r="L24">
        <f>L5*'conversion factor'!$E$6</f>
        <v>2753.3852410800005</v>
      </c>
      <c r="M24">
        <f>M5*'conversion factor'!$E$6</f>
        <v>2713.2530302100004</v>
      </c>
      <c r="N24">
        <f>N5*'conversion factor'!$E$6</f>
        <v>2715.6941206900005</v>
      </c>
      <c r="O24">
        <f>O5*'conversion factor'!$E$6</f>
        <v>2765.6047308900006</v>
      </c>
      <c r="P24">
        <f>P5*'conversion factor'!$E$6</f>
        <v>2791.9385980400007</v>
      </c>
      <c r="Q24">
        <f>Q5*'conversion factor'!$E$6</f>
        <v>2819.8833016000008</v>
      </c>
      <c r="R24">
        <f>R5*'conversion factor'!$E$6</f>
        <v>2782.3564898500008</v>
      </c>
      <c r="S24">
        <f>S5*'conversion factor'!$E$6</f>
        <v>2685.6380720400007</v>
      </c>
      <c r="T24">
        <f>T5*'conversion factor'!$E$6</f>
        <v>2795.1989638700002</v>
      </c>
    </row>
    <row r="25" spans="1:49">
      <c r="A25" t="s">
        <v>258</v>
      </c>
      <c r="B25" t="s">
        <v>256</v>
      </c>
      <c r="C25" t="s">
        <v>271</v>
      </c>
      <c r="D25">
        <f>D6*'conversion factor'!$E$6</f>
        <v>1790.7110257900003</v>
      </c>
      <c r="E25">
        <f>E6*'conversion factor'!$E$6</f>
        <v>1711.5973925500004</v>
      </c>
      <c r="F25">
        <f>F6*'conversion factor'!$E$6</f>
        <v>1728.6735238400006</v>
      </c>
      <c r="G25">
        <f>G6*'conversion factor'!$E$6</f>
        <v>1654.0157506500002</v>
      </c>
      <c r="H25">
        <f>H6*'conversion factor'!$E$6</f>
        <v>1386.3675593900002</v>
      </c>
      <c r="I25">
        <f>I6*'conversion factor'!$E$6</f>
        <v>1470.6996666700002</v>
      </c>
      <c r="J25">
        <f>J6*'conversion factor'!$E$6</f>
        <v>1456.5168933000002</v>
      </c>
      <c r="K25">
        <f>K6*'conversion factor'!$E$6</f>
        <v>1419.0696423800005</v>
      </c>
      <c r="L25">
        <f>L6*'conversion factor'!$E$6</f>
        <v>1391.0857457200002</v>
      </c>
      <c r="M25">
        <f>M6*'conversion factor'!$E$6</f>
        <v>1351.5276963200001</v>
      </c>
      <c r="N25">
        <f>N6*'conversion factor'!$E$6</f>
        <v>1341.7946191000003</v>
      </c>
      <c r="O25">
        <f>O6*'conversion factor'!$E$6</f>
        <v>1359.5982650400003</v>
      </c>
      <c r="P25">
        <f>P6*'conversion factor'!$E$6</f>
        <v>1367.3813634200001</v>
      </c>
      <c r="Q25">
        <f>Q6*'conversion factor'!$E$6</f>
        <v>1380.7969754700002</v>
      </c>
      <c r="R25">
        <f>R6*'conversion factor'!$E$6</f>
        <v>1345.5526093700003</v>
      </c>
      <c r="S25">
        <f>S6*'conversion factor'!$E$6</f>
        <v>1306.34168058</v>
      </c>
      <c r="T25">
        <f>T6*'conversion factor'!$E$6</f>
        <v>1368.5050075000004</v>
      </c>
    </row>
    <row r="26" spans="1:49">
      <c r="A26" t="s">
        <v>259</v>
      </c>
      <c r="B26" t="s">
        <v>256</v>
      </c>
      <c r="C26" t="s">
        <v>271</v>
      </c>
      <c r="D26">
        <f>D7*'conversion factor'!$E$6</f>
        <v>1014.7476217000002</v>
      </c>
      <c r="E26">
        <f>E7*'conversion factor'!$E$6</f>
        <v>1014.1610393900004</v>
      </c>
      <c r="F26">
        <f>F7*'conversion factor'!$E$6</f>
        <v>1027.6079128800004</v>
      </c>
      <c r="G26">
        <f>G7*'conversion factor'!$E$6</f>
        <v>1003.2636363500003</v>
      </c>
      <c r="H26">
        <f>H7*'conversion factor'!$E$6</f>
        <v>864.11858312000004</v>
      </c>
      <c r="I26">
        <f>I7*'conversion factor'!$E$6</f>
        <v>925.60878890000026</v>
      </c>
      <c r="J26">
        <f>J7*'conversion factor'!$E$6</f>
        <v>936.54319860000021</v>
      </c>
      <c r="K26">
        <f>K7*'conversion factor'!$E$6</f>
        <v>920.28116731000034</v>
      </c>
      <c r="L26">
        <f>L7*'conversion factor'!$E$6</f>
        <v>906.3722222900002</v>
      </c>
      <c r="M26">
        <f>M7*'conversion factor'!$E$6</f>
        <v>910.06351451000012</v>
      </c>
      <c r="N26">
        <f>N7*'conversion factor'!$E$6</f>
        <v>913.89333166000017</v>
      </c>
      <c r="O26">
        <f>O7*'conversion factor'!$E$6</f>
        <v>925.94983865000006</v>
      </c>
      <c r="P26">
        <f>P7*'conversion factor'!$E$6</f>
        <v>942.46025185000008</v>
      </c>
      <c r="Q26">
        <f>Q7*'conversion factor'!$E$6</f>
        <v>945.42804177000028</v>
      </c>
      <c r="R26">
        <f>R7*'conversion factor'!$E$6</f>
        <v>933.11626791000026</v>
      </c>
      <c r="S26">
        <f>S7*'conversion factor'!$E$6</f>
        <v>884.32050951000008</v>
      </c>
      <c r="T26">
        <f>T7*'conversion factor'!$E$6</f>
        <v>928.43875169000012</v>
      </c>
    </row>
    <row r="27" spans="1:49">
      <c r="A27" t="s">
        <v>260</v>
      </c>
      <c r="B27" t="s">
        <v>256</v>
      </c>
      <c r="C27" t="s">
        <v>271</v>
      </c>
      <c r="D27">
        <f>D8*'conversion factor'!$E$6</f>
        <v>204.97852903000003</v>
      </c>
      <c r="E27">
        <f>E8*'conversion factor'!$E$6</f>
        <v>213.84157758000001</v>
      </c>
      <c r="F27">
        <f>F8*'conversion factor'!$E$6</f>
        <v>224.64941799000005</v>
      </c>
      <c r="G27">
        <f>G8*'conversion factor'!$E$6</f>
        <v>212.39436364000005</v>
      </c>
      <c r="H27">
        <f>H8*'conversion factor'!$E$6</f>
        <v>209.58275299000002</v>
      </c>
      <c r="I27">
        <f>I8*'conversion factor'!$E$6</f>
        <v>227.39937801000005</v>
      </c>
      <c r="J27">
        <f>J8*'conversion factor'!$E$6</f>
        <v>228.61131705000005</v>
      </c>
      <c r="K27">
        <f>K8*'conversion factor'!$E$6</f>
        <v>221.51730780000008</v>
      </c>
      <c r="L27">
        <f>L8*'conversion factor'!$E$6</f>
        <v>227.76293181000005</v>
      </c>
      <c r="M27">
        <f>M8*'conversion factor'!$E$6</f>
        <v>232.42859706000004</v>
      </c>
      <c r="N27">
        <f>N8*'conversion factor'!$E$6</f>
        <v>241.94223944000007</v>
      </c>
      <c r="O27">
        <f>O8*'conversion factor'!$E$6</f>
        <v>252.48605559000006</v>
      </c>
      <c r="P27">
        <f>P8*'conversion factor'!$E$6</f>
        <v>256.50566271000002</v>
      </c>
      <c r="Q27">
        <f>Q8*'conversion factor'!$E$6</f>
        <v>262.85929453</v>
      </c>
      <c r="R27">
        <f>R8*'conversion factor'!$E$6</f>
        <v>268.72719940000007</v>
      </c>
      <c r="S27">
        <f>S8*'conversion factor'!$E$6</f>
        <v>269.60396184000007</v>
      </c>
      <c r="T27">
        <f>T8*'conversion factor'!$E$6</f>
        <v>271.10601123000004</v>
      </c>
    </row>
    <row r="28" spans="1:49">
      <c r="A28" t="s">
        <v>261</v>
      </c>
      <c r="B28" t="s">
        <v>256</v>
      </c>
      <c r="C28" t="s">
        <v>271</v>
      </c>
      <c r="D28">
        <f>D9*'conversion factor'!$E$6</f>
        <v>188.48780542000003</v>
      </c>
      <c r="E28">
        <f>E9*'conversion factor'!$E$6</f>
        <v>194.96807631000007</v>
      </c>
      <c r="F28">
        <f>F9*'conversion factor'!$E$6</f>
        <v>208.03121795000004</v>
      </c>
      <c r="G28">
        <f>G9*'conversion factor'!$E$6</f>
        <v>212.71777068000003</v>
      </c>
      <c r="H28">
        <f>H9*'conversion factor'!$E$6</f>
        <v>204.92246080000004</v>
      </c>
      <c r="I28">
        <f>I9*'conversion factor'!$E$6</f>
        <v>212.02404118000007</v>
      </c>
      <c r="J28">
        <f>J9*'conversion factor'!$E$6</f>
        <v>218.87860036000004</v>
      </c>
      <c r="K28">
        <f>K9*'conversion factor'!$E$6</f>
        <v>226.39134776000006</v>
      </c>
      <c r="L28">
        <f>L9*'conversion factor'!$E$6</f>
        <v>227.74250953000001</v>
      </c>
      <c r="M28">
        <f>M9*'conversion factor'!$E$6</f>
        <v>218.83886065000004</v>
      </c>
      <c r="N28">
        <f>N9*'conversion factor'!$E$6</f>
        <v>217.88982939000005</v>
      </c>
      <c r="O28">
        <f>O9*'conversion factor'!$E$6</f>
        <v>227.45723726000008</v>
      </c>
      <c r="P28">
        <f>P9*'conversion factor'!$E$6</f>
        <v>225.35890614000004</v>
      </c>
      <c r="Q28">
        <f>Q9*'conversion factor'!$E$6</f>
        <v>230.53812893000003</v>
      </c>
      <c r="R28">
        <f>R9*'conversion factor'!$E$6</f>
        <v>234.72911573000002</v>
      </c>
      <c r="S28">
        <f>S9*'conversion factor'!$E$6</f>
        <v>225.35584745000006</v>
      </c>
      <c r="T28">
        <f>T9*'conversion factor'!$E$6</f>
        <v>227.14921671000008</v>
      </c>
    </row>
    <row r="29" spans="1:49">
      <c r="A29" t="s">
        <v>262</v>
      </c>
      <c r="B29" t="s">
        <v>263</v>
      </c>
      <c r="C29" t="s">
        <v>271</v>
      </c>
      <c r="D29" s="1"/>
      <c r="E29" s="1"/>
      <c r="F29" s="1"/>
      <c r="G29" s="137"/>
      <c r="H29" s="137"/>
      <c r="I29" s="137"/>
      <c r="J29" s="137"/>
      <c r="K29" s="137"/>
      <c r="L29" s="137"/>
      <c r="M29" s="137"/>
      <c r="N29" s="137"/>
      <c r="O29" s="137"/>
      <c r="P29" s="137"/>
      <c r="Q29" s="137"/>
      <c r="R29" s="137"/>
      <c r="S29" s="1"/>
      <c r="T29" s="1"/>
      <c r="AC29">
        <f>AC10*'conversion factor'!$E$6</f>
        <v>3756.8349592908007</v>
      </c>
      <c r="AM29">
        <f>AM10*'conversion factor'!$E$6</f>
        <v>2779.8900920248007</v>
      </c>
      <c r="AW29">
        <f>AW10*'conversion factor'!$E$6</f>
        <v>2696.6400559942008</v>
      </c>
    </row>
    <row r="30" spans="1:49">
      <c r="A30" t="s">
        <v>264</v>
      </c>
      <c r="B30" t="s">
        <v>263</v>
      </c>
      <c r="C30" t="s">
        <v>271</v>
      </c>
      <c r="D30" s="1"/>
      <c r="E30" s="1"/>
      <c r="F30" s="1"/>
      <c r="G30" s="137"/>
      <c r="H30" s="137"/>
      <c r="I30" s="137"/>
      <c r="J30" s="137"/>
      <c r="K30" s="137"/>
      <c r="L30" s="137"/>
      <c r="M30" s="137"/>
      <c r="N30" s="137"/>
      <c r="O30" s="137"/>
      <c r="P30" s="137"/>
      <c r="Q30" s="137"/>
      <c r="R30" s="137"/>
      <c r="S30" s="1"/>
      <c r="T30" s="1"/>
      <c r="AC30">
        <f>AC11*'conversion factor'!$E$6</f>
        <v>22.694454266599575</v>
      </c>
      <c r="AM30">
        <f>AM11*'conversion factor'!$E$6</f>
        <v>147.5278416278</v>
      </c>
      <c r="AW30">
        <f>AW11*'conversion factor'!$E$6</f>
        <v>202.8611989094</v>
      </c>
    </row>
    <row r="31" spans="1:49">
      <c r="A31" t="s">
        <v>265</v>
      </c>
      <c r="B31" t="s">
        <v>50</v>
      </c>
      <c r="C31" t="s">
        <v>271</v>
      </c>
      <c r="G31" s="138"/>
      <c r="H31" s="138"/>
      <c r="I31" s="138"/>
      <c r="J31" s="138"/>
      <c r="K31" s="138"/>
      <c r="L31" s="138"/>
      <c r="M31" s="138"/>
      <c r="N31" s="138"/>
      <c r="O31" s="138"/>
      <c r="P31" s="138"/>
      <c r="Q31" s="138"/>
      <c r="R31" s="138"/>
      <c r="T31" s="1"/>
      <c r="AC31">
        <f>AC12*'conversion factor'!$E$6</f>
        <v>2457.5701900000004</v>
      </c>
    </row>
    <row r="32" spans="1:49">
      <c r="A32" t="s">
        <v>266</v>
      </c>
      <c r="B32" t="s">
        <v>267</v>
      </c>
      <c r="C32" t="s">
        <v>271</v>
      </c>
      <c r="G32" s="138"/>
      <c r="H32" s="138"/>
      <c r="I32" s="138"/>
      <c r="J32" s="138"/>
      <c r="K32" s="138"/>
      <c r="L32" s="138"/>
      <c r="M32" s="138"/>
      <c r="N32" s="138"/>
      <c r="O32" s="138"/>
      <c r="P32" s="138"/>
      <c r="Q32" s="138"/>
      <c r="R32" s="138"/>
      <c r="T32" s="1"/>
      <c r="AC32">
        <f>AC13*'conversion factor'!$E$6</f>
        <v>2279.4800000000005</v>
      </c>
    </row>
    <row r="33" spans="1:49">
      <c r="A33" t="s">
        <v>52</v>
      </c>
      <c r="B33" t="s">
        <v>154</v>
      </c>
      <c r="C33" t="s">
        <v>271</v>
      </c>
      <c r="G33" s="138"/>
      <c r="H33" s="138"/>
      <c r="I33" s="138"/>
      <c r="J33" s="138"/>
      <c r="K33" s="138"/>
      <c r="L33" s="138"/>
      <c r="M33" s="138"/>
      <c r="N33" s="138"/>
      <c r="O33" s="138"/>
      <c r="P33" s="138"/>
      <c r="Q33" s="138"/>
      <c r="R33" s="138"/>
      <c r="AW33">
        <f>AW14*'conversion factor'!$E$6</f>
        <v>2543.8791128835601</v>
      </c>
    </row>
    <row r="34" spans="1:49">
      <c r="A34" t="s">
        <v>47</v>
      </c>
      <c r="C34" t="s">
        <v>271</v>
      </c>
      <c r="G34" s="138"/>
      <c r="H34" s="138"/>
      <c r="I34" s="138"/>
      <c r="J34" s="138"/>
      <c r="K34" s="138"/>
      <c r="L34" s="138"/>
      <c r="M34" s="138"/>
      <c r="N34" s="138"/>
      <c r="O34" s="138"/>
      <c r="P34" s="138"/>
      <c r="Q34" s="138"/>
      <c r="R34" s="138"/>
      <c r="T34">
        <f>T15*'conversion factor'!$E$6</f>
        <v>2795.1989638700002</v>
      </c>
      <c r="U34">
        <f>U15*'conversion factor'!$E$6</f>
        <v>2757.6846556622227</v>
      </c>
      <c r="V34">
        <f>V15*'conversion factor'!$E$6</f>
        <v>2720.1703474544447</v>
      </c>
      <c r="W34">
        <f>W15*'conversion factor'!$E$6</f>
        <v>2682.6560392466668</v>
      </c>
      <c r="X34">
        <f>X15*'conversion factor'!$E$6</f>
        <v>2645.1417310388892</v>
      </c>
      <c r="Y34">
        <f>Y15*'conversion factor'!$E$6</f>
        <v>2607.6274228311117</v>
      </c>
      <c r="Z34">
        <f>Z15*'conversion factor'!$E$6</f>
        <v>2570.1131146233333</v>
      </c>
      <c r="AA34">
        <f>AA15*'conversion factor'!$E$6</f>
        <v>2532.5988064155558</v>
      </c>
      <c r="AB34">
        <f>AB15*'conversion factor'!$E$6</f>
        <v>2495.0844982077783</v>
      </c>
      <c r="AC34">
        <f>AC15*'conversion factor'!$E$6</f>
        <v>2457.5701900000004</v>
      </c>
      <c r="AD34">
        <f>AD15*'conversion factor'!$E$6</f>
        <v>2440.6037512069101</v>
      </c>
      <c r="AE34">
        <f>AE15*'conversion factor'!$E$6</f>
        <v>2423.6373124138208</v>
      </c>
      <c r="AF34">
        <f>AF15*'conversion factor'!$E$6</f>
        <v>2406.6708736207306</v>
      </c>
      <c r="AG34">
        <f>AG15*'conversion factor'!$E$6</f>
        <v>2389.7044348276404</v>
      </c>
      <c r="AH34">
        <f>AH15*'conversion factor'!$E$6</f>
        <v>2372.7379960345506</v>
      </c>
      <c r="AI34">
        <f>AI15*'conversion factor'!$E$6</f>
        <v>2355.7715572414609</v>
      </c>
      <c r="AJ34">
        <f>AJ15*'conversion factor'!$E$6</f>
        <v>2338.8051184483706</v>
      </c>
      <c r="AK34">
        <f>AK15*'conversion factor'!$E$6</f>
        <v>2321.8386796552809</v>
      </c>
      <c r="AL34">
        <f>AL15*'conversion factor'!$E$6</f>
        <v>2304.8722408621907</v>
      </c>
      <c r="AM34">
        <f>AM15*'conversion factor'!$E$6</f>
        <v>2287.9058020691004</v>
      </c>
      <c r="AN34">
        <f>AN15*'conversion factor'!$E$6</f>
        <v>2270.9393632760107</v>
      </c>
      <c r="AO34">
        <f>AO15*'conversion factor'!$E$6</f>
        <v>2253.9729244829209</v>
      </c>
      <c r="AP34">
        <f>AP15*'conversion factor'!$E$6</f>
        <v>2237.0064856898307</v>
      </c>
      <c r="AQ34">
        <f>AQ15*'conversion factor'!$E$6</f>
        <v>2220.0400468967405</v>
      </c>
      <c r="AR34">
        <f>AR15*'conversion factor'!$E$6</f>
        <v>2203.0736081036512</v>
      </c>
      <c r="AS34">
        <f>AS15*'conversion factor'!$E$6</f>
        <v>2186.1071693105609</v>
      </c>
      <c r="AT34">
        <f>AT15*'conversion factor'!$E$6</f>
        <v>2169.1407305174707</v>
      </c>
      <c r="AU34">
        <f>AU15*'conversion factor'!$E$6</f>
        <v>2152.174291724381</v>
      </c>
      <c r="AV34">
        <f>AV15*'conversion factor'!$E$6</f>
        <v>2135.2078529312907</v>
      </c>
      <c r="AW34">
        <f>AW15*'conversion factor'!$E$6</f>
        <v>2118.241414138201</v>
      </c>
    </row>
    <row r="35" spans="1:49">
      <c r="A35" t="s">
        <v>268</v>
      </c>
      <c r="C35" t="s">
        <v>271</v>
      </c>
      <c r="G35" s="138"/>
      <c r="H35" s="138"/>
      <c r="I35" s="138"/>
      <c r="J35" s="138"/>
      <c r="K35" s="138"/>
      <c r="L35" s="138"/>
      <c r="M35" s="138"/>
      <c r="N35" s="138"/>
      <c r="O35" s="138"/>
      <c r="P35" s="138"/>
      <c r="Q35" s="138"/>
      <c r="R35" s="138"/>
      <c r="T35">
        <f>T24</f>
        <v>2795.1989638700002</v>
      </c>
      <c r="U35">
        <f>T35-($T35-$AC32)/9</f>
        <v>2737.8968567733336</v>
      </c>
      <c r="V35">
        <f t="shared" ref="V35:AC35" si="0">U35-($T35-$AC32)/9</f>
        <v>2680.5947496766671</v>
      </c>
      <c r="W35">
        <f t="shared" si="0"/>
        <v>2623.2926425800006</v>
      </c>
      <c r="X35">
        <f t="shared" si="0"/>
        <v>2565.990535483334</v>
      </c>
      <c r="Y35">
        <f t="shared" si="0"/>
        <v>2508.6884283866675</v>
      </c>
      <c r="Z35">
        <f t="shared" si="0"/>
        <v>2451.386321290001</v>
      </c>
      <c r="AA35">
        <f t="shared" si="0"/>
        <v>2394.0842141933344</v>
      </c>
      <c r="AB35">
        <f t="shared" si="0"/>
        <v>2336.7821070966679</v>
      </c>
      <c r="AC35">
        <f t="shared" si="0"/>
        <v>2279.4800000000014</v>
      </c>
      <c r="AD35">
        <f>AD16*'conversion factor'!$E$6</f>
        <v>2428.3831276638052</v>
      </c>
      <c r="AE35">
        <f>AE16*'conversion factor'!$E$6</f>
        <v>2399.1960653276105</v>
      </c>
      <c r="AF35">
        <f>AF16*'conversion factor'!$E$6</f>
        <v>2370.0090029914154</v>
      </c>
      <c r="AG35">
        <f>AG16*'conversion factor'!$E$6</f>
        <v>2340.8219406552203</v>
      </c>
      <c r="AH35">
        <f>AH16*'conversion factor'!$E$6</f>
        <v>2311.6348783190256</v>
      </c>
      <c r="AI35">
        <f>AI16*'conversion factor'!$E$6</f>
        <v>2282.4478159828304</v>
      </c>
      <c r="AJ35">
        <f>AJ16*'conversion factor'!$E$6</f>
        <v>2253.2607536466353</v>
      </c>
      <c r="AK35">
        <f>AK16*'conversion factor'!$E$6</f>
        <v>2224.0736913104402</v>
      </c>
      <c r="AL35">
        <f>AL16*'conversion factor'!$E$6</f>
        <v>2194.8866289742455</v>
      </c>
      <c r="AM35">
        <f>AM16*'conversion factor'!$E$6</f>
        <v>2165.6995666380503</v>
      </c>
      <c r="AN35">
        <f>AN16*'conversion factor'!$E$6</f>
        <v>2136.5125043018552</v>
      </c>
      <c r="AO35">
        <f>AO16*'conversion factor'!$E$6</f>
        <v>2107.3254419656605</v>
      </c>
      <c r="AP35">
        <f>AP16*'conversion factor'!$E$6</f>
        <v>2078.1383796294654</v>
      </c>
      <c r="AQ35">
        <f>AQ16*'conversion factor'!$E$6</f>
        <v>2048.9513172932702</v>
      </c>
      <c r="AR35">
        <f>AR16*'conversion factor'!$E$6</f>
        <v>2019.7642549570753</v>
      </c>
      <c r="AS35">
        <f>AS16*'conversion factor'!$E$6</f>
        <v>1990.5771926208804</v>
      </c>
      <c r="AT35">
        <f>AT16*'conversion factor'!$E$6</f>
        <v>1961.3901302846853</v>
      </c>
      <c r="AU35">
        <f>AU16*'conversion factor'!$E$6</f>
        <v>1932.2030679484903</v>
      </c>
      <c r="AV35">
        <f>AV16*'conversion factor'!$E$6</f>
        <v>1903.0160056122954</v>
      </c>
      <c r="AW35">
        <f>AW16*'conversion factor'!$E$6</f>
        <v>1873.8289432761003</v>
      </c>
    </row>
    <row r="36" spans="1:49">
      <c r="G36" s="138"/>
      <c r="H36" s="138"/>
      <c r="I36" s="138"/>
      <c r="J36" s="138"/>
      <c r="K36" s="138"/>
      <c r="L36" s="138"/>
      <c r="M36" s="138"/>
      <c r="N36" s="138"/>
      <c r="O36" s="138"/>
      <c r="P36" s="138"/>
      <c r="Q36" s="138"/>
      <c r="R36" s="138"/>
    </row>
    <row r="37" spans="1:49">
      <c r="A37" t="s">
        <v>61</v>
      </c>
      <c r="D37" s="40">
        <f>(T24-P24)/4</f>
        <v>0.8150914574998751</v>
      </c>
      <c r="G37" s="138"/>
      <c r="H37" s="138"/>
      <c r="I37" s="138"/>
      <c r="J37" s="138"/>
      <c r="K37" s="138"/>
      <c r="L37" s="138"/>
      <c r="M37" s="138"/>
      <c r="N37" s="138"/>
      <c r="O37" s="138"/>
      <c r="P37" s="138"/>
      <c r="Q37" s="138"/>
      <c r="R37" s="138"/>
    </row>
    <row r="38" spans="1:49">
      <c r="A38" t="s">
        <v>272</v>
      </c>
      <c r="D38" s="1">
        <f>U34-T34</f>
        <v>-37.514308207777503</v>
      </c>
      <c r="G38" s="138"/>
      <c r="H38" s="138"/>
      <c r="I38" s="138"/>
      <c r="J38" s="138"/>
      <c r="K38" s="138"/>
      <c r="L38" s="138"/>
      <c r="M38" s="138"/>
      <c r="N38" s="138"/>
      <c r="O38" s="138"/>
      <c r="P38" s="138"/>
      <c r="Q38" s="138"/>
      <c r="R38" s="138"/>
      <c r="U38" s="1"/>
    </row>
    <row r="39" spans="1:49">
      <c r="A39" t="s">
        <v>273</v>
      </c>
      <c r="D39" s="1">
        <f>U35-T35</f>
        <v>-57.302107096666532</v>
      </c>
      <c r="G39" s="138"/>
      <c r="H39" s="138"/>
      <c r="I39" s="138"/>
      <c r="J39" s="138"/>
      <c r="K39" s="138"/>
      <c r="L39" s="138"/>
      <c r="M39" s="138"/>
      <c r="N39" s="138"/>
      <c r="O39" s="138"/>
      <c r="P39" s="138"/>
      <c r="Q39" s="138"/>
      <c r="R39" s="138"/>
    </row>
    <row r="40" spans="1:49">
      <c r="A40" t="s">
        <v>269</v>
      </c>
      <c r="D40" s="1">
        <f>AD34-AC34</f>
        <v>-16.966438793090219</v>
      </c>
      <c r="G40" s="138"/>
      <c r="H40" s="138"/>
      <c r="I40" s="138"/>
      <c r="J40" s="138"/>
      <c r="K40" s="138"/>
      <c r="L40" s="138"/>
      <c r="M40" s="138"/>
      <c r="N40" s="138"/>
      <c r="O40" s="138"/>
      <c r="P40" s="138"/>
      <c r="Q40" s="138"/>
      <c r="R40" s="138"/>
    </row>
    <row r="41" spans="1:49">
      <c r="A41" t="s">
        <v>270</v>
      </c>
      <c r="D41" s="1">
        <f>AD35-AC35</f>
        <v>148.90312766380384</v>
      </c>
      <c r="G41" s="138"/>
      <c r="H41" s="138"/>
      <c r="I41" s="138"/>
      <c r="J41" s="138"/>
      <c r="K41" s="138"/>
      <c r="L41" s="138"/>
      <c r="M41" s="138"/>
      <c r="N41" s="138"/>
      <c r="O41" s="138"/>
      <c r="P41" s="138"/>
      <c r="Q41" s="138"/>
      <c r="R41" s="138"/>
    </row>
    <row r="42" spans="1:49">
      <c r="G42" s="138"/>
      <c r="H42" s="138"/>
      <c r="I42" s="138"/>
      <c r="J42" s="138"/>
      <c r="K42" s="138"/>
      <c r="L42" s="138"/>
      <c r="M42" s="138"/>
      <c r="N42" s="138"/>
      <c r="O42" s="138"/>
      <c r="P42" s="138"/>
      <c r="Q42" s="138"/>
      <c r="R42" s="138"/>
    </row>
    <row r="43" spans="1:49">
      <c r="G43" s="138"/>
      <c r="H43" s="138"/>
      <c r="I43" s="138"/>
      <c r="J43" s="138"/>
      <c r="K43" s="138"/>
      <c r="L43" s="138"/>
      <c r="M43" s="138"/>
      <c r="N43" s="138"/>
      <c r="O43" s="138"/>
      <c r="P43" s="138"/>
      <c r="Q43" s="138"/>
      <c r="R43" s="138"/>
    </row>
    <row r="44" spans="1:49">
      <c r="G44" s="139" t="s">
        <v>274</v>
      </c>
      <c r="H44" s="138"/>
      <c r="I44" s="138"/>
      <c r="J44" s="138"/>
      <c r="K44" s="138"/>
      <c r="L44" s="138"/>
      <c r="M44" s="138"/>
      <c r="N44" s="138"/>
      <c r="O44" s="138"/>
      <c r="P44" s="138"/>
      <c r="Q44" s="138"/>
      <c r="R44" s="138"/>
    </row>
    <row r="45" spans="1:49" s="5" customFormat="1">
      <c r="A45" s="4" t="s">
        <v>275</v>
      </c>
    </row>
    <row r="46" spans="1:49">
      <c r="A46" t="s">
        <v>276</v>
      </c>
      <c r="I46">
        <f>[3]Industry!V42</f>
        <v>403.73572455999999</v>
      </c>
      <c r="N46">
        <f>[3]Industry!AA42</f>
        <v>397.66187078000002</v>
      </c>
      <c r="S46">
        <f>[3]Industry!AF42</f>
        <v>389.83966427999997</v>
      </c>
      <c r="X46">
        <f>[3]Industry!AK42</f>
        <v>383.92344886000001</v>
      </c>
      <c r="AC46">
        <f>[3]Industry!AP42</f>
        <v>323.02966115999999</v>
      </c>
      <c r="AH46">
        <f>[3]Industry!AU42</f>
        <v>272.69286665999999</v>
      </c>
      <c r="AM46">
        <f>[3]Industry!AZ42</f>
        <v>239.02752296</v>
      </c>
      <c r="AR46">
        <f>[3]Industry!BE42</f>
        <v>232.96083456</v>
      </c>
      <c r="AW46">
        <f>[3]Industry!BJ42</f>
        <v>231.86930834</v>
      </c>
    </row>
    <row r="47" spans="1:49">
      <c r="A47" t="s">
        <v>277</v>
      </c>
      <c r="I47">
        <f>[3]Industry!V43</f>
        <v>403.73572455999999</v>
      </c>
      <c r="N47">
        <f>[3]Industry!AA43</f>
        <v>397.66187078000002</v>
      </c>
      <c r="S47">
        <f>[3]Industry!AF43</f>
        <v>389.83966427999997</v>
      </c>
      <c r="X47">
        <f>[3]Industry!AK43</f>
        <v>384.92182513999995</v>
      </c>
      <c r="AC47">
        <f>[3]Industry!AP43</f>
        <v>324.98103297999995</v>
      </c>
      <c r="AH47">
        <f>[3]Industry!AU43</f>
        <v>283.26896754000001</v>
      </c>
      <c r="AM47">
        <f>[3]Industry!AZ43</f>
        <v>251.71263402</v>
      </c>
      <c r="AR47">
        <f>[3]Industry!BE43</f>
        <v>245.22318819999998</v>
      </c>
      <c r="AW47">
        <f>[3]Industry!BJ43</f>
        <v>249.31223172</v>
      </c>
    </row>
    <row r="48" spans="1:49">
      <c r="A48" t="s">
        <v>278</v>
      </c>
      <c r="I48">
        <f>[3]Industry!V44</f>
        <v>403.73572455999999</v>
      </c>
      <c r="N48">
        <f>[3]Industry!AA44</f>
        <v>397.66187078000002</v>
      </c>
      <c r="S48">
        <f>[3]Industry!AF44</f>
        <v>389.83966427999997</v>
      </c>
      <c r="X48">
        <f>[3]Industry!AK44</f>
        <v>384.28888324000002</v>
      </c>
      <c r="AC48">
        <f>[3]Industry!AP44</f>
        <v>324.98103297999995</v>
      </c>
      <c r="AH48">
        <f>[3]Industry!AU44</f>
        <v>283.26896754000001</v>
      </c>
      <c r="AM48">
        <f>[3]Industry!AZ44</f>
        <v>251.71263402</v>
      </c>
      <c r="AR48">
        <f>[3]Industry!BE44</f>
        <v>238.64775781999998</v>
      </c>
      <c r="AW48">
        <f>[3]Industry!BJ44</f>
        <v>232.17741968000001</v>
      </c>
    </row>
    <row r="50" spans="1:49" s="5" customFormat="1">
      <c r="A50" s="4" t="s">
        <v>279</v>
      </c>
    </row>
    <row r="51" spans="1:49" ht="28.8">
      <c r="A51" s="130"/>
      <c r="B51" s="45"/>
      <c r="C51" s="45" t="s">
        <v>280</v>
      </c>
      <c r="D51" s="45" t="s">
        <v>281</v>
      </c>
      <c r="E51" s="45" t="s">
        <v>282</v>
      </c>
      <c r="F51" s="45" t="s">
        <v>283</v>
      </c>
      <c r="G51" s="45" t="s">
        <v>284</v>
      </c>
      <c r="H51" s="45" t="s">
        <v>285</v>
      </c>
      <c r="I51" s="45" t="s">
        <v>286</v>
      </c>
      <c r="J51" s="45" t="s">
        <v>287</v>
      </c>
      <c r="K51" s="45" t="s">
        <v>288</v>
      </c>
      <c r="L51" s="132" t="s">
        <v>37</v>
      </c>
      <c r="AC51">
        <v>2030</v>
      </c>
      <c r="AH51">
        <v>2035</v>
      </c>
      <c r="AM51">
        <v>2040</v>
      </c>
      <c r="AR51">
        <v>2045</v>
      </c>
      <c r="AW51">
        <v>2050</v>
      </c>
    </row>
    <row r="52" spans="1:49">
      <c r="A52" s="131">
        <v>2030</v>
      </c>
      <c r="B52" s="131" t="s">
        <v>289</v>
      </c>
      <c r="C52" s="46">
        <v>-0.46460531883548306</v>
      </c>
      <c r="D52" s="46">
        <v>-2.7419704509288962</v>
      </c>
      <c r="E52" s="46">
        <v>-2.646779806261236</v>
      </c>
      <c r="F52" s="46">
        <v>0</v>
      </c>
      <c r="G52" s="46">
        <v>-1.0885819394384895E-11</v>
      </c>
      <c r="H52" s="46">
        <v>-0.89588185924243646</v>
      </c>
      <c r="I52" s="46">
        <v>-1.1366724111551108</v>
      </c>
      <c r="J52" s="46">
        <v>-3.2022373112056357E-2</v>
      </c>
      <c r="K52" s="46">
        <v>-0.91600736164997443</v>
      </c>
      <c r="L52" s="1">
        <f t="shared" ref="L52:L60" si="1">SUM(C52:K52)</f>
        <v>-8.8339395811960788</v>
      </c>
    </row>
    <row r="53" spans="1:49">
      <c r="A53" s="131"/>
      <c r="B53" s="131" t="s">
        <v>290</v>
      </c>
      <c r="C53" s="46">
        <v>-0.83911600597278735</v>
      </c>
      <c r="D53" s="46">
        <v>-5.9314095428260281</v>
      </c>
      <c r="E53" s="46">
        <v>-4.2850261772229032</v>
      </c>
      <c r="F53" s="46">
        <v>0</v>
      </c>
      <c r="G53" s="46">
        <v>-1.0885819506075092E-11</v>
      </c>
      <c r="H53" s="46">
        <v>-1.2109012827475709</v>
      </c>
      <c r="I53" s="46">
        <v>2.4908019869862486</v>
      </c>
      <c r="J53" s="46">
        <v>-4.4576457998118713E-2</v>
      </c>
      <c r="K53" s="46">
        <v>-1.6534771878350369</v>
      </c>
      <c r="L53" s="1">
        <f t="shared" si="1"/>
        <v>-11.473704667627082</v>
      </c>
    </row>
    <row r="54" spans="1:49">
      <c r="A54" s="131"/>
      <c r="B54" s="131" t="s">
        <v>291</v>
      </c>
      <c r="C54" s="46">
        <v>-0.71975987471476266</v>
      </c>
      <c r="D54" s="46">
        <v>-3.7115572618357824</v>
      </c>
      <c r="E54" s="46">
        <v>-5.7192856177662321</v>
      </c>
      <c r="F54" s="46">
        <v>0</v>
      </c>
      <c r="G54" s="46">
        <v>-1.0885819505278286E-11</v>
      </c>
      <c r="H54" s="46">
        <v>-1.074997599808647</v>
      </c>
      <c r="I54" s="46">
        <v>0.55993204918610573</v>
      </c>
      <c r="J54" s="46">
        <v>-1.9735227733008287E-2</v>
      </c>
      <c r="K54" s="46">
        <v>-1.1960051971327914</v>
      </c>
      <c r="L54" s="1">
        <f t="shared" si="1"/>
        <v>-11.881408729816004</v>
      </c>
    </row>
    <row r="55" spans="1:49">
      <c r="A55" s="131"/>
      <c r="B55" s="131" t="s">
        <v>292</v>
      </c>
      <c r="C55" s="46">
        <v>-0.66443476054531736</v>
      </c>
      <c r="D55" s="46">
        <v>-4.5853486218691906</v>
      </c>
      <c r="E55" s="46">
        <v>-7.2630602809560401</v>
      </c>
      <c r="F55" s="46">
        <v>0</v>
      </c>
      <c r="G55" s="46">
        <v>-1.0885819519050232E-11</v>
      </c>
      <c r="H55" s="46">
        <v>-1.5026237518938217</v>
      </c>
      <c r="I55" s="46">
        <v>-1.3432973399275738E-2</v>
      </c>
      <c r="J55" s="46">
        <v>2.7457314056334781E-2</v>
      </c>
      <c r="K55" s="46">
        <v>-0.43178206103276295</v>
      </c>
      <c r="L55" s="1">
        <f t="shared" si="1"/>
        <v>-14.433225135650959</v>
      </c>
    </row>
    <row r="56" spans="1:49">
      <c r="A56" s="131"/>
      <c r="B56" s="131" t="s">
        <v>293</v>
      </c>
      <c r="C56" s="46">
        <v>-1.2722912790055965</v>
      </c>
      <c r="D56" s="46">
        <v>-6.9868896323643952</v>
      </c>
      <c r="E56" s="46">
        <v>-8.7592800383913385</v>
      </c>
      <c r="F56" s="46">
        <v>0</v>
      </c>
      <c r="G56" s="46">
        <v>-1.0885819519193958E-11</v>
      </c>
      <c r="H56" s="46">
        <v>-1.5287940625489149</v>
      </c>
      <c r="I56" s="46">
        <v>2.651392348079586</v>
      </c>
      <c r="J56" s="46">
        <v>7.2103745213496495E-3</v>
      </c>
      <c r="K56" s="46">
        <v>-1.5722331765552866</v>
      </c>
      <c r="L56" s="1">
        <f t="shared" si="1"/>
        <v>-17.460885466275482</v>
      </c>
    </row>
    <row r="57" spans="1:49">
      <c r="A57" s="131">
        <v>2050</v>
      </c>
      <c r="B57" s="131" t="s">
        <v>290</v>
      </c>
      <c r="C57" s="46">
        <v>-3.5394769177646181</v>
      </c>
      <c r="D57" s="46">
        <v>-12.168231864885524</v>
      </c>
      <c r="E57" s="46">
        <v>-68.674495682044636</v>
      </c>
      <c r="F57" s="46">
        <v>18.752902469644866</v>
      </c>
      <c r="G57" s="46">
        <v>15.877075923343122</v>
      </c>
      <c r="H57" s="46">
        <v>3.2678195916668216</v>
      </c>
      <c r="I57" s="46">
        <v>5.420943947670775</v>
      </c>
      <c r="J57" s="46">
        <v>0.134002793599592</v>
      </c>
      <c r="K57" s="46">
        <v>13.229971504830417</v>
      </c>
      <c r="L57" s="1">
        <f t="shared" si="1"/>
        <v>-27.699488233939192</v>
      </c>
    </row>
    <row r="58" spans="1:49">
      <c r="A58" s="131"/>
      <c r="B58" s="131" t="s">
        <v>291</v>
      </c>
      <c r="C58" s="46">
        <v>-3.8134268788333991</v>
      </c>
      <c r="D58" s="46">
        <v>-12.093551245482445</v>
      </c>
      <c r="E58" s="46">
        <v>-68.718860793593592</v>
      </c>
      <c r="F58" s="46">
        <v>19.587624656403364</v>
      </c>
      <c r="G58" s="46">
        <v>16.679994625533048</v>
      </c>
      <c r="H58" s="46">
        <v>4.5506454448605673</v>
      </c>
      <c r="I58" s="46">
        <v>3.9631565643558311</v>
      </c>
      <c r="J58" s="46">
        <v>0.14939001016742282</v>
      </c>
      <c r="K58" s="46">
        <v>16.039260772393163</v>
      </c>
      <c r="L58" s="1">
        <f t="shared" si="1"/>
        <v>-23.655766844196037</v>
      </c>
    </row>
    <row r="59" spans="1:49">
      <c r="A59" s="131"/>
      <c r="B59" s="131" t="s">
        <v>292</v>
      </c>
      <c r="C59" s="46">
        <v>-4.0740283257549788</v>
      </c>
      <c r="D59" s="46">
        <v>-12.791707087018224</v>
      </c>
      <c r="E59" s="46">
        <v>-68.806729596206907</v>
      </c>
      <c r="F59" s="46">
        <v>20.225967078870102</v>
      </c>
      <c r="G59" s="46">
        <v>18.070085259401722</v>
      </c>
      <c r="H59" s="46">
        <v>8.7173435098620082</v>
      </c>
      <c r="I59" s="46">
        <v>3.9626240653955662</v>
      </c>
      <c r="J59" s="46">
        <v>0.14009417160627891</v>
      </c>
      <c r="K59" s="46">
        <v>7.7700901411400309</v>
      </c>
      <c r="L59" s="1">
        <f t="shared" si="1"/>
        <v>-26.78626078270441</v>
      </c>
    </row>
    <row r="60" spans="1:49">
      <c r="A60" s="131"/>
      <c r="B60" s="131" t="s">
        <v>293</v>
      </c>
      <c r="C60" s="46">
        <v>-4.0891528706067248</v>
      </c>
      <c r="D60" s="46">
        <v>-12.806516169583599</v>
      </c>
      <c r="E60" s="46">
        <v>-69.140629228826683</v>
      </c>
      <c r="F60" s="46">
        <v>17.844560305811886</v>
      </c>
      <c r="G60" s="46">
        <v>16.215335987301273</v>
      </c>
      <c r="H60" s="46">
        <v>3.9834465697548929</v>
      </c>
      <c r="I60" s="46">
        <v>6.1471340223246749</v>
      </c>
      <c r="J60" s="46">
        <v>8.8964190178927538E-2</v>
      </c>
      <c r="K60" s="46">
        <v>16.183210857847442</v>
      </c>
      <c r="L60" s="1">
        <f t="shared" si="1"/>
        <v>-25.573646335797918</v>
      </c>
    </row>
    <row r="61" spans="1:49">
      <c r="A61" s="131" t="s">
        <v>294</v>
      </c>
      <c r="B61" s="131">
        <v>2030</v>
      </c>
      <c r="C61" s="46">
        <v>9.9605930644376066</v>
      </c>
      <c r="D61" s="46">
        <v>34.24790351945822</v>
      </c>
      <c r="E61" s="46">
        <v>73.863305486275792</v>
      </c>
      <c r="F61" s="46">
        <v>0</v>
      </c>
      <c r="G61" s="46">
        <v>1.0885819519284753E-11</v>
      </c>
      <c r="H61" s="46">
        <v>18.457363277494025</v>
      </c>
      <c r="I61" s="46">
        <v>26.300693756012247</v>
      </c>
      <c r="J61" s="46">
        <v>0.24242324545977567</v>
      </c>
      <c r="K61" s="46">
        <v>86.226295348967767</v>
      </c>
      <c r="L61" s="1">
        <f>SUM(C61:K61)</f>
        <v>249.2985776981163</v>
      </c>
    </row>
    <row r="62" spans="1:49">
      <c r="A62" s="131" t="s">
        <v>294</v>
      </c>
      <c r="B62" s="131">
        <v>2050</v>
      </c>
      <c r="C62" s="46">
        <v>4.3540410128695148</v>
      </c>
      <c r="D62" s="46">
        <v>17.669539665846163</v>
      </c>
      <c r="E62" s="46">
        <v>74.092999648718589</v>
      </c>
      <c r="F62" s="46">
        <v>0</v>
      </c>
      <c r="G62" s="46">
        <v>0.26257181834141613</v>
      </c>
      <c r="H62" s="46">
        <v>23.274214020518738</v>
      </c>
      <c r="I62" s="46">
        <v>27.448186894074215</v>
      </c>
      <c r="J62" s="46">
        <v>0.61391781319267125</v>
      </c>
      <c r="K62" s="46">
        <v>94.674527516942518</v>
      </c>
      <c r="L62" s="1">
        <f t="shared" ref="L62" si="2">SUM(C62:K62)</f>
        <v>242.38999839050382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862B9-C574-41BC-AD13-EA7CD04022CA}">
  <sheetPr>
    <tabColor rgb="FFEFE973"/>
    <outlinePr summaryBelow="0"/>
  </sheetPr>
  <dimension ref="A1:AW177"/>
  <sheetViews>
    <sheetView showGridLines="0" zoomScale="80" zoomScaleNormal="80" workbookViewId="0">
      <pane xSplit="1" ySplit="2" topLeftCell="B5" activePane="bottomRight" state="frozen"/>
      <selection pane="topRight" activeCell="D39" sqref="D39"/>
      <selection pane="bottomLeft" activeCell="D39" sqref="D39"/>
      <selection pane="bottomRight" activeCell="C46" activeCellId="1" sqref="D31:AW46 A31:C46"/>
    </sheetView>
  </sheetViews>
  <sheetFormatPr defaultRowHeight="14.4" outlineLevelRow="2"/>
  <cols>
    <col min="1" max="1" width="51" bestFit="1" customWidth="1"/>
    <col min="2" max="3" width="9.109375" customWidth="1"/>
    <col min="4" max="4" width="13.88671875" bestFit="1" customWidth="1"/>
    <col min="5" max="14" width="9.5546875" bestFit="1" customWidth="1"/>
    <col min="15" max="15" width="10.44140625" bestFit="1" customWidth="1"/>
    <col min="16" max="20" width="9.5546875" bestFit="1" customWidth="1"/>
  </cols>
  <sheetData>
    <row r="1" spans="1:49" s="4" customFormat="1">
      <c r="A1" s="4" t="s">
        <v>295</v>
      </c>
    </row>
    <row r="2" spans="1:49">
      <c r="B2" t="s">
        <v>31</v>
      </c>
      <c r="C2" t="s">
        <v>32</v>
      </c>
      <c r="D2">
        <v>2005</v>
      </c>
      <c r="I2">
        <v>2010</v>
      </c>
      <c r="N2">
        <v>2015</v>
      </c>
      <c r="S2">
        <v>2020</v>
      </c>
      <c r="X2">
        <v>2025</v>
      </c>
      <c r="AC2">
        <v>2030</v>
      </c>
      <c r="AH2">
        <v>2035</v>
      </c>
      <c r="AM2">
        <v>2040</v>
      </c>
      <c r="AR2">
        <v>2045</v>
      </c>
      <c r="AW2">
        <v>2050</v>
      </c>
    </row>
    <row r="3" spans="1:49">
      <c r="A3" t="s">
        <v>296</v>
      </c>
      <c r="B3" t="s">
        <v>256</v>
      </c>
      <c r="C3" t="s">
        <v>257</v>
      </c>
      <c r="D3" s="1">
        <f>D133+D134</f>
        <v>99.990622999999999</v>
      </c>
      <c r="E3" s="1">
        <f t="shared" ref="E3:T3" si="0">E133+E134</f>
        <v>99.997191999999998</v>
      </c>
      <c r="F3" s="1">
        <f t="shared" si="0"/>
        <v>100.088221</v>
      </c>
      <c r="G3" s="1">
        <f t="shared" si="0"/>
        <v>97.473406000000011</v>
      </c>
      <c r="H3" s="1">
        <f t="shared" si="0"/>
        <v>88.569503999999995</v>
      </c>
      <c r="I3" s="1">
        <f t="shared" si="0"/>
        <v>93.214571000000007</v>
      </c>
      <c r="J3" s="1">
        <f t="shared" si="0"/>
        <v>91.250167000000005</v>
      </c>
      <c r="K3" s="1">
        <f t="shared" si="0"/>
        <v>87.860120999999992</v>
      </c>
      <c r="L3" s="1">
        <f t="shared" si="0"/>
        <v>85.120678999999996</v>
      </c>
      <c r="M3" s="1">
        <f t="shared" si="0"/>
        <v>87.033583000000007</v>
      </c>
      <c r="N3" s="1">
        <f t="shared" si="0"/>
        <v>84.302239000000014</v>
      </c>
      <c r="O3" s="1">
        <f t="shared" si="0"/>
        <v>84.01866099999998</v>
      </c>
      <c r="P3" s="1">
        <f t="shared" si="0"/>
        <v>90.634032000000005</v>
      </c>
      <c r="Q3" s="1">
        <f t="shared" si="0"/>
        <v>87.111025999999995</v>
      </c>
      <c r="R3" s="1">
        <f t="shared" si="0"/>
        <v>86.765967000000003</v>
      </c>
      <c r="S3" s="1">
        <f t="shared" si="0"/>
        <v>86.237262000000001</v>
      </c>
      <c r="T3" s="1">
        <f t="shared" si="0"/>
        <v>90.078306999999995</v>
      </c>
    </row>
    <row r="4" spans="1:49">
      <c r="A4" t="s">
        <v>254</v>
      </c>
      <c r="B4" t="s">
        <v>256</v>
      </c>
      <c r="C4" t="s">
        <v>257</v>
      </c>
      <c r="D4" s="1">
        <f>D64</f>
        <v>275.12525400000004</v>
      </c>
      <c r="E4" s="1">
        <f t="shared" ref="E4:T4" si="1">E64</f>
        <v>269.57638299999996</v>
      </c>
      <c r="F4" s="1">
        <f t="shared" si="1"/>
        <v>274.275846</v>
      </c>
      <c r="G4" s="1">
        <f t="shared" si="1"/>
        <v>265.10807400000004</v>
      </c>
      <c r="H4" s="1">
        <f t="shared" si="1"/>
        <v>229.18045999999998</v>
      </c>
      <c r="I4" s="1">
        <f t="shared" si="1"/>
        <v>243.87311099999999</v>
      </c>
      <c r="J4" s="1">
        <f t="shared" si="1"/>
        <v>244.295556</v>
      </c>
      <c r="K4" s="1">
        <f t="shared" si="1"/>
        <v>239.70269500000001</v>
      </c>
      <c r="L4" s="1">
        <f t="shared" si="1"/>
        <v>236.748516</v>
      </c>
      <c r="M4" s="1">
        <f t="shared" si="1"/>
        <v>233.29776699999999</v>
      </c>
      <c r="N4" s="1">
        <f t="shared" si="1"/>
        <v>233.50766300000001</v>
      </c>
      <c r="O4" s="1">
        <f t="shared" si="1"/>
        <v>237.79920300000001</v>
      </c>
      <c r="P4" s="1">
        <f t="shared" si="1"/>
        <v>240.06350800000001</v>
      </c>
      <c r="Q4" s="1">
        <f t="shared" si="1"/>
        <v>242.46632</v>
      </c>
      <c r="R4" s="1">
        <f t="shared" si="1"/>
        <v>239.23959500000001</v>
      </c>
      <c r="S4" s="1">
        <f t="shared" si="1"/>
        <v>230.92330799999999</v>
      </c>
      <c r="T4" s="1">
        <f t="shared" si="1"/>
        <v>240.34384899999998</v>
      </c>
    </row>
    <row r="5" spans="1:49">
      <c r="A5" t="s">
        <v>258</v>
      </c>
      <c r="B5" t="s">
        <v>256</v>
      </c>
      <c r="C5" t="s">
        <v>257</v>
      </c>
      <c r="D5" s="1">
        <f>D65+D76+D81+D85+D86</f>
        <v>153.973433</v>
      </c>
      <c r="E5" s="1">
        <f t="shared" ref="E5:T5" si="2">E65+E76+E81+E85+E86</f>
        <v>147.170885</v>
      </c>
      <c r="F5" s="1">
        <f t="shared" si="2"/>
        <v>148.63916800000001</v>
      </c>
      <c r="G5" s="1">
        <f t="shared" si="2"/>
        <v>142.21975499999999</v>
      </c>
      <c r="H5" s="1">
        <f t="shared" si="2"/>
        <v>119.206153</v>
      </c>
      <c r="I5" s="1">
        <f t="shared" si="2"/>
        <v>126.45740899999998</v>
      </c>
      <c r="J5" s="1">
        <f t="shared" si="2"/>
        <v>125.23791</v>
      </c>
      <c r="K5" s="1">
        <f t="shared" si="2"/>
        <v>122.01802600000001</v>
      </c>
      <c r="L5" s="1">
        <f t="shared" si="2"/>
        <v>119.61184399999999</v>
      </c>
      <c r="M5" s="1">
        <f t="shared" si="2"/>
        <v>116.21046399999999</v>
      </c>
      <c r="N5" s="1">
        <f t="shared" si="2"/>
        <v>115.37357</v>
      </c>
      <c r="O5" s="1">
        <f t="shared" si="2"/>
        <v>116.904408</v>
      </c>
      <c r="P5" s="1">
        <f t="shared" si="2"/>
        <v>117.57363399999998</v>
      </c>
      <c r="Q5" s="1">
        <f t="shared" si="2"/>
        <v>118.727169</v>
      </c>
      <c r="R5" s="1">
        <f t="shared" si="2"/>
        <v>115.696699</v>
      </c>
      <c r="S5" s="1">
        <f t="shared" si="2"/>
        <v>112.32516599999998</v>
      </c>
      <c r="T5" s="1">
        <f t="shared" si="2"/>
        <v>117.67025000000001</v>
      </c>
      <c r="U5" s="1"/>
    </row>
    <row r="6" spans="1:49">
      <c r="A6" t="s">
        <v>260</v>
      </c>
      <c r="B6" t="s">
        <v>256</v>
      </c>
      <c r="C6" t="s">
        <v>257</v>
      </c>
      <c r="D6" s="1">
        <f>D109</f>
        <v>17.624980999999998</v>
      </c>
      <c r="E6" s="1">
        <f t="shared" ref="E6:T6" si="3">E109</f>
        <v>18.387065999999997</v>
      </c>
      <c r="F6" s="1">
        <f t="shared" si="3"/>
        <v>19.316372999999999</v>
      </c>
      <c r="G6" s="1">
        <f t="shared" si="3"/>
        <v>18.262627999999999</v>
      </c>
      <c r="H6" s="1">
        <f t="shared" si="3"/>
        <v>18.020872999999998</v>
      </c>
      <c r="I6" s="1">
        <f t="shared" si="3"/>
        <v>19.552827000000001</v>
      </c>
      <c r="J6" s="1">
        <f t="shared" si="3"/>
        <v>19.657035</v>
      </c>
      <c r="K6" s="1">
        <f t="shared" si="3"/>
        <v>19.047060000000002</v>
      </c>
      <c r="L6" s="1">
        <f t="shared" si="3"/>
        <v>19.584087</v>
      </c>
      <c r="M6" s="1">
        <f t="shared" si="3"/>
        <v>19.985261999999999</v>
      </c>
      <c r="N6" s="1">
        <f t="shared" si="3"/>
        <v>20.803288000000002</v>
      </c>
      <c r="O6" s="1">
        <f t="shared" si="3"/>
        <v>21.709893000000001</v>
      </c>
      <c r="P6" s="1">
        <f t="shared" si="3"/>
        <v>22.055516999999998</v>
      </c>
      <c r="Q6" s="1">
        <f t="shared" si="3"/>
        <v>22.601830999999997</v>
      </c>
      <c r="R6" s="1">
        <f t="shared" si="3"/>
        <v>23.106380000000001</v>
      </c>
      <c r="S6" s="1">
        <f t="shared" si="3"/>
        <v>23.181768000000002</v>
      </c>
      <c r="T6" s="1">
        <f t="shared" si="3"/>
        <v>23.310920999999997</v>
      </c>
      <c r="U6" s="1"/>
    </row>
    <row r="7" spans="1:49">
      <c r="A7" t="s">
        <v>259</v>
      </c>
      <c r="B7" t="s">
        <v>256</v>
      </c>
      <c r="C7" t="s">
        <v>257</v>
      </c>
      <c r="D7" s="1">
        <f>D131</f>
        <v>87.252589999999998</v>
      </c>
      <c r="E7" s="1">
        <f t="shared" ref="E7:T7" si="4">E131</f>
        <v>87.20215300000001</v>
      </c>
      <c r="F7" s="1">
        <f t="shared" si="4"/>
        <v>88.358376000000007</v>
      </c>
      <c r="G7" s="1">
        <f t="shared" si="4"/>
        <v>86.265145000000004</v>
      </c>
      <c r="H7" s="1">
        <f t="shared" si="4"/>
        <v>74.300823999999992</v>
      </c>
      <c r="I7" s="1">
        <f t="shared" si="4"/>
        <v>79.588030000000003</v>
      </c>
      <c r="J7" s="1">
        <f t="shared" si="4"/>
        <v>80.528220000000005</v>
      </c>
      <c r="K7" s="1">
        <f t="shared" si="4"/>
        <v>79.129937000000012</v>
      </c>
      <c r="L7" s="1">
        <f t="shared" si="4"/>
        <v>77.933982999999998</v>
      </c>
      <c r="M7" s="1">
        <f t="shared" si="4"/>
        <v>78.251376999999991</v>
      </c>
      <c r="N7" s="1">
        <f t="shared" si="4"/>
        <v>78.580681999999996</v>
      </c>
      <c r="O7" s="1">
        <f t="shared" si="4"/>
        <v>79.617354999999989</v>
      </c>
      <c r="P7" s="1">
        <f t="shared" si="4"/>
        <v>81.03699499999999</v>
      </c>
      <c r="Q7" s="1">
        <f t="shared" si="4"/>
        <v>81.292179000000004</v>
      </c>
      <c r="R7" s="1">
        <f t="shared" si="4"/>
        <v>80.233557000000005</v>
      </c>
      <c r="S7" s="1">
        <f t="shared" si="4"/>
        <v>76.037876999999995</v>
      </c>
      <c r="T7" s="1">
        <f t="shared" si="4"/>
        <v>79.831362999999996</v>
      </c>
      <c r="U7" s="1"/>
    </row>
    <row r="8" spans="1:49">
      <c r="A8" t="s">
        <v>261</v>
      </c>
      <c r="B8" t="s">
        <v>256</v>
      </c>
      <c r="C8" t="s">
        <v>257</v>
      </c>
      <c r="D8" s="1">
        <f>D132+D128</f>
        <v>16.207034</v>
      </c>
      <c r="E8" s="1">
        <f t="shared" ref="E8:T8" si="5">E132+E128</f>
        <v>16.764237000000001</v>
      </c>
      <c r="F8" s="1">
        <f t="shared" si="5"/>
        <v>17.887464999999999</v>
      </c>
      <c r="G8" s="1">
        <f t="shared" si="5"/>
        <v>18.290436</v>
      </c>
      <c r="H8" s="1">
        <f t="shared" si="5"/>
        <v>17.620159999999998</v>
      </c>
      <c r="I8" s="1">
        <f t="shared" si="5"/>
        <v>18.230786000000002</v>
      </c>
      <c r="J8" s="1">
        <f t="shared" si="5"/>
        <v>18.820171999999999</v>
      </c>
      <c r="K8" s="1">
        <f t="shared" si="5"/>
        <v>19.466152000000001</v>
      </c>
      <c r="L8" s="1">
        <f t="shared" si="5"/>
        <v>19.582330999999996</v>
      </c>
      <c r="M8" s="1">
        <f t="shared" si="5"/>
        <v>18.816755000000001</v>
      </c>
      <c r="N8" s="1">
        <f t="shared" si="5"/>
        <v>18.735153</v>
      </c>
      <c r="O8" s="1">
        <f t="shared" si="5"/>
        <v>19.557802000000002</v>
      </c>
      <c r="P8" s="1">
        <f t="shared" si="5"/>
        <v>19.377378</v>
      </c>
      <c r="Q8" s="1">
        <f t="shared" si="5"/>
        <v>19.822710999999998</v>
      </c>
      <c r="R8" s="1">
        <f t="shared" si="5"/>
        <v>20.183070999999998</v>
      </c>
      <c r="S8" s="1">
        <f t="shared" si="5"/>
        <v>19.377115</v>
      </c>
      <c r="T8" s="1">
        <f t="shared" si="5"/>
        <v>19.531317000000001</v>
      </c>
      <c r="U8" s="1"/>
    </row>
    <row r="9" spans="1:49">
      <c r="D9" s="1"/>
      <c r="E9" s="1"/>
      <c r="F9" s="1"/>
      <c r="G9" s="1"/>
      <c r="H9" s="1"/>
      <c r="I9" s="1"/>
      <c r="J9" s="1"/>
      <c r="K9" s="1"/>
      <c r="L9" s="1"/>
      <c r="M9" s="1"/>
      <c r="N9" s="1"/>
      <c r="O9" s="1"/>
      <c r="P9" s="1"/>
      <c r="Q9" s="1"/>
      <c r="R9" s="1"/>
      <c r="S9" s="1"/>
      <c r="T9" s="1"/>
      <c r="U9" s="1"/>
    </row>
    <row r="10" spans="1:49">
      <c r="D10" s="1"/>
      <c r="E10" s="1"/>
      <c r="F10" s="1"/>
      <c r="G10" s="1" t="s">
        <v>297</v>
      </c>
      <c r="H10" s="1"/>
      <c r="I10" s="1"/>
      <c r="J10" s="1"/>
      <c r="K10" s="1"/>
      <c r="L10" s="1"/>
      <c r="M10" s="1"/>
      <c r="N10" s="1"/>
      <c r="O10" s="1"/>
      <c r="P10" s="1"/>
      <c r="Q10" s="1"/>
      <c r="R10" s="1"/>
      <c r="S10" s="1"/>
      <c r="T10" s="1"/>
      <c r="U10" s="1"/>
    </row>
    <row r="11" spans="1:49">
      <c r="D11" s="1"/>
      <c r="E11" s="1"/>
      <c r="F11" s="1"/>
      <c r="G11" t="s">
        <v>296</v>
      </c>
      <c r="H11" s="1">
        <f t="shared" ref="H11:H16" si="6">T3-D3</f>
        <v>-9.9123160000000041</v>
      </c>
      <c r="I11" s="1"/>
      <c r="J11" s="1"/>
      <c r="K11" s="1"/>
      <c r="L11" s="1"/>
      <c r="M11" s="1"/>
      <c r="N11" s="1"/>
      <c r="O11" s="1"/>
      <c r="P11" s="1"/>
      <c r="Q11" s="1"/>
      <c r="R11" s="1"/>
      <c r="S11" s="1"/>
      <c r="T11" s="1"/>
      <c r="U11" s="1"/>
    </row>
    <row r="12" spans="1:49">
      <c r="D12" s="1"/>
      <c r="E12" s="1"/>
      <c r="F12" s="1"/>
      <c r="G12" t="s">
        <v>254</v>
      </c>
      <c r="H12" s="1">
        <f t="shared" si="6"/>
        <v>-34.781405000000063</v>
      </c>
      <c r="I12" s="1"/>
      <c r="J12" s="1"/>
      <c r="K12" s="1"/>
      <c r="L12" s="1"/>
      <c r="M12" s="1"/>
      <c r="N12" s="1"/>
      <c r="O12" s="1"/>
      <c r="P12" s="1"/>
      <c r="Q12" s="1"/>
      <c r="R12" s="1"/>
      <c r="S12" s="1"/>
      <c r="T12" s="1"/>
      <c r="U12" s="1"/>
    </row>
    <row r="13" spans="1:49">
      <c r="D13" s="1"/>
      <c r="E13" s="1"/>
      <c r="F13" s="1"/>
      <c r="G13" t="s">
        <v>258</v>
      </c>
      <c r="H13" s="1">
        <f t="shared" si="6"/>
        <v>-36.30318299999999</v>
      </c>
      <c r="I13" s="1"/>
      <c r="J13" s="1"/>
      <c r="K13" s="1"/>
      <c r="L13" s="1"/>
      <c r="M13" s="1"/>
      <c r="N13" s="1"/>
      <c r="O13" s="1"/>
      <c r="P13" s="1"/>
      <c r="Q13" s="1"/>
      <c r="R13" s="1"/>
      <c r="S13" s="1"/>
      <c r="T13" s="1"/>
      <c r="U13" s="1"/>
    </row>
    <row r="14" spans="1:49">
      <c r="D14" s="1"/>
      <c r="E14" s="1"/>
      <c r="F14" s="1"/>
      <c r="G14" t="s">
        <v>260</v>
      </c>
      <c r="H14" s="1">
        <f t="shared" si="6"/>
        <v>5.6859399999999987</v>
      </c>
      <c r="I14" s="1"/>
      <c r="J14" s="1"/>
      <c r="K14" s="1"/>
      <c r="L14" s="1"/>
      <c r="M14" s="1"/>
      <c r="N14" s="1"/>
      <c r="O14" s="1"/>
      <c r="P14" s="1"/>
      <c r="Q14" s="1"/>
      <c r="R14" s="1"/>
      <c r="S14" s="1"/>
      <c r="T14" s="1"/>
      <c r="U14" s="1"/>
    </row>
    <row r="15" spans="1:49">
      <c r="D15" s="1"/>
      <c r="E15" s="1"/>
      <c r="F15" s="1"/>
      <c r="G15" t="s">
        <v>259</v>
      </c>
      <c r="H15" s="1">
        <f t="shared" si="6"/>
        <v>-7.4212270000000018</v>
      </c>
      <c r="I15" s="1"/>
      <c r="J15" s="1"/>
      <c r="K15" s="1"/>
      <c r="L15" s="1"/>
      <c r="M15" s="1"/>
      <c r="N15" s="1"/>
      <c r="O15" s="1"/>
      <c r="P15" s="1"/>
      <c r="Q15" s="1"/>
      <c r="R15" s="1"/>
      <c r="S15" s="1"/>
      <c r="T15" s="1"/>
      <c r="U15" s="1"/>
    </row>
    <row r="16" spans="1:49">
      <c r="D16" s="1"/>
      <c r="E16" s="1"/>
      <c r="F16" s="1"/>
      <c r="G16" t="s">
        <v>261</v>
      </c>
      <c r="H16" s="1">
        <f t="shared" si="6"/>
        <v>3.3242830000000012</v>
      </c>
      <c r="I16" s="1"/>
      <c r="J16" s="1"/>
      <c r="K16" s="1"/>
      <c r="L16" s="1"/>
      <c r="M16" s="1"/>
      <c r="N16" s="1"/>
      <c r="O16" s="1"/>
      <c r="P16" s="1"/>
      <c r="Q16" s="1"/>
      <c r="R16" s="1"/>
      <c r="S16" s="1"/>
      <c r="T16" s="1"/>
      <c r="U16" s="1"/>
    </row>
    <row r="17" spans="1:49">
      <c r="D17" s="1"/>
      <c r="E17" s="1"/>
      <c r="F17" s="1"/>
      <c r="G17" s="1"/>
      <c r="H17" s="1"/>
      <c r="I17" s="1"/>
      <c r="J17" s="1"/>
      <c r="K17" s="1"/>
      <c r="L17" s="1"/>
      <c r="M17" s="1"/>
      <c r="N17" s="1"/>
      <c r="O17" s="1"/>
      <c r="P17" s="1"/>
      <c r="Q17" s="1"/>
      <c r="R17" s="1"/>
      <c r="S17" s="1"/>
      <c r="T17" s="1"/>
      <c r="U17" s="1"/>
    </row>
    <row r="18" spans="1:49">
      <c r="D18" s="1"/>
      <c r="E18" s="1"/>
      <c r="F18" s="1"/>
      <c r="G18" s="1"/>
      <c r="H18" s="1"/>
      <c r="I18" s="1"/>
      <c r="J18" s="1"/>
      <c r="K18" s="1"/>
      <c r="L18" s="1"/>
      <c r="M18" s="1"/>
      <c r="N18" s="1"/>
      <c r="O18" s="1"/>
      <c r="P18" s="1"/>
      <c r="Q18" s="1"/>
      <c r="R18" s="1"/>
      <c r="S18" s="1"/>
      <c r="T18" s="1"/>
      <c r="U18" s="1"/>
    </row>
    <row r="19" spans="1:49">
      <c r="D19" s="1"/>
      <c r="E19" s="1"/>
      <c r="F19" s="1"/>
      <c r="G19" s="1"/>
      <c r="H19" s="1"/>
      <c r="I19" s="1"/>
      <c r="J19" s="1"/>
      <c r="K19" s="1"/>
      <c r="L19" s="1"/>
      <c r="M19" s="1"/>
      <c r="N19" s="1"/>
      <c r="O19" s="1"/>
      <c r="P19" s="1"/>
      <c r="Q19" s="1"/>
      <c r="R19" s="1"/>
      <c r="S19" s="1"/>
      <c r="T19" s="1"/>
      <c r="U19" s="1"/>
    </row>
    <row r="20" spans="1:49">
      <c r="D20" s="1"/>
      <c r="E20" s="1"/>
      <c r="F20" s="1"/>
      <c r="G20" s="1"/>
      <c r="H20" s="1"/>
      <c r="I20" s="1"/>
      <c r="J20" s="1"/>
      <c r="K20" s="1"/>
      <c r="L20" s="1"/>
      <c r="M20" s="1"/>
      <c r="N20" s="1"/>
      <c r="O20" s="1"/>
      <c r="P20" s="1"/>
      <c r="Q20" s="1"/>
      <c r="R20" s="1"/>
      <c r="S20" s="1"/>
      <c r="T20" s="1"/>
      <c r="U20" s="1"/>
    </row>
    <row r="21" spans="1:49">
      <c r="D21" s="1"/>
      <c r="E21" s="1"/>
      <c r="F21" s="1"/>
      <c r="G21" s="1"/>
      <c r="H21" s="1"/>
      <c r="I21" s="1"/>
      <c r="J21" s="1"/>
      <c r="K21" s="1"/>
      <c r="L21" s="1"/>
      <c r="M21" s="1"/>
      <c r="N21" s="1"/>
      <c r="O21" s="1"/>
      <c r="P21" s="1"/>
      <c r="Q21" s="1"/>
      <c r="R21" s="1"/>
      <c r="S21" s="1"/>
      <c r="T21" s="1"/>
      <c r="U21" s="1"/>
    </row>
    <row r="22" spans="1:49">
      <c r="D22" s="1"/>
      <c r="E22" s="1"/>
      <c r="F22" s="1"/>
      <c r="G22" s="1"/>
      <c r="H22" s="1"/>
      <c r="I22" s="1"/>
      <c r="J22" s="1"/>
      <c r="K22" s="1"/>
      <c r="L22" s="1"/>
      <c r="M22" s="1"/>
      <c r="N22" s="1"/>
      <c r="O22" s="1"/>
      <c r="P22" s="1"/>
      <c r="Q22" s="1"/>
      <c r="R22" s="1"/>
      <c r="S22" s="1"/>
      <c r="T22" s="1"/>
      <c r="U22" s="1"/>
    </row>
    <row r="23" spans="1:49">
      <c r="D23" s="1"/>
      <c r="E23" s="1"/>
      <c r="F23" s="1"/>
      <c r="G23" s="1"/>
      <c r="H23" s="1"/>
      <c r="I23" s="1"/>
      <c r="J23" s="1"/>
      <c r="K23" s="1"/>
      <c r="L23" s="1"/>
      <c r="M23" s="1"/>
      <c r="N23" s="1"/>
      <c r="O23" s="1"/>
      <c r="P23" s="1"/>
      <c r="Q23" s="1"/>
      <c r="R23" s="1"/>
      <c r="S23" s="1"/>
      <c r="T23" s="1"/>
      <c r="U23" s="1"/>
    </row>
    <row r="24" spans="1:49">
      <c r="D24" s="1"/>
      <c r="E24" s="1"/>
      <c r="F24" s="1"/>
      <c r="G24" s="1"/>
      <c r="H24" s="1"/>
      <c r="I24" s="1"/>
      <c r="J24" s="1"/>
      <c r="K24" s="1"/>
      <c r="L24" s="1"/>
      <c r="M24" s="1"/>
      <c r="N24" s="1"/>
      <c r="O24" s="1"/>
      <c r="P24" s="1"/>
      <c r="Q24" s="1"/>
      <c r="R24" s="1"/>
      <c r="S24" s="1"/>
      <c r="T24" s="1"/>
      <c r="U24" s="1"/>
    </row>
    <row r="25" spans="1:49">
      <c r="D25" s="1"/>
      <c r="E25" s="1"/>
      <c r="F25" s="1"/>
      <c r="G25" s="1"/>
      <c r="H25" s="1"/>
      <c r="I25" s="1"/>
      <c r="J25" s="1"/>
      <c r="K25" s="1"/>
      <c r="L25" s="1"/>
      <c r="M25" s="1"/>
      <c r="N25" s="1"/>
      <c r="O25" s="1"/>
      <c r="P25" s="1"/>
      <c r="Q25" s="1"/>
      <c r="R25" s="1"/>
      <c r="S25" s="1"/>
      <c r="T25" s="1"/>
      <c r="U25" s="1"/>
    </row>
    <row r="26" spans="1:49">
      <c r="D26" s="1"/>
      <c r="E26" s="1"/>
      <c r="F26" s="1"/>
      <c r="G26" s="1"/>
      <c r="H26" s="1"/>
      <c r="I26" s="1"/>
      <c r="J26" s="1"/>
      <c r="K26" s="1"/>
      <c r="L26" s="1"/>
      <c r="M26" s="1"/>
      <c r="N26" s="1"/>
      <c r="O26" s="1"/>
      <c r="P26" s="1"/>
      <c r="Q26" s="1"/>
      <c r="R26" s="1"/>
      <c r="S26" s="1"/>
      <c r="T26" s="1"/>
      <c r="U26" s="1"/>
    </row>
    <row r="27" spans="1:49">
      <c r="D27" s="1"/>
      <c r="E27" s="1"/>
      <c r="F27" s="1"/>
      <c r="G27" s="1"/>
      <c r="H27" s="1"/>
      <c r="I27" s="1"/>
      <c r="J27" s="1"/>
      <c r="K27" s="1"/>
      <c r="L27" s="1"/>
      <c r="M27" s="1"/>
      <c r="N27" s="1"/>
      <c r="O27" s="1"/>
      <c r="P27" s="1"/>
      <c r="Q27" s="1"/>
      <c r="R27" s="1"/>
      <c r="S27" s="1"/>
      <c r="T27" s="1"/>
      <c r="U27" s="1"/>
      <c r="AE27">
        <f>(15-11)/19</f>
        <v>0.21052631578947367</v>
      </c>
    </row>
    <row r="29" spans="1:49" s="4" customFormat="1">
      <c r="A29" s="4" t="s">
        <v>298</v>
      </c>
    </row>
    <row r="30" spans="1:49">
      <c r="B30" t="s">
        <v>31</v>
      </c>
      <c r="C30" t="s">
        <v>32</v>
      </c>
      <c r="D30">
        <v>2005</v>
      </c>
      <c r="I30">
        <v>2010</v>
      </c>
      <c r="N30">
        <v>2015</v>
      </c>
      <c r="S30">
        <v>2020</v>
      </c>
      <c r="X30">
        <v>2025</v>
      </c>
      <c r="AC30">
        <v>2030</v>
      </c>
      <c r="AH30">
        <v>2035</v>
      </c>
      <c r="AM30">
        <v>2040</v>
      </c>
      <c r="AR30">
        <v>2045</v>
      </c>
      <c r="AW30">
        <v>2050</v>
      </c>
    </row>
    <row r="31" spans="1:49">
      <c r="A31" t="s">
        <v>299</v>
      </c>
      <c r="B31" t="s">
        <v>256</v>
      </c>
      <c r="C31" t="s">
        <v>235</v>
      </c>
      <c r="D31" s="2">
        <f>D5/D4</f>
        <v>0.5596484901382407</v>
      </c>
      <c r="E31" s="2">
        <f t="shared" ref="E31:T31" si="7">E5/E4</f>
        <v>0.54593389584873253</v>
      </c>
      <c r="F31" s="2">
        <f t="shared" si="7"/>
        <v>0.54193313107126473</v>
      </c>
      <c r="G31" s="2">
        <f t="shared" si="7"/>
        <v>0.53645953838433447</v>
      </c>
      <c r="H31" s="2">
        <f t="shared" si="7"/>
        <v>0.52014099718623485</v>
      </c>
      <c r="I31" s="2">
        <f t="shared" si="7"/>
        <v>0.51853772841729973</v>
      </c>
      <c r="J31" s="2">
        <f t="shared" si="7"/>
        <v>0.51264915355234708</v>
      </c>
      <c r="K31" s="2">
        <f t="shared" si="7"/>
        <v>0.50903902436307613</v>
      </c>
      <c r="L31" s="2">
        <f t="shared" si="7"/>
        <v>0.50522742875397786</v>
      </c>
      <c r="M31" s="2">
        <f t="shared" si="7"/>
        <v>0.49812077284048756</v>
      </c>
      <c r="N31" s="2">
        <f t="shared" si="7"/>
        <v>0.49408900983262377</v>
      </c>
      <c r="O31" s="2">
        <f t="shared" si="7"/>
        <v>0.4916097553110807</v>
      </c>
      <c r="P31" s="2">
        <f t="shared" si="7"/>
        <v>0.48976054286434895</v>
      </c>
      <c r="Q31" s="2">
        <f t="shared" si="7"/>
        <v>0.48966458104366828</v>
      </c>
      <c r="R31" s="2">
        <f t="shared" si="7"/>
        <v>0.48360180094770683</v>
      </c>
      <c r="S31" s="2">
        <f t="shared" si="7"/>
        <v>0.48641762052014248</v>
      </c>
      <c r="T31" s="2">
        <f t="shared" si="7"/>
        <v>0.48959126888244192</v>
      </c>
    </row>
    <row r="32" spans="1:49">
      <c r="A32" t="s">
        <v>300</v>
      </c>
      <c r="B32" t="s">
        <v>256</v>
      </c>
      <c r="C32" t="s">
        <v>235</v>
      </c>
      <c r="D32" s="2">
        <f>D6/D4</f>
        <v>6.4061661893095409E-2</v>
      </c>
      <c r="E32" s="2">
        <f t="shared" ref="E32:T32" si="8">E6/E4</f>
        <v>6.8207258348740432E-2</v>
      </c>
      <c r="F32" s="2">
        <f>F6/F4</f>
        <v>7.0426810387087452E-2</v>
      </c>
      <c r="G32" s="2">
        <f t="shared" si="8"/>
        <v>6.8887483223162779E-2</v>
      </c>
      <c r="H32" s="2">
        <f t="shared" si="8"/>
        <v>7.8631803950476406E-2</v>
      </c>
      <c r="I32" s="2">
        <f t="shared" si="8"/>
        <v>8.0176231482937052E-2</v>
      </c>
      <c r="J32" s="2">
        <f t="shared" si="8"/>
        <v>8.0464153019631682E-2</v>
      </c>
      <c r="K32" s="2">
        <f t="shared" si="8"/>
        <v>7.9461184197365836E-2</v>
      </c>
      <c r="L32" s="2">
        <f t="shared" si="8"/>
        <v>8.272105494422613E-2</v>
      </c>
      <c r="M32" s="2">
        <f t="shared" si="8"/>
        <v>8.5664180403406939E-2</v>
      </c>
      <c r="N32" s="2">
        <f t="shared" si="8"/>
        <v>8.9090386725338436E-2</v>
      </c>
      <c r="O32" s="2">
        <f t="shared" si="8"/>
        <v>9.1295062078067604E-2</v>
      </c>
      <c r="P32" s="2">
        <f t="shared" si="8"/>
        <v>9.187367619405111E-2</v>
      </c>
      <c r="Q32" s="2">
        <f t="shared" si="8"/>
        <v>9.3216373309084735E-2</v>
      </c>
      <c r="R32" s="2">
        <f t="shared" si="8"/>
        <v>9.6582591188553057E-2</v>
      </c>
      <c r="S32" s="2">
        <f t="shared" si="8"/>
        <v>0.10038730261044071</v>
      </c>
      <c r="T32" s="2">
        <f t="shared" si="8"/>
        <v>9.6989879695236134E-2</v>
      </c>
      <c r="U32" s="1"/>
    </row>
    <row r="33" spans="1:49">
      <c r="A33" t="s">
        <v>301</v>
      </c>
      <c r="B33" t="s">
        <v>256</v>
      </c>
      <c r="C33" t="s">
        <v>235</v>
      </c>
      <c r="D33" s="2">
        <f>D7/D4</f>
        <v>0.31713769903507288</v>
      </c>
      <c r="E33" s="2">
        <f t="shared" ref="E33:T33" si="9">E7/E4</f>
        <v>0.32347845916457757</v>
      </c>
      <c r="F33" s="2">
        <f t="shared" si="9"/>
        <v>0.32215150290704053</v>
      </c>
      <c r="G33" s="2">
        <f t="shared" si="9"/>
        <v>0.32539614391374588</v>
      </c>
      <c r="H33" s="2">
        <f t="shared" si="9"/>
        <v>0.32420226401500374</v>
      </c>
      <c r="I33" s="2">
        <f t="shared" si="9"/>
        <v>0.32635016494294855</v>
      </c>
      <c r="J33" s="2">
        <f t="shared" si="9"/>
        <v>0.32963440399218724</v>
      </c>
      <c r="K33" s="2">
        <f t="shared" si="9"/>
        <v>0.33011701015710321</v>
      </c>
      <c r="L33" s="2">
        <f t="shared" si="9"/>
        <v>0.32918467374891591</v>
      </c>
      <c r="M33" s="2">
        <f t="shared" si="9"/>
        <v>0.33541417050939881</v>
      </c>
      <c r="N33" s="2">
        <f t="shared" si="9"/>
        <v>0.33652292601635087</v>
      </c>
      <c r="O33" s="2">
        <f t="shared" si="9"/>
        <v>0.33480917511737829</v>
      </c>
      <c r="P33" s="2">
        <f t="shared" si="9"/>
        <v>0.33756482055573389</v>
      </c>
      <c r="Q33" s="2">
        <f t="shared" si="9"/>
        <v>0.33527204520611359</v>
      </c>
      <c r="R33" s="2">
        <f t="shared" si="9"/>
        <v>0.33536905544418766</v>
      </c>
      <c r="S33" s="2">
        <f t="shared" si="9"/>
        <v>0.32927761887076379</v>
      </c>
      <c r="T33" s="2">
        <f t="shared" si="9"/>
        <v>0.33215479960129957</v>
      </c>
      <c r="U33" s="1"/>
    </row>
    <row r="34" spans="1:49">
      <c r="A34" t="s">
        <v>302</v>
      </c>
      <c r="B34" t="s">
        <v>256</v>
      </c>
      <c r="D34" s="2">
        <f>D8/D4</f>
        <v>5.8907838391309572E-2</v>
      </c>
      <c r="E34" s="2">
        <f t="shared" ref="E34:T34" si="10">E8/E4</f>
        <v>6.2187335602021207E-2</v>
      </c>
      <c r="F34" s="2">
        <f t="shared" si="10"/>
        <v>6.5217062533461295E-2</v>
      </c>
      <c r="G34" s="2">
        <f t="shared" si="10"/>
        <v>6.8992376294054317E-2</v>
      </c>
      <c r="H34" s="2">
        <f t="shared" si="10"/>
        <v>7.6883343370547377E-2</v>
      </c>
      <c r="I34" s="2">
        <f t="shared" si="10"/>
        <v>7.4755211532935267E-2</v>
      </c>
      <c r="J34" s="2">
        <f t="shared" si="10"/>
        <v>7.7038536059165968E-2</v>
      </c>
      <c r="K34" s="2">
        <f t="shared" si="10"/>
        <v>8.1209566709293773E-2</v>
      </c>
      <c r="L34" s="2">
        <f t="shared" si="10"/>
        <v>8.2713637791081221E-2</v>
      </c>
      <c r="M34" s="2">
        <f t="shared" si="10"/>
        <v>8.0655529806249709E-2</v>
      </c>
      <c r="N34" s="2">
        <f t="shared" si="10"/>
        <v>8.0233568180586856E-2</v>
      </c>
      <c r="O34" s="2">
        <f t="shared" si="10"/>
        <v>8.2245027541156229E-2</v>
      </c>
      <c r="P34" s="2">
        <f t="shared" si="10"/>
        <v>8.0717715747118043E-2</v>
      </c>
      <c r="Q34" s="2">
        <f t="shared" si="10"/>
        <v>8.175449274769378E-2</v>
      </c>
      <c r="R34" s="2">
        <f t="shared" si="10"/>
        <v>8.4363422367438795E-2</v>
      </c>
      <c r="S34" s="2">
        <f t="shared" si="10"/>
        <v>8.3911473327759542E-2</v>
      </c>
      <c r="T34" s="2">
        <f t="shared" si="10"/>
        <v>8.1264060142433703E-2</v>
      </c>
      <c r="U34" s="1"/>
    </row>
    <row r="35" spans="1:49">
      <c r="A35" t="s">
        <v>303</v>
      </c>
      <c r="B35" t="s">
        <v>304</v>
      </c>
      <c r="C35" t="s">
        <v>235</v>
      </c>
      <c r="AC35" s="2">
        <f>AC166/AC165</f>
        <v>0.45456358436429828</v>
      </c>
      <c r="AW35" s="2">
        <f>AW166/AW165</f>
        <v>5.2532890386167777E-2</v>
      </c>
    </row>
    <row r="36" spans="1:49">
      <c r="A36" t="s">
        <v>305</v>
      </c>
      <c r="B36" t="s">
        <v>304</v>
      </c>
      <c r="C36" t="s">
        <v>235</v>
      </c>
      <c r="AC36" s="2">
        <f>AC174/AC165</f>
        <v>0.11407479054954639</v>
      </c>
      <c r="AW36" s="2">
        <f>AW174/AW165</f>
        <v>0.14709472337428131</v>
      </c>
    </row>
    <row r="37" spans="1:49">
      <c r="A37" t="s">
        <v>306</v>
      </c>
      <c r="B37" t="s">
        <v>304</v>
      </c>
      <c r="C37" t="s">
        <v>235</v>
      </c>
      <c r="AC37" s="2">
        <f>AC177/AC165</f>
        <v>0.35814718253669403</v>
      </c>
      <c r="AW37" s="2">
        <f>AW177/AW165</f>
        <v>0.50615666101579848</v>
      </c>
    </row>
    <row r="38" spans="1:49">
      <c r="A38" t="s">
        <v>307</v>
      </c>
      <c r="B38" t="s">
        <v>304</v>
      </c>
      <c r="T38" s="71"/>
      <c r="AC38" s="2">
        <f>SUM(AC171:AC173)/(AC165)</f>
        <v>7.3214442549461342E-2</v>
      </c>
      <c r="AW38" s="2">
        <f>SUM(AW171:AW173)/(AW165)</f>
        <v>0.29421572522375244</v>
      </c>
    </row>
    <row r="39" spans="1:49">
      <c r="A39" t="s">
        <v>308</v>
      </c>
      <c r="T39" s="2">
        <v>0.48959126888244192</v>
      </c>
      <c r="U39" s="2">
        <v>0.48569930393598149</v>
      </c>
      <c r="V39" s="2">
        <v>0.48180733898952111</v>
      </c>
      <c r="W39" s="2">
        <v>0.47791537404306067</v>
      </c>
      <c r="X39" s="2">
        <v>0.47402340909660029</v>
      </c>
      <c r="Y39" s="2">
        <v>0.47013144415013985</v>
      </c>
      <c r="Z39" s="2">
        <v>0.46623947920367947</v>
      </c>
      <c r="AA39" s="2">
        <v>0.46234751425721904</v>
      </c>
      <c r="AB39" s="2">
        <v>0.45845554931075866</v>
      </c>
      <c r="AC39" s="2">
        <v>0.454563584364298</v>
      </c>
      <c r="AD39" s="2">
        <v>0.4344620496653917</v>
      </c>
      <c r="AE39" s="2">
        <v>0.41436051496648518</v>
      </c>
      <c r="AF39" s="2">
        <v>0.39425898026757866</v>
      </c>
      <c r="AG39" s="2">
        <v>0.37415744556867214</v>
      </c>
      <c r="AH39" s="2">
        <v>0.35405591086976562</v>
      </c>
      <c r="AI39" s="2">
        <v>0.3339543761708591</v>
      </c>
      <c r="AJ39" s="2">
        <v>0.31385284147195258</v>
      </c>
      <c r="AK39" s="2">
        <v>0.29375130677304606</v>
      </c>
      <c r="AL39" s="2">
        <v>0.27364977207413954</v>
      </c>
      <c r="AM39" s="2">
        <v>0.25354823737523302</v>
      </c>
      <c r="AN39" s="2">
        <v>0.23344670267632656</v>
      </c>
      <c r="AO39" s="2">
        <v>0.21334516797742004</v>
      </c>
      <c r="AP39" s="2">
        <v>0.19324363327851352</v>
      </c>
      <c r="AQ39" s="2">
        <v>0.173142098579607</v>
      </c>
      <c r="AR39" s="2">
        <v>0.15304056388070048</v>
      </c>
      <c r="AS39" s="2">
        <v>0.13293902918179396</v>
      </c>
      <c r="AT39" s="2">
        <v>0.11283749448288743</v>
      </c>
      <c r="AU39" s="2">
        <v>9.2735959783980915E-2</v>
      </c>
      <c r="AV39" s="2">
        <v>7.2634425085074394E-2</v>
      </c>
      <c r="AW39" s="2">
        <v>5.2532890386167874E-2</v>
      </c>
    </row>
    <row r="40" spans="1:49">
      <c r="A40" t="s">
        <v>309</v>
      </c>
      <c r="T40" s="2">
        <v>9.6989879695236147E-2</v>
      </c>
      <c r="U40" s="2">
        <v>9.8888203123492835E-2</v>
      </c>
      <c r="V40" s="2">
        <v>0.10078652655174954</v>
      </c>
      <c r="W40" s="2">
        <v>0.10268484998000622</v>
      </c>
      <c r="X40" s="2">
        <v>0.10458317340826292</v>
      </c>
      <c r="Y40" s="2">
        <v>0.10648149683651961</v>
      </c>
      <c r="Z40" s="2">
        <v>0.10837982026477631</v>
      </c>
      <c r="AA40" s="2">
        <v>0.110278143693033</v>
      </c>
      <c r="AB40" s="2">
        <v>0.1121764671212897</v>
      </c>
      <c r="AC40" s="2">
        <v>0.11407479054954639</v>
      </c>
      <c r="AD40" s="2">
        <v>0.11572578719078314</v>
      </c>
      <c r="AE40" s="2">
        <v>0.11737678383201988</v>
      </c>
      <c r="AF40" s="2">
        <v>0.11902778047325663</v>
      </c>
      <c r="AG40" s="2">
        <v>0.12067877711449337</v>
      </c>
      <c r="AH40" s="2">
        <v>0.12232977375573012</v>
      </c>
      <c r="AI40" s="2">
        <v>0.12398077039696687</v>
      </c>
      <c r="AJ40" s="2">
        <v>0.12563176703820361</v>
      </c>
      <c r="AK40" s="2">
        <v>0.12728276367944036</v>
      </c>
      <c r="AL40" s="2">
        <v>0.1289337603206771</v>
      </c>
      <c r="AM40" s="2">
        <v>0.13058475696191385</v>
      </c>
      <c r="AN40" s="2">
        <v>0.1322357536031506</v>
      </c>
      <c r="AO40" s="2">
        <v>0.13388675024438734</v>
      </c>
      <c r="AP40" s="2">
        <v>0.13553774688562409</v>
      </c>
      <c r="AQ40" s="2">
        <v>0.13718874352686083</v>
      </c>
      <c r="AR40" s="2">
        <v>0.13883974016809758</v>
      </c>
      <c r="AS40" s="2">
        <v>0.14049073680933433</v>
      </c>
      <c r="AT40" s="2">
        <v>0.14214173345057107</v>
      </c>
      <c r="AU40" s="2">
        <v>0.14379273009180782</v>
      </c>
      <c r="AV40" s="2">
        <v>0.14544372673304456</v>
      </c>
      <c r="AW40" s="2">
        <v>0.14709472337428131</v>
      </c>
    </row>
    <row r="41" spans="1:49">
      <c r="A41" t="s">
        <v>310</v>
      </c>
      <c r="T41" s="2">
        <v>0.33215479960129957</v>
      </c>
      <c r="U41" s="2">
        <v>0.33504284214967672</v>
      </c>
      <c r="V41" s="2">
        <v>0.33793088469805388</v>
      </c>
      <c r="W41" s="2">
        <v>0.34081892724643104</v>
      </c>
      <c r="X41" s="2">
        <v>0.34370696979480825</v>
      </c>
      <c r="Y41" s="2">
        <v>0.3465950123431854</v>
      </c>
      <c r="Z41" s="2">
        <v>0.34948305489156256</v>
      </c>
      <c r="AA41" s="2">
        <v>0.35237109743993972</v>
      </c>
      <c r="AB41" s="2">
        <v>0.35525913998831687</v>
      </c>
      <c r="AC41" s="2">
        <v>0.35814718253669409</v>
      </c>
      <c r="AD41" s="2">
        <v>0.3655476564606493</v>
      </c>
      <c r="AE41" s="2">
        <v>0.37294813038460456</v>
      </c>
      <c r="AF41" s="2">
        <v>0.38034860430855977</v>
      </c>
      <c r="AG41" s="2">
        <v>0.38774907823251498</v>
      </c>
      <c r="AH41" s="2">
        <v>0.39514955215647019</v>
      </c>
      <c r="AI41" s="2">
        <v>0.40255002608042539</v>
      </c>
      <c r="AJ41" s="2">
        <v>0.40995050000438066</v>
      </c>
      <c r="AK41" s="2">
        <v>0.41735097392833587</v>
      </c>
      <c r="AL41" s="2">
        <v>0.42475144785229108</v>
      </c>
      <c r="AM41" s="2">
        <v>0.43215192177624628</v>
      </c>
      <c r="AN41" s="2">
        <v>0.43955239570020155</v>
      </c>
      <c r="AO41" s="2">
        <v>0.44695286962415676</v>
      </c>
      <c r="AP41" s="2">
        <v>0.45435334354811197</v>
      </c>
      <c r="AQ41" s="2">
        <v>0.46175381747206717</v>
      </c>
      <c r="AR41" s="2">
        <v>0.46915429139602238</v>
      </c>
      <c r="AS41" s="2">
        <v>0.47655476531997765</v>
      </c>
      <c r="AT41" s="2">
        <v>0.4839552392439328</v>
      </c>
      <c r="AU41" s="2">
        <v>0.49135571316788806</v>
      </c>
      <c r="AV41" s="2">
        <v>0.49875618709184327</v>
      </c>
      <c r="AW41" s="2">
        <v>0.50615666101579848</v>
      </c>
    </row>
    <row r="42" spans="1:49">
      <c r="A42" t="s">
        <v>311</v>
      </c>
      <c r="T42" s="2">
        <f>T34</f>
        <v>8.1264060142433703E-2</v>
      </c>
      <c r="U42" s="2">
        <f>($AC$42-$T$42)/9+T42</f>
        <v>8.0369658187658996E-2</v>
      </c>
      <c r="V42" s="2">
        <f t="shared" ref="V42:AB42" si="11">($AC$42-$T$42)/9+U42</f>
        <v>7.9475256232884289E-2</v>
      </c>
      <c r="W42" s="2">
        <f t="shared" si="11"/>
        <v>7.8580854278109583E-2</v>
      </c>
      <c r="X42" s="2">
        <f t="shared" si="11"/>
        <v>7.7686452323334876E-2</v>
      </c>
      <c r="Y42" s="2">
        <f t="shared" si="11"/>
        <v>7.6792050368560169E-2</v>
      </c>
      <c r="Z42" s="2">
        <f t="shared" si="11"/>
        <v>7.5897648413785462E-2</v>
      </c>
      <c r="AA42" s="2">
        <f t="shared" si="11"/>
        <v>7.5003246459010756E-2</v>
      </c>
      <c r="AB42" s="2">
        <f t="shared" si="11"/>
        <v>7.4108844504236049E-2</v>
      </c>
      <c r="AC42" s="2">
        <f>AC38</f>
        <v>7.3214442549461342E-2</v>
      </c>
      <c r="AD42" s="2">
        <f>($AW$42-$AC$42)/(2050-2030)+AC42</f>
        <v>8.4264506683175894E-2</v>
      </c>
      <c r="AE42" s="2">
        <f t="shared" ref="AE42:AV42" si="12">($AW$42-$AC$42)/(2050-2030)+AD42</f>
        <v>9.5314570816890445E-2</v>
      </c>
      <c r="AF42" s="2">
        <f t="shared" si="12"/>
        <v>0.106364634950605</v>
      </c>
      <c r="AG42" s="2">
        <f t="shared" si="12"/>
        <v>0.11741469908431955</v>
      </c>
      <c r="AH42" s="2">
        <f t="shared" si="12"/>
        <v>0.1284647632180341</v>
      </c>
      <c r="AI42" s="2">
        <f t="shared" si="12"/>
        <v>0.13951482735174867</v>
      </c>
      <c r="AJ42" s="2">
        <f t="shared" si="12"/>
        <v>0.15056489148546323</v>
      </c>
      <c r="AK42" s="2">
        <f t="shared" si="12"/>
        <v>0.1616149556191778</v>
      </c>
      <c r="AL42" s="2">
        <f t="shared" si="12"/>
        <v>0.17266501975289236</v>
      </c>
      <c r="AM42" s="2">
        <f t="shared" si="12"/>
        <v>0.18371508388660693</v>
      </c>
      <c r="AN42" s="2">
        <f t="shared" si="12"/>
        <v>0.19476514802032149</v>
      </c>
      <c r="AO42" s="2">
        <f t="shared" si="12"/>
        <v>0.20581521215403606</v>
      </c>
      <c r="AP42" s="2">
        <f t="shared" si="12"/>
        <v>0.21686527628775062</v>
      </c>
      <c r="AQ42" s="2">
        <f t="shared" si="12"/>
        <v>0.22791534042146519</v>
      </c>
      <c r="AR42" s="2">
        <f t="shared" si="12"/>
        <v>0.23896540455517976</v>
      </c>
      <c r="AS42" s="2">
        <f t="shared" si="12"/>
        <v>0.25001546868889429</v>
      </c>
      <c r="AT42" s="2">
        <f t="shared" si="12"/>
        <v>0.26106553282260886</v>
      </c>
      <c r="AU42" s="2">
        <f t="shared" si="12"/>
        <v>0.27211559695632342</v>
      </c>
      <c r="AV42" s="2">
        <f t="shared" si="12"/>
        <v>0.28316566109003799</v>
      </c>
      <c r="AW42" s="2">
        <f>AW38</f>
        <v>0.29421572522375244</v>
      </c>
    </row>
    <row r="43" spans="1:49">
      <c r="A43" t="s">
        <v>312</v>
      </c>
      <c r="B43" t="s">
        <v>313</v>
      </c>
      <c r="AC43" s="71">
        <f>[3]Industry!AP219</f>
        <v>0.46673361382793255</v>
      </c>
      <c r="AM43" s="71">
        <f>[3]Industry!AZ219</f>
        <v>0.22283393301712273</v>
      </c>
      <c r="AW43" s="71">
        <f>[3]Industry!BJ219</f>
        <v>6.8479246481394737E-2</v>
      </c>
    </row>
    <row r="44" spans="1:49">
      <c r="A44" t="s">
        <v>314</v>
      </c>
      <c r="D44" s="40"/>
      <c r="AC44" s="71">
        <f>[3]Industry!AP220</f>
        <v>0.1707813638975022</v>
      </c>
      <c r="AM44" s="71">
        <f>[3]Industry!AZ220</f>
        <v>0.1976997335922355</v>
      </c>
      <c r="AW44" s="71">
        <f>[3]Industry!BJ220</f>
        <v>0.19428401650154259</v>
      </c>
    </row>
    <row r="45" spans="1:49">
      <c r="A45" t="s">
        <v>315</v>
      </c>
      <c r="D45" s="1"/>
      <c r="AC45" s="71">
        <f>[3]Industry!AP221</f>
        <v>0.29238379491417138</v>
      </c>
      <c r="AM45" s="71">
        <f>[3]Industry!AZ221</f>
        <v>0.42109275829220488</v>
      </c>
      <c r="AW45" s="71">
        <f>[3]Industry!BJ221</f>
        <v>0.47221191967596332</v>
      </c>
    </row>
    <row r="46" spans="1:49">
      <c r="A46" t="s">
        <v>316</v>
      </c>
      <c r="D46" s="1"/>
      <c r="AC46" s="71">
        <f>[3]Industry!AP222</f>
        <v>7.0104923107641423E-2</v>
      </c>
      <c r="AM46" s="71">
        <f>[3]Industry!AZ222</f>
        <v>0.15836865853073123</v>
      </c>
      <c r="AW46" s="71">
        <f>[3]Industry!BJ222</f>
        <v>0.23539492171674273</v>
      </c>
    </row>
    <row r="47" spans="1:49">
      <c r="D47" s="1"/>
      <c r="L47" s="138"/>
      <c r="M47" s="138"/>
      <c r="N47" s="138"/>
      <c r="O47" s="138"/>
      <c r="P47" s="138"/>
      <c r="Q47" s="138"/>
      <c r="R47" s="138"/>
      <c r="S47" s="138"/>
      <c r="T47" s="138"/>
      <c r="U47" s="138"/>
      <c r="V47" s="138"/>
    </row>
    <row r="48" spans="1:49">
      <c r="D48" t="s">
        <v>61</v>
      </c>
      <c r="E48" t="s">
        <v>64</v>
      </c>
      <c r="F48" t="s">
        <v>66</v>
      </c>
      <c r="L48" s="138"/>
      <c r="M48" s="138"/>
      <c r="N48" s="138"/>
      <c r="O48" s="138"/>
      <c r="P48" s="138"/>
      <c r="Q48" s="138"/>
      <c r="R48" s="138"/>
      <c r="S48" s="138"/>
      <c r="T48" s="138"/>
      <c r="U48" s="138"/>
      <c r="V48" s="138"/>
    </row>
    <row r="49" spans="1:49">
      <c r="A49" t="s">
        <v>317</v>
      </c>
      <c r="D49" s="129">
        <f>(T31-P31)/4</f>
        <v>-4.2318495476756368E-5</v>
      </c>
      <c r="E49" s="43">
        <f>V39-U39</f>
        <v>-3.89196494646038E-3</v>
      </c>
      <c r="F49" s="43">
        <f>AE39-AD39</f>
        <v>-2.010153469890652E-2</v>
      </c>
      <c r="L49" s="138"/>
      <c r="M49" s="138"/>
      <c r="N49" s="138"/>
      <c r="O49" s="138"/>
      <c r="P49" s="138"/>
      <c r="Q49" s="138"/>
      <c r="R49" s="138"/>
      <c r="S49" s="138"/>
      <c r="T49" s="138"/>
      <c r="U49" s="138"/>
      <c r="V49" s="138"/>
    </row>
    <row r="50" spans="1:49">
      <c r="A50" t="s">
        <v>318</v>
      </c>
      <c r="D50" s="129">
        <f>(T32-P32)/4</f>
        <v>1.2790508752962559E-3</v>
      </c>
      <c r="E50" s="43">
        <f>V40-U40</f>
        <v>1.8983234282567013E-3</v>
      </c>
      <c r="F50" s="43">
        <f t="shared" ref="F50:F51" si="13">AE40-AD40</f>
        <v>1.6509966412367461E-3</v>
      </c>
      <c r="L50" s="138"/>
      <c r="M50" s="138"/>
      <c r="N50" s="138"/>
      <c r="O50" s="138"/>
      <c r="P50" s="138"/>
      <c r="Q50" s="138"/>
      <c r="R50" s="138"/>
      <c r="S50" s="138"/>
      <c r="T50" s="138"/>
      <c r="U50" s="138"/>
      <c r="V50" s="138"/>
    </row>
    <row r="51" spans="1:49">
      <c r="A51" t="s">
        <v>259</v>
      </c>
      <c r="D51" s="129">
        <f>(T33-P33)/4</f>
        <v>-1.3525052386085812E-3</v>
      </c>
      <c r="E51" s="43">
        <f>V41-U41</f>
        <v>2.8880425483771566E-3</v>
      </c>
      <c r="F51" s="43">
        <f t="shared" si="13"/>
        <v>7.4004739239552642E-3</v>
      </c>
      <c r="L51" s="138"/>
      <c r="M51" s="138"/>
      <c r="N51" s="138"/>
      <c r="O51" s="138"/>
      <c r="P51" s="140"/>
      <c r="Q51" s="138"/>
      <c r="R51" s="138"/>
      <c r="S51" s="138"/>
      <c r="T51" s="138"/>
      <c r="U51" s="138"/>
      <c r="V51" s="138"/>
    </row>
    <row r="52" spans="1:49">
      <c r="L52" s="138"/>
      <c r="M52" s="138"/>
      <c r="N52" s="138"/>
      <c r="O52" s="138"/>
      <c r="P52" s="138"/>
      <c r="Q52" s="138" t="s">
        <v>319</v>
      </c>
      <c r="R52" s="138" t="s">
        <v>237</v>
      </c>
      <c r="S52" s="138" t="s">
        <v>66</v>
      </c>
      <c r="T52" s="138"/>
      <c r="U52" s="138"/>
      <c r="V52" s="138"/>
    </row>
    <row r="53" spans="1:49">
      <c r="L53" s="138"/>
      <c r="M53" s="138"/>
      <c r="N53" s="138"/>
      <c r="O53" s="138"/>
      <c r="P53" s="138" t="s">
        <v>317</v>
      </c>
      <c r="Q53" s="140">
        <f>AVERAGE(T31-S31,S31-R31,R31-Q31,Q31-P31)</f>
        <v>-4.2318495476756368E-5</v>
      </c>
      <c r="R53" s="140">
        <f>V39-U39</f>
        <v>-3.89196494646038E-3</v>
      </c>
      <c r="S53" s="140">
        <f>AF39-AE39</f>
        <v>-2.010153469890652E-2</v>
      </c>
      <c r="T53" s="138"/>
      <c r="U53" s="138"/>
      <c r="V53" s="138"/>
    </row>
    <row r="54" spans="1:49">
      <c r="L54" s="138"/>
      <c r="M54" s="138"/>
      <c r="N54" s="138"/>
      <c r="O54" s="138"/>
      <c r="P54" s="138" t="s">
        <v>260</v>
      </c>
      <c r="Q54" s="140">
        <f>AVERAGE(T32-S32,S32-R32,R32-Q32,Q32-P32)</f>
        <v>1.2790508752962559E-3</v>
      </c>
      <c r="R54" s="140">
        <f>V40-U40</f>
        <v>1.8983234282567013E-3</v>
      </c>
      <c r="S54" s="140">
        <f>AF40-AE40</f>
        <v>1.6509966412367461E-3</v>
      </c>
      <c r="T54" s="138"/>
      <c r="U54" s="138"/>
      <c r="V54" s="138"/>
    </row>
    <row r="55" spans="1:49">
      <c r="L55" s="138"/>
      <c r="M55" s="138"/>
      <c r="N55" s="138"/>
      <c r="O55" s="138"/>
      <c r="P55" s="138" t="s">
        <v>259</v>
      </c>
      <c r="Q55" s="140">
        <f>AVERAGE(T33-S33,S33-R33,R33-Q33,Q33-P33)</f>
        <v>-1.3525052386085812E-3</v>
      </c>
      <c r="R55" s="140">
        <f>V41-U41</f>
        <v>2.8880425483771566E-3</v>
      </c>
      <c r="S55" s="140">
        <f>AF41-AE41</f>
        <v>7.4004739239552086E-3</v>
      </c>
      <c r="T55" s="138"/>
      <c r="U55" s="138"/>
      <c r="V55" s="138"/>
    </row>
    <row r="56" spans="1:49">
      <c r="L56" s="138"/>
      <c r="M56" s="138"/>
      <c r="N56" s="138"/>
      <c r="O56" s="138"/>
      <c r="P56" s="138"/>
      <c r="Q56" s="138"/>
      <c r="R56" s="138"/>
      <c r="S56" s="138"/>
      <c r="T56" s="138"/>
      <c r="U56" s="138"/>
      <c r="V56" s="138"/>
    </row>
    <row r="57" spans="1:49">
      <c r="L57" s="138"/>
      <c r="M57" s="138"/>
      <c r="N57" s="138"/>
      <c r="O57" s="138"/>
      <c r="P57" s="138"/>
      <c r="Q57" s="138"/>
      <c r="R57" s="138"/>
      <c r="S57" s="138"/>
      <c r="T57" s="138"/>
      <c r="U57" s="138"/>
      <c r="V57" s="138"/>
    </row>
    <row r="58" spans="1:49">
      <c r="L58" s="138"/>
      <c r="M58" s="138"/>
      <c r="N58" s="138"/>
      <c r="O58" s="138"/>
      <c r="P58" s="138"/>
      <c r="Q58" s="138"/>
      <c r="R58" s="138"/>
      <c r="S58" s="138"/>
      <c r="T58" s="138"/>
      <c r="U58" s="138"/>
      <c r="V58" s="138"/>
    </row>
    <row r="59" spans="1:49">
      <c r="L59" s="138"/>
      <c r="M59" s="138"/>
      <c r="N59" s="138"/>
      <c r="O59" s="138"/>
      <c r="P59" s="138"/>
      <c r="Q59" s="138"/>
      <c r="R59" s="138"/>
      <c r="S59" s="138"/>
      <c r="T59" s="138"/>
      <c r="U59" s="138"/>
      <c r="V59" s="138"/>
    </row>
    <row r="60" spans="1:49">
      <c r="L60" s="138"/>
      <c r="M60" s="138"/>
      <c r="N60" s="138"/>
      <c r="O60" s="138"/>
      <c r="P60" s="138"/>
      <c r="Q60" s="138"/>
      <c r="R60" s="138"/>
      <c r="S60" s="138"/>
      <c r="T60" s="138"/>
      <c r="U60" s="138"/>
      <c r="V60" s="138"/>
    </row>
    <row r="61" spans="1:49">
      <c r="L61" s="139" t="s">
        <v>320</v>
      </c>
      <c r="M61" s="138"/>
      <c r="N61" s="138"/>
      <c r="O61" s="138"/>
      <c r="P61" s="138"/>
      <c r="Q61" s="138"/>
      <c r="R61" s="138"/>
      <c r="S61" s="138"/>
      <c r="T61" s="138"/>
      <c r="U61" s="138"/>
      <c r="V61" s="138"/>
    </row>
    <row r="62" spans="1:49" s="4" customFormat="1">
      <c r="A62" s="4" t="s">
        <v>321</v>
      </c>
    </row>
    <row r="63" spans="1:49">
      <c r="B63" t="s">
        <v>31</v>
      </c>
      <c r="C63" t="s">
        <v>32</v>
      </c>
      <c r="D63">
        <v>2005</v>
      </c>
      <c r="I63">
        <v>2010</v>
      </c>
      <c r="N63">
        <v>2015</v>
      </c>
      <c r="S63">
        <v>2020</v>
      </c>
      <c r="X63">
        <v>2025</v>
      </c>
      <c r="AC63">
        <v>2030</v>
      </c>
      <c r="AH63">
        <v>2035</v>
      </c>
      <c r="AM63">
        <v>2040</v>
      </c>
      <c r="AR63">
        <v>2045</v>
      </c>
      <c r="AW63">
        <v>2050</v>
      </c>
    </row>
    <row r="64" spans="1:49">
      <c r="A64" t="s">
        <v>37</v>
      </c>
      <c r="B64" t="s">
        <v>256</v>
      </c>
      <c r="C64" t="s">
        <v>257</v>
      </c>
      <c r="D64" s="1">
        <v>275.12525400000004</v>
      </c>
      <c r="E64" s="1">
        <v>269.57638299999996</v>
      </c>
      <c r="F64" s="1">
        <v>274.275846</v>
      </c>
      <c r="G64" s="1">
        <v>265.10807400000004</v>
      </c>
      <c r="H64" s="1">
        <v>229.18045999999998</v>
      </c>
      <c r="I64" s="1">
        <v>243.87311099999999</v>
      </c>
      <c r="J64" s="1">
        <v>244.295556</v>
      </c>
      <c r="K64" s="1">
        <v>239.70269500000001</v>
      </c>
      <c r="L64" s="1">
        <v>236.748516</v>
      </c>
      <c r="M64" s="1">
        <v>233.29776699999999</v>
      </c>
      <c r="N64" s="1">
        <v>233.50766300000001</v>
      </c>
      <c r="O64" s="1">
        <v>237.79920300000001</v>
      </c>
      <c r="P64" s="1">
        <v>240.06350800000001</v>
      </c>
      <c r="Q64" s="1">
        <v>242.46632</v>
      </c>
      <c r="R64" s="1">
        <v>239.23959500000001</v>
      </c>
      <c r="S64" s="1">
        <v>230.92330799999999</v>
      </c>
      <c r="T64" s="1">
        <v>240.34384899999998</v>
      </c>
    </row>
    <row r="65" spans="1:20" collapsed="1">
      <c r="A65" t="s">
        <v>322</v>
      </c>
      <c r="B65" t="s">
        <v>256</v>
      </c>
      <c r="C65" t="s">
        <v>257</v>
      </c>
      <c r="D65" s="1">
        <v>17.369067999999999</v>
      </c>
      <c r="E65" s="1">
        <v>17.268435</v>
      </c>
      <c r="F65" s="1">
        <v>17.843435000000003</v>
      </c>
      <c r="G65" s="1">
        <v>16.476514999999999</v>
      </c>
      <c r="H65" s="1">
        <v>13.099489999999999</v>
      </c>
      <c r="I65" s="1">
        <v>13.190286</v>
      </c>
      <c r="J65" s="1">
        <v>14.710645000000001</v>
      </c>
      <c r="K65" s="1">
        <v>13.681187</v>
      </c>
      <c r="L65" s="1">
        <v>12.935438</v>
      </c>
      <c r="M65" s="1">
        <v>12.603219999999999</v>
      </c>
      <c r="N65" s="1">
        <v>12.962335999999999</v>
      </c>
      <c r="O65" s="1">
        <v>12.9894</v>
      </c>
      <c r="P65" s="1">
        <v>13.193693</v>
      </c>
      <c r="Q65" s="1">
        <v>12.582302</v>
      </c>
      <c r="R65" s="1">
        <v>11.667757</v>
      </c>
      <c r="S65" s="1">
        <v>10.908149999999999</v>
      </c>
      <c r="T65" s="1">
        <v>11.069728</v>
      </c>
    </row>
    <row r="66" spans="1:20" hidden="1" outlineLevel="1">
      <c r="A66" t="s">
        <v>323</v>
      </c>
      <c r="B66" t="s">
        <v>256</v>
      </c>
      <c r="C66" t="s">
        <v>257</v>
      </c>
      <c r="D66" s="1">
        <v>0.61733199999999999</v>
      </c>
      <c r="E66" s="1">
        <v>0.63041499999999995</v>
      </c>
      <c r="F66" s="1">
        <v>0.68753599999999992</v>
      </c>
      <c r="G66" s="1">
        <v>0.68911300000000009</v>
      </c>
      <c r="H66" s="1">
        <v>0.46195800000000004</v>
      </c>
      <c r="I66" s="1">
        <v>0.75363699999999989</v>
      </c>
      <c r="J66" s="1">
        <v>1.4836669999999998</v>
      </c>
      <c r="K66" s="1">
        <v>1.495101</v>
      </c>
      <c r="L66" s="1">
        <v>1.5872280000000001</v>
      </c>
      <c r="M66" s="1">
        <v>1.2346980000000001</v>
      </c>
      <c r="N66" s="1">
        <v>1.3368230000000001</v>
      </c>
      <c r="O66" s="1">
        <v>1.3084749999999998</v>
      </c>
      <c r="P66" s="1">
        <v>1.3456539999999999</v>
      </c>
      <c r="Q66" s="1">
        <v>1.2245200000000001</v>
      </c>
      <c r="R66" s="1">
        <v>1.1017650000000001</v>
      </c>
      <c r="S66" s="1">
        <v>0.85938899999999996</v>
      </c>
      <c r="T66" s="1">
        <v>1.1023540000000001</v>
      </c>
    </row>
    <row r="67" spans="1:20" hidden="1" outlineLevel="1">
      <c r="A67" t="s">
        <v>324</v>
      </c>
      <c r="B67" t="s">
        <v>256</v>
      </c>
      <c r="C67" t="s">
        <v>257</v>
      </c>
      <c r="D67" s="1">
        <v>0.19967500000000002</v>
      </c>
      <c r="E67" s="1">
        <v>8.8100999999999999E-2</v>
      </c>
      <c r="F67" s="1">
        <v>8.0863000000000004E-2</v>
      </c>
      <c r="G67" s="1">
        <v>3.3057999999999997E-2</v>
      </c>
      <c r="H67" s="1">
        <v>4.4377E-2</v>
      </c>
      <c r="I67" s="1">
        <v>4.3900000000000002E-2</v>
      </c>
      <c r="J67" s="1">
        <v>8.7715999999999988E-2</v>
      </c>
      <c r="K67" s="1">
        <v>8.6088999999999999E-2</v>
      </c>
      <c r="L67" s="1">
        <v>4.1517000000000005E-2</v>
      </c>
      <c r="M67" s="1">
        <v>1.7084999999999999E-2</v>
      </c>
      <c r="N67" s="1">
        <v>1.0811999999999999E-2</v>
      </c>
      <c r="O67" s="1">
        <v>1.5259999999999999E-2</v>
      </c>
      <c r="P67" s="1">
        <v>2.1734000000000003E-2</v>
      </c>
      <c r="Q67" s="1">
        <v>2.5126000000000002E-2</v>
      </c>
      <c r="R67" s="1">
        <v>1.0820999999999999E-2</v>
      </c>
      <c r="S67" s="1">
        <v>2.1975000000000001E-2</v>
      </c>
      <c r="T67" s="1">
        <v>2.7931000000000001E-2</v>
      </c>
    </row>
    <row r="68" spans="1:20" hidden="1" outlineLevel="1">
      <c r="A68" t="s">
        <v>325</v>
      </c>
      <c r="B68" t="s">
        <v>256</v>
      </c>
      <c r="C68" t="s">
        <v>257</v>
      </c>
      <c r="D68" s="1">
        <v>9.2920229999999986</v>
      </c>
      <c r="E68" s="1">
        <v>8.6773939999999996</v>
      </c>
      <c r="F68" s="1">
        <v>10.166058999999999</v>
      </c>
      <c r="G68" s="1">
        <v>9.4369699999999987</v>
      </c>
      <c r="H68" s="1">
        <v>7.320729</v>
      </c>
      <c r="I68" s="1">
        <v>7.4207610000000006</v>
      </c>
      <c r="J68" s="1">
        <v>7.515841</v>
      </c>
      <c r="K68" s="1">
        <v>6.7689859999999999</v>
      </c>
      <c r="L68" s="1">
        <v>6.1295450000000002</v>
      </c>
      <c r="M68" s="1">
        <v>6.4564539999999999</v>
      </c>
      <c r="N68" s="1">
        <v>6.488232</v>
      </c>
      <c r="O68" s="1">
        <v>6.5560739999999997</v>
      </c>
      <c r="P68" s="1">
        <v>6.7691650000000001</v>
      </c>
      <c r="Q68" s="1">
        <v>6.3780200000000002</v>
      </c>
      <c r="R68" s="1">
        <v>6.0350389999999994</v>
      </c>
      <c r="S68" s="1">
        <v>5.5595420000000004</v>
      </c>
      <c r="T68" s="1">
        <v>5.3918190000000008</v>
      </c>
    </row>
    <row r="69" spans="1:20" hidden="1" outlineLevel="1">
      <c r="A69" t="s">
        <v>326</v>
      </c>
      <c r="B69" t="s">
        <v>256</v>
      </c>
      <c r="C69" t="s">
        <v>257</v>
      </c>
      <c r="D69" s="1">
        <v>0.27803899999999998</v>
      </c>
      <c r="E69" s="1">
        <v>0.35569099999999998</v>
      </c>
      <c r="F69" s="1">
        <v>0.33966099999999999</v>
      </c>
      <c r="G69" s="1">
        <v>0.25895600000000002</v>
      </c>
      <c r="H69" s="1">
        <v>0.15190700000000001</v>
      </c>
      <c r="I69" s="1">
        <v>0.19115700000000002</v>
      </c>
      <c r="J69" s="1">
        <v>0.16995500000000002</v>
      </c>
      <c r="K69" s="1">
        <v>0.27929300000000001</v>
      </c>
      <c r="L69" s="1">
        <v>0.29804599999999998</v>
      </c>
      <c r="M69" s="1">
        <v>0.29702600000000001</v>
      </c>
      <c r="N69" s="1">
        <v>0.352885</v>
      </c>
      <c r="O69" s="1">
        <v>0.36133199999999999</v>
      </c>
      <c r="P69" s="1">
        <v>0.31695200000000001</v>
      </c>
      <c r="Q69" s="1">
        <v>0.31301400000000001</v>
      </c>
      <c r="R69" s="1">
        <v>0.34332100000000004</v>
      </c>
      <c r="S69" s="1">
        <v>0.30893300000000001</v>
      </c>
      <c r="T69" s="1">
        <v>0.36495</v>
      </c>
    </row>
    <row r="70" spans="1:20" hidden="1" outlineLevel="1">
      <c r="A70" t="s">
        <v>327</v>
      </c>
      <c r="B70" t="s">
        <v>256</v>
      </c>
      <c r="C70" t="s">
        <v>257</v>
      </c>
      <c r="D70" s="1">
        <v>1.397904</v>
      </c>
      <c r="E70" s="1">
        <v>1.431262</v>
      </c>
      <c r="F70" s="1">
        <v>1.0295000000000001</v>
      </c>
      <c r="G70" s="1">
        <v>1.1134919999999999</v>
      </c>
      <c r="H70" s="1">
        <v>1.255037</v>
      </c>
      <c r="I70" s="1">
        <v>0.71916200000000008</v>
      </c>
      <c r="J70" s="1">
        <v>0.705488</v>
      </c>
      <c r="K70" s="1">
        <v>0.75195000000000001</v>
      </c>
      <c r="L70" s="1">
        <v>0.67949800000000005</v>
      </c>
      <c r="M70" s="1">
        <v>0.65837000000000001</v>
      </c>
      <c r="N70" s="1">
        <v>0.64157399999999998</v>
      </c>
      <c r="O70" s="1">
        <v>0.566079</v>
      </c>
      <c r="P70" s="1">
        <v>0.63417699999999999</v>
      </c>
      <c r="Q70" s="1">
        <v>0.64498599999999995</v>
      </c>
      <c r="R70" s="1">
        <v>0.576986</v>
      </c>
      <c r="S70" s="1">
        <v>0.565326</v>
      </c>
      <c r="T70" s="1">
        <v>0.57808599999999999</v>
      </c>
    </row>
    <row r="71" spans="1:20" hidden="1" outlineLevel="1">
      <c r="A71" t="s">
        <v>328</v>
      </c>
      <c r="B71" t="s">
        <v>256</v>
      </c>
      <c r="C71" t="s">
        <v>257</v>
      </c>
      <c r="D71" s="1">
        <v>3.9509609999999999</v>
      </c>
      <c r="E71" s="1">
        <v>4.5328950000000008</v>
      </c>
      <c r="F71" s="1">
        <v>3.9175120000000003</v>
      </c>
      <c r="G71" s="1">
        <v>3.2833480000000002</v>
      </c>
      <c r="H71" s="1">
        <v>2.400156</v>
      </c>
      <c r="I71" s="1">
        <v>2.5550600000000001</v>
      </c>
      <c r="J71" s="1">
        <v>2.9263840000000001</v>
      </c>
      <c r="K71" s="1">
        <v>2.4369490000000003</v>
      </c>
      <c r="L71" s="1">
        <v>2.2826269999999997</v>
      </c>
      <c r="M71" s="1">
        <v>2.0998890000000001</v>
      </c>
      <c r="N71" s="1">
        <v>2.3355799999999998</v>
      </c>
      <c r="O71" s="1">
        <v>2.291137</v>
      </c>
      <c r="P71" s="1">
        <v>2.2429070000000002</v>
      </c>
      <c r="Q71" s="1">
        <v>2.1595569999999999</v>
      </c>
      <c r="R71" s="1">
        <v>1.9468019999999999</v>
      </c>
      <c r="S71" s="1">
        <v>1.7186429999999999</v>
      </c>
      <c r="T71" s="1">
        <v>1.752178</v>
      </c>
    </row>
    <row r="72" spans="1:20" hidden="1" outlineLevel="1">
      <c r="A72" t="s">
        <v>329</v>
      </c>
      <c r="B72" t="s">
        <v>256</v>
      </c>
      <c r="C72" t="s">
        <v>257</v>
      </c>
      <c r="D72" s="1">
        <v>0</v>
      </c>
      <c r="E72" s="1">
        <v>0</v>
      </c>
      <c r="F72" s="1">
        <v>0</v>
      </c>
      <c r="G72" s="1">
        <v>0</v>
      </c>
      <c r="H72" s="1">
        <v>0</v>
      </c>
      <c r="I72" s="1">
        <v>0</v>
      </c>
      <c r="J72" s="1">
        <v>0</v>
      </c>
      <c r="K72" s="1">
        <v>0</v>
      </c>
      <c r="L72" s="1">
        <v>0</v>
      </c>
      <c r="M72" s="1">
        <v>0</v>
      </c>
      <c r="N72" s="1">
        <v>0</v>
      </c>
      <c r="O72" s="1">
        <v>0</v>
      </c>
      <c r="P72" s="1">
        <v>0</v>
      </c>
      <c r="Q72" s="1">
        <v>0</v>
      </c>
      <c r="R72" s="1">
        <v>0</v>
      </c>
      <c r="S72" s="1">
        <v>0</v>
      </c>
      <c r="T72" s="1">
        <v>0</v>
      </c>
    </row>
    <row r="73" spans="1:20" hidden="1" outlineLevel="1">
      <c r="A73" t="s">
        <v>330</v>
      </c>
      <c r="B73" t="s">
        <v>256</v>
      </c>
      <c r="C73" t="s">
        <v>257</v>
      </c>
      <c r="D73" s="1">
        <v>7.4999999999999997E-3</v>
      </c>
      <c r="E73" s="1">
        <v>3.5539999999999999E-3</v>
      </c>
      <c r="F73" s="1">
        <v>0</v>
      </c>
      <c r="G73" s="1">
        <v>7.5000000000000002E-4</v>
      </c>
      <c r="H73" s="1">
        <v>2.1669999999999997E-3</v>
      </c>
      <c r="I73" s="1">
        <v>0</v>
      </c>
      <c r="J73" s="1">
        <v>5.1449999999999994E-3</v>
      </c>
      <c r="K73" s="1">
        <v>4.1832999999999995E-2</v>
      </c>
      <c r="L73" s="1">
        <v>1.7385999999999999E-2</v>
      </c>
      <c r="M73" s="1">
        <v>0</v>
      </c>
      <c r="N73" s="1">
        <v>0</v>
      </c>
      <c r="O73" s="1">
        <v>0</v>
      </c>
      <c r="P73" s="1">
        <v>1.4299999999999998E-4</v>
      </c>
      <c r="Q73" s="1">
        <v>1.9859000000000002E-2</v>
      </c>
      <c r="R73" s="1">
        <v>5.0299999999999997E-4</v>
      </c>
      <c r="S73" s="1">
        <v>6.9999999999999999E-4</v>
      </c>
      <c r="T73" s="1">
        <v>3.1599999999999998E-4</v>
      </c>
    </row>
    <row r="74" spans="1:20" hidden="1" outlineLevel="1">
      <c r="A74" t="s">
        <v>331</v>
      </c>
      <c r="B74" t="s">
        <v>256</v>
      </c>
      <c r="C74" t="s">
        <v>257</v>
      </c>
      <c r="D74" s="1">
        <v>1.5443399999999998</v>
      </c>
      <c r="E74" s="1">
        <v>1.503152</v>
      </c>
      <c r="F74" s="1">
        <v>1.569024</v>
      </c>
      <c r="G74" s="1">
        <v>1.5965630000000002</v>
      </c>
      <c r="H74" s="1">
        <v>1.350895</v>
      </c>
      <c r="I74" s="1">
        <v>1.5004040000000001</v>
      </c>
      <c r="J74" s="1">
        <v>1.7559760000000002</v>
      </c>
      <c r="K74" s="1">
        <v>1.7632509999999999</v>
      </c>
      <c r="L74" s="1">
        <v>1.842954</v>
      </c>
      <c r="M74" s="1">
        <v>1.786076</v>
      </c>
      <c r="N74" s="1">
        <v>1.741897</v>
      </c>
      <c r="O74" s="1">
        <v>1.8155350000000001</v>
      </c>
      <c r="P74" s="1">
        <v>1.848104</v>
      </c>
      <c r="Q74" s="1">
        <v>1.796289</v>
      </c>
      <c r="R74" s="1">
        <v>1.63788</v>
      </c>
      <c r="S74" s="1">
        <v>1.869613</v>
      </c>
      <c r="T74" s="1">
        <v>1.8507470000000001</v>
      </c>
    </row>
    <row r="75" spans="1:20" hidden="1" outlineLevel="1">
      <c r="A75" t="s">
        <v>332</v>
      </c>
      <c r="B75" t="s">
        <v>256</v>
      </c>
      <c r="C75" t="s">
        <v>257</v>
      </c>
      <c r="D75" s="1">
        <v>8.1302000000000013E-2</v>
      </c>
      <c r="E75" s="1">
        <v>4.5968000000000002E-2</v>
      </c>
      <c r="F75" s="1">
        <v>5.3281999999999996E-2</v>
      </c>
      <c r="G75" s="1">
        <v>6.4264000000000002E-2</v>
      </c>
      <c r="H75" s="1">
        <v>0.112259</v>
      </c>
      <c r="I75" s="1">
        <v>6.2039999999999994E-3</v>
      </c>
      <c r="J75" s="1">
        <v>6.0474E-2</v>
      </c>
      <c r="K75" s="1">
        <v>5.7737000000000004E-2</v>
      </c>
      <c r="L75" s="1">
        <v>5.6634999999999998E-2</v>
      </c>
      <c r="M75" s="1">
        <v>5.3619999999999994E-2</v>
      </c>
      <c r="N75" s="1">
        <v>5.4532999999999998E-2</v>
      </c>
      <c r="O75" s="1">
        <v>7.5504000000000002E-2</v>
      </c>
      <c r="P75" s="1">
        <v>1.4856999999999999E-2</v>
      </c>
      <c r="Q75" s="1">
        <v>2.0931999999999999E-2</v>
      </c>
      <c r="R75" s="1">
        <v>1.4643000000000002E-2</v>
      </c>
      <c r="S75" s="1">
        <v>4.0249999999999999E-3</v>
      </c>
      <c r="T75" s="1">
        <v>1.3489999999999999E-3</v>
      </c>
    </row>
    <row r="76" spans="1:20" collapsed="1">
      <c r="A76" t="s">
        <v>333</v>
      </c>
      <c r="B76" t="s">
        <v>256</v>
      </c>
      <c r="C76" t="s">
        <v>257</v>
      </c>
      <c r="D76" s="1">
        <v>6.3582689999999999</v>
      </c>
      <c r="E76" s="1">
        <v>6.4445410000000001</v>
      </c>
      <c r="F76" s="1">
        <v>6.155259</v>
      </c>
      <c r="G76" s="1">
        <v>5.8122759999999998</v>
      </c>
      <c r="H76" s="1">
        <v>4.114611</v>
      </c>
      <c r="I76" s="1">
        <v>5.0740639999999999</v>
      </c>
      <c r="J76" s="1">
        <v>5.1105450000000001</v>
      </c>
      <c r="K76" s="1">
        <v>5.2218950000000008</v>
      </c>
      <c r="L76" s="1">
        <v>4.9374589999999996</v>
      </c>
      <c r="M76" s="1">
        <v>5.0024709999999999</v>
      </c>
      <c r="N76" s="1">
        <v>4.9434250000000004</v>
      </c>
      <c r="O76" s="1">
        <v>4.7614150000000004</v>
      </c>
      <c r="P76" s="1">
        <v>4.666093</v>
      </c>
      <c r="Q76" s="1">
        <v>4.8993270000000004</v>
      </c>
      <c r="R76" s="1">
        <v>4.4838630000000004</v>
      </c>
      <c r="S76" s="1">
        <v>4.1009539999999998</v>
      </c>
      <c r="T76" s="1">
        <v>4.2805359999999997</v>
      </c>
    </row>
    <row r="77" spans="1:20" hidden="1" outlineLevel="1">
      <c r="A77" t="s">
        <v>334</v>
      </c>
      <c r="B77" t="s">
        <v>256</v>
      </c>
      <c r="C77" t="s">
        <v>257</v>
      </c>
      <c r="D77" s="1">
        <v>2.3179409999999998</v>
      </c>
      <c r="E77" s="1">
        <v>2.4005070000000002</v>
      </c>
      <c r="F77" s="1">
        <v>2.3091179999999998</v>
      </c>
      <c r="G77" s="1">
        <v>2.1832280000000002</v>
      </c>
      <c r="H77" s="1">
        <v>1.5704629999999999</v>
      </c>
      <c r="I77" s="1">
        <v>1.9965269999999999</v>
      </c>
      <c r="J77" s="1">
        <v>2.159872</v>
      </c>
      <c r="K77" s="1">
        <v>2.314594</v>
      </c>
      <c r="L77" s="1">
        <v>2.1090839999999997</v>
      </c>
      <c r="M77" s="1">
        <v>2.0745800000000001</v>
      </c>
      <c r="N77" s="1">
        <v>1.996213</v>
      </c>
      <c r="O77" s="1">
        <v>1.987903</v>
      </c>
      <c r="P77" s="1">
        <v>1.8495979999999999</v>
      </c>
      <c r="Q77" s="1">
        <v>1.763085</v>
      </c>
      <c r="R77" s="1">
        <v>1.6940580000000001</v>
      </c>
      <c r="S77" s="1">
        <v>1.604373</v>
      </c>
      <c r="T77" s="1">
        <v>1.8662699999999999</v>
      </c>
    </row>
    <row r="78" spans="1:20" hidden="1" outlineLevel="1">
      <c r="A78" t="s">
        <v>335</v>
      </c>
      <c r="B78" t="s">
        <v>256</v>
      </c>
      <c r="C78" t="s">
        <v>257</v>
      </c>
      <c r="D78" s="1">
        <v>5.1799999999999997E-3</v>
      </c>
      <c r="E78" s="1">
        <v>4.3429999999999996E-3</v>
      </c>
      <c r="F78" s="1">
        <v>1.848E-3</v>
      </c>
      <c r="G78" s="1">
        <v>4.646E-3</v>
      </c>
      <c r="H78" s="1">
        <v>5.9400000000000002E-4</v>
      </c>
      <c r="I78" s="1">
        <v>3.6499999999999998E-4</v>
      </c>
      <c r="J78" s="1">
        <v>0</v>
      </c>
      <c r="K78" s="1">
        <v>1.75E-4</v>
      </c>
      <c r="L78" s="1">
        <v>6.3999999999999997E-5</v>
      </c>
      <c r="M78" s="1">
        <v>0</v>
      </c>
      <c r="N78" s="1">
        <v>0</v>
      </c>
      <c r="O78" s="1">
        <v>0</v>
      </c>
      <c r="P78" s="1">
        <v>0</v>
      </c>
      <c r="Q78" s="1">
        <v>0</v>
      </c>
      <c r="R78" s="1">
        <v>0</v>
      </c>
      <c r="S78" s="1">
        <v>0</v>
      </c>
      <c r="T78" s="1">
        <v>0</v>
      </c>
    </row>
    <row r="79" spans="1:20" hidden="1" outlineLevel="1">
      <c r="A79" t="s">
        <v>336</v>
      </c>
      <c r="B79" t="s">
        <v>256</v>
      </c>
      <c r="C79" t="s">
        <v>257</v>
      </c>
      <c r="D79" s="1">
        <v>3.739735</v>
      </c>
      <c r="E79" s="1">
        <v>3.726102</v>
      </c>
      <c r="F79" s="1">
        <v>3.5106619999999999</v>
      </c>
      <c r="G79" s="1">
        <v>3.3070689999999998</v>
      </c>
      <c r="H79" s="1">
        <v>2.3047759999999999</v>
      </c>
      <c r="I79" s="1">
        <v>2.7383670000000002</v>
      </c>
      <c r="J79" s="1">
        <v>2.5910489999999999</v>
      </c>
      <c r="K79" s="1">
        <v>2.5363310000000001</v>
      </c>
      <c r="L79" s="1">
        <v>2.4271120000000002</v>
      </c>
      <c r="M79" s="1">
        <v>2.3988459999999998</v>
      </c>
      <c r="N79" s="1">
        <v>2.4259309999999998</v>
      </c>
      <c r="O79" s="1">
        <v>2.2097040000000003</v>
      </c>
      <c r="P79" s="1">
        <v>2.3231160000000002</v>
      </c>
      <c r="Q79" s="1">
        <v>2.6594160000000002</v>
      </c>
      <c r="R79" s="1">
        <v>2.346705</v>
      </c>
      <c r="S79" s="1">
        <v>2.104044</v>
      </c>
      <c r="T79" s="1">
        <v>1.9762080000000002</v>
      </c>
    </row>
    <row r="80" spans="1:20" hidden="1" outlineLevel="1">
      <c r="A80" t="s">
        <v>337</v>
      </c>
      <c r="B80" t="s">
        <v>256</v>
      </c>
      <c r="C80" t="s">
        <v>257</v>
      </c>
      <c r="D80" s="1">
        <v>0.295408</v>
      </c>
      <c r="E80" s="1">
        <v>0.31358999999999998</v>
      </c>
      <c r="F80" s="1">
        <v>0.33362999999999998</v>
      </c>
      <c r="G80" s="1">
        <v>0.317334</v>
      </c>
      <c r="H80" s="1">
        <v>0.23877699999999999</v>
      </c>
      <c r="I80" s="1">
        <v>0.338806</v>
      </c>
      <c r="J80" s="1">
        <v>0.359624</v>
      </c>
      <c r="K80" s="1">
        <v>0.37079399999999996</v>
      </c>
      <c r="L80" s="1">
        <v>0.40119900000000003</v>
      </c>
      <c r="M80" s="1">
        <v>0.52904499999999999</v>
      </c>
      <c r="N80" s="1">
        <v>0.52128099999999999</v>
      </c>
      <c r="O80" s="1">
        <v>0.56381199999999998</v>
      </c>
      <c r="P80" s="1">
        <v>0.49337999999999999</v>
      </c>
      <c r="Q80" s="1">
        <v>0.47682600000000003</v>
      </c>
      <c r="R80" s="1">
        <v>0.44310000000000005</v>
      </c>
      <c r="S80" s="1">
        <v>0.39253399999999999</v>
      </c>
      <c r="T80" s="1">
        <v>0.43805900000000003</v>
      </c>
    </row>
    <row r="81" spans="1:20" collapsed="1">
      <c r="A81" t="s">
        <v>338</v>
      </c>
      <c r="B81" t="s">
        <v>256</v>
      </c>
      <c r="C81" t="s">
        <v>257</v>
      </c>
      <c r="D81" s="1">
        <v>0.23702099999999998</v>
      </c>
      <c r="E81" s="1">
        <v>0.30019699999999999</v>
      </c>
      <c r="F81" s="1">
        <v>0.308141</v>
      </c>
      <c r="G81" s="1">
        <v>0.288468</v>
      </c>
      <c r="H81" s="1">
        <v>0.21968199999999999</v>
      </c>
      <c r="I81" s="1">
        <v>0.25579599999999997</v>
      </c>
      <c r="J81" s="1">
        <v>0.24818000000000001</v>
      </c>
      <c r="K81" s="1">
        <v>0.208117</v>
      </c>
      <c r="L81" s="1">
        <v>0.181726</v>
      </c>
      <c r="M81" s="1">
        <v>0.20020199999999999</v>
      </c>
      <c r="N81" s="1">
        <v>0.18110200000000001</v>
      </c>
      <c r="O81" s="1">
        <v>0.162579</v>
      </c>
      <c r="P81" s="1">
        <v>0.153949</v>
      </c>
      <c r="Q81" s="1">
        <v>0.16840799999999997</v>
      </c>
      <c r="R81" s="1">
        <v>0.16084700000000002</v>
      </c>
      <c r="S81" s="1">
        <v>0.122005</v>
      </c>
      <c r="T81" s="1">
        <v>0.107225</v>
      </c>
    </row>
    <row r="82" spans="1:20" hidden="1" outlineLevel="1">
      <c r="A82" t="s">
        <v>339</v>
      </c>
      <c r="B82" t="s">
        <v>256</v>
      </c>
      <c r="C82" t="s">
        <v>257</v>
      </c>
      <c r="D82" s="1">
        <v>0.236703</v>
      </c>
      <c r="E82" s="1">
        <v>0.29987900000000001</v>
      </c>
      <c r="F82" s="1">
        <v>0.30782299999999996</v>
      </c>
      <c r="G82" s="1">
        <v>0.28814999999999996</v>
      </c>
      <c r="H82" s="1">
        <v>0.219364</v>
      </c>
      <c r="I82" s="1">
        <v>0.25516100000000003</v>
      </c>
      <c r="J82" s="1">
        <v>0.24716300000000002</v>
      </c>
      <c r="K82" s="1">
        <v>0.20716399999999999</v>
      </c>
      <c r="L82" s="1">
        <v>0.181091</v>
      </c>
      <c r="M82" s="1">
        <v>0.19956699999999999</v>
      </c>
      <c r="N82" s="1">
        <v>0.180785</v>
      </c>
      <c r="O82" s="1">
        <v>0.16194399999999998</v>
      </c>
      <c r="P82" s="1">
        <v>0.15340100000000001</v>
      </c>
      <c r="Q82" s="1">
        <v>0.167739</v>
      </c>
      <c r="R82" s="1">
        <v>0.160025</v>
      </c>
      <c r="S82" s="1">
        <v>0.12185699999999999</v>
      </c>
      <c r="T82" s="1">
        <v>0.10716100000000001</v>
      </c>
    </row>
    <row r="83" spans="1:20" hidden="1" outlineLevel="1">
      <c r="A83" t="s">
        <v>340</v>
      </c>
      <c r="B83" t="s">
        <v>256</v>
      </c>
      <c r="C83" t="s">
        <v>257</v>
      </c>
      <c r="D83" s="1">
        <v>3.1800000000000003E-4</v>
      </c>
      <c r="E83" s="1">
        <v>3.1800000000000003E-4</v>
      </c>
      <c r="F83" s="1">
        <v>3.1800000000000003E-4</v>
      </c>
      <c r="G83" s="1">
        <v>3.1800000000000003E-4</v>
      </c>
      <c r="H83" s="1">
        <v>3.1800000000000003E-4</v>
      </c>
      <c r="I83" s="1">
        <v>6.3500000000000004E-4</v>
      </c>
      <c r="J83" s="1">
        <v>1.0169999999999999E-3</v>
      </c>
      <c r="K83" s="1">
        <v>9.5299999999999996E-4</v>
      </c>
      <c r="L83" s="1">
        <v>6.3500000000000004E-4</v>
      </c>
      <c r="M83" s="1">
        <v>6.3500000000000004E-4</v>
      </c>
      <c r="N83" s="1">
        <v>3.1800000000000003E-4</v>
      </c>
      <c r="O83" s="1">
        <v>6.3500000000000004E-4</v>
      </c>
      <c r="P83" s="1">
        <v>5.4700000000000007E-4</v>
      </c>
      <c r="Q83" s="1">
        <v>6.69E-4</v>
      </c>
      <c r="R83" s="1">
        <v>8.2199999999999992E-4</v>
      </c>
      <c r="S83" s="1">
        <v>1.4799999999999999E-4</v>
      </c>
      <c r="T83" s="1">
        <v>6.3999999999999997E-5</v>
      </c>
    </row>
    <row r="84" spans="1:20" hidden="1" outlineLevel="1">
      <c r="A84" t="s">
        <v>341</v>
      </c>
      <c r="B84" t="s">
        <v>256</v>
      </c>
      <c r="C84" t="s">
        <v>257</v>
      </c>
      <c r="D84" s="1">
        <v>6.7214999999999997E-2</v>
      </c>
      <c r="E84" s="1">
        <v>5.2051E-2</v>
      </c>
      <c r="F84" s="1">
        <v>7.4462999999999988E-2</v>
      </c>
      <c r="G84" s="1">
        <v>7.0110000000000006E-2</v>
      </c>
      <c r="H84" s="1">
        <v>3.2443E-2</v>
      </c>
      <c r="I84" s="1">
        <v>4.4063000000000005E-2</v>
      </c>
      <c r="J84" s="1">
        <v>5.2219000000000002E-2</v>
      </c>
      <c r="K84" s="1">
        <v>4.1521000000000002E-2</v>
      </c>
      <c r="L84" s="1">
        <v>3.6274000000000001E-2</v>
      </c>
      <c r="M84" s="1">
        <v>3.3911000000000004E-2</v>
      </c>
      <c r="N84" s="1">
        <v>1.4961E-2</v>
      </c>
      <c r="O84" s="1">
        <v>9.7380000000000001E-3</v>
      </c>
      <c r="P84" s="1">
        <v>1.9981000000000002E-2</v>
      </c>
      <c r="Q84" s="1">
        <v>2.2422999999999998E-2</v>
      </c>
      <c r="R84" s="1">
        <v>1.9880999999999999E-2</v>
      </c>
      <c r="S84" s="1">
        <v>1.3799999999999999E-3</v>
      </c>
      <c r="T84" s="1">
        <v>0</v>
      </c>
    </row>
    <row r="85" spans="1:20" collapsed="1">
      <c r="A85" t="s">
        <v>342</v>
      </c>
      <c r="B85" t="s">
        <v>256</v>
      </c>
      <c r="C85" t="s">
        <v>257</v>
      </c>
      <c r="D85" s="1">
        <v>89.767744000000008</v>
      </c>
      <c r="E85" s="1">
        <v>83.431612999999999</v>
      </c>
      <c r="F85" s="1">
        <v>85.163837000000001</v>
      </c>
      <c r="G85" s="1">
        <v>82.916558999999992</v>
      </c>
      <c r="H85" s="1">
        <v>69.706435999999997</v>
      </c>
      <c r="I85" s="1">
        <v>77.032681999999994</v>
      </c>
      <c r="J85" s="1">
        <v>76.316046</v>
      </c>
      <c r="K85" s="1">
        <v>75.721962000000005</v>
      </c>
      <c r="L85" s="1">
        <v>76.762448000000006</v>
      </c>
      <c r="M85" s="1">
        <v>74.467244999999991</v>
      </c>
      <c r="N85" s="1">
        <v>72.69757700000001</v>
      </c>
      <c r="O85" s="1">
        <v>74.96477800000001</v>
      </c>
      <c r="P85" s="1">
        <v>76.909911999999991</v>
      </c>
      <c r="Q85" s="1">
        <v>76.642819000000003</v>
      </c>
      <c r="R85" s="1">
        <v>75.830247</v>
      </c>
      <c r="S85" s="1">
        <v>74.152582999999993</v>
      </c>
      <c r="T85" s="1">
        <v>78.54783900000001</v>
      </c>
    </row>
    <row r="86" spans="1:20" collapsed="1">
      <c r="A86" t="s">
        <v>343</v>
      </c>
      <c r="B86" t="s">
        <v>256</v>
      </c>
      <c r="C86" t="s">
        <v>257</v>
      </c>
      <c r="D86" s="1">
        <v>40.241330999999995</v>
      </c>
      <c r="E86" s="1">
        <v>39.726099000000005</v>
      </c>
      <c r="F86" s="1">
        <v>39.168495999999998</v>
      </c>
      <c r="G86" s="1">
        <v>36.725936999999995</v>
      </c>
      <c r="H86" s="1">
        <v>32.065933999999999</v>
      </c>
      <c r="I86" s="1">
        <v>30.904580999999997</v>
      </c>
      <c r="J86" s="1">
        <v>28.852494</v>
      </c>
      <c r="K86" s="1">
        <v>27.184865000000002</v>
      </c>
      <c r="L86" s="1">
        <v>24.794772999999999</v>
      </c>
      <c r="M86" s="1">
        <v>23.937326000000002</v>
      </c>
      <c r="N86" s="1">
        <v>24.589130000000001</v>
      </c>
      <c r="O86" s="1">
        <v>24.026236000000001</v>
      </c>
      <c r="P86" s="1">
        <v>22.649986999999999</v>
      </c>
      <c r="Q86" s="1">
        <v>24.434313</v>
      </c>
      <c r="R86" s="1">
        <v>23.553985000000001</v>
      </c>
      <c r="S86" s="1">
        <v>23.041473999999997</v>
      </c>
      <c r="T86" s="1">
        <v>23.664921999999997</v>
      </c>
    </row>
    <row r="87" spans="1:20" hidden="1" outlineLevel="1">
      <c r="A87" t="s">
        <v>344</v>
      </c>
      <c r="B87" t="s">
        <v>256</v>
      </c>
      <c r="C87" t="s">
        <v>257</v>
      </c>
      <c r="D87" s="1">
        <v>1.4156E-2</v>
      </c>
      <c r="E87" s="1">
        <v>1.3140000000000001E-2</v>
      </c>
      <c r="F87" s="1">
        <v>1.3140000000000001E-2</v>
      </c>
      <c r="G87" s="1">
        <v>1.2124000000000001E-2</v>
      </c>
      <c r="H87" s="1">
        <v>1.2124000000000001E-2</v>
      </c>
      <c r="I87" s="1">
        <v>1.2124000000000001E-2</v>
      </c>
      <c r="J87" s="1">
        <v>1.2124000000000001E-2</v>
      </c>
      <c r="K87" s="1">
        <v>1.2124000000000001E-2</v>
      </c>
      <c r="L87" s="1">
        <v>1.2124000000000001E-2</v>
      </c>
      <c r="M87" s="1">
        <v>7.0720000000000002E-3</v>
      </c>
      <c r="N87" s="1">
        <v>0</v>
      </c>
      <c r="O87" s="1">
        <v>0</v>
      </c>
      <c r="P87" s="1">
        <v>0</v>
      </c>
      <c r="Q87" s="1">
        <v>0</v>
      </c>
      <c r="R87" s="1">
        <v>0</v>
      </c>
      <c r="S87" s="1">
        <v>0</v>
      </c>
      <c r="T87" s="1">
        <v>0</v>
      </c>
    </row>
    <row r="88" spans="1:20" hidden="1" outlineLevel="1">
      <c r="A88" t="s">
        <v>345</v>
      </c>
      <c r="B88" t="s">
        <v>256</v>
      </c>
      <c r="C88" t="s">
        <v>257</v>
      </c>
      <c r="D88" s="1">
        <v>0</v>
      </c>
      <c r="E88" s="1">
        <v>0</v>
      </c>
      <c r="F88" s="1">
        <v>4.7700000000000006E-2</v>
      </c>
      <c r="G88" s="1">
        <v>0</v>
      </c>
      <c r="H88" s="1">
        <v>1.5356999999999999E-2</v>
      </c>
      <c r="I88" s="1">
        <v>1.181E-3</v>
      </c>
      <c r="J88" s="1">
        <v>0</v>
      </c>
      <c r="K88" s="1">
        <v>2.3630000000000001E-3</v>
      </c>
      <c r="L88" s="1">
        <v>3.5439999999999998E-3</v>
      </c>
      <c r="M88" s="1">
        <v>4.725E-3</v>
      </c>
      <c r="N88" s="1">
        <v>7.0879999999999997E-3</v>
      </c>
      <c r="O88" s="1">
        <v>7.0879999999999997E-3</v>
      </c>
      <c r="P88" s="1">
        <v>6.7169999999999999E-3</v>
      </c>
      <c r="Q88" s="1">
        <v>1.3246000000000001E-2</v>
      </c>
      <c r="R88" s="1">
        <v>2.513E-2</v>
      </c>
      <c r="S88" s="1">
        <v>3.1609000000000005E-2</v>
      </c>
      <c r="T88" s="1">
        <v>5.3245000000000001E-2</v>
      </c>
    </row>
    <row r="89" spans="1:20" hidden="1" outlineLevel="1">
      <c r="A89" t="s">
        <v>346</v>
      </c>
      <c r="B89" t="s">
        <v>256</v>
      </c>
      <c r="C89" t="s">
        <v>257</v>
      </c>
      <c r="D89" s="1" t="e">
        <v>#VALUE!</v>
      </c>
      <c r="E89" s="1" t="e">
        <v>#VALUE!</v>
      </c>
      <c r="F89" s="1" t="e">
        <v>#VALUE!</v>
      </c>
      <c r="G89" s="1" t="e">
        <v>#VALUE!</v>
      </c>
      <c r="H89" s="1" t="e">
        <v>#VALUE!</v>
      </c>
      <c r="I89" s="1" t="e">
        <v>#VALUE!</v>
      </c>
      <c r="J89" s="1" t="e">
        <v>#VALUE!</v>
      </c>
      <c r="K89" s="1" t="e">
        <v>#VALUE!</v>
      </c>
      <c r="L89" s="1" t="e">
        <v>#VALUE!</v>
      </c>
      <c r="M89" s="1" t="e">
        <v>#VALUE!</v>
      </c>
      <c r="N89" s="1" t="e">
        <v>#VALUE!</v>
      </c>
      <c r="O89" s="1" t="e">
        <v>#VALUE!</v>
      </c>
      <c r="P89" s="1" t="e">
        <v>#VALUE!</v>
      </c>
      <c r="Q89" s="1" t="e">
        <v>#VALUE!</v>
      </c>
      <c r="R89" s="1" t="e">
        <v>#VALUE!</v>
      </c>
      <c r="S89" s="1" t="e">
        <v>#VALUE!</v>
      </c>
      <c r="T89" s="1" t="e">
        <v>#VALUE!</v>
      </c>
    </row>
    <row r="90" spans="1:20" hidden="1" outlineLevel="1">
      <c r="A90" t="s">
        <v>347</v>
      </c>
      <c r="B90" t="s">
        <v>256</v>
      </c>
      <c r="C90" t="s">
        <v>257</v>
      </c>
      <c r="D90" s="1" t="e">
        <v>#VALUE!</v>
      </c>
      <c r="E90" s="1" t="e">
        <v>#VALUE!</v>
      </c>
      <c r="F90" s="1" t="e">
        <v>#VALUE!</v>
      </c>
      <c r="G90" s="1" t="e">
        <v>#VALUE!</v>
      </c>
      <c r="H90" s="1" t="e">
        <v>#VALUE!</v>
      </c>
      <c r="I90" s="1" t="e">
        <v>#VALUE!</v>
      </c>
      <c r="J90" s="1" t="e">
        <v>#VALUE!</v>
      </c>
      <c r="K90" s="1" t="e">
        <v>#VALUE!</v>
      </c>
      <c r="L90" s="1" t="e">
        <v>#VALUE!</v>
      </c>
      <c r="M90" s="1" t="e">
        <v>#VALUE!</v>
      </c>
      <c r="N90" s="1" t="e">
        <v>#VALUE!</v>
      </c>
      <c r="O90" s="1" t="e">
        <v>#VALUE!</v>
      </c>
      <c r="P90" s="1" t="e">
        <v>#VALUE!</v>
      </c>
      <c r="Q90" s="1" t="e">
        <v>#VALUE!</v>
      </c>
      <c r="R90" s="1" t="e">
        <v>#VALUE!</v>
      </c>
      <c r="S90" s="1" t="e">
        <v>#VALUE!</v>
      </c>
      <c r="T90" s="1" t="e">
        <v>#VALUE!</v>
      </c>
    </row>
    <row r="91" spans="1:20" hidden="1" outlineLevel="1">
      <c r="A91" t="s">
        <v>348</v>
      </c>
      <c r="B91" t="s">
        <v>256</v>
      </c>
      <c r="C91" t="s">
        <v>257</v>
      </c>
      <c r="D91" s="1" t="e">
        <v>#VALUE!</v>
      </c>
      <c r="E91" s="1" t="e">
        <v>#VALUE!</v>
      </c>
      <c r="F91" s="1" t="e">
        <v>#VALUE!</v>
      </c>
      <c r="G91" s="1" t="e">
        <v>#VALUE!</v>
      </c>
      <c r="H91" s="1" t="e">
        <v>#VALUE!</v>
      </c>
      <c r="I91" s="1" t="e">
        <v>#VALUE!</v>
      </c>
      <c r="J91" s="1" t="e">
        <v>#VALUE!</v>
      </c>
      <c r="K91" s="1" t="e">
        <v>#VALUE!</v>
      </c>
      <c r="L91" s="1" t="e">
        <v>#VALUE!</v>
      </c>
      <c r="M91" s="1" t="e">
        <v>#VALUE!</v>
      </c>
      <c r="N91" s="1" t="e">
        <v>#VALUE!</v>
      </c>
      <c r="O91" s="1" t="e">
        <v>#VALUE!</v>
      </c>
      <c r="P91" s="1" t="e">
        <v>#VALUE!</v>
      </c>
      <c r="Q91" s="1" t="e">
        <v>#VALUE!</v>
      </c>
      <c r="R91" s="1" t="e">
        <v>#VALUE!</v>
      </c>
      <c r="S91" s="1" t="e">
        <v>#VALUE!</v>
      </c>
      <c r="T91" s="1" t="e">
        <v>#VALUE!</v>
      </c>
    </row>
    <row r="92" spans="1:20" hidden="1" outlineLevel="1">
      <c r="A92" t="s">
        <v>349</v>
      </c>
      <c r="B92" t="s">
        <v>256</v>
      </c>
      <c r="C92" t="s">
        <v>257</v>
      </c>
      <c r="D92" s="1">
        <v>3.4337300000000002</v>
      </c>
      <c r="E92" s="1">
        <v>3.9205000000000001</v>
      </c>
      <c r="F92" s="1">
        <v>4.674245</v>
      </c>
      <c r="G92" s="1">
        <v>4.1110879999999996</v>
      </c>
      <c r="H92" s="1">
        <v>3.6982029999999999</v>
      </c>
      <c r="I92" s="1">
        <v>3.8577910000000002</v>
      </c>
      <c r="J92" s="1">
        <v>3.397974</v>
      </c>
      <c r="K92" s="1">
        <v>3.579863</v>
      </c>
      <c r="L92" s="1">
        <v>3.2718020000000001</v>
      </c>
      <c r="M92" s="1">
        <v>3.3691489999999997</v>
      </c>
      <c r="N92" s="1">
        <v>3.454971</v>
      </c>
      <c r="O92" s="1">
        <v>3.706369</v>
      </c>
      <c r="P92" s="1">
        <v>3.6877150000000003</v>
      </c>
      <c r="Q92" s="1">
        <v>3.8000470000000002</v>
      </c>
      <c r="R92" s="1">
        <v>3.8780799999999997</v>
      </c>
      <c r="S92" s="1">
        <v>4.1004329999999998</v>
      </c>
      <c r="T92" s="1">
        <v>3.957252</v>
      </c>
    </row>
    <row r="93" spans="1:20" hidden="1" outlineLevel="1">
      <c r="A93" t="s">
        <v>350</v>
      </c>
      <c r="B93" t="s">
        <v>256</v>
      </c>
      <c r="C93" t="s">
        <v>257</v>
      </c>
      <c r="D93" s="1">
        <v>1.5515000000000001E-2</v>
      </c>
      <c r="E93" s="1">
        <v>4.4329999999999994E-3</v>
      </c>
      <c r="F93" s="1">
        <v>7.9249999999999998E-3</v>
      </c>
      <c r="G93" s="1">
        <v>1.0189E-2</v>
      </c>
      <c r="H93" s="1">
        <v>0</v>
      </c>
      <c r="I93" s="1">
        <v>0</v>
      </c>
      <c r="J93" s="1">
        <v>0</v>
      </c>
      <c r="K93" s="1">
        <v>0</v>
      </c>
      <c r="L93" s="1">
        <v>0</v>
      </c>
      <c r="M93" s="1">
        <v>0</v>
      </c>
      <c r="N93" s="1">
        <v>0</v>
      </c>
      <c r="O93" s="1">
        <v>0</v>
      </c>
      <c r="P93" s="1">
        <v>0</v>
      </c>
      <c r="Q93" s="1">
        <v>0</v>
      </c>
      <c r="R93" s="1">
        <v>0</v>
      </c>
      <c r="S93" s="1">
        <v>3.4499999999999998E-4</v>
      </c>
      <c r="T93" s="1">
        <v>4.3599999999999997E-4</v>
      </c>
    </row>
    <row r="94" spans="1:20" hidden="1" outlineLevel="1">
      <c r="A94" t="s">
        <v>351</v>
      </c>
      <c r="B94" t="s">
        <v>256</v>
      </c>
      <c r="C94" t="s">
        <v>257</v>
      </c>
      <c r="D94" s="1">
        <v>3.1430310000000001</v>
      </c>
      <c r="E94" s="1">
        <v>3.330362</v>
      </c>
      <c r="F94" s="1">
        <v>3.168272</v>
      </c>
      <c r="G94" s="1">
        <v>2.9986489999999999</v>
      </c>
      <c r="H94" s="1">
        <v>2.745584</v>
      </c>
      <c r="I94" s="1">
        <v>2.8841669999999997</v>
      </c>
      <c r="J94" s="1">
        <v>2.706623</v>
      </c>
      <c r="K94" s="1">
        <v>2.6584540000000003</v>
      </c>
      <c r="L94" s="1">
        <v>2.4367229999999998</v>
      </c>
      <c r="M94" s="1">
        <v>2.5075560000000001</v>
      </c>
      <c r="N94" s="1">
        <v>2.4294639999999998</v>
      </c>
      <c r="O94" s="1">
        <v>2.4735749999999999</v>
      </c>
      <c r="P94" s="1">
        <v>2.429163</v>
      </c>
      <c r="Q94" s="1">
        <v>2.5960920000000001</v>
      </c>
      <c r="R94" s="1">
        <v>2.4978229999999999</v>
      </c>
      <c r="S94" s="1">
        <v>2.3289879999999998</v>
      </c>
      <c r="T94" s="1">
        <v>2.4406099999999999</v>
      </c>
    </row>
    <row r="95" spans="1:20" hidden="1" outlineLevel="1">
      <c r="A95" t="s">
        <v>352</v>
      </c>
      <c r="B95" t="s">
        <v>256</v>
      </c>
      <c r="C95" t="s">
        <v>257</v>
      </c>
      <c r="D95" s="1">
        <v>0.17004499999999997</v>
      </c>
      <c r="E95" s="1">
        <v>3.2922E-2</v>
      </c>
      <c r="F95" s="1">
        <v>3.0823E-2</v>
      </c>
      <c r="G95" s="1">
        <v>3.7175E-2</v>
      </c>
      <c r="H95" s="1">
        <v>0.93742199999999998</v>
      </c>
      <c r="I95" s="1">
        <v>1.0582770000000001</v>
      </c>
      <c r="J95" s="1">
        <v>1.166858</v>
      </c>
      <c r="K95" s="1">
        <v>1.2019200000000001</v>
      </c>
      <c r="L95" s="1">
        <v>1.453684</v>
      </c>
      <c r="M95" s="1">
        <v>1.483374</v>
      </c>
      <c r="N95" s="1">
        <v>1.5074559999999999</v>
      </c>
      <c r="O95" s="1">
        <v>1.5606880000000001</v>
      </c>
      <c r="P95" s="1">
        <v>1.2795190000000001</v>
      </c>
      <c r="Q95" s="1">
        <v>1.2853869999999998</v>
      </c>
      <c r="R95" s="1">
        <v>1.033269</v>
      </c>
      <c r="S95" s="1">
        <v>1.152345</v>
      </c>
      <c r="T95" s="1">
        <v>1.245762</v>
      </c>
    </row>
    <row r="96" spans="1:20" hidden="1" outlineLevel="1">
      <c r="A96" t="s">
        <v>353</v>
      </c>
      <c r="B96" t="s">
        <v>256</v>
      </c>
      <c r="C96" t="s">
        <v>257</v>
      </c>
      <c r="D96" s="1">
        <v>0</v>
      </c>
      <c r="E96" s="1">
        <v>0</v>
      </c>
      <c r="F96" s="1">
        <v>0</v>
      </c>
      <c r="G96" s="1">
        <v>0</v>
      </c>
      <c r="H96" s="1">
        <v>0</v>
      </c>
      <c r="I96" s="1">
        <v>0</v>
      </c>
      <c r="J96" s="1">
        <v>0</v>
      </c>
      <c r="K96" s="1">
        <v>0</v>
      </c>
      <c r="L96" s="1">
        <v>0</v>
      </c>
      <c r="M96" s="1">
        <v>0</v>
      </c>
      <c r="N96" s="1">
        <v>0</v>
      </c>
      <c r="O96" s="1">
        <v>0</v>
      </c>
      <c r="P96" s="1">
        <v>9.9999999999999995E-7</v>
      </c>
      <c r="Q96" s="1">
        <v>9.9999999999999995E-7</v>
      </c>
      <c r="R96" s="1">
        <v>9.9999999999999995E-7</v>
      </c>
      <c r="S96" s="1">
        <v>1.9999999999999999E-6</v>
      </c>
      <c r="T96" s="1">
        <v>2.8E-5</v>
      </c>
    </row>
    <row r="97" spans="1:20" hidden="1" outlineLevel="1">
      <c r="A97" t="s">
        <v>354</v>
      </c>
      <c r="B97" t="s">
        <v>256</v>
      </c>
      <c r="C97" t="s">
        <v>257</v>
      </c>
      <c r="D97" s="1">
        <v>0.39062000000000002</v>
      </c>
      <c r="E97" s="1">
        <v>0.36016799999999999</v>
      </c>
      <c r="F97" s="1">
        <v>0.46134599999999998</v>
      </c>
      <c r="G97" s="1">
        <v>0.29884500000000003</v>
      </c>
      <c r="H97" s="1">
        <v>0.30081200000000002</v>
      </c>
      <c r="I97" s="1">
        <v>0.229879</v>
      </c>
      <c r="J97" s="1">
        <v>6.7549000000000012E-2</v>
      </c>
      <c r="K97" s="1">
        <v>0.52230999999999994</v>
      </c>
      <c r="L97" s="1">
        <v>0.35141699999999998</v>
      </c>
      <c r="M97" s="1">
        <v>0.355514</v>
      </c>
      <c r="N97" s="1">
        <v>5.8840000000000003E-2</v>
      </c>
      <c r="O97" s="1">
        <v>0.194608</v>
      </c>
      <c r="P97" s="1">
        <v>0.18373200000000001</v>
      </c>
      <c r="Q97" s="1">
        <v>0.25636500000000001</v>
      </c>
      <c r="R97" s="1">
        <v>0.25700000000000001</v>
      </c>
      <c r="S97" s="1">
        <v>0.173537</v>
      </c>
      <c r="T97" s="1">
        <v>0.14776499999999998</v>
      </c>
    </row>
    <row r="98" spans="1:20" hidden="1" outlineLevel="1">
      <c r="A98" t="s">
        <v>355</v>
      </c>
      <c r="B98" t="s">
        <v>256</v>
      </c>
      <c r="C98" t="s">
        <v>257</v>
      </c>
      <c r="D98" s="1">
        <v>0</v>
      </c>
      <c r="E98" s="1">
        <v>0</v>
      </c>
      <c r="F98" s="1">
        <v>0</v>
      </c>
      <c r="G98" s="1">
        <v>0</v>
      </c>
      <c r="H98" s="1">
        <v>0</v>
      </c>
      <c r="I98" s="1">
        <v>0</v>
      </c>
      <c r="J98" s="1">
        <v>0</v>
      </c>
      <c r="K98" s="1">
        <v>0</v>
      </c>
      <c r="L98" s="1">
        <v>0</v>
      </c>
      <c r="M98" s="1">
        <v>0</v>
      </c>
      <c r="N98" s="1">
        <v>0</v>
      </c>
      <c r="O98" s="1">
        <v>0</v>
      </c>
      <c r="P98" s="1">
        <v>0</v>
      </c>
      <c r="Q98" s="1">
        <v>0</v>
      </c>
      <c r="R98" s="1">
        <v>0</v>
      </c>
      <c r="S98" s="1">
        <v>0</v>
      </c>
      <c r="T98" s="1">
        <v>0</v>
      </c>
    </row>
    <row r="99" spans="1:20" hidden="1" outlineLevel="1">
      <c r="A99" t="s">
        <v>356</v>
      </c>
      <c r="B99" t="s">
        <v>256</v>
      </c>
      <c r="C99" t="s">
        <v>257</v>
      </c>
      <c r="D99" s="1">
        <v>2.3924000000000001E-2</v>
      </c>
      <c r="E99" s="1">
        <v>2.6005E-2</v>
      </c>
      <c r="F99" s="1">
        <v>2.1904E-2</v>
      </c>
      <c r="G99" s="1">
        <v>1.6458999999999998E-2</v>
      </c>
      <c r="H99" s="1">
        <v>1.4531000000000001E-2</v>
      </c>
      <c r="I99" s="1">
        <v>2.2745999999999999E-2</v>
      </c>
      <c r="J99" s="1">
        <v>1.8613000000000001E-2</v>
      </c>
      <c r="K99" s="1">
        <v>1.3481999999999999E-2</v>
      </c>
      <c r="L99" s="1">
        <v>1.5551000000000001E-2</v>
      </c>
      <c r="M99" s="1">
        <v>1.3484999999999999E-2</v>
      </c>
      <c r="N99" s="1">
        <v>6.3080000000000002E-3</v>
      </c>
      <c r="O99" s="1">
        <v>7.3339999999999994E-3</v>
      </c>
      <c r="P99" s="1">
        <v>6.0289999999999996E-3</v>
      </c>
      <c r="Q99" s="1">
        <v>6.1890000000000001E-3</v>
      </c>
      <c r="R99" s="1">
        <v>4.6559999999999995E-3</v>
      </c>
      <c r="S99" s="1">
        <v>3.8999999999999998E-3</v>
      </c>
      <c r="T99" s="1">
        <v>3.5169999999999997E-3</v>
      </c>
    </row>
    <row r="100" spans="1:20" hidden="1" outlineLevel="1">
      <c r="A100" t="s">
        <v>357</v>
      </c>
      <c r="B100" t="s">
        <v>256</v>
      </c>
      <c r="C100" t="s">
        <v>257</v>
      </c>
      <c r="D100" s="1">
        <v>5.2825000000000004E-2</v>
      </c>
      <c r="E100" s="1">
        <v>3.9869999999999996E-2</v>
      </c>
      <c r="F100" s="1">
        <v>2.4832E-2</v>
      </c>
      <c r="G100" s="1">
        <v>2.0773E-2</v>
      </c>
      <c r="H100" s="1">
        <v>1.4714E-2</v>
      </c>
      <c r="I100" s="1">
        <v>1.0928E-2</v>
      </c>
      <c r="J100" s="1">
        <v>1.0952E-2</v>
      </c>
      <c r="K100" s="1">
        <v>1.4231000000000001E-2</v>
      </c>
      <c r="L100" s="1">
        <v>1.0587999999999998E-2</v>
      </c>
      <c r="M100" s="1">
        <v>1.35E-2</v>
      </c>
      <c r="N100" s="1">
        <v>1.5776999999999999E-2</v>
      </c>
      <c r="O100" s="1">
        <v>1.3368999999999999E-2</v>
      </c>
      <c r="P100" s="1">
        <v>1.2138999999999999E-2</v>
      </c>
      <c r="Q100" s="1">
        <v>1.3668E-2</v>
      </c>
      <c r="R100" s="1">
        <v>1.2312E-2</v>
      </c>
      <c r="S100" s="1">
        <v>1.3069000000000001E-2</v>
      </c>
      <c r="T100" s="1">
        <v>1.1688E-2</v>
      </c>
    </row>
    <row r="101" spans="1:20" hidden="1" outlineLevel="1">
      <c r="A101" t="s">
        <v>358</v>
      </c>
      <c r="B101" t="s">
        <v>256</v>
      </c>
      <c r="C101" t="s">
        <v>257</v>
      </c>
      <c r="D101" s="1">
        <v>10.947236</v>
      </c>
      <c r="E101" s="1">
        <v>9.7215720000000001</v>
      </c>
      <c r="F101" s="1">
        <v>9.9820729999999998</v>
      </c>
      <c r="G101" s="1">
        <v>9.5549079999999993</v>
      </c>
      <c r="H101" s="1">
        <v>8.4178040000000003</v>
      </c>
      <c r="I101" s="1">
        <v>8.4361069999999998</v>
      </c>
      <c r="J101" s="1">
        <v>8.3105370000000001</v>
      </c>
      <c r="K101" s="1">
        <v>7.7313190000000001</v>
      </c>
      <c r="L101" s="1">
        <v>7.2350680000000001</v>
      </c>
      <c r="M101" s="1">
        <v>6.8984889999999996</v>
      </c>
      <c r="N101" s="1">
        <v>7.138287</v>
      </c>
      <c r="O101" s="1">
        <v>7.0665449999999996</v>
      </c>
      <c r="P101" s="1">
        <v>7.0863389999999997</v>
      </c>
      <c r="Q101" s="1">
        <v>8.5133930000000007</v>
      </c>
      <c r="R101" s="1">
        <v>8.3461980000000011</v>
      </c>
      <c r="S101" s="1">
        <v>8.188877999999999</v>
      </c>
      <c r="T101" s="1">
        <v>8.5066350000000011</v>
      </c>
    </row>
    <row r="102" spans="1:20" hidden="1" outlineLevel="1">
      <c r="A102" t="s">
        <v>359</v>
      </c>
      <c r="B102" t="s">
        <v>256</v>
      </c>
      <c r="C102" t="s">
        <v>257</v>
      </c>
      <c r="D102" s="1">
        <v>11.645592000000001</v>
      </c>
      <c r="E102" s="1">
        <v>12.226775999999999</v>
      </c>
      <c r="F102" s="1">
        <v>11.125154</v>
      </c>
      <c r="G102" s="1">
        <v>10.276845</v>
      </c>
      <c r="H102" s="1">
        <v>8.1436200000000003</v>
      </c>
      <c r="I102" s="1">
        <v>6.6972579999999997</v>
      </c>
      <c r="J102" s="1">
        <v>6.0682320000000001</v>
      </c>
      <c r="K102" s="1">
        <v>5.0418509999999994</v>
      </c>
      <c r="L102" s="1">
        <v>4.5370520000000001</v>
      </c>
      <c r="M102" s="1">
        <v>3.9885740000000003</v>
      </c>
      <c r="N102" s="1">
        <v>4.1857709999999999</v>
      </c>
      <c r="O102" s="1">
        <v>3.697676</v>
      </c>
      <c r="P102" s="1">
        <v>3.1378180000000002</v>
      </c>
      <c r="Q102" s="1">
        <v>3.0011060000000001</v>
      </c>
      <c r="R102" s="1">
        <v>2.5672519999999999</v>
      </c>
      <c r="S102" s="1">
        <v>2.4457</v>
      </c>
      <c r="T102" s="1">
        <v>2.5244270000000002</v>
      </c>
    </row>
    <row r="103" spans="1:20" hidden="1" outlineLevel="1">
      <c r="A103" t="s">
        <v>360</v>
      </c>
      <c r="B103" t="s">
        <v>256</v>
      </c>
      <c r="C103" t="s">
        <v>257</v>
      </c>
      <c r="D103" s="1">
        <v>3.3189999999999999E-3</v>
      </c>
      <c r="E103" s="1">
        <v>3.7679999999999996E-3</v>
      </c>
      <c r="F103" s="1">
        <v>5.509E-3</v>
      </c>
      <c r="G103" s="1">
        <v>4.4340000000000004E-3</v>
      </c>
      <c r="H103" s="1">
        <v>4.6829999999999997E-3</v>
      </c>
      <c r="I103" s="1">
        <v>4.8600000000000006E-3</v>
      </c>
      <c r="J103" s="1">
        <v>4.8179999999999994E-3</v>
      </c>
      <c r="K103" s="1">
        <v>4.8529999999999997E-3</v>
      </c>
      <c r="L103" s="1">
        <v>1.8129999999999999E-3</v>
      </c>
      <c r="M103" s="1">
        <v>1.5039999999999999E-3</v>
      </c>
      <c r="N103" s="1">
        <v>1.418E-3</v>
      </c>
      <c r="O103" s="1">
        <v>5.2460000000000007E-3</v>
      </c>
      <c r="P103" s="1">
        <v>2.9260000000000002E-3</v>
      </c>
      <c r="Q103" s="1">
        <v>3.7080000000000004E-3</v>
      </c>
      <c r="R103" s="1">
        <v>8.5310000000000004E-3</v>
      </c>
      <c r="S103" s="1">
        <v>5.3280000000000003E-3</v>
      </c>
      <c r="T103" s="1">
        <v>0.225192</v>
      </c>
    </row>
    <row r="104" spans="1:20" hidden="1" outlineLevel="1">
      <c r="A104" t="s">
        <v>361</v>
      </c>
      <c r="B104" t="s">
        <v>256</v>
      </c>
      <c r="C104" t="s">
        <v>257</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row>
    <row r="105" spans="1:20" hidden="1" outlineLevel="1">
      <c r="A105" t="s">
        <v>362</v>
      </c>
      <c r="B105" t="s">
        <v>256</v>
      </c>
      <c r="C105" t="s">
        <v>257</v>
      </c>
      <c r="D105" s="1">
        <v>0</v>
      </c>
      <c r="E105" s="1">
        <v>4.4874000000000004E-2</v>
      </c>
      <c r="F105" s="1">
        <v>0</v>
      </c>
      <c r="G105" s="1">
        <v>1.1219E-2</v>
      </c>
      <c r="H105" s="1">
        <v>0</v>
      </c>
      <c r="I105" s="1">
        <v>0</v>
      </c>
      <c r="J105" s="1">
        <v>0</v>
      </c>
      <c r="K105" s="1">
        <v>0</v>
      </c>
      <c r="L105" s="1">
        <v>0</v>
      </c>
      <c r="M105" s="1">
        <v>0</v>
      </c>
      <c r="N105" s="1">
        <v>0</v>
      </c>
      <c r="O105" s="1">
        <v>0</v>
      </c>
      <c r="P105" s="1">
        <v>0</v>
      </c>
      <c r="Q105" s="1">
        <v>0</v>
      </c>
      <c r="R105" s="1">
        <v>0</v>
      </c>
      <c r="S105" s="1">
        <v>0</v>
      </c>
      <c r="T105" s="1">
        <v>0</v>
      </c>
    </row>
    <row r="106" spans="1:20" hidden="1" outlineLevel="1">
      <c r="A106" t="s">
        <v>363</v>
      </c>
      <c r="B106" t="s">
        <v>256</v>
      </c>
      <c r="C106" t="s">
        <v>257</v>
      </c>
      <c r="D106" s="1">
        <v>9.4676589999999994</v>
      </c>
      <c r="E106" s="1">
        <v>9.1453330000000008</v>
      </c>
      <c r="F106" s="1">
        <v>8.7523099999999996</v>
      </c>
      <c r="G106" s="1">
        <v>8.5460409999999989</v>
      </c>
      <c r="H106" s="1">
        <v>7.452013</v>
      </c>
      <c r="I106" s="1">
        <v>7.3010510000000002</v>
      </c>
      <c r="J106" s="1">
        <v>6.6922769999999998</v>
      </c>
      <c r="K106" s="1">
        <v>5.9798900000000001</v>
      </c>
      <c r="L106" s="1">
        <v>5.1559489999999997</v>
      </c>
      <c r="M106" s="1">
        <v>4.8108680000000001</v>
      </c>
      <c r="N106" s="1">
        <v>5.321027</v>
      </c>
      <c r="O106" s="1">
        <v>5.0275619999999996</v>
      </c>
      <c r="P106" s="1">
        <v>4.6304570000000007</v>
      </c>
      <c r="Q106" s="1">
        <v>4.6331059999999997</v>
      </c>
      <c r="R106" s="1">
        <v>4.5541270000000003</v>
      </c>
      <c r="S106" s="1">
        <v>4.2561920000000004</v>
      </c>
      <c r="T106" s="1">
        <v>4.1180330000000005</v>
      </c>
    </row>
    <row r="107" spans="1:20" hidden="1" outlineLevel="1">
      <c r="A107" t="s">
        <v>364</v>
      </c>
      <c r="B107" t="s">
        <v>256</v>
      </c>
      <c r="C107" t="s">
        <v>257</v>
      </c>
      <c r="D107" s="1">
        <v>0</v>
      </c>
      <c r="E107" s="1">
        <v>0</v>
      </c>
      <c r="F107" s="1">
        <v>0</v>
      </c>
      <c r="G107" s="1">
        <v>0</v>
      </c>
      <c r="H107" s="1">
        <v>0</v>
      </c>
      <c r="I107" s="1">
        <v>0</v>
      </c>
      <c r="J107" s="1">
        <v>0</v>
      </c>
      <c r="K107" s="1">
        <v>0</v>
      </c>
      <c r="L107" s="1">
        <v>0</v>
      </c>
      <c r="M107" s="1">
        <v>0</v>
      </c>
      <c r="N107" s="1">
        <v>0</v>
      </c>
      <c r="O107" s="1">
        <v>0</v>
      </c>
      <c r="P107" s="1">
        <v>0</v>
      </c>
      <c r="Q107" s="1">
        <v>0</v>
      </c>
      <c r="R107" s="1">
        <v>0</v>
      </c>
      <c r="S107" s="1">
        <v>0</v>
      </c>
      <c r="T107" s="1">
        <v>0</v>
      </c>
    </row>
    <row r="108" spans="1:20" hidden="1" outlineLevel="1">
      <c r="A108" t="s">
        <v>365</v>
      </c>
      <c r="B108" t="s">
        <v>256</v>
      </c>
      <c r="C108" t="s">
        <v>257</v>
      </c>
      <c r="D108" s="1">
        <v>0.93367899999999993</v>
      </c>
      <c r="E108" s="1">
        <v>0.85637600000000003</v>
      </c>
      <c r="F108" s="1">
        <v>0.85326199999999996</v>
      </c>
      <c r="G108" s="1">
        <v>0.82718899999999995</v>
      </c>
      <c r="H108" s="1">
        <v>0.30906599999999995</v>
      </c>
      <c r="I108" s="1">
        <v>0.38821</v>
      </c>
      <c r="J108" s="1">
        <v>0.39593299999999998</v>
      </c>
      <c r="K108" s="1">
        <v>0.42220400000000002</v>
      </c>
      <c r="L108" s="1">
        <v>0.30945699999999998</v>
      </c>
      <c r="M108" s="1">
        <v>0.48351100000000002</v>
      </c>
      <c r="N108" s="1">
        <v>0.46272399999999997</v>
      </c>
      <c r="O108" s="1">
        <v>0.26617399999999997</v>
      </c>
      <c r="P108" s="1">
        <v>0.18742699999999998</v>
      </c>
      <c r="Q108" s="1">
        <v>0.312002</v>
      </c>
      <c r="R108" s="1">
        <v>0.36960300000000001</v>
      </c>
      <c r="S108" s="1">
        <v>0.34115100000000004</v>
      </c>
      <c r="T108" s="1">
        <v>0.43033199999999999</v>
      </c>
    </row>
    <row r="109" spans="1:20">
      <c r="A109" t="s">
        <v>366</v>
      </c>
      <c r="B109" t="s">
        <v>256</v>
      </c>
      <c r="C109" t="s">
        <v>257</v>
      </c>
      <c r="D109" s="1">
        <v>17.624980999999998</v>
      </c>
      <c r="E109" s="1">
        <v>18.387065999999997</v>
      </c>
      <c r="F109" s="1">
        <v>19.316372999999999</v>
      </c>
      <c r="G109" s="1">
        <v>18.262627999999999</v>
      </c>
      <c r="H109" s="1">
        <v>18.020872999999998</v>
      </c>
      <c r="I109" s="1">
        <v>19.552827000000001</v>
      </c>
      <c r="J109" s="1">
        <v>19.657035</v>
      </c>
      <c r="K109" s="1">
        <v>19.047060000000002</v>
      </c>
      <c r="L109" s="1">
        <v>19.584087</v>
      </c>
      <c r="M109" s="1">
        <v>19.985261999999999</v>
      </c>
      <c r="N109" s="1">
        <v>20.803288000000002</v>
      </c>
      <c r="O109" s="1">
        <v>21.709893000000001</v>
      </c>
      <c r="P109" s="1">
        <v>22.055516999999998</v>
      </c>
      <c r="Q109" s="1">
        <v>22.601830999999997</v>
      </c>
      <c r="R109" s="1">
        <v>23.106380000000001</v>
      </c>
      <c r="S109" s="1">
        <v>23.181768000000002</v>
      </c>
      <c r="T109" s="1">
        <v>23.310920999999997</v>
      </c>
    </row>
    <row r="110" spans="1:20" outlineLevel="2">
      <c r="A110" t="s">
        <v>367</v>
      </c>
      <c r="B110" t="s">
        <v>256</v>
      </c>
      <c r="C110" t="s">
        <v>257</v>
      </c>
      <c r="D110" s="40"/>
      <c r="E110" s="1"/>
      <c r="F110" s="1"/>
      <c r="G110" s="1"/>
      <c r="H110" s="1"/>
      <c r="I110" s="1"/>
      <c r="J110" s="1"/>
      <c r="K110" s="1"/>
      <c r="L110" s="1"/>
      <c r="M110" s="1"/>
      <c r="N110" s="1"/>
      <c r="O110" s="1"/>
      <c r="P110" s="1"/>
      <c r="Q110" s="1"/>
      <c r="R110" s="1"/>
      <c r="S110" s="1"/>
      <c r="T110" s="40"/>
    </row>
    <row r="111" spans="1:20" outlineLevel="2">
      <c r="A111" t="s">
        <v>368</v>
      </c>
      <c r="B111" t="s">
        <v>256</v>
      </c>
      <c r="C111" t="s">
        <v>257</v>
      </c>
      <c r="D111" s="40">
        <v>2.2690000000000002E-3</v>
      </c>
      <c r="E111" s="1">
        <v>2.006E-3</v>
      </c>
      <c r="F111" s="1">
        <v>1.887E-3</v>
      </c>
      <c r="G111" s="1">
        <v>1.6000000000000001E-3</v>
      </c>
      <c r="H111" s="1">
        <v>1.3129999999999999E-3</v>
      </c>
      <c r="I111" s="1">
        <v>6.5439999999999995E-3</v>
      </c>
      <c r="J111" s="1">
        <v>5.4939999999999998E-3</v>
      </c>
      <c r="K111" s="1">
        <v>4.0599999999999994E-3</v>
      </c>
      <c r="L111" s="1">
        <v>3.8940000000000003E-3</v>
      </c>
      <c r="M111" s="1">
        <v>3.392E-3</v>
      </c>
      <c r="N111" s="1">
        <v>3.5830000000000002E-3</v>
      </c>
      <c r="O111" s="1">
        <v>6.9740000000000002E-3</v>
      </c>
      <c r="P111" s="1">
        <v>4.999E-3</v>
      </c>
      <c r="Q111" s="1">
        <v>3.1540000000000001E-3</v>
      </c>
      <c r="R111" s="1">
        <v>3.1480000000000002E-3</v>
      </c>
      <c r="S111" s="1">
        <v>3.4449999999999997E-3</v>
      </c>
      <c r="T111" s="40">
        <v>3.5200000000000001E-3</v>
      </c>
    </row>
    <row r="112" spans="1:20" outlineLevel="2">
      <c r="A112" t="s">
        <v>369</v>
      </c>
      <c r="B112" t="s">
        <v>256</v>
      </c>
      <c r="C112" t="s">
        <v>257</v>
      </c>
      <c r="D112" s="40"/>
      <c r="E112" s="1"/>
      <c r="F112" s="1"/>
      <c r="G112" s="1"/>
      <c r="H112" s="1"/>
      <c r="I112" s="1"/>
      <c r="J112" s="1"/>
      <c r="K112" s="1"/>
      <c r="L112" s="1"/>
      <c r="M112" s="1"/>
      <c r="N112" s="1"/>
      <c r="O112" s="1"/>
      <c r="P112" s="1"/>
      <c r="Q112" s="1"/>
      <c r="R112" s="1"/>
      <c r="S112" s="1"/>
      <c r="T112" s="40"/>
    </row>
    <row r="113" spans="1:20" outlineLevel="2">
      <c r="A113" t="s">
        <v>370</v>
      </c>
      <c r="B113" t="s">
        <v>256</v>
      </c>
      <c r="C113" t="s">
        <v>257</v>
      </c>
      <c r="D113" s="40">
        <v>1.7769999999999999E-3</v>
      </c>
      <c r="E113" s="1">
        <v>1.9750000000000002E-3</v>
      </c>
      <c r="F113" s="1">
        <v>2.163E-3</v>
      </c>
      <c r="G113" s="1">
        <v>2.6199999999999999E-3</v>
      </c>
      <c r="H113" s="1">
        <v>2.9580000000000001E-3</v>
      </c>
      <c r="I113" s="1">
        <v>9.9679999999999994E-3</v>
      </c>
      <c r="J113" s="1">
        <v>1.0515999999999999E-2</v>
      </c>
      <c r="K113" s="1">
        <v>1.1612000000000001E-2</v>
      </c>
      <c r="L113" s="1">
        <v>1.2675000000000001E-2</v>
      </c>
      <c r="M113" s="1">
        <v>1.3852E-2</v>
      </c>
      <c r="N113" s="1">
        <v>1.4638999999999999E-2</v>
      </c>
      <c r="O113" s="1">
        <v>1.525E-2</v>
      </c>
      <c r="P113" s="1">
        <v>1.6218E-2</v>
      </c>
      <c r="Q113" s="1">
        <v>1.7590000000000001E-2</v>
      </c>
      <c r="R113" s="1">
        <v>1.8339999999999999E-2</v>
      </c>
      <c r="S113" s="1">
        <v>1.7271999999999999E-2</v>
      </c>
      <c r="T113" s="40">
        <v>1.8376E-2</v>
      </c>
    </row>
    <row r="114" spans="1:20" outlineLevel="2">
      <c r="A114" t="s">
        <v>371</v>
      </c>
      <c r="B114" t="s">
        <v>256</v>
      </c>
      <c r="C114" t="s">
        <v>257</v>
      </c>
      <c r="D114" s="40"/>
      <c r="E114" s="1"/>
      <c r="F114" s="1"/>
      <c r="G114" s="1"/>
      <c r="H114" s="1"/>
      <c r="I114" s="1"/>
      <c r="J114" s="1"/>
      <c r="K114" s="1"/>
      <c r="L114" s="1"/>
      <c r="M114" s="1"/>
      <c r="N114" s="1"/>
      <c r="O114" s="1"/>
      <c r="P114" s="1"/>
      <c r="Q114" s="1"/>
      <c r="R114" s="1"/>
      <c r="S114" s="1"/>
      <c r="T114" s="40"/>
    </row>
    <row r="115" spans="1:20" outlineLevel="2">
      <c r="A115" t="s">
        <v>372</v>
      </c>
      <c r="B115" t="s">
        <v>256</v>
      </c>
      <c r="C115" t="s">
        <v>257</v>
      </c>
      <c r="D115" s="40"/>
      <c r="E115" s="1"/>
      <c r="F115" s="1"/>
      <c r="G115" s="1"/>
      <c r="H115" s="1"/>
      <c r="I115" s="1"/>
      <c r="J115" s="1"/>
      <c r="K115" s="1"/>
      <c r="L115" s="1"/>
      <c r="M115" s="1"/>
      <c r="N115" s="1"/>
      <c r="O115" s="1"/>
      <c r="P115" s="1"/>
      <c r="Q115" s="1"/>
      <c r="R115" s="1"/>
      <c r="S115" s="1"/>
      <c r="T115" s="40"/>
    </row>
    <row r="116" spans="1:20" outlineLevel="2">
      <c r="A116" t="s">
        <v>373</v>
      </c>
      <c r="B116" t="s">
        <v>256</v>
      </c>
      <c r="C116" t="s">
        <v>257</v>
      </c>
      <c r="D116" s="40">
        <v>2.8471E-2</v>
      </c>
      <c r="E116" s="1">
        <v>3.1909E-2</v>
      </c>
      <c r="F116" s="1">
        <v>3.1815999999999997E-2</v>
      </c>
      <c r="G116" s="1">
        <v>3.2834000000000002E-2</v>
      </c>
      <c r="H116" s="1">
        <v>3.6148000000000007E-2</v>
      </c>
      <c r="I116" s="1">
        <v>4.0871999999999999E-2</v>
      </c>
      <c r="J116" s="1">
        <v>4.5354999999999999E-2</v>
      </c>
      <c r="K116" s="1">
        <v>4.9401E-2</v>
      </c>
      <c r="L116" s="1">
        <v>5.3945E-2</v>
      </c>
      <c r="M116" s="1">
        <v>0.179428</v>
      </c>
      <c r="N116" s="1">
        <v>0.199383</v>
      </c>
      <c r="O116" s="1">
        <v>0.22332400000000002</v>
      </c>
      <c r="P116" s="1">
        <v>0.24790299999999998</v>
      </c>
      <c r="Q116" s="1">
        <v>0.28723000000000004</v>
      </c>
      <c r="R116" s="1">
        <v>0.31682199999999999</v>
      </c>
      <c r="S116" s="1">
        <v>0.34683600000000003</v>
      </c>
      <c r="T116" s="40">
        <v>0.37754399999999999</v>
      </c>
    </row>
    <row r="117" spans="1:20" outlineLevel="2">
      <c r="A117" t="s">
        <v>374</v>
      </c>
      <c r="B117" t="s">
        <v>256</v>
      </c>
      <c r="C117" t="s">
        <v>257</v>
      </c>
      <c r="D117" s="40">
        <v>17.140626000000001</v>
      </c>
      <c r="E117" s="1">
        <v>17.844726999999999</v>
      </c>
      <c r="F117" s="1">
        <v>18.526306000000002</v>
      </c>
      <c r="G117" s="1">
        <v>17.810628000000001</v>
      </c>
      <c r="H117" s="1">
        <v>17.559431</v>
      </c>
      <c r="I117" s="1">
        <v>18.905488000000002</v>
      </c>
      <c r="J117" s="1">
        <v>18.884684</v>
      </c>
      <c r="K117" s="1">
        <v>18.339041000000002</v>
      </c>
      <c r="L117" s="1">
        <v>18.623963</v>
      </c>
      <c r="M117" s="1">
        <v>18.844666</v>
      </c>
      <c r="N117" s="1">
        <v>19.591446999999999</v>
      </c>
      <c r="O117" s="1">
        <v>20.366671</v>
      </c>
      <c r="P117" s="1">
        <v>20.478224999999998</v>
      </c>
      <c r="Q117" s="1">
        <v>20.683293000000003</v>
      </c>
      <c r="R117" s="1">
        <v>21.073089</v>
      </c>
      <c r="S117" s="1">
        <v>20.997760999999997</v>
      </c>
      <c r="T117" s="40">
        <v>21.120484000000001</v>
      </c>
    </row>
    <row r="118" spans="1:20" outlineLevel="2">
      <c r="A118" t="s">
        <v>375</v>
      </c>
      <c r="B118" t="s">
        <v>256</v>
      </c>
      <c r="C118" t="s">
        <v>257</v>
      </c>
      <c r="D118" s="40">
        <v>1.4712999999999999E-2</v>
      </c>
      <c r="E118" s="1">
        <v>1.5448999999999999E-2</v>
      </c>
      <c r="F118" s="1">
        <v>1.4712999999999999E-2</v>
      </c>
      <c r="G118" s="1">
        <v>3.7518000000000003E-2</v>
      </c>
      <c r="H118" s="1">
        <v>1.9126999999999998E-2</v>
      </c>
      <c r="I118" s="1">
        <v>7.3559999999999997E-3</v>
      </c>
      <c r="J118" s="1">
        <v>7.3559999999999997E-3</v>
      </c>
      <c r="K118" s="1">
        <v>7.3559999999999997E-3</v>
      </c>
      <c r="L118" s="1">
        <v>8.3239999999999998E-3</v>
      </c>
      <c r="M118" s="1">
        <v>8.3099999999999997E-3</v>
      </c>
      <c r="N118" s="1">
        <v>8.2970000000000006E-3</v>
      </c>
      <c r="O118" s="1">
        <v>8.287000000000001E-3</v>
      </c>
      <c r="P118" s="1">
        <v>8.5290000000000001E-3</v>
      </c>
      <c r="Q118" s="1">
        <v>7.698E-3</v>
      </c>
      <c r="R118" s="1">
        <v>7.417E-3</v>
      </c>
      <c r="S118" s="1">
        <v>7.417E-3</v>
      </c>
      <c r="T118" s="40">
        <v>7.417E-3</v>
      </c>
    </row>
    <row r="119" spans="1:20" outlineLevel="2">
      <c r="A119" t="s">
        <v>376</v>
      </c>
      <c r="B119" t="s">
        <v>256</v>
      </c>
      <c r="C119" t="s">
        <v>257</v>
      </c>
      <c r="D119" s="40">
        <v>0</v>
      </c>
      <c r="E119" s="1">
        <v>0</v>
      </c>
      <c r="F119" s="1">
        <v>0</v>
      </c>
      <c r="G119" s="1">
        <v>0</v>
      </c>
      <c r="H119" s="1">
        <v>0</v>
      </c>
      <c r="I119" s="1">
        <v>3.0000000000000001E-6</v>
      </c>
      <c r="J119" s="1">
        <v>0</v>
      </c>
      <c r="K119" s="1">
        <v>8.9999999999999998E-4</v>
      </c>
      <c r="L119" s="1">
        <v>1.1040000000000002E-3</v>
      </c>
      <c r="M119" s="1">
        <v>1.2459999999999999E-3</v>
      </c>
      <c r="N119" s="1">
        <v>1.5100000000000001E-3</v>
      </c>
      <c r="O119" s="1">
        <v>0</v>
      </c>
      <c r="P119" s="1">
        <v>0</v>
      </c>
      <c r="Q119" s="1">
        <v>0</v>
      </c>
      <c r="R119" s="1">
        <v>0</v>
      </c>
      <c r="S119" s="1">
        <v>0</v>
      </c>
      <c r="T119" s="40">
        <v>0</v>
      </c>
    </row>
    <row r="120" spans="1:20" outlineLevel="2">
      <c r="A120" t="s">
        <v>377</v>
      </c>
      <c r="B120" t="s">
        <v>256</v>
      </c>
      <c r="C120" t="s">
        <v>257</v>
      </c>
      <c r="D120" s="40">
        <v>1.4899999999999999E-4</v>
      </c>
      <c r="E120" s="1">
        <v>1.7799999999999999E-4</v>
      </c>
      <c r="F120" s="1">
        <v>2.12E-4</v>
      </c>
      <c r="G120" s="1">
        <v>2.7500000000000002E-4</v>
      </c>
      <c r="H120" s="1">
        <v>2.3300000000000003E-4</v>
      </c>
      <c r="I120" s="1">
        <v>2.52E-4</v>
      </c>
      <c r="J120" s="1">
        <v>2.9399999999999999E-4</v>
      </c>
      <c r="K120" s="1">
        <v>2.7900000000000001E-4</v>
      </c>
      <c r="L120" s="1">
        <v>2.61E-4</v>
      </c>
      <c r="M120" s="1">
        <v>2.4600000000000002E-4</v>
      </c>
      <c r="N120" s="1">
        <v>2.3300000000000003E-4</v>
      </c>
      <c r="O120" s="1">
        <v>2.02E-4</v>
      </c>
      <c r="P120" s="1">
        <v>1.5099999999999998E-4</v>
      </c>
      <c r="Q120" s="1">
        <v>3.5490000000000001E-3</v>
      </c>
      <c r="R120" s="1">
        <v>3.4820000000000003E-3</v>
      </c>
      <c r="S120" s="1">
        <v>3.4190000000000002E-3</v>
      </c>
      <c r="T120" s="40">
        <v>3.4820000000000003E-3</v>
      </c>
    </row>
    <row r="121" spans="1:20" outlineLevel="2">
      <c r="A121" t="s">
        <v>378</v>
      </c>
      <c r="B121" t="s">
        <v>256</v>
      </c>
      <c r="C121" t="s">
        <v>257</v>
      </c>
      <c r="D121" s="40">
        <v>5.8999999999999998E-5</v>
      </c>
      <c r="E121" s="1">
        <v>3.88E-4</v>
      </c>
      <c r="F121" s="1">
        <v>2.0699999999999999E-4</v>
      </c>
      <c r="G121" s="1">
        <v>2.12E-4</v>
      </c>
      <c r="H121" s="1">
        <v>6.2799999999999998E-4</v>
      </c>
      <c r="I121" s="1">
        <v>1.3720000000000002E-3</v>
      </c>
      <c r="J121" s="1">
        <v>2.9369999999999999E-3</v>
      </c>
      <c r="K121" s="1">
        <v>1.9740000000000001E-3</v>
      </c>
      <c r="L121" s="1">
        <v>2.0379999999999999E-3</v>
      </c>
      <c r="M121" s="1">
        <v>6.391E-3</v>
      </c>
      <c r="N121" s="1">
        <v>7.6569999999999997E-3</v>
      </c>
      <c r="O121" s="1">
        <v>1.4313000000000001E-2</v>
      </c>
      <c r="P121" s="1">
        <v>3.3610999999999995E-2</v>
      </c>
      <c r="Q121" s="1">
        <v>3.7468000000000001E-2</v>
      </c>
      <c r="R121" s="1">
        <v>2.8827999999999999E-2</v>
      </c>
      <c r="S121" s="1">
        <v>2.8569000000000001E-2</v>
      </c>
      <c r="T121" s="40">
        <v>2.2550999999999998E-2</v>
      </c>
    </row>
    <row r="122" spans="1:20" outlineLevel="2">
      <c r="A122" t="s">
        <v>379</v>
      </c>
      <c r="B122" t="s">
        <v>256</v>
      </c>
      <c r="C122" t="s">
        <v>257</v>
      </c>
      <c r="D122" s="40">
        <v>3.6160000000000003E-3</v>
      </c>
      <c r="E122" s="1">
        <v>1.5307000000000001E-2</v>
      </c>
      <c r="F122" s="1">
        <v>2.5661E-2</v>
      </c>
      <c r="G122" s="1">
        <v>2.8326E-2</v>
      </c>
      <c r="H122" s="1">
        <v>3.6880000000000003E-2</v>
      </c>
      <c r="I122" s="1">
        <v>3.8610999999999999E-2</v>
      </c>
      <c r="J122" s="1">
        <v>4.0002000000000003E-2</v>
      </c>
      <c r="K122" s="1">
        <v>6.5018000000000006E-2</v>
      </c>
      <c r="L122" s="1">
        <v>6.5277000000000002E-2</v>
      </c>
      <c r="M122" s="1">
        <v>7.5486999999999999E-2</v>
      </c>
      <c r="N122" s="1">
        <v>9.0984999999999996E-2</v>
      </c>
      <c r="O122" s="1">
        <v>0.138375</v>
      </c>
      <c r="P122" s="1">
        <v>0.16362100000000002</v>
      </c>
      <c r="Q122" s="1">
        <v>0.267955</v>
      </c>
      <c r="R122" s="1">
        <v>0.27835199999999999</v>
      </c>
      <c r="S122" s="1">
        <v>0.26866500000000004</v>
      </c>
      <c r="T122" s="40">
        <v>0.30610899999999996</v>
      </c>
    </row>
    <row r="123" spans="1:20" outlineLevel="2">
      <c r="A123" t="s">
        <v>380</v>
      </c>
      <c r="B123" t="s">
        <v>256</v>
      </c>
      <c r="C123" t="s">
        <v>257</v>
      </c>
      <c r="D123" s="40">
        <v>0</v>
      </c>
      <c r="E123" s="1">
        <v>0</v>
      </c>
      <c r="F123" s="1">
        <v>0</v>
      </c>
      <c r="G123" s="1">
        <v>0</v>
      </c>
      <c r="H123" s="1">
        <v>0</v>
      </c>
      <c r="I123" s="1">
        <v>0</v>
      </c>
      <c r="J123" s="1">
        <v>0</v>
      </c>
      <c r="K123" s="1">
        <v>0</v>
      </c>
      <c r="L123" s="1">
        <v>0</v>
      </c>
      <c r="M123" s="1">
        <v>0</v>
      </c>
      <c r="N123" s="1">
        <v>0</v>
      </c>
      <c r="O123" s="1">
        <v>0</v>
      </c>
      <c r="P123" s="1">
        <v>0</v>
      </c>
      <c r="Q123" s="1">
        <v>0</v>
      </c>
      <c r="R123" s="1">
        <v>0</v>
      </c>
      <c r="S123" s="1">
        <v>0</v>
      </c>
      <c r="T123" s="40">
        <v>0</v>
      </c>
    </row>
    <row r="124" spans="1:20" outlineLevel="2">
      <c r="A124" t="s">
        <v>381</v>
      </c>
      <c r="B124" t="s">
        <v>256</v>
      </c>
      <c r="C124" t="s">
        <v>257</v>
      </c>
      <c r="D124" s="40">
        <v>0</v>
      </c>
      <c r="E124" s="1">
        <v>0</v>
      </c>
      <c r="F124" s="1">
        <v>0</v>
      </c>
      <c r="G124" s="1">
        <v>0</v>
      </c>
      <c r="H124" s="1">
        <v>0</v>
      </c>
      <c r="I124" s="1">
        <v>0</v>
      </c>
      <c r="J124" s="1">
        <v>0</v>
      </c>
      <c r="K124" s="1">
        <v>0</v>
      </c>
      <c r="L124" s="1">
        <v>0</v>
      </c>
      <c r="M124" s="1">
        <v>0</v>
      </c>
      <c r="N124" s="1">
        <v>0</v>
      </c>
      <c r="O124" s="1">
        <v>0</v>
      </c>
      <c r="P124" s="1">
        <v>0</v>
      </c>
      <c r="Q124" s="1">
        <v>0</v>
      </c>
      <c r="R124" s="1">
        <v>0</v>
      </c>
      <c r="S124" s="1">
        <v>0</v>
      </c>
      <c r="T124" s="40">
        <v>0</v>
      </c>
    </row>
    <row r="125" spans="1:20" outlineLevel="2">
      <c r="A125" t="s">
        <v>382</v>
      </c>
      <c r="B125" t="s">
        <v>256</v>
      </c>
      <c r="C125" t="s">
        <v>257</v>
      </c>
      <c r="D125" s="40">
        <v>1.9858000000000001E-2</v>
      </c>
      <c r="E125" s="1">
        <v>4.3582999999999997E-2</v>
      </c>
      <c r="F125" s="1">
        <v>5.5098000000000001E-2</v>
      </c>
      <c r="G125" s="1">
        <v>0.107556</v>
      </c>
      <c r="H125" s="1">
        <v>8.5561999999999999E-2</v>
      </c>
      <c r="I125" s="1">
        <v>8.0880999999999995E-2</v>
      </c>
      <c r="J125" s="1">
        <v>4.3293999999999999E-2</v>
      </c>
      <c r="K125" s="1">
        <v>1.4256E-2</v>
      </c>
      <c r="L125" s="1">
        <v>2.1873999999999998E-2</v>
      </c>
      <c r="M125" s="1">
        <v>3.8067999999999998E-2</v>
      </c>
      <c r="N125" s="1">
        <v>2.7474000000000002E-2</v>
      </c>
      <c r="O125" s="1">
        <v>3.7781999999999996E-2</v>
      </c>
      <c r="P125" s="1">
        <v>3.2570000000000002E-2</v>
      </c>
      <c r="Q125" s="1">
        <v>7.0562E-2</v>
      </c>
      <c r="R125" s="1">
        <v>7.2608000000000006E-2</v>
      </c>
      <c r="S125" s="1">
        <v>0.122104</v>
      </c>
      <c r="T125" s="40">
        <v>0.112137</v>
      </c>
    </row>
    <row r="126" spans="1:20" outlineLevel="2">
      <c r="A126" t="s">
        <v>383</v>
      </c>
      <c r="B126" t="s">
        <v>256</v>
      </c>
      <c r="C126" t="s">
        <v>257</v>
      </c>
      <c r="D126" s="40">
        <v>0.13156100000000001</v>
      </c>
      <c r="E126" s="1">
        <v>0.11617</v>
      </c>
      <c r="F126" s="1">
        <v>0.15394099999999999</v>
      </c>
      <c r="G126" s="1">
        <v>0.133464</v>
      </c>
      <c r="H126" s="1">
        <v>0.16370999999999999</v>
      </c>
      <c r="I126" s="1">
        <v>0.30734500000000003</v>
      </c>
      <c r="J126" s="1">
        <v>0.33963299999999996</v>
      </c>
      <c r="K126" s="1">
        <v>0.22656299999999999</v>
      </c>
      <c r="L126" s="1">
        <v>0.28877700000000001</v>
      </c>
      <c r="M126" s="1">
        <v>0.31206099999999998</v>
      </c>
      <c r="N126" s="1">
        <v>0.30899900000000002</v>
      </c>
      <c r="O126" s="1">
        <v>0.33184199999999997</v>
      </c>
      <c r="P126" s="1">
        <v>0.38566</v>
      </c>
      <c r="Q126" s="1">
        <v>0.40738400000000002</v>
      </c>
      <c r="R126" s="1">
        <v>0.46884300000000001</v>
      </c>
      <c r="S126" s="1">
        <v>0.521922</v>
      </c>
      <c r="T126" s="40">
        <v>0.50843099999999997</v>
      </c>
    </row>
    <row r="127" spans="1:20" outlineLevel="1">
      <c r="A127" t="s">
        <v>384</v>
      </c>
      <c r="B127" t="s">
        <v>256</v>
      </c>
      <c r="C127" t="s">
        <v>257</v>
      </c>
      <c r="D127" s="40">
        <v>0.281887</v>
      </c>
      <c r="E127" s="1">
        <v>0.31537200000000004</v>
      </c>
      <c r="F127" s="1">
        <v>0.50437100000000001</v>
      </c>
      <c r="G127" s="1">
        <v>0.1076</v>
      </c>
      <c r="H127" s="1">
        <v>0.11488</v>
      </c>
      <c r="I127" s="1">
        <v>0.154136</v>
      </c>
      <c r="J127" s="1">
        <v>0.277472</v>
      </c>
      <c r="K127" s="1">
        <v>0.32659699999999997</v>
      </c>
      <c r="L127" s="1">
        <v>0.50195400000000001</v>
      </c>
      <c r="M127" s="1">
        <v>0.50211499999999998</v>
      </c>
      <c r="N127" s="1">
        <v>0.54908299999999999</v>
      </c>
      <c r="O127" s="1">
        <v>0.56687300000000007</v>
      </c>
      <c r="P127" s="1">
        <v>0.684033</v>
      </c>
      <c r="Q127" s="1">
        <v>0.81595299999999993</v>
      </c>
      <c r="R127" s="1">
        <v>0.83545500000000006</v>
      </c>
      <c r="S127" s="1">
        <v>0.8643630000000001</v>
      </c>
      <c r="T127" s="40">
        <v>0.83087100000000003</v>
      </c>
    </row>
    <row r="128" spans="1:20" collapsed="1">
      <c r="A128" t="s">
        <v>385</v>
      </c>
      <c r="B128" t="s">
        <v>256</v>
      </c>
      <c r="C128" t="s">
        <v>257</v>
      </c>
      <c r="D128" s="1">
        <v>1.1171489999999999</v>
      </c>
      <c r="E128" s="1">
        <v>1.2998940000000001</v>
      </c>
      <c r="F128" s="1">
        <v>1.410093</v>
      </c>
      <c r="G128" s="1">
        <v>1.8214030000000001</v>
      </c>
      <c r="H128" s="1">
        <v>2.1291250000000002</v>
      </c>
      <c r="I128" s="1">
        <v>2.4984609999999998</v>
      </c>
      <c r="J128" s="1">
        <v>3.0013290000000001</v>
      </c>
      <c r="K128" s="1">
        <v>2.9525960000000002</v>
      </c>
      <c r="L128" s="1">
        <v>3.2566199999999998</v>
      </c>
      <c r="M128" s="1">
        <v>3.4409830000000001</v>
      </c>
      <c r="N128" s="1">
        <v>3.52738</v>
      </c>
      <c r="O128" s="1">
        <v>3.9678529999999999</v>
      </c>
      <c r="P128" s="1">
        <v>3.9792700000000001</v>
      </c>
      <c r="Q128" s="1">
        <v>4.4199830000000002</v>
      </c>
      <c r="R128" s="1">
        <v>4.5418459999999996</v>
      </c>
      <c r="S128" s="1">
        <v>4.7263999999999999</v>
      </c>
      <c r="T128" s="1">
        <v>4.7187460000000003</v>
      </c>
    </row>
    <row r="129" spans="1:49" hidden="1" outlineLevel="1">
      <c r="A129" t="s">
        <v>386</v>
      </c>
      <c r="B129" t="s">
        <v>256</v>
      </c>
      <c r="C129" t="s">
        <v>257</v>
      </c>
      <c r="D129" s="1">
        <v>0.83234799999999998</v>
      </c>
      <c r="E129" s="1">
        <v>0.96061400000000008</v>
      </c>
      <c r="F129" s="1">
        <v>0.87835000000000008</v>
      </c>
      <c r="G129" s="1">
        <v>1.7256739999999999</v>
      </c>
      <c r="H129" s="1">
        <v>1.9096110000000002</v>
      </c>
      <c r="I129" s="1">
        <v>2.2247210000000002</v>
      </c>
      <c r="J129" s="1">
        <v>2.6140700000000003</v>
      </c>
      <c r="K129" s="1">
        <v>2.5426489999999999</v>
      </c>
      <c r="L129" s="1">
        <v>2.6218240000000002</v>
      </c>
      <c r="M129" s="1">
        <v>2.818756</v>
      </c>
      <c r="N129" s="1">
        <v>2.8908909999999999</v>
      </c>
      <c r="O129" s="1">
        <v>3.259706</v>
      </c>
      <c r="P129" s="1">
        <v>3.1811319999999998</v>
      </c>
      <c r="Q129" s="1">
        <v>3.5476559999999999</v>
      </c>
      <c r="R129" s="1">
        <v>3.6255949999999997</v>
      </c>
      <c r="S129" s="1">
        <v>3.7906680000000001</v>
      </c>
      <c r="T129" s="1">
        <v>3.810111</v>
      </c>
    </row>
    <row r="130" spans="1:49" ht="14.25" hidden="1" customHeight="1" outlineLevel="1">
      <c r="A130" t="s">
        <v>387</v>
      </c>
      <c r="B130" t="s">
        <v>256</v>
      </c>
      <c r="C130" t="s">
        <v>257</v>
      </c>
      <c r="D130" s="1">
        <v>0.2848</v>
      </c>
      <c r="E130" s="1">
        <v>0.339281</v>
      </c>
      <c r="F130" s="1">
        <v>0.53174300000000008</v>
      </c>
      <c r="G130" s="1">
        <v>9.5728999999999995E-2</v>
      </c>
      <c r="H130" s="1">
        <v>0.21951400000000001</v>
      </c>
      <c r="I130" s="1">
        <v>0.27373799999999998</v>
      </c>
      <c r="J130" s="1">
        <v>0.38725799999999999</v>
      </c>
      <c r="K130" s="1">
        <v>0.40994600000000003</v>
      </c>
      <c r="L130" s="1">
        <v>0.63479799999999997</v>
      </c>
      <c r="M130" s="1">
        <v>0.62222500000000003</v>
      </c>
      <c r="N130" s="1">
        <v>0.63648800000000005</v>
      </c>
      <c r="O130" s="1">
        <v>0.70814599999999994</v>
      </c>
      <c r="P130" s="1">
        <v>0.79813599999999996</v>
      </c>
      <c r="Q130" s="1">
        <v>0.87232600000000005</v>
      </c>
      <c r="R130" s="1">
        <v>0.91625400000000001</v>
      </c>
      <c r="S130" s="1">
        <v>0.93573099999999998</v>
      </c>
      <c r="T130" s="1">
        <v>0.90863400000000005</v>
      </c>
    </row>
    <row r="131" spans="1:49" collapsed="1">
      <c r="A131" t="s">
        <v>288</v>
      </c>
      <c r="B131" t="s">
        <v>256</v>
      </c>
      <c r="C131" t="s">
        <v>257</v>
      </c>
      <c r="D131" s="1">
        <v>87.252589999999998</v>
      </c>
      <c r="E131" s="1">
        <v>87.20215300000001</v>
      </c>
      <c r="F131" s="1">
        <v>88.358376000000007</v>
      </c>
      <c r="G131" s="1">
        <v>86.265145000000004</v>
      </c>
      <c r="H131" s="1">
        <v>74.300823999999992</v>
      </c>
      <c r="I131" s="1">
        <v>79.588030000000003</v>
      </c>
      <c r="J131" s="1">
        <v>80.528220000000005</v>
      </c>
      <c r="K131" s="1">
        <v>79.129937000000012</v>
      </c>
      <c r="L131" s="1">
        <v>77.933982999999998</v>
      </c>
      <c r="M131" s="1">
        <v>78.251376999999991</v>
      </c>
      <c r="N131" s="1">
        <v>78.580681999999996</v>
      </c>
      <c r="O131" s="1">
        <v>79.617354999999989</v>
      </c>
      <c r="P131" s="1">
        <v>81.03699499999999</v>
      </c>
      <c r="Q131" s="1">
        <v>81.292179000000004</v>
      </c>
      <c r="R131" s="1">
        <v>80.233557000000005</v>
      </c>
      <c r="S131" s="1">
        <v>76.037876999999995</v>
      </c>
      <c r="T131" s="1">
        <v>79.831362999999996</v>
      </c>
    </row>
    <row r="132" spans="1:49">
      <c r="A132" t="s">
        <v>388</v>
      </c>
      <c r="B132" t="s">
        <v>256</v>
      </c>
      <c r="C132" t="s">
        <v>257</v>
      </c>
      <c r="D132" s="1">
        <v>15.089885000000001</v>
      </c>
      <c r="E132" s="1">
        <v>15.464343000000001</v>
      </c>
      <c r="F132" s="1">
        <v>16.477371999999999</v>
      </c>
      <c r="G132" s="1">
        <v>16.469033</v>
      </c>
      <c r="H132" s="1">
        <v>15.491035</v>
      </c>
      <c r="I132" s="1">
        <v>15.732325000000001</v>
      </c>
      <c r="J132" s="1">
        <v>15.818843000000001</v>
      </c>
      <c r="K132" s="1">
        <v>16.513556000000001</v>
      </c>
      <c r="L132" s="1">
        <v>16.325710999999998</v>
      </c>
      <c r="M132" s="1">
        <v>15.375772000000001</v>
      </c>
      <c r="N132" s="1">
        <v>15.207773</v>
      </c>
      <c r="O132" s="1">
        <v>15.589949000000001</v>
      </c>
      <c r="P132" s="1">
        <v>15.398108000000001</v>
      </c>
      <c r="Q132" s="1">
        <v>15.402728</v>
      </c>
      <c r="R132" s="1">
        <v>15.641225</v>
      </c>
      <c r="S132" s="1">
        <v>14.650715</v>
      </c>
      <c r="T132" s="1">
        <v>14.812571</v>
      </c>
    </row>
    <row r="133" spans="1:49">
      <c r="A133" t="s">
        <v>389</v>
      </c>
      <c r="B133" t="s">
        <v>256</v>
      </c>
      <c r="C133" t="s">
        <v>257</v>
      </c>
      <c r="D133" s="1">
        <v>14.092286</v>
      </c>
      <c r="E133" s="1">
        <v>12.837828999999999</v>
      </c>
      <c r="F133" s="1">
        <v>13.710370999999999</v>
      </c>
      <c r="G133" s="1">
        <v>13.304684999999999</v>
      </c>
      <c r="H133" s="1">
        <v>11.491</v>
      </c>
      <c r="I133" s="1">
        <v>12.758542</v>
      </c>
      <c r="J133" s="1">
        <v>13.472914000000001</v>
      </c>
      <c r="K133" s="1">
        <v>13.188223000000001</v>
      </c>
      <c r="L133" s="1">
        <v>13.417234000000001</v>
      </c>
      <c r="M133" s="1">
        <v>13.936699000000001</v>
      </c>
      <c r="N133" s="1">
        <v>13.691651</v>
      </c>
      <c r="O133" s="1">
        <v>13.540011</v>
      </c>
      <c r="P133" s="1">
        <v>14.743126</v>
      </c>
      <c r="Q133" s="1">
        <v>14.675519</v>
      </c>
      <c r="R133" s="1">
        <v>15.271205</v>
      </c>
      <c r="S133" s="1">
        <v>14.764616</v>
      </c>
      <c r="T133" s="1">
        <v>14.092342</v>
      </c>
    </row>
    <row r="134" spans="1:49">
      <c r="A134" t="s">
        <v>390</v>
      </c>
      <c r="B134" t="s">
        <v>256</v>
      </c>
      <c r="C134" t="s">
        <v>257</v>
      </c>
      <c r="D134" s="1">
        <v>85.898336999999998</v>
      </c>
      <c r="E134" s="1">
        <v>87.159362999999999</v>
      </c>
      <c r="F134" s="1">
        <v>86.377850000000009</v>
      </c>
      <c r="G134" s="1">
        <v>84.168721000000005</v>
      </c>
      <c r="H134" s="1">
        <v>77.078503999999995</v>
      </c>
      <c r="I134" s="1">
        <v>80.456029000000001</v>
      </c>
      <c r="J134" s="1">
        <v>77.777253000000002</v>
      </c>
      <c r="K134" s="1">
        <v>74.671897999999999</v>
      </c>
      <c r="L134" s="1">
        <v>71.703445000000002</v>
      </c>
      <c r="M134" s="1">
        <v>73.096884000000003</v>
      </c>
      <c r="N134" s="1">
        <v>70.610588000000007</v>
      </c>
      <c r="O134" s="1">
        <v>70.478649999999988</v>
      </c>
      <c r="P134" s="1">
        <v>75.890906000000001</v>
      </c>
      <c r="Q134" s="1">
        <v>72.435507000000001</v>
      </c>
      <c r="R134" s="1">
        <v>71.494762000000009</v>
      </c>
      <c r="S134" s="1">
        <v>71.472645999999997</v>
      </c>
      <c r="T134" s="1">
        <v>75.985964999999993</v>
      </c>
    </row>
    <row r="136" spans="1:49" s="4" customFormat="1">
      <c r="A136" s="4" t="s">
        <v>391</v>
      </c>
    </row>
    <row r="137" spans="1:49" s="44" customFormat="1">
      <c r="A137" s="44" t="s">
        <v>392</v>
      </c>
    </row>
    <row r="138" spans="1:49">
      <c r="B138" t="s">
        <v>31</v>
      </c>
      <c r="C138" t="s">
        <v>32</v>
      </c>
      <c r="D138">
        <v>2005</v>
      </c>
      <c r="I138">
        <v>2010</v>
      </c>
      <c r="N138">
        <v>2015</v>
      </c>
      <c r="S138">
        <v>2020</v>
      </c>
      <c r="X138">
        <v>2025</v>
      </c>
      <c r="AC138">
        <v>2030</v>
      </c>
      <c r="AH138">
        <v>2035</v>
      </c>
      <c r="AM138">
        <v>2040</v>
      </c>
      <c r="AR138">
        <v>2045</v>
      </c>
      <c r="AW138">
        <v>2050</v>
      </c>
    </row>
    <row r="139" spans="1:49">
      <c r="A139" s="34" t="s">
        <v>37</v>
      </c>
      <c r="B139" t="s">
        <v>393</v>
      </c>
      <c r="C139" t="s">
        <v>257</v>
      </c>
      <c r="AC139" s="47">
        <f>SUM(AC140:AC148)</f>
        <v>249.2985776981163</v>
      </c>
      <c r="AW139" s="47">
        <f>SUM(AW140:AW148)</f>
        <v>242.38999839050382</v>
      </c>
    </row>
    <row r="140" spans="1:49">
      <c r="A140" s="45" t="s">
        <v>280</v>
      </c>
      <c r="B140" t="s">
        <v>393</v>
      </c>
      <c r="C140" t="s">
        <v>257</v>
      </c>
      <c r="AC140" s="46">
        <v>9.9605930644376066</v>
      </c>
      <c r="AW140" s="46">
        <v>4.3540410128695148</v>
      </c>
    </row>
    <row r="141" spans="1:49">
      <c r="A141" s="45" t="s">
        <v>281</v>
      </c>
      <c r="B141" t="s">
        <v>393</v>
      </c>
      <c r="C141" t="s">
        <v>257</v>
      </c>
      <c r="AC141" s="46">
        <v>34.24790351945822</v>
      </c>
      <c r="AW141" s="46">
        <v>17.669539665846163</v>
      </c>
    </row>
    <row r="142" spans="1:49">
      <c r="A142" s="45" t="s">
        <v>282</v>
      </c>
      <c r="B142" t="s">
        <v>393</v>
      </c>
      <c r="C142" t="s">
        <v>257</v>
      </c>
      <c r="AC142" s="46">
        <v>73.863305486275792</v>
      </c>
      <c r="AW142" s="46">
        <v>74.092999648718589</v>
      </c>
    </row>
    <row r="143" spans="1:49">
      <c r="A143" s="45" t="s">
        <v>283</v>
      </c>
      <c r="B143" t="s">
        <v>393</v>
      </c>
      <c r="C143" t="s">
        <v>257</v>
      </c>
      <c r="AC143" s="46">
        <v>0</v>
      </c>
      <c r="AW143" s="46">
        <v>0</v>
      </c>
    </row>
    <row r="144" spans="1:49">
      <c r="A144" s="45" t="s">
        <v>284</v>
      </c>
      <c r="B144" t="s">
        <v>393</v>
      </c>
      <c r="C144" t="s">
        <v>257</v>
      </c>
      <c r="AC144" s="46">
        <v>1.0885819519284753E-11</v>
      </c>
      <c r="AW144" s="46">
        <v>0.26257181834141613</v>
      </c>
    </row>
    <row r="145" spans="1:49">
      <c r="A145" s="45" t="s">
        <v>285</v>
      </c>
      <c r="B145" t="s">
        <v>393</v>
      </c>
      <c r="C145" t="s">
        <v>257</v>
      </c>
      <c r="AC145" s="46">
        <v>18.457363277494025</v>
      </c>
      <c r="AW145" s="46">
        <v>23.274214020518738</v>
      </c>
    </row>
    <row r="146" spans="1:49">
      <c r="A146" s="45" t="s">
        <v>286</v>
      </c>
      <c r="B146" t="s">
        <v>393</v>
      </c>
      <c r="C146" t="s">
        <v>257</v>
      </c>
      <c r="AC146" s="46">
        <v>26.300693756012247</v>
      </c>
      <c r="AW146" s="46">
        <v>27.448186894074215</v>
      </c>
    </row>
    <row r="147" spans="1:49">
      <c r="A147" s="45" t="s">
        <v>287</v>
      </c>
      <c r="B147" t="s">
        <v>393</v>
      </c>
      <c r="C147" t="s">
        <v>257</v>
      </c>
      <c r="AC147" s="46">
        <v>0.24242324545977567</v>
      </c>
      <c r="AW147" s="46">
        <v>0.61391781319267125</v>
      </c>
    </row>
    <row r="148" spans="1:49">
      <c r="A148" s="45" t="s">
        <v>288</v>
      </c>
      <c r="B148" t="s">
        <v>393</v>
      </c>
      <c r="C148" t="s">
        <v>257</v>
      </c>
      <c r="AC148" s="46">
        <v>86.226295348967767</v>
      </c>
      <c r="AW148" s="46">
        <v>94.674527516942518</v>
      </c>
    </row>
    <row r="149" spans="1:49">
      <c r="A149" s="48"/>
    </row>
    <row r="150" spans="1:49" s="44" customFormat="1">
      <c r="A150" s="44" t="s">
        <v>394</v>
      </c>
    </row>
    <row r="151" spans="1:49">
      <c r="B151" t="s">
        <v>31</v>
      </c>
      <c r="C151" t="s">
        <v>32</v>
      </c>
      <c r="D151">
        <v>2005</v>
      </c>
      <c r="I151">
        <v>2010</v>
      </c>
      <c r="N151">
        <v>2015</v>
      </c>
      <c r="S151">
        <v>2020</v>
      </c>
      <c r="X151">
        <v>2025</v>
      </c>
      <c r="AC151">
        <v>2030</v>
      </c>
      <c r="AH151">
        <v>2035</v>
      </c>
      <c r="AM151">
        <v>2040</v>
      </c>
      <c r="AR151">
        <v>2045</v>
      </c>
      <c r="AW151">
        <v>2050</v>
      </c>
    </row>
    <row r="152" spans="1:49">
      <c r="A152" s="34" t="s">
        <v>37</v>
      </c>
      <c r="B152" t="s">
        <v>393</v>
      </c>
      <c r="C152" t="s">
        <v>257</v>
      </c>
      <c r="AC152" s="47">
        <f>SUM(AC153:AC161)</f>
        <v>-11.881408729816004</v>
      </c>
      <c r="AW152" s="47">
        <f>SUM(AW153:AW161)</f>
        <v>-23.655766844196037</v>
      </c>
    </row>
    <row r="153" spans="1:49">
      <c r="A153" s="45" t="s">
        <v>280</v>
      </c>
      <c r="B153" t="s">
        <v>393</v>
      </c>
      <c r="C153" t="s">
        <v>257</v>
      </c>
      <c r="AC153" s="46">
        <v>-0.71975987471476266</v>
      </c>
      <c r="AW153" s="46">
        <v>-3.8134268788333991</v>
      </c>
    </row>
    <row r="154" spans="1:49">
      <c r="A154" s="45" t="s">
        <v>281</v>
      </c>
      <c r="B154" t="s">
        <v>393</v>
      </c>
      <c r="C154" t="s">
        <v>257</v>
      </c>
      <c r="AC154" s="46">
        <v>-3.7115572618357824</v>
      </c>
      <c r="AW154" s="46">
        <v>-12.093551245482445</v>
      </c>
    </row>
    <row r="155" spans="1:49">
      <c r="A155" s="45" t="s">
        <v>282</v>
      </c>
      <c r="B155" t="s">
        <v>393</v>
      </c>
      <c r="C155" t="s">
        <v>257</v>
      </c>
      <c r="AC155" s="46">
        <v>-5.7192856177662321</v>
      </c>
      <c r="AW155" s="46">
        <v>-68.718860793593592</v>
      </c>
    </row>
    <row r="156" spans="1:49">
      <c r="A156" s="45" t="s">
        <v>283</v>
      </c>
      <c r="B156" t="s">
        <v>393</v>
      </c>
      <c r="C156" t="s">
        <v>257</v>
      </c>
      <c r="AC156" s="46">
        <v>0</v>
      </c>
      <c r="AW156" s="46">
        <v>19.587624656403364</v>
      </c>
    </row>
    <row r="157" spans="1:49">
      <c r="A157" s="45" t="s">
        <v>284</v>
      </c>
      <c r="B157" t="s">
        <v>393</v>
      </c>
      <c r="C157" t="s">
        <v>257</v>
      </c>
      <c r="AC157" s="46">
        <v>-1.0885819505278286E-11</v>
      </c>
      <c r="AW157" s="46">
        <v>16.679994625533048</v>
      </c>
    </row>
    <row r="158" spans="1:49">
      <c r="A158" s="45" t="s">
        <v>285</v>
      </c>
      <c r="B158" t="s">
        <v>393</v>
      </c>
      <c r="C158" t="s">
        <v>257</v>
      </c>
      <c r="AC158" s="46">
        <v>-1.074997599808647</v>
      </c>
      <c r="AW158" s="46">
        <v>4.5506454448605673</v>
      </c>
    </row>
    <row r="159" spans="1:49">
      <c r="A159" s="45" t="s">
        <v>286</v>
      </c>
      <c r="B159" t="s">
        <v>393</v>
      </c>
      <c r="C159" t="s">
        <v>257</v>
      </c>
      <c r="AC159" s="46">
        <v>0.55993204918610573</v>
      </c>
      <c r="AW159" s="46">
        <v>3.9631565643558311</v>
      </c>
    </row>
    <row r="160" spans="1:49">
      <c r="A160" s="45" t="s">
        <v>287</v>
      </c>
      <c r="B160" t="s">
        <v>393</v>
      </c>
      <c r="C160" t="s">
        <v>257</v>
      </c>
      <c r="AC160" s="46">
        <v>-1.9735227733008287E-2</v>
      </c>
      <c r="AW160" s="46">
        <v>0.14939001016742282</v>
      </c>
    </row>
    <row r="161" spans="1:49">
      <c r="A161" s="45" t="s">
        <v>288</v>
      </c>
      <c r="B161" t="s">
        <v>393</v>
      </c>
      <c r="C161" t="s">
        <v>257</v>
      </c>
      <c r="AC161" s="46">
        <v>-1.1960051971327914</v>
      </c>
      <c r="AW161" s="46">
        <v>16.039260772393163</v>
      </c>
    </row>
    <row r="163" spans="1:49" s="44" customFormat="1">
      <c r="A163" s="44" t="s">
        <v>395</v>
      </c>
    </row>
    <row r="164" spans="1:49">
      <c r="B164" t="s">
        <v>31</v>
      </c>
      <c r="C164" t="s">
        <v>32</v>
      </c>
      <c r="D164">
        <v>2005</v>
      </c>
      <c r="I164">
        <v>2010</v>
      </c>
      <c r="N164">
        <v>2015</v>
      </c>
      <c r="S164">
        <v>2020</v>
      </c>
      <c r="X164">
        <v>2025</v>
      </c>
      <c r="AC164">
        <v>2030</v>
      </c>
      <c r="AH164">
        <v>2035</v>
      </c>
      <c r="AM164">
        <v>2040</v>
      </c>
      <c r="AR164">
        <v>2045</v>
      </c>
      <c r="AW164">
        <v>2050</v>
      </c>
    </row>
    <row r="165" spans="1:49">
      <c r="A165" s="34" t="s">
        <v>37</v>
      </c>
      <c r="B165" t="s">
        <v>60</v>
      </c>
      <c r="C165" t="s">
        <v>257</v>
      </c>
      <c r="AC165" s="47">
        <f>AC139+AC152</f>
        <v>237.4171689683003</v>
      </c>
      <c r="AW165" s="47">
        <f>AW139+AW152</f>
        <v>218.7342315463078</v>
      </c>
    </row>
    <row r="166" spans="1:49">
      <c r="A166" t="s">
        <v>396</v>
      </c>
      <c r="B166" t="s">
        <v>60</v>
      </c>
      <c r="C166" t="s">
        <v>257</v>
      </c>
      <c r="AC166" s="47">
        <f>SUM(AC167:AC169)</f>
        <v>107.92119931585484</v>
      </c>
      <c r="AW166" s="47">
        <f>SUM(AW167:AW169)</f>
        <v>11.49074140952483</v>
      </c>
    </row>
    <row r="167" spans="1:49" outlineLevel="1">
      <c r="A167" s="45" t="s">
        <v>280</v>
      </c>
      <c r="B167" t="s">
        <v>60</v>
      </c>
      <c r="C167" t="s">
        <v>257</v>
      </c>
      <c r="AC167" s="47">
        <f t="shared" ref="AC167:AC169" si="14">AC140+AC153</f>
        <v>9.240833189722844</v>
      </c>
      <c r="AW167" s="47">
        <f t="shared" ref="AW167:AW169" si="15">AW140+AW153</f>
        <v>0.54061413403611569</v>
      </c>
    </row>
    <row r="168" spans="1:49" outlineLevel="1">
      <c r="A168" s="45" t="s">
        <v>281</v>
      </c>
      <c r="B168" t="s">
        <v>60</v>
      </c>
      <c r="C168" t="s">
        <v>257</v>
      </c>
      <c r="AC168" s="47">
        <f>AC141+AC154</f>
        <v>30.536346257622437</v>
      </c>
      <c r="AW168" s="47">
        <f t="shared" si="15"/>
        <v>5.5759884203637178</v>
      </c>
    </row>
    <row r="169" spans="1:49" outlineLevel="1">
      <c r="A169" s="45" t="s">
        <v>282</v>
      </c>
      <c r="B169" t="s">
        <v>60</v>
      </c>
      <c r="C169" t="s">
        <v>257</v>
      </c>
      <c r="AC169" s="47">
        <f t="shared" si="14"/>
        <v>68.14401986850956</v>
      </c>
      <c r="AW169" s="47">
        <f t="shared" si="15"/>
        <v>5.3741388551249969</v>
      </c>
    </row>
    <row r="170" spans="1:49">
      <c r="A170" s="45" t="s">
        <v>397</v>
      </c>
      <c r="B170" t="s">
        <v>60</v>
      </c>
      <c r="C170" t="s">
        <v>257</v>
      </c>
      <c r="AC170" s="47">
        <f>AC171+AC172</f>
        <v>1.4006466751014288E-20</v>
      </c>
      <c r="AW170" s="47">
        <f>AW171+AW172</f>
        <v>36.530191100277833</v>
      </c>
    </row>
    <row r="171" spans="1:49" outlineLevel="1">
      <c r="A171" s="45" t="s">
        <v>283</v>
      </c>
      <c r="B171" t="s">
        <v>60</v>
      </c>
      <c r="C171" t="s">
        <v>257</v>
      </c>
      <c r="AC171" s="47">
        <f>AC143+AC156</f>
        <v>0</v>
      </c>
      <c r="AW171" s="47">
        <f>AW143+AW156</f>
        <v>19.587624656403364</v>
      </c>
    </row>
    <row r="172" spans="1:49" outlineLevel="1">
      <c r="A172" s="45" t="s">
        <v>284</v>
      </c>
      <c r="B172" t="s">
        <v>60</v>
      </c>
      <c r="C172" t="s">
        <v>257</v>
      </c>
      <c r="AC172" s="47">
        <f>AC144+AC157</f>
        <v>1.4006466751014288E-20</v>
      </c>
      <c r="AW172" s="47">
        <f>AW144+AW157</f>
        <v>16.942566443874465</v>
      </c>
    </row>
    <row r="173" spans="1:49">
      <c r="A173" s="45" t="s">
        <v>285</v>
      </c>
      <c r="B173" t="s">
        <v>60</v>
      </c>
      <c r="C173" t="s">
        <v>257</v>
      </c>
      <c r="AC173" s="47">
        <f>AC145+AC158</f>
        <v>17.382365677685378</v>
      </c>
      <c r="AW173" s="47">
        <f>AW145+AW158</f>
        <v>27.824859465379305</v>
      </c>
    </row>
    <row r="174" spans="1:49">
      <c r="A174" s="45" t="s">
        <v>318</v>
      </c>
      <c r="B174" t="s">
        <v>60</v>
      </c>
      <c r="C174" t="s">
        <v>257</v>
      </c>
      <c r="AC174" s="47">
        <f>AC175+AC176</f>
        <v>27.08331382292512</v>
      </c>
      <c r="AW174" s="47">
        <f>AW175+AW176</f>
        <v>32.17465128179014</v>
      </c>
    </row>
    <row r="175" spans="1:49" outlineLevel="1">
      <c r="A175" s="45" t="s">
        <v>286</v>
      </c>
      <c r="B175" t="s">
        <v>60</v>
      </c>
      <c r="C175" t="s">
        <v>257</v>
      </c>
      <c r="AC175" s="47">
        <f>AC146+AC159</f>
        <v>26.860625805198353</v>
      </c>
      <c r="AW175" s="47">
        <f>AW146+AW159</f>
        <v>31.411343458430046</v>
      </c>
    </row>
    <row r="176" spans="1:49" outlineLevel="1">
      <c r="A176" s="45" t="s">
        <v>287</v>
      </c>
      <c r="B176" t="s">
        <v>60</v>
      </c>
      <c r="C176" t="s">
        <v>257</v>
      </c>
      <c r="AC176" s="47">
        <f>AC147+AC160</f>
        <v>0.22268801772676738</v>
      </c>
      <c r="AW176" s="47">
        <f>AW147+AW160</f>
        <v>0.76330782336009406</v>
      </c>
    </row>
    <row r="177" spans="1:49">
      <c r="A177" s="45" t="s">
        <v>288</v>
      </c>
      <c r="B177" t="s">
        <v>60</v>
      </c>
      <c r="C177" t="s">
        <v>257</v>
      </c>
      <c r="AC177" s="47">
        <f>AC148+AC161</f>
        <v>85.030290151834976</v>
      </c>
      <c r="AW177" s="47">
        <f>AW148+AW161</f>
        <v>110.71378828933568</v>
      </c>
    </row>
  </sheetData>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22D8E-185B-417C-B042-74F5F9AE9BEA}">
  <sheetPr>
    <tabColor rgb="FFEFE973"/>
  </sheetPr>
  <dimension ref="A1:AW109"/>
  <sheetViews>
    <sheetView showGridLines="0" topLeftCell="C52" zoomScale="93" zoomScaleNormal="93" workbookViewId="0">
      <selection activeCell="P5" sqref="P5"/>
    </sheetView>
  </sheetViews>
  <sheetFormatPr defaultRowHeight="14.4"/>
  <cols>
    <col min="1" max="1" width="22.5546875" bestFit="1" customWidth="1"/>
    <col min="3" max="3" width="14.33203125" customWidth="1"/>
    <col min="43" max="43" width="34.33203125" bestFit="1" customWidth="1"/>
    <col min="44" max="44" width="16.33203125" bestFit="1" customWidth="1"/>
    <col min="45" max="45" width="4" bestFit="1" customWidth="1"/>
    <col min="46" max="46" width="4.33203125" bestFit="1" customWidth="1"/>
    <col min="47" max="47" width="13.5546875" bestFit="1" customWidth="1"/>
    <col min="48" max="48" width="5.88671875" bestFit="1" customWidth="1"/>
    <col min="49" max="49" width="11.33203125" bestFit="1" customWidth="1"/>
  </cols>
  <sheetData>
    <row r="1" spans="1:49" s="4" customFormat="1">
      <c r="A1" s="4" t="s">
        <v>210</v>
      </c>
    </row>
    <row r="2" spans="1:49">
      <c r="A2" s="49" t="s">
        <v>181</v>
      </c>
      <c r="B2" s="49" t="s">
        <v>398</v>
      </c>
      <c r="C2" s="102" t="s">
        <v>399</v>
      </c>
      <c r="D2" s="49" t="s">
        <v>400</v>
      </c>
      <c r="E2" s="49" t="s">
        <v>187</v>
      </c>
      <c r="F2" s="49" t="s">
        <v>401</v>
      </c>
      <c r="H2" s="139" t="s">
        <v>402</v>
      </c>
      <c r="I2" s="138"/>
      <c r="J2" s="138"/>
      <c r="K2" s="138"/>
      <c r="L2" s="138"/>
      <c r="M2" s="138"/>
      <c r="N2" s="138"/>
      <c r="O2" s="138"/>
      <c r="P2" s="138"/>
    </row>
    <row r="3" spans="1:49">
      <c r="A3" s="36" t="s">
        <v>403</v>
      </c>
      <c r="B3">
        <v>2</v>
      </c>
      <c r="C3">
        <v>2</v>
      </c>
      <c r="E3">
        <v>2</v>
      </c>
      <c r="H3" s="138"/>
      <c r="I3" s="138"/>
      <c r="J3" s="138"/>
      <c r="K3" s="138"/>
      <c r="L3" s="138"/>
      <c r="M3" s="138"/>
      <c r="N3" s="138"/>
      <c r="O3" s="138"/>
      <c r="P3" s="138"/>
    </row>
    <row r="4" spans="1:49">
      <c r="A4" s="36" t="s">
        <v>404</v>
      </c>
      <c r="B4">
        <v>3</v>
      </c>
      <c r="C4">
        <v>1</v>
      </c>
      <c r="E4">
        <v>3</v>
      </c>
      <c r="F4">
        <v>1</v>
      </c>
      <c r="H4" s="138"/>
      <c r="I4" s="138"/>
      <c r="J4" s="138"/>
      <c r="K4" s="138"/>
      <c r="L4" s="138"/>
      <c r="M4" s="138"/>
      <c r="N4" s="138"/>
      <c r="O4" s="138"/>
      <c r="P4" s="138"/>
    </row>
    <row r="5" spans="1:49">
      <c r="A5" s="36" t="s">
        <v>405</v>
      </c>
      <c r="B5">
        <v>3</v>
      </c>
      <c r="C5">
        <v>2</v>
      </c>
      <c r="H5" s="138"/>
      <c r="I5" s="138"/>
      <c r="J5" s="138"/>
      <c r="K5" s="138"/>
      <c r="L5" s="138"/>
      <c r="M5" s="138"/>
      <c r="N5" s="138"/>
      <c r="O5" s="138"/>
      <c r="P5" s="138"/>
    </row>
    <row r="6" spans="1:49">
      <c r="A6" s="36" t="s">
        <v>406</v>
      </c>
      <c r="B6">
        <v>15</v>
      </c>
      <c r="C6">
        <v>7</v>
      </c>
      <c r="D6">
        <v>5</v>
      </c>
      <c r="E6">
        <v>1</v>
      </c>
      <c r="F6">
        <v>1</v>
      </c>
      <c r="H6" s="138"/>
      <c r="I6" s="138"/>
      <c r="J6" s="138"/>
      <c r="K6" s="138"/>
      <c r="L6" s="138"/>
      <c r="M6" s="138"/>
      <c r="N6" s="138"/>
      <c r="O6" s="138"/>
      <c r="P6" s="138"/>
    </row>
    <row r="7" spans="1:49">
      <c r="H7" s="138"/>
      <c r="I7" s="138"/>
      <c r="J7" s="138"/>
      <c r="K7" s="138"/>
      <c r="L7" s="138"/>
      <c r="M7" s="138"/>
      <c r="N7" s="138"/>
      <c r="O7" s="138"/>
      <c r="P7" s="138"/>
    </row>
    <row r="8" spans="1:49">
      <c r="H8" s="138"/>
      <c r="I8" s="138"/>
      <c r="J8" s="138"/>
      <c r="K8" s="138"/>
      <c r="L8" s="138"/>
      <c r="M8" s="138"/>
      <c r="N8" s="138"/>
      <c r="O8" s="138"/>
      <c r="P8" s="138"/>
    </row>
    <row r="9" spans="1:49">
      <c r="H9" s="138"/>
      <c r="I9" s="138"/>
      <c r="J9" s="138"/>
      <c r="K9" s="138"/>
      <c r="L9" s="138"/>
      <c r="M9" s="138"/>
      <c r="N9" s="138"/>
      <c r="O9" s="138"/>
      <c r="P9" s="138"/>
    </row>
    <row r="10" spans="1:49" ht="60" customHeight="1">
      <c r="H10" s="138"/>
      <c r="I10" s="138"/>
      <c r="J10" s="138"/>
      <c r="K10" s="138"/>
      <c r="L10" s="138"/>
      <c r="M10" s="138"/>
      <c r="N10" s="138"/>
      <c r="O10" s="138"/>
      <c r="P10" s="138"/>
    </row>
    <row r="12" spans="1:49" hidden="1"/>
    <row r="13" spans="1:49" s="58" customFormat="1" ht="15" hidden="1" thickBot="1">
      <c r="A13" s="58" t="s">
        <v>407</v>
      </c>
    </row>
    <row r="14" spans="1:49" ht="185.4" hidden="1" thickBot="1">
      <c r="A14" s="59" t="s">
        <v>408</v>
      </c>
      <c r="B14" s="61" t="s">
        <v>409</v>
      </c>
      <c r="C14" s="59" t="s">
        <v>410</v>
      </c>
      <c r="D14" s="59" t="s">
        <v>411</v>
      </c>
      <c r="E14" s="59" t="s">
        <v>412</v>
      </c>
      <c r="F14" s="59" t="s">
        <v>413</v>
      </c>
      <c r="G14" s="60" t="s">
        <v>414</v>
      </c>
      <c r="H14" s="50" t="s">
        <v>415</v>
      </c>
      <c r="I14" s="69" t="s">
        <v>416</v>
      </c>
      <c r="J14" s="59" t="s">
        <v>417</v>
      </c>
      <c r="K14" s="59" t="s">
        <v>418</v>
      </c>
      <c r="L14" s="59" t="s">
        <v>419</v>
      </c>
      <c r="M14" s="59" t="s">
        <v>420</v>
      </c>
      <c r="N14" s="66" t="s">
        <v>421</v>
      </c>
      <c r="O14" s="57" t="s">
        <v>422</v>
      </c>
      <c r="P14" s="69" t="s">
        <v>423</v>
      </c>
      <c r="Q14" s="56" t="s">
        <v>424</v>
      </c>
      <c r="R14" s="59" t="s">
        <v>425</v>
      </c>
      <c r="S14" s="59" t="s">
        <v>426</v>
      </c>
      <c r="T14" s="59" t="s">
        <v>427</v>
      </c>
      <c r="U14" s="59" t="s">
        <v>428</v>
      </c>
      <c r="V14" s="60" t="s">
        <v>429</v>
      </c>
      <c r="W14" s="55" t="s">
        <v>430</v>
      </c>
      <c r="X14" s="60" t="s">
        <v>431</v>
      </c>
      <c r="Y14" s="54" t="s">
        <v>432</v>
      </c>
      <c r="Z14" s="56" t="s">
        <v>433</v>
      </c>
      <c r="AA14" s="67" t="s">
        <v>434</v>
      </c>
      <c r="AB14" s="56" t="s">
        <v>435</v>
      </c>
      <c r="AC14" s="67" t="s">
        <v>436</v>
      </c>
      <c r="AD14" s="56" t="s">
        <v>437</v>
      </c>
      <c r="AE14" s="67" t="s">
        <v>438</v>
      </c>
      <c r="AF14" s="56" t="s">
        <v>439</v>
      </c>
      <c r="AG14" s="67" t="s">
        <v>440</v>
      </c>
      <c r="AH14" s="60" t="s">
        <v>441</v>
      </c>
      <c r="AI14" s="70" t="s">
        <v>442</v>
      </c>
      <c r="AJ14" s="60" t="s">
        <v>443</v>
      </c>
      <c r="AK14" s="70" t="s">
        <v>444</v>
      </c>
      <c r="AL14" s="60" t="s">
        <v>445</v>
      </c>
      <c r="AM14" s="57" t="s">
        <v>446</v>
      </c>
      <c r="AN14" s="73" t="s">
        <v>447</v>
      </c>
      <c r="AQ14" s="35" t="s">
        <v>448</v>
      </c>
      <c r="AR14" s="35" t="s">
        <v>449</v>
      </c>
    </row>
    <row r="15" spans="1:49">
      <c r="A15" s="63" t="s">
        <v>450</v>
      </c>
      <c r="B15" s="63" t="s">
        <v>451</v>
      </c>
      <c r="C15" s="63" t="s">
        <v>451</v>
      </c>
      <c r="D15" s="62" t="s">
        <v>452</v>
      </c>
      <c r="E15" s="63" t="s">
        <v>453</v>
      </c>
      <c r="F15" s="63" t="s">
        <v>454</v>
      </c>
      <c r="G15" s="68" t="s">
        <v>455</v>
      </c>
      <c r="H15" s="72">
        <v>79.260000000000005</v>
      </c>
      <c r="I15" s="65" t="s">
        <v>456</v>
      </c>
      <c r="J15" s="63" t="s">
        <v>457</v>
      </c>
      <c r="K15" s="53">
        <v>51.169929000000003</v>
      </c>
      <c r="L15" s="53">
        <v>3.804462</v>
      </c>
      <c r="M15" s="63" t="s">
        <v>458</v>
      </c>
      <c r="N15" s="64" t="s">
        <v>459</v>
      </c>
      <c r="O15" s="52" t="s">
        <v>460</v>
      </c>
      <c r="P15" s="65" t="s">
        <v>406</v>
      </c>
      <c r="Q15" s="51" t="s">
        <v>460</v>
      </c>
      <c r="R15" s="63" t="s">
        <v>461</v>
      </c>
      <c r="S15" s="63" t="s">
        <v>398</v>
      </c>
      <c r="T15" s="63" t="s">
        <v>462</v>
      </c>
      <c r="U15" s="63" t="s">
        <v>461</v>
      </c>
      <c r="V15" s="68" t="s">
        <v>460</v>
      </c>
      <c r="W15" s="74">
        <v>2030</v>
      </c>
      <c r="X15" s="75" t="s">
        <v>460</v>
      </c>
      <c r="Y15" s="76">
        <v>1237</v>
      </c>
      <c r="Z15" s="51" t="s">
        <v>460</v>
      </c>
      <c r="AA15" s="77" t="s">
        <v>463</v>
      </c>
      <c r="AB15" s="51" t="s">
        <v>460</v>
      </c>
      <c r="AC15" s="77">
        <v>2.5</v>
      </c>
      <c r="AD15" s="51" t="s">
        <v>460</v>
      </c>
      <c r="AE15" s="77" t="s">
        <v>451</v>
      </c>
      <c r="AF15" s="51" t="s">
        <v>460</v>
      </c>
      <c r="AG15" s="77" t="s">
        <v>451</v>
      </c>
      <c r="AH15" s="68" t="s">
        <v>460</v>
      </c>
      <c r="AI15" s="65" t="s">
        <v>451</v>
      </c>
      <c r="AJ15" s="68" t="s">
        <v>460</v>
      </c>
      <c r="AK15" s="65" t="s">
        <v>464</v>
      </c>
      <c r="AL15" s="78" t="s">
        <v>460</v>
      </c>
      <c r="AM15" s="79">
        <v>44851</v>
      </c>
      <c r="AN15" s="80">
        <v>44467</v>
      </c>
      <c r="AQ15" s="35" t="s">
        <v>181</v>
      </c>
      <c r="AR15" t="s">
        <v>401</v>
      </c>
      <c r="AS15" t="s">
        <v>398</v>
      </c>
      <c r="AT15" t="s">
        <v>400</v>
      </c>
      <c r="AU15" t="s">
        <v>399</v>
      </c>
      <c r="AV15" t="s">
        <v>187</v>
      </c>
      <c r="AW15" t="s">
        <v>190</v>
      </c>
    </row>
    <row r="16" spans="1:49">
      <c r="A16" s="63" t="s">
        <v>450</v>
      </c>
      <c r="B16" s="63" t="s">
        <v>465</v>
      </c>
      <c r="C16" s="81" t="s">
        <v>466</v>
      </c>
      <c r="D16" s="62" t="s">
        <v>467</v>
      </c>
      <c r="E16" s="63" t="s">
        <v>453</v>
      </c>
      <c r="F16" s="63" t="s">
        <v>454</v>
      </c>
      <c r="G16" s="68" t="s">
        <v>455</v>
      </c>
      <c r="H16" s="72">
        <v>79.260000000000005</v>
      </c>
      <c r="I16" s="65" t="s">
        <v>468</v>
      </c>
      <c r="J16" s="63" t="s">
        <v>469</v>
      </c>
      <c r="K16" s="53">
        <v>51.041274000000001</v>
      </c>
      <c r="L16" s="53">
        <v>2.292948</v>
      </c>
      <c r="M16" s="63" t="s">
        <v>470</v>
      </c>
      <c r="N16" s="64" t="s">
        <v>459</v>
      </c>
      <c r="O16" s="52" t="s">
        <v>471</v>
      </c>
      <c r="P16" s="82" t="s">
        <v>404</v>
      </c>
      <c r="Q16" s="51" t="s">
        <v>472</v>
      </c>
      <c r="R16" s="63" t="s">
        <v>473</v>
      </c>
      <c r="S16" s="63" t="s">
        <v>401</v>
      </c>
      <c r="T16" s="63" t="s">
        <v>451</v>
      </c>
      <c r="U16" s="63" t="s">
        <v>473</v>
      </c>
      <c r="V16" s="68" t="s">
        <v>474</v>
      </c>
      <c r="W16" s="74">
        <v>2021</v>
      </c>
      <c r="X16" s="75" t="s">
        <v>474</v>
      </c>
      <c r="Y16" s="83">
        <v>22.8</v>
      </c>
      <c r="Z16" s="51" t="s">
        <v>466</v>
      </c>
      <c r="AA16" s="84" t="s">
        <v>451</v>
      </c>
      <c r="AB16" s="51" t="s">
        <v>474</v>
      </c>
      <c r="AC16" s="84" t="s">
        <v>451</v>
      </c>
      <c r="AD16" s="51" t="s">
        <v>474</v>
      </c>
      <c r="AE16" s="84" t="s">
        <v>451</v>
      </c>
      <c r="AF16" s="51" t="s">
        <v>474</v>
      </c>
      <c r="AG16" s="84">
        <v>5.0000000000000001E-3</v>
      </c>
      <c r="AH16" s="68" t="s">
        <v>474</v>
      </c>
      <c r="AI16" s="65" t="s">
        <v>475</v>
      </c>
      <c r="AJ16" s="68" t="s">
        <v>476</v>
      </c>
      <c r="AK16" s="65" t="s">
        <v>477</v>
      </c>
      <c r="AL16" s="78" t="s">
        <v>478</v>
      </c>
      <c r="AM16" s="79">
        <v>44851</v>
      </c>
      <c r="AN16" s="80">
        <v>43530</v>
      </c>
      <c r="AQ16" s="36" t="s">
        <v>405</v>
      </c>
      <c r="AS16">
        <v>3</v>
      </c>
      <c r="AU16">
        <v>2</v>
      </c>
      <c r="AW16">
        <v>5</v>
      </c>
    </row>
    <row r="17" spans="1:49">
      <c r="A17" s="63" t="s">
        <v>450</v>
      </c>
      <c r="B17" s="63" t="s">
        <v>451</v>
      </c>
      <c r="C17" s="63" t="s">
        <v>451</v>
      </c>
      <c r="D17" s="62" t="s">
        <v>467</v>
      </c>
      <c r="E17" s="63" t="s">
        <v>453</v>
      </c>
      <c r="F17" s="63" t="s">
        <v>454</v>
      </c>
      <c r="G17" s="68" t="s">
        <v>455</v>
      </c>
      <c r="H17" s="72">
        <v>79.260000000000005</v>
      </c>
      <c r="I17" s="65" t="s">
        <v>468</v>
      </c>
      <c r="J17" s="63" t="s">
        <v>469</v>
      </c>
      <c r="K17" s="53">
        <v>51.041274000000001</v>
      </c>
      <c r="L17" s="53">
        <v>2.292948</v>
      </c>
      <c r="M17" s="63" t="s">
        <v>470</v>
      </c>
      <c r="N17" s="64" t="s">
        <v>459</v>
      </c>
      <c r="O17" s="52" t="s">
        <v>471</v>
      </c>
      <c r="P17" s="82" t="s">
        <v>406</v>
      </c>
      <c r="Q17" s="51" t="s">
        <v>479</v>
      </c>
      <c r="R17" s="63" t="s">
        <v>480</v>
      </c>
      <c r="S17" s="63" t="s">
        <v>398</v>
      </c>
      <c r="T17" s="63" t="s">
        <v>481</v>
      </c>
      <c r="U17" s="63" t="s">
        <v>482</v>
      </c>
      <c r="V17" s="68" t="s">
        <v>479</v>
      </c>
      <c r="W17" s="74">
        <v>2027</v>
      </c>
      <c r="X17" s="75" t="s">
        <v>483</v>
      </c>
      <c r="Y17" s="83" t="s">
        <v>463</v>
      </c>
      <c r="Z17" s="51" t="s">
        <v>479</v>
      </c>
      <c r="AA17" s="84" t="s">
        <v>463</v>
      </c>
      <c r="AB17" s="51" t="s">
        <v>479</v>
      </c>
      <c r="AC17" s="84">
        <v>2.5</v>
      </c>
      <c r="AD17" s="51" t="s">
        <v>483</v>
      </c>
      <c r="AE17" s="84" t="s">
        <v>451</v>
      </c>
      <c r="AF17" s="51" t="s">
        <v>484</v>
      </c>
      <c r="AG17" s="84">
        <v>4.3800000000000002E-3</v>
      </c>
      <c r="AH17" s="68" t="s">
        <v>485</v>
      </c>
      <c r="AI17" s="65" t="s">
        <v>486</v>
      </c>
      <c r="AJ17" s="68" t="s">
        <v>479</v>
      </c>
      <c r="AK17" s="65" t="s">
        <v>487</v>
      </c>
      <c r="AL17" s="85" t="s">
        <v>488</v>
      </c>
      <c r="AM17" s="79">
        <v>44851</v>
      </c>
      <c r="AN17" s="80">
        <v>44272</v>
      </c>
      <c r="AQ17" s="36" t="s">
        <v>406</v>
      </c>
      <c r="AR17">
        <v>1</v>
      </c>
      <c r="AS17">
        <v>15</v>
      </c>
      <c r="AT17">
        <v>5</v>
      </c>
      <c r="AU17">
        <v>7</v>
      </c>
      <c r="AV17">
        <v>1</v>
      </c>
      <c r="AW17">
        <v>29</v>
      </c>
    </row>
    <row r="18" spans="1:49">
      <c r="A18" s="63" t="s">
        <v>450</v>
      </c>
      <c r="B18" s="63" t="s">
        <v>489</v>
      </c>
      <c r="C18" s="81" t="s">
        <v>490</v>
      </c>
      <c r="D18" s="62" t="s">
        <v>491</v>
      </c>
      <c r="E18" s="63" t="s">
        <v>453</v>
      </c>
      <c r="F18" s="63" t="s">
        <v>454</v>
      </c>
      <c r="G18" s="68" t="s">
        <v>455</v>
      </c>
      <c r="H18" s="72">
        <v>79.260000000000005</v>
      </c>
      <c r="I18" s="65" t="s">
        <v>468</v>
      </c>
      <c r="J18" s="63" t="s">
        <v>492</v>
      </c>
      <c r="K18" s="53">
        <v>49.20014802</v>
      </c>
      <c r="L18" s="53">
        <v>6.1521337579999997</v>
      </c>
      <c r="M18" s="63" t="s">
        <v>470</v>
      </c>
      <c r="N18" s="64" t="s">
        <v>459</v>
      </c>
      <c r="O18" s="52" t="s">
        <v>493</v>
      </c>
      <c r="P18" s="82" t="s">
        <v>404</v>
      </c>
      <c r="Q18" s="51" t="s">
        <v>490</v>
      </c>
      <c r="R18" s="63" t="s">
        <v>494</v>
      </c>
      <c r="S18" s="63" t="s">
        <v>187</v>
      </c>
      <c r="T18" s="63" t="s">
        <v>451</v>
      </c>
      <c r="U18" s="63" t="s">
        <v>495</v>
      </c>
      <c r="V18" s="68" t="s">
        <v>490</v>
      </c>
      <c r="W18" s="74">
        <v>2022</v>
      </c>
      <c r="X18" s="75" t="s">
        <v>490</v>
      </c>
      <c r="Y18" s="83">
        <v>9</v>
      </c>
      <c r="Z18" s="51" t="s">
        <v>496</v>
      </c>
      <c r="AA18" s="84">
        <v>1.825E-5</v>
      </c>
      <c r="AB18" s="51" t="s">
        <v>497</v>
      </c>
      <c r="AC18" s="84" t="s">
        <v>451</v>
      </c>
      <c r="AD18" s="51" t="s">
        <v>496</v>
      </c>
      <c r="AE18" s="84" t="s">
        <v>451</v>
      </c>
      <c r="AF18" s="51" t="s">
        <v>496</v>
      </c>
      <c r="AG18" s="84" t="s">
        <v>451</v>
      </c>
      <c r="AH18" s="68" t="s">
        <v>496</v>
      </c>
      <c r="AI18" s="65" t="s">
        <v>498</v>
      </c>
      <c r="AJ18" s="68" t="s">
        <v>490</v>
      </c>
      <c r="AK18" s="65" t="s">
        <v>499</v>
      </c>
      <c r="AL18" s="78" t="s">
        <v>500</v>
      </c>
      <c r="AM18" s="79">
        <v>44851</v>
      </c>
      <c r="AN18" s="80">
        <v>43009</v>
      </c>
      <c r="AQ18" s="36" t="s">
        <v>404</v>
      </c>
      <c r="AR18">
        <v>1</v>
      </c>
      <c r="AS18">
        <v>3</v>
      </c>
      <c r="AU18">
        <v>1</v>
      </c>
      <c r="AV18">
        <v>3</v>
      </c>
      <c r="AW18">
        <v>8</v>
      </c>
    </row>
    <row r="19" spans="1:49">
      <c r="A19" s="63" t="s">
        <v>450</v>
      </c>
      <c r="B19" s="63" t="s">
        <v>501</v>
      </c>
      <c r="C19" s="63" t="s">
        <v>451</v>
      </c>
      <c r="D19" s="62" t="s">
        <v>502</v>
      </c>
      <c r="E19" s="63" t="s">
        <v>453</v>
      </c>
      <c r="F19" s="63" t="s">
        <v>454</v>
      </c>
      <c r="G19" s="68" t="s">
        <v>455</v>
      </c>
      <c r="H19" s="72">
        <v>79.260000000000005</v>
      </c>
      <c r="I19" s="65" t="s">
        <v>503</v>
      </c>
      <c r="J19" s="63" t="s">
        <v>504</v>
      </c>
      <c r="K19" s="53">
        <v>53.133305</v>
      </c>
      <c r="L19" s="53">
        <v>8.6881930000000001</v>
      </c>
      <c r="M19" s="63" t="s">
        <v>470</v>
      </c>
      <c r="N19" s="64" t="s">
        <v>459</v>
      </c>
      <c r="O19" s="52" t="s">
        <v>505</v>
      </c>
      <c r="P19" s="65" t="s">
        <v>406</v>
      </c>
      <c r="Q19" s="51" t="s">
        <v>506</v>
      </c>
      <c r="R19" s="63" t="s">
        <v>507</v>
      </c>
      <c r="S19" s="63" t="s">
        <v>399</v>
      </c>
      <c r="T19" s="63" t="s">
        <v>462</v>
      </c>
      <c r="U19" s="63" t="s">
        <v>508</v>
      </c>
      <c r="V19" s="68" t="s">
        <v>506</v>
      </c>
      <c r="W19" s="74">
        <v>2024</v>
      </c>
      <c r="X19" s="75" t="s">
        <v>509</v>
      </c>
      <c r="Y19" s="76">
        <v>19</v>
      </c>
      <c r="Z19" s="51" t="s">
        <v>510</v>
      </c>
      <c r="AA19" s="77" t="s">
        <v>451</v>
      </c>
      <c r="AB19" s="51" t="s">
        <v>506</v>
      </c>
      <c r="AC19" s="86" t="s">
        <v>451</v>
      </c>
      <c r="AD19" s="51" t="s">
        <v>506</v>
      </c>
      <c r="AE19" s="77">
        <v>24</v>
      </c>
      <c r="AF19" s="51" t="s">
        <v>506</v>
      </c>
      <c r="AG19" s="77" t="s">
        <v>451</v>
      </c>
      <c r="AH19" s="68" t="s">
        <v>506</v>
      </c>
      <c r="AI19" s="65" t="s">
        <v>511</v>
      </c>
      <c r="AJ19" s="68" t="s">
        <v>506</v>
      </c>
      <c r="AK19" s="65" t="s">
        <v>512</v>
      </c>
      <c r="AL19" s="78" t="s">
        <v>513</v>
      </c>
      <c r="AM19" s="79">
        <v>44851</v>
      </c>
      <c r="AN19" s="80">
        <v>44025</v>
      </c>
      <c r="AQ19" s="36" t="s">
        <v>514</v>
      </c>
      <c r="AS19">
        <v>2</v>
      </c>
      <c r="AU19">
        <v>2</v>
      </c>
      <c r="AV19">
        <v>2</v>
      </c>
      <c r="AW19">
        <v>6</v>
      </c>
    </row>
    <row r="20" spans="1:49">
      <c r="A20" s="63" t="s">
        <v>450</v>
      </c>
      <c r="B20" s="63" t="s">
        <v>515</v>
      </c>
      <c r="C20" s="63" t="s">
        <v>451</v>
      </c>
      <c r="D20" s="62" t="s">
        <v>502</v>
      </c>
      <c r="E20" s="63" t="s">
        <v>453</v>
      </c>
      <c r="F20" s="63" t="s">
        <v>454</v>
      </c>
      <c r="G20" s="68" t="s">
        <v>455</v>
      </c>
      <c r="H20" s="72">
        <v>79.260000000000005</v>
      </c>
      <c r="I20" s="65" t="s">
        <v>503</v>
      </c>
      <c r="J20" s="63" t="s">
        <v>504</v>
      </c>
      <c r="K20" s="53">
        <v>53.133305</v>
      </c>
      <c r="L20" s="53">
        <v>8.6881930000000001</v>
      </c>
      <c r="M20" s="63" t="s">
        <v>470</v>
      </c>
      <c r="N20" s="64" t="s">
        <v>459</v>
      </c>
      <c r="O20" s="52" t="s">
        <v>505</v>
      </c>
      <c r="P20" s="82" t="s">
        <v>406</v>
      </c>
      <c r="Q20" s="51" t="s">
        <v>516</v>
      </c>
      <c r="R20" s="63" t="s">
        <v>517</v>
      </c>
      <c r="S20" s="63" t="s">
        <v>398</v>
      </c>
      <c r="T20" s="63" t="s">
        <v>462</v>
      </c>
      <c r="U20" s="63" t="s">
        <v>517</v>
      </c>
      <c r="V20" s="68" t="s">
        <v>516</v>
      </c>
      <c r="W20" s="74">
        <v>2026</v>
      </c>
      <c r="X20" s="75" t="s">
        <v>518</v>
      </c>
      <c r="Y20" s="83">
        <v>0.75</v>
      </c>
      <c r="Z20" s="51" t="s">
        <v>516</v>
      </c>
      <c r="AA20" s="84">
        <v>1.75</v>
      </c>
      <c r="AB20" s="51" t="s">
        <v>516</v>
      </c>
      <c r="AC20" s="84" t="s">
        <v>463</v>
      </c>
      <c r="AD20" s="51" t="s">
        <v>518</v>
      </c>
      <c r="AE20" s="84" t="s">
        <v>463</v>
      </c>
      <c r="AF20" s="87" t="s">
        <v>518</v>
      </c>
      <c r="AG20" s="84" t="s">
        <v>451</v>
      </c>
      <c r="AH20" s="68" t="s">
        <v>518</v>
      </c>
      <c r="AI20" s="65" t="s">
        <v>451</v>
      </c>
      <c r="AJ20" s="68" t="s">
        <v>518</v>
      </c>
      <c r="AK20" s="65" t="s">
        <v>519</v>
      </c>
      <c r="AL20" s="78" t="s">
        <v>518</v>
      </c>
      <c r="AM20" s="79">
        <v>44851</v>
      </c>
      <c r="AN20" s="80">
        <v>44260</v>
      </c>
      <c r="AQ20" s="36" t="s">
        <v>190</v>
      </c>
      <c r="AR20">
        <v>2</v>
      </c>
      <c r="AS20">
        <v>23</v>
      </c>
      <c r="AT20">
        <v>5</v>
      </c>
      <c r="AU20">
        <v>12</v>
      </c>
      <c r="AV20">
        <v>6</v>
      </c>
      <c r="AW20">
        <v>48</v>
      </c>
    </row>
    <row r="21" spans="1:49">
      <c r="A21" s="63" t="s">
        <v>450</v>
      </c>
      <c r="B21" s="63" t="s">
        <v>515</v>
      </c>
      <c r="C21" s="63" t="s">
        <v>451</v>
      </c>
      <c r="D21" s="62" t="s">
        <v>520</v>
      </c>
      <c r="E21" s="63" t="s">
        <v>453</v>
      </c>
      <c r="F21" s="63" t="s">
        <v>454</v>
      </c>
      <c r="G21" s="68" t="s">
        <v>455</v>
      </c>
      <c r="H21" s="72">
        <v>79.260000000000005</v>
      </c>
      <c r="I21" s="65" t="s">
        <v>503</v>
      </c>
      <c r="J21" s="63" t="s">
        <v>521</v>
      </c>
      <c r="K21" s="53">
        <v>52.168649000000002</v>
      </c>
      <c r="L21" s="53">
        <v>14.623473000000001</v>
      </c>
      <c r="M21" s="63" t="s">
        <v>470</v>
      </c>
      <c r="N21" s="64" t="s">
        <v>459</v>
      </c>
      <c r="O21" s="52" t="s">
        <v>522</v>
      </c>
      <c r="P21" s="82" t="s">
        <v>404</v>
      </c>
      <c r="Q21" s="51" t="s">
        <v>518</v>
      </c>
      <c r="R21" s="63" t="s">
        <v>480</v>
      </c>
      <c r="S21" s="63" t="s">
        <v>398</v>
      </c>
      <c r="T21" s="63" t="s">
        <v>462</v>
      </c>
      <c r="U21" s="63" t="s">
        <v>480</v>
      </c>
      <c r="V21" s="68" t="s">
        <v>523</v>
      </c>
      <c r="W21" s="74">
        <v>2026</v>
      </c>
      <c r="X21" s="75" t="s">
        <v>518</v>
      </c>
      <c r="Y21" s="83">
        <v>0.75</v>
      </c>
      <c r="Z21" s="51" t="s">
        <v>516</v>
      </c>
      <c r="AA21" s="84">
        <v>1.75</v>
      </c>
      <c r="AB21" s="51" t="s">
        <v>516</v>
      </c>
      <c r="AC21" s="84" t="s">
        <v>463</v>
      </c>
      <c r="AD21" s="51" t="s">
        <v>516</v>
      </c>
      <c r="AE21" s="84" t="s">
        <v>463</v>
      </c>
      <c r="AF21" s="51" t="s">
        <v>516</v>
      </c>
      <c r="AG21" s="84" t="s">
        <v>451</v>
      </c>
      <c r="AH21" s="68" t="s">
        <v>516</v>
      </c>
      <c r="AI21" s="65" t="s">
        <v>451</v>
      </c>
      <c r="AJ21" s="68" t="s">
        <v>516</v>
      </c>
      <c r="AK21" s="65" t="s">
        <v>524</v>
      </c>
      <c r="AL21" s="78" t="s">
        <v>516</v>
      </c>
      <c r="AM21" s="79">
        <v>44851</v>
      </c>
      <c r="AN21" s="80">
        <v>44260</v>
      </c>
    </row>
    <row r="22" spans="1:49">
      <c r="A22" s="63" t="s">
        <v>450</v>
      </c>
      <c r="B22" s="63" t="s">
        <v>525</v>
      </c>
      <c r="C22" s="81" t="s">
        <v>526</v>
      </c>
      <c r="D22" s="62" t="s">
        <v>527</v>
      </c>
      <c r="E22" s="63" t="s">
        <v>453</v>
      </c>
      <c r="F22" s="63" t="s">
        <v>454</v>
      </c>
      <c r="G22" s="68" t="s">
        <v>455</v>
      </c>
      <c r="H22" s="72">
        <v>79.260000000000005</v>
      </c>
      <c r="I22" s="65" t="s">
        <v>503</v>
      </c>
      <c r="J22" s="63" t="s">
        <v>528</v>
      </c>
      <c r="K22" s="53">
        <v>53.522601000000002</v>
      </c>
      <c r="L22" s="53">
        <v>9.9007489999999994</v>
      </c>
      <c r="M22" s="63" t="s">
        <v>470</v>
      </c>
      <c r="N22" s="64" t="s">
        <v>459</v>
      </c>
      <c r="O22" s="52" t="s">
        <v>529</v>
      </c>
      <c r="P22" s="82" t="s">
        <v>405</v>
      </c>
      <c r="Q22" s="51" t="s">
        <v>530</v>
      </c>
      <c r="R22" s="63" t="s">
        <v>480</v>
      </c>
      <c r="S22" s="63" t="s">
        <v>398</v>
      </c>
      <c r="T22" s="63" t="s">
        <v>531</v>
      </c>
      <c r="U22" s="63" t="s">
        <v>532</v>
      </c>
      <c r="V22" s="68" t="s">
        <v>530</v>
      </c>
      <c r="W22" s="74">
        <v>2024</v>
      </c>
      <c r="X22" s="88" t="s">
        <v>533</v>
      </c>
      <c r="Y22" s="83">
        <v>122</v>
      </c>
      <c r="Z22" s="51" t="s">
        <v>534</v>
      </c>
      <c r="AA22" s="84">
        <v>0.1</v>
      </c>
      <c r="AB22" s="51" t="s">
        <v>530</v>
      </c>
      <c r="AC22" s="84">
        <v>0.1</v>
      </c>
      <c r="AD22" s="51" t="s">
        <v>535</v>
      </c>
      <c r="AE22" s="84" t="s">
        <v>451</v>
      </c>
      <c r="AF22" s="51" t="s">
        <v>530</v>
      </c>
      <c r="AG22" s="84" t="s">
        <v>463</v>
      </c>
      <c r="AH22" s="68" t="s">
        <v>535</v>
      </c>
      <c r="AI22" s="65" t="s">
        <v>536</v>
      </c>
      <c r="AJ22" s="68" t="s">
        <v>530</v>
      </c>
      <c r="AK22" s="65" t="s">
        <v>537</v>
      </c>
      <c r="AL22" s="85" t="s">
        <v>538</v>
      </c>
      <c r="AM22" s="79">
        <v>44851</v>
      </c>
      <c r="AN22" s="80">
        <v>43724</v>
      </c>
    </row>
    <row r="23" spans="1:49">
      <c r="A23" s="63" t="s">
        <v>450</v>
      </c>
      <c r="B23" s="63" t="s">
        <v>539</v>
      </c>
      <c r="C23" s="81" t="s">
        <v>540</v>
      </c>
      <c r="D23" s="62" t="s">
        <v>541</v>
      </c>
      <c r="E23" s="63" t="s">
        <v>453</v>
      </c>
      <c r="F23" s="63" t="s">
        <v>454</v>
      </c>
      <c r="G23" s="68" t="s">
        <v>455</v>
      </c>
      <c r="H23" s="89">
        <v>79.260000000000005</v>
      </c>
      <c r="I23" s="65" t="s">
        <v>542</v>
      </c>
      <c r="J23" s="63" t="s">
        <v>543</v>
      </c>
      <c r="K23" s="53">
        <v>51.961733260000003</v>
      </c>
      <c r="L23" s="53">
        <v>5.6900411420000001</v>
      </c>
      <c r="M23" s="63" t="s">
        <v>544</v>
      </c>
      <c r="N23" s="64" t="s">
        <v>459</v>
      </c>
      <c r="O23" s="52" t="s">
        <v>545</v>
      </c>
      <c r="P23" s="90" t="s">
        <v>406</v>
      </c>
      <c r="Q23" s="51" t="s">
        <v>545</v>
      </c>
      <c r="R23" s="63" t="s">
        <v>507</v>
      </c>
      <c r="S23" s="63" t="s">
        <v>399</v>
      </c>
      <c r="T23" s="63" t="s">
        <v>462</v>
      </c>
      <c r="U23" s="63" t="s">
        <v>508</v>
      </c>
      <c r="V23" s="68" t="s">
        <v>545</v>
      </c>
      <c r="W23" s="91">
        <v>2030</v>
      </c>
      <c r="X23" s="75" t="s">
        <v>545</v>
      </c>
      <c r="Y23" s="92" t="s">
        <v>463</v>
      </c>
      <c r="Z23" s="51" t="s">
        <v>545</v>
      </c>
      <c r="AA23" s="77" t="s">
        <v>451</v>
      </c>
      <c r="AB23" s="51" t="s">
        <v>545</v>
      </c>
      <c r="AC23" s="77" t="s">
        <v>451</v>
      </c>
      <c r="AD23" s="51" t="s">
        <v>545</v>
      </c>
      <c r="AE23" s="77">
        <v>1000</v>
      </c>
      <c r="AF23" s="51" t="s">
        <v>545</v>
      </c>
      <c r="AG23" s="77" t="s">
        <v>451</v>
      </c>
      <c r="AH23" s="68" t="s">
        <v>545</v>
      </c>
      <c r="AI23" s="65" t="s">
        <v>546</v>
      </c>
      <c r="AJ23" s="88" t="s">
        <v>547</v>
      </c>
      <c r="AK23" s="65" t="s">
        <v>548</v>
      </c>
      <c r="AL23" s="78" t="s">
        <v>545</v>
      </c>
      <c r="AM23" s="79">
        <v>44851</v>
      </c>
      <c r="AN23" s="80">
        <v>44286</v>
      </c>
    </row>
    <row r="24" spans="1:49">
      <c r="A24" s="63" t="s">
        <v>450</v>
      </c>
      <c r="B24" s="63" t="s">
        <v>451</v>
      </c>
      <c r="C24" s="63" t="s">
        <v>451</v>
      </c>
      <c r="D24" s="62" t="s">
        <v>549</v>
      </c>
      <c r="E24" s="63" t="s">
        <v>453</v>
      </c>
      <c r="F24" s="63" t="s">
        <v>454</v>
      </c>
      <c r="G24" s="68" t="s">
        <v>455</v>
      </c>
      <c r="H24" s="72">
        <v>79.260000000000005</v>
      </c>
      <c r="I24" s="65" t="s">
        <v>550</v>
      </c>
      <c r="J24" s="63" t="s">
        <v>551</v>
      </c>
      <c r="K24" s="53">
        <v>43.525092000000001</v>
      </c>
      <c r="L24" s="53">
        <v>-5.7319259999999996</v>
      </c>
      <c r="M24" s="63" t="s">
        <v>470</v>
      </c>
      <c r="N24" s="64" t="s">
        <v>459</v>
      </c>
      <c r="O24" s="52" t="s">
        <v>552</v>
      </c>
      <c r="P24" s="65" t="s">
        <v>406</v>
      </c>
      <c r="Q24" s="51" t="s">
        <v>552</v>
      </c>
      <c r="R24" s="63" t="s">
        <v>553</v>
      </c>
      <c r="S24" s="63" t="s">
        <v>398</v>
      </c>
      <c r="T24" s="63" t="s">
        <v>462</v>
      </c>
      <c r="U24" s="63" t="s">
        <v>553</v>
      </c>
      <c r="V24" s="68" t="s">
        <v>552</v>
      </c>
      <c r="W24" s="74">
        <v>2025</v>
      </c>
      <c r="X24" s="75" t="s">
        <v>552</v>
      </c>
      <c r="Y24" s="76">
        <v>1648.8</v>
      </c>
      <c r="Z24" s="51" t="s">
        <v>552</v>
      </c>
      <c r="AA24" s="86">
        <v>1.1000000000000001</v>
      </c>
      <c r="AB24" s="51" t="s">
        <v>552</v>
      </c>
      <c r="AC24" s="77" t="s">
        <v>451</v>
      </c>
      <c r="AD24" s="51" t="s">
        <v>552</v>
      </c>
      <c r="AE24" s="86" t="s">
        <v>463</v>
      </c>
      <c r="AF24" s="51" t="s">
        <v>552</v>
      </c>
      <c r="AG24" s="77" t="s">
        <v>451</v>
      </c>
      <c r="AH24" s="68" t="s">
        <v>552</v>
      </c>
      <c r="AI24" s="65" t="s">
        <v>451</v>
      </c>
      <c r="AJ24" s="68" t="s">
        <v>552</v>
      </c>
      <c r="AK24" s="65" t="s">
        <v>554</v>
      </c>
      <c r="AL24" s="78" t="s">
        <v>555</v>
      </c>
      <c r="AM24" s="79">
        <v>45020</v>
      </c>
      <c r="AN24" s="80">
        <v>44390</v>
      </c>
    </row>
    <row r="25" spans="1:49">
      <c r="A25" s="63" t="s">
        <v>450</v>
      </c>
      <c r="B25" s="63" t="s">
        <v>451</v>
      </c>
      <c r="C25" s="63" t="s">
        <v>451</v>
      </c>
      <c r="D25" s="62" t="s">
        <v>556</v>
      </c>
      <c r="E25" s="63" t="s">
        <v>453</v>
      </c>
      <c r="F25" s="63" t="s">
        <v>454</v>
      </c>
      <c r="G25" s="68" t="s">
        <v>455</v>
      </c>
      <c r="H25" s="72">
        <v>79.260000000000005</v>
      </c>
      <c r="I25" s="65" t="s">
        <v>550</v>
      </c>
      <c r="J25" s="63" t="s">
        <v>557</v>
      </c>
      <c r="K25" s="53">
        <v>43.313144000000001</v>
      </c>
      <c r="L25" s="53">
        <v>-2.998964</v>
      </c>
      <c r="M25" s="63" t="s">
        <v>470</v>
      </c>
      <c r="N25" s="64" t="s">
        <v>459</v>
      </c>
      <c r="O25" s="52" t="s">
        <v>558</v>
      </c>
      <c r="P25" s="90" t="s">
        <v>406</v>
      </c>
      <c r="Q25" s="51" t="s">
        <v>558</v>
      </c>
      <c r="R25" s="63" t="s">
        <v>494</v>
      </c>
      <c r="S25" s="63" t="s">
        <v>187</v>
      </c>
      <c r="T25" s="63" t="s">
        <v>451</v>
      </c>
      <c r="U25" s="63" t="s">
        <v>559</v>
      </c>
      <c r="V25" s="68" t="s">
        <v>558</v>
      </c>
      <c r="W25" s="91">
        <v>2025</v>
      </c>
      <c r="X25" s="75" t="s">
        <v>558</v>
      </c>
      <c r="Y25" s="92">
        <v>58</v>
      </c>
      <c r="Z25" s="51" t="s">
        <v>558</v>
      </c>
      <c r="AA25" s="86">
        <v>1.6</v>
      </c>
      <c r="AB25" s="51" t="s">
        <v>558</v>
      </c>
      <c r="AC25" s="86" t="s">
        <v>451</v>
      </c>
      <c r="AD25" s="51" t="s">
        <v>558</v>
      </c>
      <c r="AE25" s="86" t="s">
        <v>463</v>
      </c>
      <c r="AF25" s="51" t="s">
        <v>558</v>
      </c>
      <c r="AG25" s="86" t="s">
        <v>451</v>
      </c>
      <c r="AH25" s="68" t="s">
        <v>558</v>
      </c>
      <c r="AI25" s="65" t="s">
        <v>463</v>
      </c>
      <c r="AJ25" s="68" t="s">
        <v>558</v>
      </c>
      <c r="AK25" s="65" t="s">
        <v>560</v>
      </c>
      <c r="AL25" s="78" t="s">
        <v>558</v>
      </c>
      <c r="AM25" s="79">
        <v>44851</v>
      </c>
      <c r="AN25" s="80">
        <v>44390</v>
      </c>
    </row>
    <row r="26" spans="1:49">
      <c r="A26" s="63" t="s">
        <v>561</v>
      </c>
      <c r="B26" s="63" t="s">
        <v>562</v>
      </c>
      <c r="C26" s="81" t="s">
        <v>563</v>
      </c>
      <c r="D26" s="62" t="s">
        <v>564</v>
      </c>
      <c r="E26" s="63" t="s">
        <v>451</v>
      </c>
      <c r="F26" s="63" t="s">
        <v>565</v>
      </c>
      <c r="G26" s="68" t="s">
        <v>566</v>
      </c>
      <c r="H26" s="72" t="s">
        <v>451</v>
      </c>
      <c r="I26" s="65" t="s">
        <v>550</v>
      </c>
      <c r="J26" s="63" t="s">
        <v>567</v>
      </c>
      <c r="K26" s="53">
        <v>43.525092000000001</v>
      </c>
      <c r="L26" s="53">
        <v>-5.7319259999999996</v>
      </c>
      <c r="M26" s="63" t="s">
        <v>470</v>
      </c>
      <c r="N26" s="64" t="s">
        <v>459</v>
      </c>
      <c r="O26" s="52" t="s">
        <v>563</v>
      </c>
      <c r="P26" s="82" t="s">
        <v>406</v>
      </c>
      <c r="Q26" s="51" t="s">
        <v>563</v>
      </c>
      <c r="R26" s="63" t="s">
        <v>507</v>
      </c>
      <c r="S26" s="63" t="s">
        <v>399</v>
      </c>
      <c r="T26" s="63" t="s">
        <v>462</v>
      </c>
      <c r="U26" s="63" t="s">
        <v>568</v>
      </c>
      <c r="V26" s="68" t="s">
        <v>563</v>
      </c>
      <c r="W26" s="74">
        <v>2024</v>
      </c>
      <c r="X26" s="75" t="s">
        <v>563</v>
      </c>
      <c r="Y26" s="83">
        <v>1745</v>
      </c>
      <c r="Z26" s="51" t="s">
        <v>563</v>
      </c>
      <c r="AA26" s="84" t="s">
        <v>451</v>
      </c>
      <c r="AB26" s="51" t="s">
        <v>563</v>
      </c>
      <c r="AC26" s="84" t="s">
        <v>451</v>
      </c>
      <c r="AD26" s="51" t="s">
        <v>563</v>
      </c>
      <c r="AE26" s="84" t="s">
        <v>463</v>
      </c>
      <c r="AF26" s="51" t="s">
        <v>563</v>
      </c>
      <c r="AG26" s="84" t="s">
        <v>451</v>
      </c>
      <c r="AH26" s="68" t="s">
        <v>563</v>
      </c>
      <c r="AI26" s="65" t="s">
        <v>569</v>
      </c>
      <c r="AJ26" s="68" t="s">
        <v>563</v>
      </c>
      <c r="AK26" s="65" t="s">
        <v>570</v>
      </c>
      <c r="AL26" s="93" t="s">
        <v>563</v>
      </c>
      <c r="AM26" s="79">
        <v>44855</v>
      </c>
      <c r="AN26" s="80">
        <v>44043</v>
      </c>
    </row>
    <row r="27" spans="1:49">
      <c r="A27" s="63" t="s">
        <v>571</v>
      </c>
      <c r="B27" s="63" t="s">
        <v>571</v>
      </c>
      <c r="C27" s="81" t="s">
        <v>572</v>
      </c>
      <c r="D27" s="62" t="s">
        <v>451</v>
      </c>
      <c r="E27" s="63" t="s">
        <v>451</v>
      </c>
      <c r="F27" s="63" t="s">
        <v>451</v>
      </c>
      <c r="G27" s="68" t="s">
        <v>572</v>
      </c>
      <c r="H27" s="94" t="s">
        <v>451</v>
      </c>
      <c r="I27" s="65" t="s">
        <v>573</v>
      </c>
      <c r="J27" s="63" t="s">
        <v>574</v>
      </c>
      <c r="K27" s="53">
        <v>62.94538584</v>
      </c>
      <c r="L27" s="53">
        <v>17.186327439999999</v>
      </c>
      <c r="M27" s="63" t="s">
        <v>544</v>
      </c>
      <c r="N27" s="64" t="s">
        <v>459</v>
      </c>
      <c r="O27" s="52" t="s">
        <v>572</v>
      </c>
      <c r="P27" s="65" t="s">
        <v>514</v>
      </c>
      <c r="Q27" s="51" t="s">
        <v>572</v>
      </c>
      <c r="R27" s="63" t="s">
        <v>494</v>
      </c>
      <c r="S27" s="63" t="s">
        <v>187</v>
      </c>
      <c r="T27" s="63" t="s">
        <v>451</v>
      </c>
      <c r="U27" s="63" t="s">
        <v>575</v>
      </c>
      <c r="V27" s="68" t="s">
        <v>572</v>
      </c>
      <c r="W27" s="74">
        <v>2022</v>
      </c>
      <c r="X27" s="75" t="s">
        <v>572</v>
      </c>
      <c r="Y27" s="76" t="s">
        <v>463</v>
      </c>
      <c r="Z27" s="51" t="s">
        <v>572</v>
      </c>
      <c r="AA27" s="77" t="s">
        <v>451</v>
      </c>
      <c r="AB27" s="51" t="s">
        <v>572</v>
      </c>
      <c r="AC27" s="77" t="s">
        <v>463</v>
      </c>
      <c r="AD27" s="51" t="s">
        <v>572</v>
      </c>
      <c r="AE27" s="77" t="s">
        <v>451</v>
      </c>
      <c r="AF27" s="51" t="s">
        <v>572</v>
      </c>
      <c r="AG27" s="77" t="s">
        <v>451</v>
      </c>
      <c r="AH27" s="68" t="s">
        <v>572</v>
      </c>
      <c r="AI27" s="65" t="s">
        <v>576</v>
      </c>
      <c r="AJ27" s="68" t="s">
        <v>577</v>
      </c>
      <c r="AK27" s="65" t="s">
        <v>578</v>
      </c>
      <c r="AL27" s="93" t="s">
        <v>577</v>
      </c>
      <c r="AM27" s="79">
        <v>44855</v>
      </c>
      <c r="AN27" s="80">
        <v>44313</v>
      </c>
    </row>
    <row r="28" spans="1:49">
      <c r="A28" s="63" t="s">
        <v>579</v>
      </c>
      <c r="B28" s="63" t="s">
        <v>580</v>
      </c>
      <c r="C28" s="81" t="s">
        <v>581</v>
      </c>
      <c r="D28" s="62" t="s">
        <v>491</v>
      </c>
      <c r="E28" s="63" t="s">
        <v>451</v>
      </c>
      <c r="F28" s="63" t="s">
        <v>451</v>
      </c>
      <c r="G28" s="68" t="s">
        <v>581</v>
      </c>
      <c r="H28" s="95">
        <v>0</v>
      </c>
      <c r="I28" s="65" t="s">
        <v>573</v>
      </c>
      <c r="J28" s="63" t="s">
        <v>582</v>
      </c>
      <c r="K28" s="53">
        <v>66.258949380000004</v>
      </c>
      <c r="L28" s="53">
        <v>22.834702610000001</v>
      </c>
      <c r="M28" s="63" t="s">
        <v>583</v>
      </c>
      <c r="N28" s="64" t="s">
        <v>459</v>
      </c>
      <c r="O28" s="52" t="s">
        <v>584</v>
      </c>
      <c r="P28" s="82" t="s">
        <v>406</v>
      </c>
      <c r="Q28" s="51" t="s">
        <v>584</v>
      </c>
      <c r="R28" s="63" t="s">
        <v>480</v>
      </c>
      <c r="S28" s="63" t="s">
        <v>398</v>
      </c>
      <c r="T28" s="63" t="s">
        <v>462</v>
      </c>
      <c r="U28" s="63" t="s">
        <v>480</v>
      </c>
      <c r="V28" s="68" t="s">
        <v>585</v>
      </c>
      <c r="W28" s="74">
        <v>2024</v>
      </c>
      <c r="X28" s="75" t="s">
        <v>586</v>
      </c>
      <c r="Y28" s="83">
        <v>3000</v>
      </c>
      <c r="Z28" s="51" t="s">
        <v>584</v>
      </c>
      <c r="AA28" s="84">
        <v>5</v>
      </c>
      <c r="AB28" s="51" t="s">
        <v>584</v>
      </c>
      <c r="AC28" s="84" t="s">
        <v>463</v>
      </c>
      <c r="AD28" s="51" t="s">
        <v>584</v>
      </c>
      <c r="AE28" s="84" t="s">
        <v>463</v>
      </c>
      <c r="AF28" s="51" t="s">
        <v>584</v>
      </c>
      <c r="AG28" s="84" t="s">
        <v>451</v>
      </c>
      <c r="AH28" s="68" t="s">
        <v>584</v>
      </c>
      <c r="AI28" s="65" t="s">
        <v>587</v>
      </c>
      <c r="AJ28" s="68" t="s">
        <v>586</v>
      </c>
      <c r="AK28" s="65" t="s">
        <v>588</v>
      </c>
      <c r="AL28" s="85" t="s">
        <v>589</v>
      </c>
      <c r="AM28" s="79">
        <v>44971</v>
      </c>
      <c r="AN28" s="80">
        <v>44255</v>
      </c>
    </row>
    <row r="29" spans="1:49">
      <c r="A29" s="63" t="s">
        <v>590</v>
      </c>
      <c r="B29" s="63" t="s">
        <v>491</v>
      </c>
      <c r="C29" s="63" t="s">
        <v>491</v>
      </c>
      <c r="D29" s="62" t="s">
        <v>451</v>
      </c>
      <c r="E29" s="63" t="s">
        <v>454</v>
      </c>
      <c r="F29" s="63" t="s">
        <v>591</v>
      </c>
      <c r="G29" s="88" t="s">
        <v>592</v>
      </c>
      <c r="H29" s="72" t="s">
        <v>593</v>
      </c>
      <c r="I29" s="65" t="s">
        <v>468</v>
      </c>
      <c r="J29" s="63" t="s">
        <v>469</v>
      </c>
      <c r="K29" s="53">
        <v>51.000205739999998</v>
      </c>
      <c r="L29" s="53">
        <v>2.1673107360000001</v>
      </c>
      <c r="M29" s="63" t="s">
        <v>594</v>
      </c>
      <c r="N29" s="64" t="s">
        <v>459</v>
      </c>
      <c r="O29" s="52" t="s">
        <v>595</v>
      </c>
      <c r="P29" s="82" t="s">
        <v>406</v>
      </c>
      <c r="Q29" s="51" t="s">
        <v>596</v>
      </c>
      <c r="R29" s="63" t="s">
        <v>517</v>
      </c>
      <c r="S29" s="63" t="s">
        <v>398</v>
      </c>
      <c r="T29" s="63" t="s">
        <v>462</v>
      </c>
      <c r="U29" s="63" t="s">
        <v>517</v>
      </c>
      <c r="V29" s="68" t="s">
        <v>596</v>
      </c>
      <c r="W29" s="74" t="s">
        <v>463</v>
      </c>
      <c r="X29" s="75" t="s">
        <v>596</v>
      </c>
      <c r="Y29" s="83" t="s">
        <v>463</v>
      </c>
      <c r="Z29" s="51" t="s">
        <v>596</v>
      </c>
      <c r="AA29" s="84" t="s">
        <v>463</v>
      </c>
      <c r="AB29" s="51" t="s">
        <v>596</v>
      </c>
      <c r="AC29" s="84">
        <v>2</v>
      </c>
      <c r="AD29" s="51" t="s">
        <v>596</v>
      </c>
      <c r="AE29" s="84">
        <v>1000</v>
      </c>
      <c r="AF29" s="51" t="s">
        <v>596</v>
      </c>
      <c r="AG29" s="84" t="s">
        <v>451</v>
      </c>
      <c r="AH29" s="68" t="s">
        <v>596</v>
      </c>
      <c r="AI29" s="65" t="s">
        <v>597</v>
      </c>
      <c r="AJ29" s="68" t="s">
        <v>596</v>
      </c>
      <c r="AK29" s="65" t="s">
        <v>598</v>
      </c>
      <c r="AL29" s="78" t="s">
        <v>596</v>
      </c>
      <c r="AM29" s="79">
        <v>44858</v>
      </c>
      <c r="AN29" s="80">
        <v>44249</v>
      </c>
    </row>
    <row r="30" spans="1:49">
      <c r="A30" s="63" t="s">
        <v>590</v>
      </c>
      <c r="B30" s="63" t="s">
        <v>491</v>
      </c>
      <c r="C30" s="63" t="s">
        <v>491</v>
      </c>
      <c r="D30" s="62" t="s">
        <v>599</v>
      </c>
      <c r="E30" s="63" t="s">
        <v>454</v>
      </c>
      <c r="F30" s="63" t="s">
        <v>591</v>
      </c>
      <c r="G30" s="88" t="s">
        <v>592</v>
      </c>
      <c r="H30" s="72" t="s">
        <v>593</v>
      </c>
      <c r="I30" s="65" t="s">
        <v>600</v>
      </c>
      <c r="J30" s="63" t="s">
        <v>601</v>
      </c>
      <c r="K30" s="53">
        <v>45.434119000000003</v>
      </c>
      <c r="L30" s="53">
        <v>27.976244000000001</v>
      </c>
      <c r="M30" s="63" t="s">
        <v>470</v>
      </c>
      <c r="N30" s="64" t="s">
        <v>459</v>
      </c>
      <c r="O30" s="52" t="s">
        <v>602</v>
      </c>
      <c r="P30" s="82" t="s">
        <v>406</v>
      </c>
      <c r="Q30" s="51" t="s">
        <v>603</v>
      </c>
      <c r="R30" s="63" t="s">
        <v>517</v>
      </c>
      <c r="S30" s="63" t="s">
        <v>398</v>
      </c>
      <c r="T30" s="63" t="s">
        <v>463</v>
      </c>
      <c r="U30" s="63" t="s">
        <v>517</v>
      </c>
      <c r="V30" s="68" t="s">
        <v>603</v>
      </c>
      <c r="W30" s="74">
        <v>2024</v>
      </c>
      <c r="X30" s="75" t="s">
        <v>604</v>
      </c>
      <c r="Y30" s="83">
        <v>1137</v>
      </c>
      <c r="Z30" s="51" t="s">
        <v>605</v>
      </c>
      <c r="AA30" s="84">
        <v>4</v>
      </c>
      <c r="AB30" s="51" t="s">
        <v>603</v>
      </c>
      <c r="AC30" s="84">
        <v>2.5</v>
      </c>
      <c r="AD30" s="51" t="s">
        <v>603</v>
      </c>
      <c r="AE30" s="84" t="s">
        <v>463</v>
      </c>
      <c r="AF30" s="51" t="s">
        <v>603</v>
      </c>
      <c r="AG30" s="84" t="s">
        <v>451</v>
      </c>
      <c r="AH30" s="68" t="s">
        <v>603</v>
      </c>
      <c r="AI30" s="65" t="s">
        <v>606</v>
      </c>
      <c r="AJ30" s="68" t="s">
        <v>603</v>
      </c>
      <c r="AK30" s="65" t="s">
        <v>607</v>
      </c>
      <c r="AL30" s="78" t="s">
        <v>603</v>
      </c>
      <c r="AM30" s="79">
        <v>44858</v>
      </c>
      <c r="AN30" s="80">
        <v>43992</v>
      </c>
    </row>
    <row r="31" spans="1:49">
      <c r="A31" s="63" t="s">
        <v>608</v>
      </c>
      <c r="B31" s="63" t="s">
        <v>491</v>
      </c>
      <c r="C31" s="63" t="s">
        <v>491</v>
      </c>
      <c r="D31" s="62" t="s">
        <v>491</v>
      </c>
      <c r="E31" s="63" t="s">
        <v>463</v>
      </c>
      <c r="F31" s="63" t="s">
        <v>609</v>
      </c>
      <c r="G31" s="68" t="s">
        <v>610</v>
      </c>
      <c r="H31" s="72" t="s">
        <v>451</v>
      </c>
      <c r="I31" s="65" t="s">
        <v>573</v>
      </c>
      <c r="J31" s="63" t="s">
        <v>611</v>
      </c>
      <c r="K31" s="53">
        <v>62.94538584</v>
      </c>
      <c r="L31" s="53">
        <v>17.186327439999999</v>
      </c>
      <c r="M31" s="63" t="s">
        <v>544</v>
      </c>
      <c r="N31" s="64" t="s">
        <v>459</v>
      </c>
      <c r="O31" s="52" t="s">
        <v>612</v>
      </c>
      <c r="P31" s="82" t="s">
        <v>406</v>
      </c>
      <c r="Q31" s="51" t="s">
        <v>613</v>
      </c>
      <c r="R31" s="63" t="s">
        <v>480</v>
      </c>
      <c r="S31" s="63" t="s">
        <v>398</v>
      </c>
      <c r="T31" s="63" t="s">
        <v>462</v>
      </c>
      <c r="U31" s="63" t="s">
        <v>614</v>
      </c>
      <c r="V31" s="68" t="s">
        <v>612</v>
      </c>
      <c r="W31" s="74">
        <v>2029</v>
      </c>
      <c r="X31" s="75" t="s">
        <v>613</v>
      </c>
      <c r="Y31" s="83">
        <v>32500</v>
      </c>
      <c r="Z31" s="51" t="s">
        <v>612</v>
      </c>
      <c r="AA31" s="84" t="s">
        <v>451</v>
      </c>
      <c r="AB31" s="51" t="s">
        <v>612</v>
      </c>
      <c r="AC31" s="84">
        <v>24.4</v>
      </c>
      <c r="AD31" s="51" t="s">
        <v>615</v>
      </c>
      <c r="AE31" s="84" t="s">
        <v>463</v>
      </c>
      <c r="AF31" s="51" t="s">
        <v>612</v>
      </c>
      <c r="AG31" s="84" t="s">
        <v>451</v>
      </c>
      <c r="AH31" s="68" t="s">
        <v>612</v>
      </c>
      <c r="AI31" s="65" t="s">
        <v>463</v>
      </c>
      <c r="AJ31" s="68" t="s">
        <v>612</v>
      </c>
      <c r="AK31" s="65" t="s">
        <v>616</v>
      </c>
      <c r="AL31" s="85" t="s">
        <v>617</v>
      </c>
      <c r="AM31" s="79">
        <v>44859</v>
      </c>
      <c r="AN31" s="80">
        <v>44157</v>
      </c>
    </row>
    <row r="32" spans="1:49">
      <c r="A32" s="63" t="s">
        <v>618</v>
      </c>
      <c r="B32" s="63" t="s">
        <v>619</v>
      </c>
      <c r="C32" s="81" t="s">
        <v>620</v>
      </c>
      <c r="D32" s="62" t="s">
        <v>621</v>
      </c>
      <c r="E32" s="63" t="s">
        <v>622</v>
      </c>
      <c r="F32" s="63" t="s">
        <v>623</v>
      </c>
      <c r="G32" s="68" t="s">
        <v>624</v>
      </c>
      <c r="H32" s="95" t="s">
        <v>593</v>
      </c>
      <c r="I32" s="65" t="s">
        <v>503</v>
      </c>
      <c r="J32" s="63" t="s">
        <v>618</v>
      </c>
      <c r="K32" s="53">
        <v>52.161794</v>
      </c>
      <c r="L32" s="53">
        <v>10.409371</v>
      </c>
      <c r="M32" s="63" t="s">
        <v>470</v>
      </c>
      <c r="N32" s="64" t="s">
        <v>459</v>
      </c>
      <c r="O32" s="52" t="s">
        <v>625</v>
      </c>
      <c r="P32" s="82" t="s">
        <v>405</v>
      </c>
      <c r="Q32" s="51" t="s">
        <v>626</v>
      </c>
      <c r="R32" s="63" t="s">
        <v>517</v>
      </c>
      <c r="S32" s="63" t="s">
        <v>398</v>
      </c>
      <c r="T32" s="63" t="s">
        <v>463</v>
      </c>
      <c r="U32" s="63" t="s">
        <v>517</v>
      </c>
      <c r="V32" s="68" t="s">
        <v>626</v>
      </c>
      <c r="W32" s="74">
        <v>2022</v>
      </c>
      <c r="X32" s="75" t="s">
        <v>626</v>
      </c>
      <c r="Y32" s="76">
        <v>16</v>
      </c>
      <c r="Z32" s="51" t="s">
        <v>626</v>
      </c>
      <c r="AA32" s="77" t="s">
        <v>451</v>
      </c>
      <c r="AB32" s="51" t="s">
        <v>626</v>
      </c>
      <c r="AC32" s="77">
        <v>1</v>
      </c>
      <c r="AD32" s="51" t="s">
        <v>626</v>
      </c>
      <c r="AE32" s="77" t="s">
        <v>451</v>
      </c>
      <c r="AF32" s="51" t="s">
        <v>626</v>
      </c>
      <c r="AG32" s="77" t="s">
        <v>451</v>
      </c>
      <c r="AH32" s="68" t="s">
        <v>626</v>
      </c>
      <c r="AI32" s="65" t="s">
        <v>627</v>
      </c>
      <c r="AJ32" s="68" t="s">
        <v>626</v>
      </c>
      <c r="AK32" s="65" t="s">
        <v>628</v>
      </c>
      <c r="AL32" s="85" t="s">
        <v>629</v>
      </c>
      <c r="AM32" s="79">
        <v>44867</v>
      </c>
      <c r="AN32" s="80">
        <v>44333</v>
      </c>
    </row>
    <row r="33" spans="1:40">
      <c r="A33" s="63" t="s">
        <v>618</v>
      </c>
      <c r="B33" s="63" t="s">
        <v>630</v>
      </c>
      <c r="C33" s="81" t="s">
        <v>631</v>
      </c>
      <c r="D33" s="62" t="s">
        <v>621</v>
      </c>
      <c r="E33" s="63" t="s">
        <v>622</v>
      </c>
      <c r="F33" s="63" t="s">
        <v>623</v>
      </c>
      <c r="G33" s="68" t="s">
        <v>632</v>
      </c>
      <c r="H33" s="95" t="s">
        <v>593</v>
      </c>
      <c r="I33" s="65" t="s">
        <v>503</v>
      </c>
      <c r="J33" s="63" t="s">
        <v>618</v>
      </c>
      <c r="K33" s="53">
        <v>52.161794</v>
      </c>
      <c r="L33" s="53">
        <v>10.409371</v>
      </c>
      <c r="M33" s="63" t="s">
        <v>470</v>
      </c>
      <c r="N33" s="64" t="s">
        <v>459</v>
      </c>
      <c r="O33" s="52" t="s">
        <v>625</v>
      </c>
      <c r="P33" s="82" t="s">
        <v>405</v>
      </c>
      <c r="Q33" s="51" t="s">
        <v>631</v>
      </c>
      <c r="R33" s="63" t="s">
        <v>507</v>
      </c>
      <c r="S33" s="63" t="s">
        <v>399</v>
      </c>
      <c r="T33" s="63" t="s">
        <v>462</v>
      </c>
      <c r="U33" s="63" t="s">
        <v>633</v>
      </c>
      <c r="V33" s="68" t="s">
        <v>631</v>
      </c>
      <c r="W33" s="74">
        <v>2021</v>
      </c>
      <c r="X33" s="75" t="s">
        <v>634</v>
      </c>
      <c r="Y33" s="76">
        <v>6.5</v>
      </c>
      <c r="Z33" s="51" t="s">
        <v>634</v>
      </c>
      <c r="AA33" s="77" t="s">
        <v>451</v>
      </c>
      <c r="AB33" s="51" t="s">
        <v>634</v>
      </c>
      <c r="AC33" s="77" t="s">
        <v>451</v>
      </c>
      <c r="AD33" s="51" t="s">
        <v>634</v>
      </c>
      <c r="AE33" s="77">
        <v>0.72</v>
      </c>
      <c r="AF33" s="51" t="s">
        <v>634</v>
      </c>
      <c r="AG33" s="77" t="s">
        <v>451</v>
      </c>
      <c r="AH33" s="68" t="s">
        <v>634</v>
      </c>
      <c r="AI33" s="65" t="s">
        <v>635</v>
      </c>
      <c r="AJ33" s="68" t="s">
        <v>631</v>
      </c>
      <c r="AK33" s="65" t="s">
        <v>636</v>
      </c>
      <c r="AL33" s="85" t="s">
        <v>637</v>
      </c>
      <c r="AM33" s="79">
        <v>44851</v>
      </c>
      <c r="AN33" s="80">
        <v>44116</v>
      </c>
    </row>
    <row r="34" spans="1:40">
      <c r="A34" s="63" t="s">
        <v>618</v>
      </c>
      <c r="B34" s="63" t="s">
        <v>638</v>
      </c>
      <c r="C34" s="81" t="s">
        <v>639</v>
      </c>
      <c r="D34" s="62" t="s">
        <v>621</v>
      </c>
      <c r="E34" s="63" t="s">
        <v>622</v>
      </c>
      <c r="F34" s="63" t="s">
        <v>623</v>
      </c>
      <c r="G34" s="68" t="s">
        <v>640</v>
      </c>
      <c r="H34" s="95" t="s">
        <v>593</v>
      </c>
      <c r="I34" s="65" t="s">
        <v>503</v>
      </c>
      <c r="J34" s="63" t="s">
        <v>618</v>
      </c>
      <c r="K34" s="53">
        <v>52.172073730000001</v>
      </c>
      <c r="L34" s="53">
        <v>10.430113410000001</v>
      </c>
      <c r="M34" s="63" t="s">
        <v>470</v>
      </c>
      <c r="N34" s="64" t="s">
        <v>459</v>
      </c>
      <c r="O34" s="52" t="s">
        <v>625</v>
      </c>
      <c r="P34" s="82" t="s">
        <v>405</v>
      </c>
      <c r="Q34" s="51" t="s">
        <v>641</v>
      </c>
      <c r="R34" s="63" t="s">
        <v>507</v>
      </c>
      <c r="S34" s="63" t="s">
        <v>399</v>
      </c>
      <c r="T34" s="63" t="s">
        <v>462</v>
      </c>
      <c r="U34" s="63" t="s">
        <v>642</v>
      </c>
      <c r="V34" s="68" t="s">
        <v>641</v>
      </c>
      <c r="W34" s="74">
        <v>2021</v>
      </c>
      <c r="X34" s="75" t="s">
        <v>643</v>
      </c>
      <c r="Y34" s="76">
        <v>60</v>
      </c>
      <c r="Z34" s="51" t="s">
        <v>644</v>
      </c>
      <c r="AA34" s="77" t="s">
        <v>451</v>
      </c>
      <c r="AB34" s="51" t="s">
        <v>644</v>
      </c>
      <c r="AC34" s="77" t="s">
        <v>451</v>
      </c>
      <c r="AD34" s="51" t="s">
        <v>644</v>
      </c>
      <c r="AE34" s="77">
        <v>2.5</v>
      </c>
      <c r="AF34" s="51" t="s">
        <v>641</v>
      </c>
      <c r="AG34" s="77" t="s">
        <v>451</v>
      </c>
      <c r="AH34" s="68" t="s">
        <v>644</v>
      </c>
      <c r="AI34" s="65" t="s">
        <v>645</v>
      </c>
      <c r="AJ34" s="68" t="s">
        <v>641</v>
      </c>
      <c r="AK34" s="65" t="s">
        <v>646</v>
      </c>
      <c r="AL34" s="93" t="s">
        <v>641</v>
      </c>
      <c r="AM34" s="79">
        <v>44867</v>
      </c>
      <c r="AN34" s="80">
        <v>44266</v>
      </c>
    </row>
    <row r="35" spans="1:40">
      <c r="A35" s="63" t="s">
        <v>618</v>
      </c>
      <c r="B35" s="63" t="s">
        <v>451</v>
      </c>
      <c r="C35" s="63" t="s">
        <v>451</v>
      </c>
      <c r="D35" s="62" t="s">
        <v>491</v>
      </c>
      <c r="E35" s="63" t="s">
        <v>622</v>
      </c>
      <c r="F35" s="63" t="s">
        <v>623</v>
      </c>
      <c r="G35" s="68" t="s">
        <v>647</v>
      </c>
      <c r="H35" s="95" t="s">
        <v>593</v>
      </c>
      <c r="I35" s="65" t="s">
        <v>503</v>
      </c>
      <c r="J35" s="63" t="s">
        <v>648</v>
      </c>
      <c r="K35" s="53">
        <v>53.581142980000003</v>
      </c>
      <c r="L35" s="53">
        <v>8.1357794860000006</v>
      </c>
      <c r="M35" s="63" t="s">
        <v>583</v>
      </c>
      <c r="N35" s="64" t="s">
        <v>459</v>
      </c>
      <c r="O35" s="52" t="s">
        <v>649</v>
      </c>
      <c r="P35" s="82" t="s">
        <v>514</v>
      </c>
      <c r="Q35" s="51" t="s">
        <v>649</v>
      </c>
      <c r="R35" s="63" t="s">
        <v>480</v>
      </c>
      <c r="S35" s="63" t="s">
        <v>398</v>
      </c>
      <c r="T35" s="63" t="s">
        <v>462</v>
      </c>
      <c r="U35" s="63" t="s">
        <v>480</v>
      </c>
      <c r="V35" s="68" t="s">
        <v>649</v>
      </c>
      <c r="W35" s="74" t="s">
        <v>451</v>
      </c>
      <c r="X35" s="75" t="s">
        <v>649</v>
      </c>
      <c r="Y35" s="83" t="s">
        <v>451</v>
      </c>
      <c r="Z35" s="51" t="s">
        <v>649</v>
      </c>
      <c r="AA35" s="84" t="s">
        <v>451</v>
      </c>
      <c r="AB35" s="51" t="s">
        <v>649</v>
      </c>
      <c r="AC35" s="84">
        <v>2</v>
      </c>
      <c r="AD35" s="51" t="s">
        <v>650</v>
      </c>
      <c r="AE35" s="84" t="s">
        <v>451</v>
      </c>
      <c r="AF35" s="51" t="s">
        <v>649</v>
      </c>
      <c r="AG35" s="84" t="s">
        <v>451</v>
      </c>
      <c r="AH35" s="68" t="s">
        <v>649</v>
      </c>
      <c r="AI35" s="65" t="s">
        <v>651</v>
      </c>
      <c r="AJ35" s="68" t="s">
        <v>649</v>
      </c>
      <c r="AK35" s="65" t="s">
        <v>652</v>
      </c>
      <c r="AL35" s="85" t="s">
        <v>653</v>
      </c>
      <c r="AM35" s="79">
        <v>44868</v>
      </c>
      <c r="AN35" s="80">
        <v>44006</v>
      </c>
    </row>
    <row r="36" spans="1:40">
      <c r="A36" s="63" t="s">
        <v>654</v>
      </c>
      <c r="B36" s="63" t="s">
        <v>655</v>
      </c>
      <c r="C36" s="63" t="s">
        <v>451</v>
      </c>
      <c r="D36" s="62" t="s">
        <v>491</v>
      </c>
      <c r="E36" s="63" t="s">
        <v>656</v>
      </c>
      <c r="F36" s="63" t="s">
        <v>657</v>
      </c>
      <c r="G36" s="68" t="s">
        <v>658</v>
      </c>
      <c r="H36" s="72">
        <v>8.18</v>
      </c>
      <c r="I36" s="65" t="s">
        <v>659</v>
      </c>
      <c r="J36" s="63" t="s">
        <v>660</v>
      </c>
      <c r="K36" s="53">
        <v>64.651111</v>
      </c>
      <c r="L36" s="53">
        <v>24.418544000000001</v>
      </c>
      <c r="M36" s="63" t="s">
        <v>470</v>
      </c>
      <c r="N36" s="64" t="s">
        <v>459</v>
      </c>
      <c r="O36" s="52" t="s">
        <v>661</v>
      </c>
      <c r="P36" s="82" t="s">
        <v>514</v>
      </c>
      <c r="Q36" s="51" t="s">
        <v>661</v>
      </c>
      <c r="R36" s="63" t="s">
        <v>494</v>
      </c>
      <c r="S36" s="63" t="s">
        <v>187</v>
      </c>
      <c r="T36" s="63" t="s">
        <v>463</v>
      </c>
      <c r="U36" s="63" t="s">
        <v>662</v>
      </c>
      <c r="V36" s="68" t="s">
        <v>661</v>
      </c>
      <c r="W36" s="74">
        <v>2023</v>
      </c>
      <c r="X36" s="75" t="s">
        <v>661</v>
      </c>
      <c r="Y36" s="76">
        <v>12.4</v>
      </c>
      <c r="Z36" s="51" t="s">
        <v>661</v>
      </c>
      <c r="AA36" s="77" t="s">
        <v>463</v>
      </c>
      <c r="AB36" s="51" t="s">
        <v>661</v>
      </c>
      <c r="AC36" s="77" t="s">
        <v>463</v>
      </c>
      <c r="AD36" s="51" t="s">
        <v>661</v>
      </c>
      <c r="AE36" s="77" t="s">
        <v>463</v>
      </c>
      <c r="AF36" s="51" t="s">
        <v>661</v>
      </c>
      <c r="AG36" s="77" t="s">
        <v>451</v>
      </c>
      <c r="AH36" s="68" t="s">
        <v>661</v>
      </c>
      <c r="AI36" s="65" t="s">
        <v>663</v>
      </c>
      <c r="AJ36" s="68" t="s">
        <v>661</v>
      </c>
      <c r="AK36" s="65" t="s">
        <v>664</v>
      </c>
      <c r="AL36" s="93" t="s">
        <v>661</v>
      </c>
      <c r="AM36" s="79">
        <v>44868</v>
      </c>
      <c r="AN36" s="80">
        <v>44392</v>
      </c>
    </row>
    <row r="37" spans="1:40">
      <c r="A37" s="63" t="s">
        <v>654</v>
      </c>
      <c r="B37" s="63" t="s">
        <v>665</v>
      </c>
      <c r="C37" s="81" t="s">
        <v>666</v>
      </c>
      <c r="D37" s="62" t="s">
        <v>491</v>
      </c>
      <c r="E37" s="63" t="s">
        <v>656</v>
      </c>
      <c r="F37" s="63" t="s">
        <v>657</v>
      </c>
      <c r="G37" s="68" t="s">
        <v>658</v>
      </c>
      <c r="H37" s="72">
        <v>8.18</v>
      </c>
      <c r="I37" s="65" t="s">
        <v>659</v>
      </c>
      <c r="J37" s="63" t="s">
        <v>660</v>
      </c>
      <c r="K37" s="53">
        <v>64.651111</v>
      </c>
      <c r="L37" s="53">
        <v>24.418544000000001</v>
      </c>
      <c r="M37" s="63" t="s">
        <v>470</v>
      </c>
      <c r="N37" s="64" t="s">
        <v>459</v>
      </c>
      <c r="O37" s="52" t="s">
        <v>667</v>
      </c>
      <c r="P37" s="82" t="s">
        <v>406</v>
      </c>
      <c r="Q37" s="51" t="s">
        <v>667</v>
      </c>
      <c r="R37" s="63" t="s">
        <v>400</v>
      </c>
      <c r="S37" s="63" t="s">
        <v>400</v>
      </c>
      <c r="T37" s="63" t="s">
        <v>451</v>
      </c>
      <c r="U37" s="63" t="s">
        <v>668</v>
      </c>
      <c r="V37" s="68" t="s">
        <v>669</v>
      </c>
      <c r="W37" s="74">
        <v>2030</v>
      </c>
      <c r="X37" s="75" t="s">
        <v>669</v>
      </c>
      <c r="Y37" s="76" t="s">
        <v>463</v>
      </c>
      <c r="Z37" s="51" t="s">
        <v>669</v>
      </c>
      <c r="AA37" s="77" t="s">
        <v>463</v>
      </c>
      <c r="AB37" s="51" t="s">
        <v>669</v>
      </c>
      <c r="AC37" s="77" t="s">
        <v>463</v>
      </c>
      <c r="AD37" s="51" t="s">
        <v>669</v>
      </c>
      <c r="AE37" s="77" t="s">
        <v>463</v>
      </c>
      <c r="AF37" s="51" t="s">
        <v>669</v>
      </c>
      <c r="AG37" s="84" t="s">
        <v>451</v>
      </c>
      <c r="AH37" s="68" t="s">
        <v>669</v>
      </c>
      <c r="AI37" s="65" t="s">
        <v>663</v>
      </c>
      <c r="AJ37" s="68" t="s">
        <v>669</v>
      </c>
      <c r="AK37" s="65" t="s">
        <v>670</v>
      </c>
      <c r="AL37" s="93" t="s">
        <v>669</v>
      </c>
      <c r="AM37" s="79">
        <v>44868</v>
      </c>
      <c r="AN37" s="80">
        <v>43803</v>
      </c>
    </row>
    <row r="38" spans="1:40">
      <c r="A38" s="63" t="s">
        <v>654</v>
      </c>
      <c r="B38" s="63" t="s">
        <v>665</v>
      </c>
      <c r="C38" s="81" t="s">
        <v>666</v>
      </c>
      <c r="D38" s="62" t="s">
        <v>671</v>
      </c>
      <c r="E38" s="63" t="s">
        <v>656</v>
      </c>
      <c r="F38" s="63" t="s">
        <v>657</v>
      </c>
      <c r="G38" s="68" t="s">
        <v>658</v>
      </c>
      <c r="H38" s="72">
        <v>8.18</v>
      </c>
      <c r="I38" s="65" t="s">
        <v>573</v>
      </c>
      <c r="J38" s="63" t="s">
        <v>672</v>
      </c>
      <c r="K38" s="53">
        <v>67.139064410000003</v>
      </c>
      <c r="L38" s="53">
        <v>20.659878419999998</v>
      </c>
      <c r="M38" s="63" t="s">
        <v>583</v>
      </c>
      <c r="N38" s="64" t="s">
        <v>459</v>
      </c>
      <c r="O38" s="52" t="s">
        <v>673</v>
      </c>
      <c r="P38" s="82" t="s">
        <v>405</v>
      </c>
      <c r="Q38" s="51" t="s">
        <v>674</v>
      </c>
      <c r="R38" s="63" t="s">
        <v>480</v>
      </c>
      <c r="S38" s="63" t="s">
        <v>398</v>
      </c>
      <c r="T38" s="63" t="s">
        <v>462</v>
      </c>
      <c r="U38" s="63" t="s">
        <v>480</v>
      </c>
      <c r="V38" s="68" t="s">
        <v>674</v>
      </c>
      <c r="W38" s="74">
        <v>2026</v>
      </c>
      <c r="X38" s="75" t="s">
        <v>674</v>
      </c>
      <c r="Y38" s="83">
        <v>1000</v>
      </c>
      <c r="Z38" s="51" t="s">
        <v>675</v>
      </c>
      <c r="AA38" s="84" t="s">
        <v>451</v>
      </c>
      <c r="AB38" s="51" t="s">
        <v>676</v>
      </c>
      <c r="AC38" s="84">
        <v>1.3</v>
      </c>
      <c r="AD38" s="51" t="s">
        <v>676</v>
      </c>
      <c r="AE38" s="84" t="s">
        <v>463</v>
      </c>
      <c r="AF38" s="51" t="s">
        <v>676</v>
      </c>
      <c r="AG38" s="84" t="s">
        <v>451</v>
      </c>
      <c r="AH38" s="68" t="s">
        <v>676</v>
      </c>
      <c r="AI38" s="65" t="s">
        <v>663</v>
      </c>
      <c r="AJ38" s="68" t="s">
        <v>666</v>
      </c>
      <c r="AK38" s="65" t="s">
        <v>677</v>
      </c>
      <c r="AL38" s="85" t="s">
        <v>678</v>
      </c>
      <c r="AM38" s="79">
        <v>44868</v>
      </c>
      <c r="AN38" s="80">
        <v>44279</v>
      </c>
    </row>
    <row r="39" spans="1:40">
      <c r="A39" s="63" t="s">
        <v>654</v>
      </c>
      <c r="B39" s="63" t="s">
        <v>665</v>
      </c>
      <c r="C39" s="81" t="s">
        <v>666</v>
      </c>
      <c r="D39" s="62" t="s">
        <v>679</v>
      </c>
      <c r="E39" s="63" t="s">
        <v>656</v>
      </c>
      <c r="F39" s="63" t="s">
        <v>657</v>
      </c>
      <c r="G39" s="68" t="s">
        <v>658</v>
      </c>
      <c r="H39" s="72">
        <v>8.18</v>
      </c>
      <c r="I39" s="65" t="s">
        <v>573</v>
      </c>
      <c r="J39" s="63" t="s">
        <v>680</v>
      </c>
      <c r="K39" s="53">
        <v>65.559719000000001</v>
      </c>
      <c r="L39" s="53">
        <v>22.219698999999999</v>
      </c>
      <c r="M39" s="63" t="s">
        <v>470</v>
      </c>
      <c r="N39" s="64" t="s">
        <v>459</v>
      </c>
      <c r="O39" s="52" t="s">
        <v>681</v>
      </c>
      <c r="P39" s="82" t="s">
        <v>404</v>
      </c>
      <c r="Q39" s="51" t="s">
        <v>682</v>
      </c>
      <c r="R39" s="63" t="s">
        <v>480</v>
      </c>
      <c r="S39" s="63" t="s">
        <v>398</v>
      </c>
      <c r="T39" s="63" t="s">
        <v>462</v>
      </c>
      <c r="U39" s="63" t="s">
        <v>480</v>
      </c>
      <c r="V39" s="68" t="s">
        <v>682</v>
      </c>
      <c r="W39" s="74">
        <v>2021</v>
      </c>
      <c r="X39" s="75" t="s">
        <v>682</v>
      </c>
      <c r="Y39" s="83">
        <v>150</v>
      </c>
      <c r="Z39" s="51" t="s">
        <v>675</v>
      </c>
      <c r="AA39" s="84" t="s">
        <v>451</v>
      </c>
      <c r="AB39" s="51" t="s">
        <v>682</v>
      </c>
      <c r="AC39" s="84" t="s">
        <v>463</v>
      </c>
      <c r="AD39" s="51" t="s">
        <v>682</v>
      </c>
      <c r="AE39" s="84" t="s">
        <v>463</v>
      </c>
      <c r="AF39" s="51" t="s">
        <v>683</v>
      </c>
      <c r="AG39" s="84" t="s">
        <v>451</v>
      </c>
      <c r="AH39" s="68" t="s">
        <v>682</v>
      </c>
      <c r="AI39" s="65" t="s">
        <v>663</v>
      </c>
      <c r="AJ39" s="68" t="s">
        <v>666</v>
      </c>
      <c r="AK39" s="65" t="s">
        <v>684</v>
      </c>
      <c r="AL39" s="85" t="s">
        <v>685</v>
      </c>
      <c r="AM39" s="79">
        <v>44868</v>
      </c>
      <c r="AN39" s="80">
        <v>44293</v>
      </c>
    </row>
    <row r="40" spans="1:40">
      <c r="A40" s="63" t="s">
        <v>654</v>
      </c>
      <c r="B40" s="63" t="s">
        <v>665</v>
      </c>
      <c r="C40" s="81" t="s">
        <v>666</v>
      </c>
      <c r="D40" s="62" t="s">
        <v>686</v>
      </c>
      <c r="E40" s="63" t="s">
        <v>656</v>
      </c>
      <c r="F40" s="63" t="s">
        <v>657</v>
      </c>
      <c r="G40" s="68" t="s">
        <v>658</v>
      </c>
      <c r="H40" s="72">
        <v>8.18</v>
      </c>
      <c r="I40" s="65" t="s">
        <v>573</v>
      </c>
      <c r="J40" s="63" t="s">
        <v>687</v>
      </c>
      <c r="K40" s="53">
        <v>58.670788999999999</v>
      </c>
      <c r="L40" s="53">
        <v>17.127786</v>
      </c>
      <c r="M40" s="63" t="s">
        <v>470</v>
      </c>
      <c r="N40" s="64" t="s">
        <v>459</v>
      </c>
      <c r="O40" s="52" t="s">
        <v>681</v>
      </c>
      <c r="P40" s="82" t="s">
        <v>406</v>
      </c>
      <c r="Q40" s="51" t="s">
        <v>688</v>
      </c>
      <c r="R40" s="63" t="s">
        <v>400</v>
      </c>
      <c r="S40" s="63" t="s">
        <v>400</v>
      </c>
      <c r="T40" s="63" t="s">
        <v>451</v>
      </c>
      <c r="U40" s="63" t="s">
        <v>668</v>
      </c>
      <c r="V40" s="68" t="s">
        <v>688</v>
      </c>
      <c r="W40" s="74">
        <v>2025</v>
      </c>
      <c r="X40" s="75" t="s">
        <v>688</v>
      </c>
      <c r="Y40" s="83" t="s">
        <v>463</v>
      </c>
      <c r="Z40" s="51" t="s">
        <v>688</v>
      </c>
      <c r="AA40" s="84" t="s">
        <v>463</v>
      </c>
      <c r="AB40" s="51" t="s">
        <v>688</v>
      </c>
      <c r="AC40" s="84" t="s">
        <v>463</v>
      </c>
      <c r="AD40" s="51" t="s">
        <v>688</v>
      </c>
      <c r="AE40" s="84" t="s">
        <v>463</v>
      </c>
      <c r="AF40" s="51" t="s">
        <v>688</v>
      </c>
      <c r="AG40" s="84" t="s">
        <v>451</v>
      </c>
      <c r="AH40" s="68" t="s">
        <v>688</v>
      </c>
      <c r="AI40" s="65" t="s">
        <v>663</v>
      </c>
      <c r="AJ40" s="68" t="s">
        <v>666</v>
      </c>
      <c r="AK40" s="65" t="s">
        <v>689</v>
      </c>
      <c r="AL40" s="85" t="s">
        <v>451</v>
      </c>
      <c r="AM40" s="79">
        <v>44868</v>
      </c>
      <c r="AN40" s="80">
        <v>44188</v>
      </c>
    </row>
    <row r="41" spans="1:40">
      <c r="A41" s="63" t="s">
        <v>690</v>
      </c>
      <c r="B41" s="63" t="s">
        <v>451</v>
      </c>
      <c r="C41" s="63" t="s">
        <v>451</v>
      </c>
      <c r="D41" s="62" t="s">
        <v>691</v>
      </c>
      <c r="E41" s="63" t="s">
        <v>692</v>
      </c>
      <c r="F41" s="63" t="s">
        <v>454</v>
      </c>
      <c r="G41" s="68" t="s">
        <v>693</v>
      </c>
      <c r="H41" s="72">
        <v>30.59</v>
      </c>
      <c r="I41" s="65" t="s">
        <v>542</v>
      </c>
      <c r="J41" s="63" t="s">
        <v>694</v>
      </c>
      <c r="K41" s="53">
        <v>52.484118000000002</v>
      </c>
      <c r="L41" s="53">
        <v>4.6155840000000001</v>
      </c>
      <c r="M41" s="63" t="s">
        <v>470</v>
      </c>
      <c r="N41" s="64" t="s">
        <v>459</v>
      </c>
      <c r="O41" s="52" t="s">
        <v>695</v>
      </c>
      <c r="P41" s="82" t="s">
        <v>406</v>
      </c>
      <c r="Q41" s="51" t="s">
        <v>695</v>
      </c>
      <c r="R41" s="63" t="s">
        <v>480</v>
      </c>
      <c r="S41" s="63" t="s">
        <v>398</v>
      </c>
      <c r="T41" s="63" t="s">
        <v>463</v>
      </c>
      <c r="U41" s="63" t="s">
        <v>480</v>
      </c>
      <c r="V41" s="68" t="s">
        <v>695</v>
      </c>
      <c r="W41" s="74">
        <v>2030</v>
      </c>
      <c r="X41" s="75" t="s">
        <v>695</v>
      </c>
      <c r="Y41" s="76">
        <v>64.8</v>
      </c>
      <c r="Z41" s="51" t="s">
        <v>696</v>
      </c>
      <c r="AA41" s="77" t="s">
        <v>463</v>
      </c>
      <c r="AB41" s="51" t="s">
        <v>695</v>
      </c>
      <c r="AC41" s="77" t="s">
        <v>463</v>
      </c>
      <c r="AD41" s="51" t="s">
        <v>695</v>
      </c>
      <c r="AE41" s="77" t="s">
        <v>463</v>
      </c>
      <c r="AF41" s="51" t="s">
        <v>695</v>
      </c>
      <c r="AG41" s="77" t="s">
        <v>451</v>
      </c>
      <c r="AH41" s="68" t="s">
        <v>695</v>
      </c>
      <c r="AI41" s="65" t="s">
        <v>697</v>
      </c>
      <c r="AJ41" s="68" t="s">
        <v>696</v>
      </c>
      <c r="AK41" s="65" t="s">
        <v>698</v>
      </c>
      <c r="AL41" s="85" t="s">
        <v>699</v>
      </c>
      <c r="AM41" s="79">
        <v>44868</v>
      </c>
      <c r="AN41" s="80">
        <v>44455</v>
      </c>
    </row>
    <row r="42" spans="1:40">
      <c r="A42" s="63" t="s">
        <v>690</v>
      </c>
      <c r="B42" s="63" t="s">
        <v>700</v>
      </c>
      <c r="C42" s="81" t="s">
        <v>701</v>
      </c>
      <c r="D42" s="62" t="s">
        <v>691</v>
      </c>
      <c r="E42" s="63" t="s">
        <v>692</v>
      </c>
      <c r="F42" s="63" t="s">
        <v>454</v>
      </c>
      <c r="G42" s="68" t="s">
        <v>693</v>
      </c>
      <c r="H42" s="72">
        <v>30.59</v>
      </c>
      <c r="I42" s="65" t="s">
        <v>542</v>
      </c>
      <c r="J42" s="63" t="s">
        <v>694</v>
      </c>
      <c r="K42" s="53">
        <v>52.484118000000002</v>
      </c>
      <c r="L42" s="53">
        <v>4.6155840000000001</v>
      </c>
      <c r="M42" s="63" t="s">
        <v>470</v>
      </c>
      <c r="N42" s="64" t="s">
        <v>459</v>
      </c>
      <c r="O42" s="52" t="s">
        <v>702</v>
      </c>
      <c r="P42" s="82" t="s">
        <v>406</v>
      </c>
      <c r="Q42" s="51" t="s">
        <v>701</v>
      </c>
      <c r="R42" s="63" t="s">
        <v>507</v>
      </c>
      <c r="S42" s="63" t="s">
        <v>399</v>
      </c>
      <c r="T42" s="63" t="s">
        <v>462</v>
      </c>
      <c r="U42" s="63" t="s">
        <v>508</v>
      </c>
      <c r="V42" s="68" t="s">
        <v>701</v>
      </c>
      <c r="W42" s="74">
        <v>2025</v>
      </c>
      <c r="X42" s="75" t="s">
        <v>701</v>
      </c>
      <c r="Y42" s="76" t="s">
        <v>463</v>
      </c>
      <c r="Z42" s="51" t="s">
        <v>701</v>
      </c>
      <c r="AA42" s="77" t="s">
        <v>451</v>
      </c>
      <c r="AB42" s="51" t="s">
        <v>701</v>
      </c>
      <c r="AC42" s="77" t="s">
        <v>451</v>
      </c>
      <c r="AD42" s="51" t="s">
        <v>701</v>
      </c>
      <c r="AE42" s="77">
        <v>100</v>
      </c>
      <c r="AF42" s="51" t="s">
        <v>701</v>
      </c>
      <c r="AG42" s="77" t="s">
        <v>451</v>
      </c>
      <c r="AH42" s="68" t="s">
        <v>701</v>
      </c>
      <c r="AI42" s="65" t="s">
        <v>703</v>
      </c>
      <c r="AJ42" s="68" t="s">
        <v>701</v>
      </c>
      <c r="AK42" s="65" t="s">
        <v>704</v>
      </c>
      <c r="AL42" s="93" t="s">
        <v>701</v>
      </c>
      <c r="AM42" s="79">
        <v>44868</v>
      </c>
      <c r="AN42" s="80">
        <v>43392</v>
      </c>
    </row>
    <row r="43" spans="1:40">
      <c r="A43" s="63" t="s">
        <v>690</v>
      </c>
      <c r="B43" s="63" t="s">
        <v>705</v>
      </c>
      <c r="C43" s="81" t="s">
        <v>706</v>
      </c>
      <c r="D43" s="62" t="s">
        <v>691</v>
      </c>
      <c r="E43" s="63" t="s">
        <v>692</v>
      </c>
      <c r="F43" s="63" t="s">
        <v>454</v>
      </c>
      <c r="G43" s="68" t="s">
        <v>693</v>
      </c>
      <c r="H43" s="72">
        <v>30.59</v>
      </c>
      <c r="I43" s="65" t="s">
        <v>542</v>
      </c>
      <c r="J43" s="63" t="s">
        <v>694</v>
      </c>
      <c r="K43" s="53">
        <v>52.484118000000002</v>
      </c>
      <c r="L43" s="53">
        <v>4.6155840000000001</v>
      </c>
      <c r="M43" s="63" t="s">
        <v>470</v>
      </c>
      <c r="N43" s="64" t="s">
        <v>459</v>
      </c>
      <c r="O43" s="52" t="s">
        <v>702</v>
      </c>
      <c r="P43" s="82" t="s">
        <v>404</v>
      </c>
      <c r="Q43" s="51" t="s">
        <v>707</v>
      </c>
      <c r="R43" s="63" t="s">
        <v>494</v>
      </c>
      <c r="S43" s="63" t="s">
        <v>187</v>
      </c>
      <c r="T43" s="63" t="s">
        <v>451</v>
      </c>
      <c r="U43" s="63" t="s">
        <v>708</v>
      </c>
      <c r="V43" s="68" t="s">
        <v>707</v>
      </c>
      <c r="W43" s="74">
        <v>2017</v>
      </c>
      <c r="X43" s="75" t="s">
        <v>707</v>
      </c>
      <c r="Y43" s="76">
        <v>100</v>
      </c>
      <c r="Z43" s="51" t="s">
        <v>709</v>
      </c>
      <c r="AA43" s="77" t="s">
        <v>451</v>
      </c>
      <c r="AB43" s="51" t="s">
        <v>707</v>
      </c>
      <c r="AC43" s="77">
        <v>0.06</v>
      </c>
      <c r="AD43" s="51" t="s">
        <v>707</v>
      </c>
      <c r="AE43" s="77" t="s">
        <v>451</v>
      </c>
      <c r="AF43" s="51" t="s">
        <v>707</v>
      </c>
      <c r="AG43" s="77" t="s">
        <v>451</v>
      </c>
      <c r="AH43" s="68" t="s">
        <v>707</v>
      </c>
      <c r="AI43" s="65" t="s">
        <v>710</v>
      </c>
      <c r="AJ43" s="68" t="s">
        <v>709</v>
      </c>
      <c r="AK43" s="65" t="s">
        <v>711</v>
      </c>
      <c r="AL43" s="93" t="s">
        <v>712</v>
      </c>
      <c r="AM43" s="79">
        <v>44867</v>
      </c>
      <c r="AN43" s="80">
        <v>40688</v>
      </c>
    </row>
    <row r="44" spans="1:40">
      <c r="A44" s="63" t="s">
        <v>713</v>
      </c>
      <c r="B44" s="63" t="s">
        <v>714</v>
      </c>
      <c r="C44" s="63" t="s">
        <v>451</v>
      </c>
      <c r="D44" s="62" t="s">
        <v>491</v>
      </c>
      <c r="E44" s="63" t="s">
        <v>451</v>
      </c>
      <c r="F44" s="63" t="s">
        <v>451</v>
      </c>
      <c r="G44" s="68" t="s">
        <v>715</v>
      </c>
      <c r="H44" s="96" t="s">
        <v>593</v>
      </c>
      <c r="I44" s="65" t="s">
        <v>716</v>
      </c>
      <c r="J44" s="63" t="s">
        <v>717</v>
      </c>
      <c r="K44" s="53">
        <v>45.641516000000003</v>
      </c>
      <c r="L44" s="53">
        <v>9.6002419999999997</v>
      </c>
      <c r="M44" s="63" t="s">
        <v>470</v>
      </c>
      <c r="N44" s="64" t="s">
        <v>459</v>
      </c>
      <c r="O44" s="52" t="s">
        <v>715</v>
      </c>
      <c r="P44" s="82" t="s">
        <v>406</v>
      </c>
      <c r="Q44" s="51" t="s">
        <v>715</v>
      </c>
      <c r="R44" s="63" t="s">
        <v>507</v>
      </c>
      <c r="S44" s="63" t="s">
        <v>399</v>
      </c>
      <c r="T44" s="63" t="s">
        <v>462</v>
      </c>
      <c r="U44" s="63" t="s">
        <v>508</v>
      </c>
      <c r="V44" s="68" t="s">
        <v>715</v>
      </c>
      <c r="W44" s="91" t="s">
        <v>463</v>
      </c>
      <c r="X44" s="75" t="s">
        <v>715</v>
      </c>
      <c r="Y44" s="92" t="s">
        <v>463</v>
      </c>
      <c r="Z44" s="51" t="s">
        <v>715</v>
      </c>
      <c r="AA44" s="86" t="s">
        <v>463</v>
      </c>
      <c r="AB44" s="51" t="s">
        <v>715</v>
      </c>
      <c r="AC44" s="86" t="s">
        <v>451</v>
      </c>
      <c r="AD44" s="51" t="s">
        <v>715</v>
      </c>
      <c r="AE44" s="86">
        <v>20</v>
      </c>
      <c r="AF44" s="51" t="s">
        <v>715</v>
      </c>
      <c r="AG44" s="86" t="s">
        <v>451</v>
      </c>
      <c r="AH44" s="68" t="s">
        <v>715</v>
      </c>
      <c r="AI44" s="65" t="s">
        <v>718</v>
      </c>
      <c r="AJ44" s="68" t="s">
        <v>715</v>
      </c>
      <c r="AK44" s="65" t="s">
        <v>719</v>
      </c>
      <c r="AL44" s="93" t="s">
        <v>715</v>
      </c>
      <c r="AM44" s="79">
        <v>44868</v>
      </c>
      <c r="AN44" s="80">
        <v>44501</v>
      </c>
    </row>
    <row r="45" spans="1:40">
      <c r="A45" s="63" t="s">
        <v>720</v>
      </c>
      <c r="B45" s="63" t="s">
        <v>721</v>
      </c>
      <c r="C45" s="63" t="s">
        <v>451</v>
      </c>
      <c r="D45" s="62" t="s">
        <v>722</v>
      </c>
      <c r="E45" s="63" t="s">
        <v>723</v>
      </c>
      <c r="F45" s="63" t="s">
        <v>724</v>
      </c>
      <c r="G45" s="68" t="s">
        <v>725</v>
      </c>
      <c r="H45" s="72">
        <v>12</v>
      </c>
      <c r="I45" s="65" t="s">
        <v>503</v>
      </c>
      <c r="J45" s="63" t="s">
        <v>726</v>
      </c>
      <c r="K45" s="53">
        <v>51.491649000000002</v>
      </c>
      <c r="L45" s="53">
        <v>6.7330509999999997</v>
      </c>
      <c r="M45" s="63" t="s">
        <v>470</v>
      </c>
      <c r="N45" s="64" t="s">
        <v>459</v>
      </c>
      <c r="O45" s="52" t="s">
        <v>727</v>
      </c>
      <c r="P45" s="82" t="s">
        <v>406</v>
      </c>
      <c r="Q45" s="51" t="s">
        <v>728</v>
      </c>
      <c r="R45" s="63" t="s">
        <v>517</v>
      </c>
      <c r="S45" s="63" t="s">
        <v>398</v>
      </c>
      <c r="T45" s="63" t="s">
        <v>462</v>
      </c>
      <c r="U45" s="63" t="s">
        <v>517</v>
      </c>
      <c r="V45" s="68" t="s">
        <v>728</v>
      </c>
      <c r="W45" s="74">
        <v>2025</v>
      </c>
      <c r="X45" s="75" t="s">
        <v>728</v>
      </c>
      <c r="Y45" s="76" t="s">
        <v>463</v>
      </c>
      <c r="Z45" s="51" t="s">
        <v>728</v>
      </c>
      <c r="AA45" s="77" t="s">
        <v>451</v>
      </c>
      <c r="AB45" s="51" t="s">
        <v>728</v>
      </c>
      <c r="AC45" s="77">
        <v>1.2</v>
      </c>
      <c r="AD45" s="51" t="s">
        <v>728</v>
      </c>
      <c r="AE45" s="77" t="s">
        <v>451</v>
      </c>
      <c r="AF45" s="51" t="s">
        <v>728</v>
      </c>
      <c r="AG45" s="77" t="s">
        <v>451</v>
      </c>
      <c r="AH45" s="68" t="s">
        <v>728</v>
      </c>
      <c r="AI45" s="65" t="s">
        <v>451</v>
      </c>
      <c r="AJ45" s="68" t="s">
        <v>728</v>
      </c>
      <c r="AK45" s="65" t="s">
        <v>729</v>
      </c>
      <c r="AL45" s="78" t="s">
        <v>730</v>
      </c>
      <c r="AM45" s="79">
        <v>44998</v>
      </c>
      <c r="AN45" s="80">
        <v>44071</v>
      </c>
    </row>
    <row r="46" spans="1:40">
      <c r="A46" s="63" t="s">
        <v>720</v>
      </c>
      <c r="B46" s="63" t="s">
        <v>731</v>
      </c>
      <c r="C46" s="81" t="s">
        <v>732</v>
      </c>
      <c r="D46" s="62" t="s">
        <v>722</v>
      </c>
      <c r="E46" s="63" t="s">
        <v>723</v>
      </c>
      <c r="F46" s="63" t="s">
        <v>724</v>
      </c>
      <c r="G46" s="68" t="s">
        <v>725</v>
      </c>
      <c r="H46" s="72">
        <v>12</v>
      </c>
      <c r="I46" s="65" t="s">
        <v>503</v>
      </c>
      <c r="J46" s="63" t="s">
        <v>726</v>
      </c>
      <c r="K46" s="53">
        <v>51.491649000000002</v>
      </c>
      <c r="L46" s="53">
        <v>6.7330509999999997</v>
      </c>
      <c r="M46" s="63" t="s">
        <v>470</v>
      </c>
      <c r="N46" s="64" t="s">
        <v>459</v>
      </c>
      <c r="O46" s="52" t="s">
        <v>727</v>
      </c>
      <c r="P46" s="82" t="s">
        <v>406</v>
      </c>
      <c r="Q46" s="51" t="s">
        <v>732</v>
      </c>
      <c r="R46" s="63" t="s">
        <v>507</v>
      </c>
      <c r="S46" s="63" t="s">
        <v>399</v>
      </c>
      <c r="T46" s="63" t="s">
        <v>462</v>
      </c>
      <c r="U46" s="63" t="s">
        <v>508</v>
      </c>
      <c r="V46" s="68" t="s">
        <v>732</v>
      </c>
      <c r="W46" s="74">
        <v>2025</v>
      </c>
      <c r="X46" s="75" t="s">
        <v>732</v>
      </c>
      <c r="Y46" s="76">
        <v>600</v>
      </c>
      <c r="Z46" s="51" t="s">
        <v>732</v>
      </c>
      <c r="AA46" s="77" t="s">
        <v>451</v>
      </c>
      <c r="AB46" s="51" t="s">
        <v>732</v>
      </c>
      <c r="AC46" s="77" t="s">
        <v>451</v>
      </c>
      <c r="AD46" s="51" t="s">
        <v>732</v>
      </c>
      <c r="AE46" s="77">
        <v>520</v>
      </c>
      <c r="AF46" s="51" t="s">
        <v>733</v>
      </c>
      <c r="AG46" s="77" t="s">
        <v>451</v>
      </c>
      <c r="AH46" s="68" t="s">
        <v>732</v>
      </c>
      <c r="AI46" s="65" t="s">
        <v>734</v>
      </c>
      <c r="AJ46" s="68" t="s">
        <v>732</v>
      </c>
      <c r="AK46" s="65" t="s">
        <v>735</v>
      </c>
      <c r="AL46" s="78" t="s">
        <v>736</v>
      </c>
      <c r="AM46" s="79">
        <v>44993</v>
      </c>
      <c r="AN46" s="80">
        <v>44251</v>
      </c>
    </row>
    <row r="47" spans="1:40">
      <c r="A47" s="63" t="s">
        <v>720</v>
      </c>
      <c r="B47" s="63" t="s">
        <v>737</v>
      </c>
      <c r="C47" s="81" t="s">
        <v>738</v>
      </c>
      <c r="D47" s="62" t="s">
        <v>451</v>
      </c>
      <c r="E47" s="63" t="s">
        <v>723</v>
      </c>
      <c r="F47" s="63" t="s">
        <v>724</v>
      </c>
      <c r="G47" s="68" t="s">
        <v>725</v>
      </c>
      <c r="H47" s="72">
        <v>12</v>
      </c>
      <c r="I47" s="65" t="s">
        <v>503</v>
      </c>
      <c r="J47" s="63" t="s">
        <v>739</v>
      </c>
      <c r="K47" s="53">
        <v>51.491649000000002</v>
      </c>
      <c r="L47" s="53">
        <v>6.7330509999999997</v>
      </c>
      <c r="M47" s="63" t="s">
        <v>470</v>
      </c>
      <c r="N47" s="64" t="s">
        <v>459</v>
      </c>
      <c r="O47" s="52" t="s">
        <v>727</v>
      </c>
      <c r="P47" s="82" t="s">
        <v>406</v>
      </c>
      <c r="Q47" s="51" t="s">
        <v>738</v>
      </c>
      <c r="R47" s="63" t="s">
        <v>507</v>
      </c>
      <c r="S47" s="63" t="s">
        <v>399</v>
      </c>
      <c r="T47" s="63" t="s">
        <v>481</v>
      </c>
      <c r="U47" s="63" t="s">
        <v>740</v>
      </c>
      <c r="V47" s="68" t="s">
        <v>741</v>
      </c>
      <c r="W47" s="74">
        <v>2027</v>
      </c>
      <c r="X47" s="75" t="s">
        <v>741</v>
      </c>
      <c r="Y47" s="76" t="s">
        <v>463</v>
      </c>
      <c r="Z47" s="51" t="s">
        <v>738</v>
      </c>
      <c r="AA47" s="77" t="s">
        <v>451</v>
      </c>
      <c r="AB47" s="51" t="s">
        <v>738</v>
      </c>
      <c r="AC47" s="77" t="s">
        <v>463</v>
      </c>
      <c r="AD47" s="51" t="s">
        <v>738</v>
      </c>
      <c r="AE47" s="77">
        <v>1400</v>
      </c>
      <c r="AF47" s="51" t="s">
        <v>742</v>
      </c>
      <c r="AG47" s="77" t="s">
        <v>463</v>
      </c>
      <c r="AH47" s="68" t="s">
        <v>742</v>
      </c>
      <c r="AI47" s="65" t="s">
        <v>743</v>
      </c>
      <c r="AJ47" s="68" t="s">
        <v>742</v>
      </c>
      <c r="AK47" s="65" t="s">
        <v>744</v>
      </c>
      <c r="AL47" s="93" t="s">
        <v>742</v>
      </c>
      <c r="AM47" s="79">
        <v>44873</v>
      </c>
      <c r="AN47" s="80">
        <v>44208</v>
      </c>
    </row>
    <row r="48" spans="1:40">
      <c r="A48" s="63" t="s">
        <v>745</v>
      </c>
      <c r="B48" s="63" t="s">
        <v>746</v>
      </c>
      <c r="C48" s="81" t="s">
        <v>747</v>
      </c>
      <c r="D48" s="62" t="s">
        <v>748</v>
      </c>
      <c r="E48" s="63" t="s">
        <v>749</v>
      </c>
      <c r="F48" s="63" t="s">
        <v>454</v>
      </c>
      <c r="G48" s="68" t="s">
        <v>750</v>
      </c>
      <c r="H48" s="95" t="s">
        <v>593</v>
      </c>
      <c r="I48" s="65" t="s">
        <v>751</v>
      </c>
      <c r="J48" s="63" t="s">
        <v>752</v>
      </c>
      <c r="K48" s="53">
        <v>47.380454999999998</v>
      </c>
      <c r="L48" s="53">
        <v>15.065182</v>
      </c>
      <c r="M48" s="63" t="s">
        <v>470</v>
      </c>
      <c r="N48" s="64" t="s">
        <v>459</v>
      </c>
      <c r="O48" s="52" t="s">
        <v>753</v>
      </c>
      <c r="P48" s="82" t="s">
        <v>404</v>
      </c>
      <c r="Q48" s="51" t="s">
        <v>754</v>
      </c>
      <c r="R48" s="63" t="s">
        <v>480</v>
      </c>
      <c r="S48" s="63" t="s">
        <v>398</v>
      </c>
      <c r="T48" s="63" t="s">
        <v>463</v>
      </c>
      <c r="U48" s="63" t="s">
        <v>480</v>
      </c>
      <c r="V48" s="68" t="s">
        <v>755</v>
      </c>
      <c r="W48" s="74">
        <v>2021</v>
      </c>
      <c r="X48" s="75" t="s">
        <v>754</v>
      </c>
      <c r="Y48" s="76" t="s">
        <v>463</v>
      </c>
      <c r="Z48" s="51" t="s">
        <v>754</v>
      </c>
      <c r="AA48" s="77" t="s">
        <v>451</v>
      </c>
      <c r="AB48" s="51" t="s">
        <v>754</v>
      </c>
      <c r="AC48" s="77">
        <v>0.25</v>
      </c>
      <c r="AD48" s="51" t="s">
        <v>755</v>
      </c>
      <c r="AE48" s="77" t="s">
        <v>463</v>
      </c>
      <c r="AF48" s="51" t="s">
        <v>755</v>
      </c>
      <c r="AG48" s="77" t="s">
        <v>451</v>
      </c>
      <c r="AH48" s="68" t="s">
        <v>755</v>
      </c>
      <c r="AI48" s="65" t="s">
        <v>756</v>
      </c>
      <c r="AJ48" s="88" t="s">
        <v>757</v>
      </c>
      <c r="AK48" s="65" t="s">
        <v>758</v>
      </c>
      <c r="AL48" s="85" t="s">
        <v>759</v>
      </c>
      <c r="AM48" s="79">
        <v>44868</v>
      </c>
      <c r="AN48" s="80">
        <v>44193</v>
      </c>
    </row>
    <row r="49" spans="1:40">
      <c r="A49" s="63" t="s">
        <v>745</v>
      </c>
      <c r="B49" s="63" t="s">
        <v>760</v>
      </c>
      <c r="C49" s="81" t="s">
        <v>761</v>
      </c>
      <c r="D49" s="62" t="s">
        <v>748</v>
      </c>
      <c r="E49" s="63" t="s">
        <v>749</v>
      </c>
      <c r="F49" s="63" t="s">
        <v>454</v>
      </c>
      <c r="G49" s="68" t="s">
        <v>750</v>
      </c>
      <c r="H49" s="95" t="s">
        <v>593</v>
      </c>
      <c r="I49" s="65" t="s">
        <v>751</v>
      </c>
      <c r="J49" s="63" t="s">
        <v>752</v>
      </c>
      <c r="K49" s="53">
        <v>47.380454999999998</v>
      </c>
      <c r="L49" s="53">
        <v>15.065182</v>
      </c>
      <c r="M49" s="63" t="s">
        <v>470</v>
      </c>
      <c r="N49" s="64" t="s">
        <v>459</v>
      </c>
      <c r="O49" s="52" t="s">
        <v>753</v>
      </c>
      <c r="P49" s="82" t="s">
        <v>404</v>
      </c>
      <c r="Q49" s="51" t="s">
        <v>761</v>
      </c>
      <c r="R49" s="63" t="s">
        <v>494</v>
      </c>
      <c r="S49" s="63" t="s">
        <v>187</v>
      </c>
      <c r="T49" s="63" t="s">
        <v>451</v>
      </c>
      <c r="U49" s="63" t="s">
        <v>762</v>
      </c>
      <c r="V49" s="68" t="s">
        <v>761</v>
      </c>
      <c r="W49" s="74">
        <v>2020</v>
      </c>
      <c r="X49" s="75" t="s">
        <v>761</v>
      </c>
      <c r="Y49" s="76" t="s">
        <v>463</v>
      </c>
      <c r="Z49" s="51" t="s">
        <v>761</v>
      </c>
      <c r="AA49" s="77" t="s">
        <v>451</v>
      </c>
      <c r="AB49" s="51" t="s">
        <v>761</v>
      </c>
      <c r="AC49" s="77">
        <v>0</v>
      </c>
      <c r="AD49" s="51" t="s">
        <v>761</v>
      </c>
      <c r="AE49" s="77" t="s">
        <v>451</v>
      </c>
      <c r="AF49" s="51" t="s">
        <v>761</v>
      </c>
      <c r="AG49" s="77" t="s">
        <v>451</v>
      </c>
      <c r="AH49" s="68" t="s">
        <v>761</v>
      </c>
      <c r="AI49" s="65" t="s">
        <v>763</v>
      </c>
      <c r="AJ49" s="68" t="s">
        <v>761</v>
      </c>
      <c r="AK49" s="65" t="s">
        <v>764</v>
      </c>
      <c r="AL49" s="93" t="s">
        <v>761</v>
      </c>
      <c r="AM49" s="79">
        <v>44851</v>
      </c>
      <c r="AN49" s="80">
        <v>42614</v>
      </c>
    </row>
    <row r="50" spans="1:40">
      <c r="A50" s="63" t="s">
        <v>745</v>
      </c>
      <c r="B50" s="63" t="s">
        <v>765</v>
      </c>
      <c r="C50" s="81" t="s">
        <v>766</v>
      </c>
      <c r="D50" s="62" t="s">
        <v>767</v>
      </c>
      <c r="E50" s="63" t="s">
        <v>749</v>
      </c>
      <c r="F50" s="63" t="s">
        <v>454</v>
      </c>
      <c r="G50" s="68" t="s">
        <v>750</v>
      </c>
      <c r="H50" s="95" t="s">
        <v>593</v>
      </c>
      <c r="I50" s="65" t="s">
        <v>751</v>
      </c>
      <c r="J50" s="63" t="s">
        <v>768</v>
      </c>
      <c r="K50" s="53">
        <v>48.274023</v>
      </c>
      <c r="L50" s="53">
        <v>14.334339999999999</v>
      </c>
      <c r="M50" s="63" t="s">
        <v>470</v>
      </c>
      <c r="N50" s="64" t="s">
        <v>459</v>
      </c>
      <c r="O50" s="52" t="s">
        <v>769</v>
      </c>
      <c r="P50" s="82" t="s">
        <v>404</v>
      </c>
      <c r="Q50" s="51" t="s">
        <v>770</v>
      </c>
      <c r="R50" s="63" t="s">
        <v>507</v>
      </c>
      <c r="S50" s="63" t="s">
        <v>399</v>
      </c>
      <c r="T50" s="63" t="s">
        <v>462</v>
      </c>
      <c r="U50" s="63" t="s">
        <v>771</v>
      </c>
      <c r="V50" s="68" t="s">
        <v>770</v>
      </c>
      <c r="W50" s="74">
        <v>2019</v>
      </c>
      <c r="X50" s="75" t="s">
        <v>770</v>
      </c>
      <c r="Y50" s="76">
        <v>21</v>
      </c>
      <c r="Z50" s="51" t="s">
        <v>770</v>
      </c>
      <c r="AA50" s="77" t="s">
        <v>451</v>
      </c>
      <c r="AB50" s="51" t="s">
        <v>770</v>
      </c>
      <c r="AC50" s="77" t="s">
        <v>451</v>
      </c>
      <c r="AD50" s="51" t="s">
        <v>770</v>
      </c>
      <c r="AE50" s="77">
        <v>6</v>
      </c>
      <c r="AF50" s="51" t="s">
        <v>766</v>
      </c>
      <c r="AG50" s="77" t="s">
        <v>451</v>
      </c>
      <c r="AH50" s="68" t="s">
        <v>770</v>
      </c>
      <c r="AI50" s="65" t="s">
        <v>772</v>
      </c>
      <c r="AJ50" s="68" t="s">
        <v>766</v>
      </c>
      <c r="AK50" s="65" t="s">
        <v>773</v>
      </c>
      <c r="AL50" s="85" t="s">
        <v>774</v>
      </c>
      <c r="AM50" s="79">
        <v>44971</v>
      </c>
      <c r="AN50" s="80">
        <v>43780</v>
      </c>
    </row>
    <row r="51" spans="1:40">
      <c r="A51" s="63" t="s">
        <v>579</v>
      </c>
      <c r="B51" s="63" t="s">
        <v>491</v>
      </c>
      <c r="C51" s="81" t="s">
        <v>775</v>
      </c>
      <c r="D51" s="62" t="s">
        <v>491</v>
      </c>
      <c r="E51" s="63" t="s">
        <v>451</v>
      </c>
      <c r="F51" s="63" t="s">
        <v>451</v>
      </c>
      <c r="G51" s="68" t="s">
        <v>581</v>
      </c>
      <c r="H51" s="95">
        <v>0</v>
      </c>
      <c r="I51" s="65" t="s">
        <v>550</v>
      </c>
      <c r="J51" s="63" t="s">
        <v>776</v>
      </c>
      <c r="K51" s="53">
        <v>40.463700000000003</v>
      </c>
      <c r="L51" s="53">
        <v>-3.7492000000000001</v>
      </c>
      <c r="M51" s="63" t="s">
        <v>544</v>
      </c>
      <c r="N51" s="64" t="s">
        <v>459</v>
      </c>
      <c r="O51" s="52" t="s">
        <v>777</v>
      </c>
      <c r="P51" s="65" t="s">
        <v>406</v>
      </c>
      <c r="Q51" s="51" t="s">
        <v>777</v>
      </c>
      <c r="R51" s="63" t="s">
        <v>480</v>
      </c>
      <c r="S51" s="63" t="s">
        <v>398</v>
      </c>
      <c r="T51" s="63" t="s">
        <v>462</v>
      </c>
      <c r="U51" s="63" t="s">
        <v>480</v>
      </c>
      <c r="V51" s="68" t="s">
        <v>777</v>
      </c>
      <c r="W51" s="74">
        <v>2025</v>
      </c>
      <c r="X51" s="75" t="s">
        <v>775</v>
      </c>
      <c r="Y51" s="76">
        <v>2600</v>
      </c>
      <c r="Z51" s="51" t="s">
        <v>775</v>
      </c>
      <c r="AA51" s="77">
        <v>3.75</v>
      </c>
      <c r="AB51" s="51" t="s">
        <v>777</v>
      </c>
      <c r="AC51" s="77">
        <v>2</v>
      </c>
      <c r="AD51" s="51" t="s">
        <v>777</v>
      </c>
      <c r="AE51" s="77">
        <v>1000</v>
      </c>
      <c r="AF51" s="51" t="s">
        <v>777</v>
      </c>
      <c r="AG51" s="77" t="s">
        <v>451</v>
      </c>
      <c r="AH51" s="68" t="s">
        <v>777</v>
      </c>
      <c r="AI51" s="65" t="s">
        <v>778</v>
      </c>
      <c r="AJ51" s="68" t="s">
        <v>775</v>
      </c>
      <c r="AK51" s="65" t="s">
        <v>779</v>
      </c>
      <c r="AL51" s="93" t="s">
        <v>775</v>
      </c>
      <c r="AM51" s="79">
        <v>44868</v>
      </c>
      <c r="AN51" s="80">
        <v>44532</v>
      </c>
    </row>
    <row r="52" spans="1:40">
      <c r="A52" s="63" t="s">
        <v>450</v>
      </c>
      <c r="B52" s="63" t="s">
        <v>491</v>
      </c>
      <c r="C52" s="81" t="s">
        <v>483</v>
      </c>
      <c r="D52" s="62" t="s">
        <v>780</v>
      </c>
      <c r="E52" s="63" t="s">
        <v>453</v>
      </c>
      <c r="F52" s="63" t="s">
        <v>454</v>
      </c>
      <c r="G52" s="68" t="s">
        <v>455</v>
      </c>
      <c r="H52" s="72">
        <v>79.260000000000005</v>
      </c>
      <c r="I52" s="65" t="s">
        <v>468</v>
      </c>
      <c r="J52" s="63" t="s">
        <v>781</v>
      </c>
      <c r="K52" s="53">
        <v>43.432830000000003</v>
      </c>
      <c r="L52" s="53">
        <v>4.8871659999999997</v>
      </c>
      <c r="M52" s="63" t="s">
        <v>470</v>
      </c>
      <c r="N52" s="64" t="s">
        <v>459</v>
      </c>
      <c r="O52" s="52" t="s">
        <v>483</v>
      </c>
      <c r="P52" s="65" t="s">
        <v>406</v>
      </c>
      <c r="Q52" s="51" t="s">
        <v>483</v>
      </c>
      <c r="R52" s="63" t="s">
        <v>400</v>
      </c>
      <c r="S52" s="63" t="s">
        <v>400</v>
      </c>
      <c r="T52" s="63" t="s">
        <v>451</v>
      </c>
      <c r="U52" s="63" t="s">
        <v>668</v>
      </c>
      <c r="V52" s="68" t="s">
        <v>483</v>
      </c>
      <c r="W52" s="74">
        <v>2027</v>
      </c>
      <c r="X52" s="75" t="s">
        <v>483</v>
      </c>
      <c r="Y52" s="76">
        <v>1929</v>
      </c>
      <c r="Z52" s="51" t="s">
        <v>483</v>
      </c>
      <c r="AA52" s="77" t="s">
        <v>463</v>
      </c>
      <c r="AB52" s="51" t="s">
        <v>483</v>
      </c>
      <c r="AC52" s="77" t="s">
        <v>451</v>
      </c>
      <c r="AD52" s="51" t="s">
        <v>483</v>
      </c>
      <c r="AE52" s="77" t="s">
        <v>451</v>
      </c>
      <c r="AF52" s="51" t="s">
        <v>483</v>
      </c>
      <c r="AG52" s="77" t="s">
        <v>451</v>
      </c>
      <c r="AH52" s="68" t="s">
        <v>483</v>
      </c>
      <c r="AI52" s="65" t="s">
        <v>451</v>
      </c>
      <c r="AJ52" s="68" t="s">
        <v>483</v>
      </c>
      <c r="AK52" s="65" t="s">
        <v>782</v>
      </c>
      <c r="AL52" s="93" t="s">
        <v>483</v>
      </c>
      <c r="AM52" s="79">
        <v>44868</v>
      </c>
      <c r="AN52" s="80">
        <v>44596</v>
      </c>
    </row>
    <row r="53" spans="1:40">
      <c r="A53" s="63" t="s">
        <v>720</v>
      </c>
      <c r="B53" s="63" t="s">
        <v>451</v>
      </c>
      <c r="C53" s="81" t="s">
        <v>783</v>
      </c>
      <c r="D53" s="62" t="s">
        <v>451</v>
      </c>
      <c r="E53" s="63" t="s">
        <v>723</v>
      </c>
      <c r="F53" s="63" t="s">
        <v>724</v>
      </c>
      <c r="G53" s="68" t="s">
        <v>725</v>
      </c>
      <c r="H53" s="72">
        <v>12</v>
      </c>
      <c r="I53" s="65" t="s">
        <v>542</v>
      </c>
      <c r="J53" s="63" t="s">
        <v>784</v>
      </c>
      <c r="K53" s="53">
        <v>51.924399999999999</v>
      </c>
      <c r="L53" s="53">
        <v>4.4776999999999996</v>
      </c>
      <c r="M53" s="63" t="s">
        <v>583</v>
      </c>
      <c r="N53" s="64" t="s">
        <v>459</v>
      </c>
      <c r="O53" s="52" t="s">
        <v>783</v>
      </c>
      <c r="P53" s="65" t="s">
        <v>514</v>
      </c>
      <c r="Q53" s="51" t="s">
        <v>783</v>
      </c>
      <c r="R53" s="63" t="s">
        <v>480</v>
      </c>
      <c r="S53" s="63" t="s">
        <v>398</v>
      </c>
      <c r="T53" s="63" t="s">
        <v>462</v>
      </c>
      <c r="U53" s="63" t="s">
        <v>480</v>
      </c>
      <c r="V53" s="68" t="s">
        <v>783</v>
      </c>
      <c r="W53" s="74" t="s">
        <v>463</v>
      </c>
      <c r="X53" s="75" t="s">
        <v>783</v>
      </c>
      <c r="Y53" s="83" t="s">
        <v>463</v>
      </c>
      <c r="Z53" s="51" t="s">
        <v>783</v>
      </c>
      <c r="AA53" s="77" t="s">
        <v>463</v>
      </c>
      <c r="AB53" s="51" t="s">
        <v>783</v>
      </c>
      <c r="AC53" s="77" t="s">
        <v>463</v>
      </c>
      <c r="AD53" s="51" t="s">
        <v>783</v>
      </c>
      <c r="AE53" s="77" t="s">
        <v>451</v>
      </c>
      <c r="AF53" s="51" t="s">
        <v>783</v>
      </c>
      <c r="AG53" s="77" t="s">
        <v>451</v>
      </c>
      <c r="AH53" s="68" t="s">
        <v>783</v>
      </c>
      <c r="AI53" s="65" t="s">
        <v>785</v>
      </c>
      <c r="AJ53" s="68" t="s">
        <v>783</v>
      </c>
      <c r="AK53" s="65" t="s">
        <v>786</v>
      </c>
      <c r="AL53" s="93" t="s">
        <v>783</v>
      </c>
      <c r="AM53" s="79">
        <v>44867</v>
      </c>
      <c r="AN53" s="80">
        <v>44320</v>
      </c>
    </row>
    <row r="54" spans="1:40">
      <c r="A54" s="63" t="s">
        <v>618</v>
      </c>
      <c r="B54" s="63" t="s">
        <v>451</v>
      </c>
      <c r="C54" s="81" t="s">
        <v>787</v>
      </c>
      <c r="D54" s="62" t="s">
        <v>491</v>
      </c>
      <c r="E54" s="63" t="s">
        <v>622</v>
      </c>
      <c r="F54" s="63" t="s">
        <v>623</v>
      </c>
      <c r="G54" s="68" t="s">
        <v>640</v>
      </c>
      <c r="H54" s="95" t="s">
        <v>593</v>
      </c>
      <c r="I54" s="65" t="s">
        <v>503</v>
      </c>
      <c r="J54" s="63" t="s">
        <v>648</v>
      </c>
      <c r="K54" s="53">
        <v>53.581142980000003</v>
      </c>
      <c r="L54" s="53">
        <v>8.1357794860000006</v>
      </c>
      <c r="M54" s="63" t="s">
        <v>583</v>
      </c>
      <c r="N54" s="64" t="s">
        <v>459</v>
      </c>
      <c r="O54" s="52" t="s">
        <v>787</v>
      </c>
      <c r="P54" s="65" t="s">
        <v>514</v>
      </c>
      <c r="Q54" s="51" t="s">
        <v>787</v>
      </c>
      <c r="R54" s="63" t="s">
        <v>507</v>
      </c>
      <c r="S54" s="63" t="s">
        <v>399</v>
      </c>
      <c r="T54" s="63" t="s">
        <v>462</v>
      </c>
      <c r="U54" s="63" t="s">
        <v>508</v>
      </c>
      <c r="V54" s="68" t="s">
        <v>787</v>
      </c>
      <c r="W54" s="74" t="s">
        <v>463</v>
      </c>
      <c r="X54" s="75" t="s">
        <v>787</v>
      </c>
      <c r="Y54" s="76" t="s">
        <v>463</v>
      </c>
      <c r="Z54" s="51" t="s">
        <v>787</v>
      </c>
      <c r="AA54" s="77" t="s">
        <v>451</v>
      </c>
      <c r="AB54" s="51" t="s">
        <v>787</v>
      </c>
      <c r="AC54" s="77" t="s">
        <v>451</v>
      </c>
      <c r="AD54" s="51" t="s">
        <v>787</v>
      </c>
      <c r="AE54" s="77">
        <v>1000</v>
      </c>
      <c r="AF54" s="51" t="s">
        <v>787</v>
      </c>
      <c r="AG54" s="77" t="s">
        <v>451</v>
      </c>
      <c r="AH54" s="68" t="s">
        <v>787</v>
      </c>
      <c r="AI54" s="65" t="s">
        <v>788</v>
      </c>
      <c r="AJ54" s="68" t="s">
        <v>787</v>
      </c>
      <c r="AK54" s="65" t="s">
        <v>789</v>
      </c>
      <c r="AL54" s="93" t="s">
        <v>787</v>
      </c>
      <c r="AM54" s="79">
        <v>44867</v>
      </c>
      <c r="AN54" s="80">
        <v>44613</v>
      </c>
    </row>
    <row r="55" spans="1:40">
      <c r="A55" s="63" t="s">
        <v>450</v>
      </c>
      <c r="B55" s="63" t="s">
        <v>790</v>
      </c>
      <c r="C55" s="81" t="s">
        <v>791</v>
      </c>
      <c r="D55" s="62" t="s">
        <v>549</v>
      </c>
      <c r="E55" s="63" t="s">
        <v>453</v>
      </c>
      <c r="F55" s="63" t="s">
        <v>454</v>
      </c>
      <c r="G55" s="68" t="s">
        <v>455</v>
      </c>
      <c r="H55" s="89">
        <v>79.260000000000005</v>
      </c>
      <c r="I55" s="65" t="s">
        <v>550</v>
      </c>
      <c r="J55" s="63" t="s">
        <v>567</v>
      </c>
      <c r="K55" s="53">
        <v>43.556199999999997</v>
      </c>
      <c r="L55" s="53">
        <v>-5.8639999999999999</v>
      </c>
      <c r="M55" s="63" t="s">
        <v>594</v>
      </c>
      <c r="N55" s="64" t="s">
        <v>459</v>
      </c>
      <c r="O55" s="52" t="s">
        <v>791</v>
      </c>
      <c r="P55" s="90" t="s">
        <v>514</v>
      </c>
      <c r="Q55" s="51" t="s">
        <v>791</v>
      </c>
      <c r="R55" s="63" t="s">
        <v>507</v>
      </c>
      <c r="S55" s="63" t="s">
        <v>399</v>
      </c>
      <c r="T55" s="63" t="s">
        <v>462</v>
      </c>
      <c r="U55" s="63" t="s">
        <v>508</v>
      </c>
      <c r="V55" s="68" t="s">
        <v>791</v>
      </c>
      <c r="W55" s="91">
        <v>2025</v>
      </c>
      <c r="X55" s="75" t="s">
        <v>791</v>
      </c>
      <c r="Y55" s="92" t="s">
        <v>463</v>
      </c>
      <c r="Z55" s="51" t="s">
        <v>791</v>
      </c>
      <c r="AA55" s="77" t="s">
        <v>451</v>
      </c>
      <c r="AB55" s="51" t="s">
        <v>791</v>
      </c>
      <c r="AC55" s="77" t="s">
        <v>451</v>
      </c>
      <c r="AD55" s="51" t="s">
        <v>791</v>
      </c>
      <c r="AE55" s="77">
        <v>7400</v>
      </c>
      <c r="AF55" s="51" t="s">
        <v>791</v>
      </c>
      <c r="AG55" s="77" t="s">
        <v>451</v>
      </c>
      <c r="AH55" s="68" t="s">
        <v>791</v>
      </c>
      <c r="AI55" s="65" t="s">
        <v>792</v>
      </c>
      <c r="AJ55" s="68" t="s">
        <v>791</v>
      </c>
      <c r="AK55" s="65" t="s">
        <v>793</v>
      </c>
      <c r="AL55" s="93" t="s">
        <v>791</v>
      </c>
      <c r="AM55" s="79">
        <v>44874</v>
      </c>
      <c r="AN55" s="80">
        <v>44608</v>
      </c>
    </row>
    <row r="56" spans="1:40">
      <c r="A56" s="63" t="s">
        <v>450</v>
      </c>
      <c r="B56" s="63" t="s">
        <v>794</v>
      </c>
      <c r="C56" s="81" t="s">
        <v>795</v>
      </c>
      <c r="D56" s="62" t="s">
        <v>451</v>
      </c>
      <c r="E56" s="63" t="s">
        <v>453</v>
      </c>
      <c r="F56" s="63" t="s">
        <v>454</v>
      </c>
      <c r="G56" s="68" t="s">
        <v>455</v>
      </c>
      <c r="H56" s="72">
        <v>79.260000000000005</v>
      </c>
      <c r="I56" s="65" t="s">
        <v>456</v>
      </c>
      <c r="J56" s="63" t="s">
        <v>457</v>
      </c>
      <c r="K56" s="53">
        <v>51.169929000000003</v>
      </c>
      <c r="L56" s="53">
        <v>3.804462</v>
      </c>
      <c r="M56" s="63" t="s">
        <v>470</v>
      </c>
      <c r="N56" s="64" t="s">
        <v>459</v>
      </c>
      <c r="O56" s="52" t="s">
        <v>795</v>
      </c>
      <c r="P56" s="65" t="s">
        <v>406</v>
      </c>
      <c r="Q56" s="51" t="s">
        <v>796</v>
      </c>
      <c r="R56" s="63" t="s">
        <v>797</v>
      </c>
      <c r="S56" s="63" t="s">
        <v>401</v>
      </c>
      <c r="T56" s="63" t="s">
        <v>451</v>
      </c>
      <c r="U56" s="63" t="s">
        <v>798</v>
      </c>
      <c r="V56" s="68" t="s">
        <v>799</v>
      </c>
      <c r="W56" s="74">
        <v>2022</v>
      </c>
      <c r="X56" s="75" t="s">
        <v>800</v>
      </c>
      <c r="Y56" s="76">
        <v>184</v>
      </c>
      <c r="Z56" s="51" t="s">
        <v>796</v>
      </c>
      <c r="AA56" s="77" t="s">
        <v>451</v>
      </c>
      <c r="AB56" s="51" t="s">
        <v>796</v>
      </c>
      <c r="AC56" s="77" t="s">
        <v>451</v>
      </c>
      <c r="AD56" s="51" t="s">
        <v>796</v>
      </c>
      <c r="AE56" s="77" t="s">
        <v>451</v>
      </c>
      <c r="AF56" s="51" t="s">
        <v>796</v>
      </c>
      <c r="AG56" s="77">
        <v>0.125</v>
      </c>
      <c r="AH56" s="68" t="s">
        <v>801</v>
      </c>
      <c r="AI56" s="65" t="s">
        <v>802</v>
      </c>
      <c r="AJ56" s="68" t="s">
        <v>795</v>
      </c>
      <c r="AK56" s="65" t="s">
        <v>803</v>
      </c>
      <c r="AL56" s="93" t="s">
        <v>796</v>
      </c>
      <c r="AM56" s="79">
        <v>44875</v>
      </c>
      <c r="AN56" s="80">
        <v>42125</v>
      </c>
    </row>
    <row r="57" spans="1:40">
      <c r="A57" s="63" t="s">
        <v>618</v>
      </c>
      <c r="B57" s="63" t="s">
        <v>804</v>
      </c>
      <c r="C57" s="81" t="s">
        <v>805</v>
      </c>
      <c r="D57" s="62" t="s">
        <v>621</v>
      </c>
      <c r="E57" s="63" t="s">
        <v>622</v>
      </c>
      <c r="F57" s="63" t="s">
        <v>623</v>
      </c>
      <c r="G57" s="68" t="s">
        <v>640</v>
      </c>
      <c r="H57" s="95" t="s">
        <v>593</v>
      </c>
      <c r="I57" s="65" t="s">
        <v>503</v>
      </c>
      <c r="J57" s="63" t="s">
        <v>618</v>
      </c>
      <c r="K57" s="53">
        <v>52.161794</v>
      </c>
      <c r="L57" s="53">
        <v>10.409371</v>
      </c>
      <c r="M57" s="63" t="s">
        <v>470</v>
      </c>
      <c r="N57" s="64" t="s">
        <v>459</v>
      </c>
      <c r="O57" s="52" t="s">
        <v>805</v>
      </c>
      <c r="P57" s="97" t="s">
        <v>406</v>
      </c>
      <c r="Q57" s="51" t="s">
        <v>806</v>
      </c>
      <c r="R57" s="63" t="s">
        <v>480</v>
      </c>
      <c r="S57" s="63" t="s">
        <v>398</v>
      </c>
      <c r="T57" s="63" t="s">
        <v>462</v>
      </c>
      <c r="U57" s="63" t="s">
        <v>480</v>
      </c>
      <c r="V57" s="68" t="s">
        <v>807</v>
      </c>
      <c r="W57" s="74">
        <v>2033</v>
      </c>
      <c r="X57" s="75" t="s">
        <v>808</v>
      </c>
      <c r="Y57" s="98">
        <v>1721</v>
      </c>
      <c r="Z57" s="87" t="s">
        <v>809</v>
      </c>
      <c r="AA57" s="99">
        <v>1.9</v>
      </c>
      <c r="AB57" s="51" t="s">
        <v>806</v>
      </c>
      <c r="AC57" s="84" t="s">
        <v>451</v>
      </c>
      <c r="AD57" s="51" t="s">
        <v>806</v>
      </c>
      <c r="AE57" s="99">
        <v>100</v>
      </c>
      <c r="AF57" s="51" t="s">
        <v>810</v>
      </c>
      <c r="AG57" s="84" t="s">
        <v>451</v>
      </c>
      <c r="AH57" s="68" t="s">
        <v>806</v>
      </c>
      <c r="AI57" s="65" t="s">
        <v>811</v>
      </c>
      <c r="AJ57" s="68" t="s">
        <v>806</v>
      </c>
      <c r="AK57" s="65" t="s">
        <v>812</v>
      </c>
      <c r="AL57" s="85" t="s">
        <v>813</v>
      </c>
      <c r="AM57" s="79">
        <v>45020</v>
      </c>
      <c r="AN57" s="80">
        <v>44819</v>
      </c>
    </row>
    <row r="58" spans="1:40">
      <c r="A58" s="63" t="s">
        <v>720</v>
      </c>
      <c r="B58" s="63" t="s">
        <v>814</v>
      </c>
      <c r="C58" s="81" t="s">
        <v>815</v>
      </c>
      <c r="D58" s="62" t="s">
        <v>451</v>
      </c>
      <c r="E58" s="63" t="s">
        <v>723</v>
      </c>
      <c r="F58" s="63" t="s">
        <v>724</v>
      </c>
      <c r="G58" s="68" t="s">
        <v>725</v>
      </c>
      <c r="H58" s="72">
        <v>12</v>
      </c>
      <c r="I58" s="65" t="s">
        <v>503</v>
      </c>
      <c r="J58" s="63" t="s">
        <v>726</v>
      </c>
      <c r="K58" s="53">
        <v>51.491649000000002</v>
      </c>
      <c r="L58" s="53">
        <v>6.7330509999999997</v>
      </c>
      <c r="M58" s="63" t="s">
        <v>470</v>
      </c>
      <c r="N58" s="64" t="s">
        <v>459</v>
      </c>
      <c r="O58" s="52" t="s">
        <v>815</v>
      </c>
      <c r="P58" s="82" t="s">
        <v>406</v>
      </c>
      <c r="Q58" s="51" t="s">
        <v>815</v>
      </c>
      <c r="R58" s="63" t="s">
        <v>480</v>
      </c>
      <c r="S58" s="63" t="s">
        <v>398</v>
      </c>
      <c r="T58" s="63" t="s">
        <v>462</v>
      </c>
      <c r="U58" s="63" t="s">
        <v>816</v>
      </c>
      <c r="V58" s="68" t="s">
        <v>817</v>
      </c>
      <c r="W58" s="74">
        <v>2026</v>
      </c>
      <c r="X58" s="68" t="s">
        <v>817</v>
      </c>
      <c r="Y58" s="100">
        <v>2000.3999999999999</v>
      </c>
      <c r="Z58" s="51" t="s">
        <v>815</v>
      </c>
      <c r="AA58" s="101">
        <v>2.5</v>
      </c>
      <c r="AB58" s="51" t="s">
        <v>815</v>
      </c>
      <c r="AC58" s="84" t="s">
        <v>451</v>
      </c>
      <c r="AD58" s="51" t="s">
        <v>815</v>
      </c>
      <c r="AE58" s="84" t="s">
        <v>451</v>
      </c>
      <c r="AF58" s="51" t="s">
        <v>815</v>
      </c>
      <c r="AG58" s="84" t="s">
        <v>451</v>
      </c>
      <c r="AH58" s="51" t="s">
        <v>815</v>
      </c>
      <c r="AI58" s="65" t="s">
        <v>451</v>
      </c>
      <c r="AJ58" s="51" t="s">
        <v>815</v>
      </c>
      <c r="AK58" s="65" t="s">
        <v>818</v>
      </c>
      <c r="AL58" s="78" t="s">
        <v>819</v>
      </c>
      <c r="AM58" s="79">
        <v>45019</v>
      </c>
      <c r="AN58" s="80">
        <v>44812</v>
      </c>
    </row>
    <row r="59" spans="1:40">
      <c r="A59" s="63" t="s">
        <v>820</v>
      </c>
      <c r="B59" s="63" t="s">
        <v>820</v>
      </c>
      <c r="C59" s="81" t="s">
        <v>821</v>
      </c>
      <c r="D59" s="62" t="s">
        <v>451</v>
      </c>
      <c r="E59" s="63" t="s">
        <v>451</v>
      </c>
      <c r="F59" s="63" t="s">
        <v>451</v>
      </c>
      <c r="G59" s="81" t="s">
        <v>821</v>
      </c>
      <c r="H59" s="95">
        <v>0</v>
      </c>
      <c r="I59" s="65" t="s">
        <v>550</v>
      </c>
      <c r="J59" s="63" t="s">
        <v>822</v>
      </c>
      <c r="K59" s="53">
        <v>38.687399999999997</v>
      </c>
      <c r="L59" s="53">
        <v>-4.1083860000000003</v>
      </c>
      <c r="M59" s="63" t="s">
        <v>583</v>
      </c>
      <c r="N59" s="64" t="s">
        <v>459</v>
      </c>
      <c r="O59" s="52" t="s">
        <v>823</v>
      </c>
      <c r="P59" s="82" t="s">
        <v>406</v>
      </c>
      <c r="Q59" s="51" t="s">
        <v>823</v>
      </c>
      <c r="R59" s="63" t="s">
        <v>480</v>
      </c>
      <c r="S59" s="63" t="s">
        <v>398</v>
      </c>
      <c r="T59" s="63" t="s">
        <v>462</v>
      </c>
      <c r="U59" s="63" t="s">
        <v>480</v>
      </c>
      <c r="V59" s="68" t="s">
        <v>824</v>
      </c>
      <c r="W59" s="74">
        <v>2026</v>
      </c>
      <c r="X59" s="68" t="s">
        <v>825</v>
      </c>
      <c r="Y59" s="100">
        <v>1063</v>
      </c>
      <c r="Z59" s="51" t="s">
        <v>826</v>
      </c>
      <c r="AA59" s="101">
        <v>0.6</v>
      </c>
      <c r="AB59" s="51" t="s">
        <v>826</v>
      </c>
      <c r="AC59" s="84" t="s">
        <v>451</v>
      </c>
      <c r="AD59" s="51" t="s">
        <v>826</v>
      </c>
      <c r="AE59" s="84" t="s">
        <v>463</v>
      </c>
      <c r="AF59" s="51" t="s">
        <v>826</v>
      </c>
      <c r="AG59" s="84" t="s">
        <v>451</v>
      </c>
      <c r="AH59" s="68" t="s">
        <v>823</v>
      </c>
      <c r="AI59" s="65" t="s">
        <v>827</v>
      </c>
      <c r="AJ59" s="68" t="s">
        <v>828</v>
      </c>
      <c r="AK59" s="65" t="s">
        <v>829</v>
      </c>
      <c r="AL59" s="93" t="s">
        <v>823</v>
      </c>
      <c r="AM59" s="79">
        <v>45020</v>
      </c>
      <c r="AN59" s="80">
        <v>44980</v>
      </c>
    </row>
    <row r="60" spans="1:40">
      <c r="A60" s="63" t="s">
        <v>830</v>
      </c>
      <c r="B60" s="63" t="s">
        <v>831</v>
      </c>
      <c r="C60" s="81" t="s">
        <v>832</v>
      </c>
      <c r="D60" s="63" t="s">
        <v>451</v>
      </c>
      <c r="E60" s="63" t="s">
        <v>451</v>
      </c>
      <c r="F60" s="63" t="s">
        <v>451</v>
      </c>
      <c r="G60" s="81" t="s">
        <v>832</v>
      </c>
      <c r="H60" s="95">
        <v>0</v>
      </c>
      <c r="I60" s="65" t="s">
        <v>659</v>
      </c>
      <c r="J60" s="63" t="s">
        <v>833</v>
      </c>
      <c r="K60" s="53">
        <v>60.04739</v>
      </c>
      <c r="L60" s="53">
        <v>24.007981999999998</v>
      </c>
      <c r="M60" s="63" t="s">
        <v>583</v>
      </c>
      <c r="N60" s="64" t="s">
        <v>459</v>
      </c>
      <c r="O60" s="52" t="s">
        <v>834</v>
      </c>
      <c r="P60" s="82" t="s">
        <v>406</v>
      </c>
      <c r="Q60" s="51" t="s">
        <v>835</v>
      </c>
      <c r="R60" s="63" t="s">
        <v>836</v>
      </c>
      <c r="S60" s="63" t="s">
        <v>398</v>
      </c>
      <c r="T60" s="63" t="s">
        <v>462</v>
      </c>
      <c r="U60" s="63" t="s">
        <v>480</v>
      </c>
      <c r="V60" s="68" t="s">
        <v>837</v>
      </c>
      <c r="W60" s="74">
        <v>2026</v>
      </c>
      <c r="X60" s="68" t="s">
        <v>835</v>
      </c>
      <c r="Y60" s="100">
        <v>4271</v>
      </c>
      <c r="Z60" s="51" t="s">
        <v>835</v>
      </c>
      <c r="AA60" s="101">
        <v>2.5</v>
      </c>
      <c r="AB60" s="51" t="s">
        <v>837</v>
      </c>
      <c r="AC60" s="84" t="s">
        <v>451</v>
      </c>
      <c r="AD60" s="51" t="s">
        <v>837</v>
      </c>
      <c r="AE60" s="84" t="s">
        <v>463</v>
      </c>
      <c r="AF60" s="51" t="s">
        <v>837</v>
      </c>
      <c r="AG60" s="84" t="s">
        <v>451</v>
      </c>
      <c r="AH60" s="68" t="s">
        <v>837</v>
      </c>
      <c r="AI60" s="65" t="s">
        <v>838</v>
      </c>
      <c r="AJ60" s="68" t="s">
        <v>839</v>
      </c>
      <c r="AK60" s="65" t="s">
        <v>840</v>
      </c>
      <c r="AL60" s="93" t="s">
        <v>837</v>
      </c>
      <c r="AM60" s="79">
        <v>45028</v>
      </c>
      <c r="AN60" s="80">
        <v>44929</v>
      </c>
    </row>
    <row r="61" spans="1:40">
      <c r="A61" s="63" t="s">
        <v>841</v>
      </c>
      <c r="B61" s="63" t="s">
        <v>842</v>
      </c>
      <c r="C61" s="81" t="s">
        <v>843</v>
      </c>
      <c r="D61" s="62" t="s">
        <v>451</v>
      </c>
      <c r="E61" s="63" t="s">
        <v>749</v>
      </c>
      <c r="F61" s="63" t="s">
        <v>454</v>
      </c>
      <c r="G61" s="68" t="s">
        <v>750</v>
      </c>
      <c r="H61" s="95" t="s">
        <v>593</v>
      </c>
      <c r="I61" s="65" t="s">
        <v>751</v>
      </c>
      <c r="J61" s="63" t="s">
        <v>768</v>
      </c>
      <c r="K61" s="53">
        <v>48.274023</v>
      </c>
      <c r="L61" s="53">
        <v>14.334339999999999</v>
      </c>
      <c r="M61" s="63" t="s">
        <v>470</v>
      </c>
      <c r="N61" s="64" t="s">
        <v>459</v>
      </c>
      <c r="O61" s="52" t="s">
        <v>769</v>
      </c>
      <c r="P61" s="82" t="s">
        <v>406</v>
      </c>
      <c r="Q61" s="51" t="s">
        <v>843</v>
      </c>
      <c r="R61" s="63" t="s">
        <v>400</v>
      </c>
      <c r="S61" s="63" t="s">
        <v>400</v>
      </c>
      <c r="T61" s="63" t="s">
        <v>451</v>
      </c>
      <c r="U61" s="63" t="s">
        <v>668</v>
      </c>
      <c r="V61" s="68" t="s">
        <v>843</v>
      </c>
      <c r="W61" s="74">
        <v>2027</v>
      </c>
      <c r="X61" s="68" t="s">
        <v>843</v>
      </c>
      <c r="Y61" s="100">
        <v>806.05499999999995</v>
      </c>
      <c r="Z61" s="51" t="s">
        <v>843</v>
      </c>
      <c r="AA61" s="101">
        <v>1.6</v>
      </c>
      <c r="AB61" s="51" t="s">
        <v>843</v>
      </c>
      <c r="AC61" s="77" t="s">
        <v>451</v>
      </c>
      <c r="AD61" s="51" t="s">
        <v>843</v>
      </c>
      <c r="AE61" s="77" t="s">
        <v>451</v>
      </c>
      <c r="AF61" s="51" t="s">
        <v>843</v>
      </c>
      <c r="AG61" s="77" t="s">
        <v>451</v>
      </c>
      <c r="AH61" s="68" t="s">
        <v>843</v>
      </c>
      <c r="AI61" s="65"/>
      <c r="AJ61" s="68"/>
      <c r="AK61" s="65" t="s">
        <v>844</v>
      </c>
      <c r="AL61" s="93" t="s">
        <v>843</v>
      </c>
      <c r="AM61" s="79">
        <v>45036</v>
      </c>
      <c r="AN61" s="80">
        <v>45007</v>
      </c>
    </row>
    <row r="62" spans="1:40">
      <c r="A62" s="63" t="s">
        <v>841</v>
      </c>
      <c r="B62" s="63" t="s">
        <v>845</v>
      </c>
      <c r="C62" s="81" t="s">
        <v>843</v>
      </c>
      <c r="D62" s="62" t="s">
        <v>451</v>
      </c>
      <c r="E62" s="63" t="s">
        <v>749</v>
      </c>
      <c r="F62" s="63" t="s">
        <v>454</v>
      </c>
      <c r="G62" s="68" t="s">
        <v>750</v>
      </c>
      <c r="H62" s="95" t="s">
        <v>593</v>
      </c>
      <c r="I62" s="65" t="s">
        <v>751</v>
      </c>
      <c r="J62" s="63" t="s">
        <v>752</v>
      </c>
      <c r="K62" s="53">
        <v>47.380454999999998</v>
      </c>
      <c r="L62" s="53">
        <v>15.065182</v>
      </c>
      <c r="M62" s="63" t="s">
        <v>470</v>
      </c>
      <c r="N62" s="64" t="s">
        <v>459</v>
      </c>
      <c r="O62" s="52" t="s">
        <v>753</v>
      </c>
      <c r="P62" s="82" t="s">
        <v>406</v>
      </c>
      <c r="Q62" s="51" t="s">
        <v>843</v>
      </c>
      <c r="R62" s="63" t="s">
        <v>400</v>
      </c>
      <c r="S62" s="63" t="s">
        <v>400</v>
      </c>
      <c r="T62" s="63" t="s">
        <v>451</v>
      </c>
      <c r="U62" s="63" t="s">
        <v>668</v>
      </c>
      <c r="V62" s="68" t="s">
        <v>843</v>
      </c>
      <c r="W62" s="74">
        <v>2027</v>
      </c>
      <c r="X62" s="68" t="s">
        <v>843</v>
      </c>
      <c r="Y62" s="100">
        <v>806.05499999999995</v>
      </c>
      <c r="Z62" s="51" t="s">
        <v>843</v>
      </c>
      <c r="AA62" s="101">
        <v>0.85</v>
      </c>
      <c r="AB62" s="51" t="s">
        <v>843</v>
      </c>
      <c r="AC62" s="77" t="s">
        <v>451</v>
      </c>
      <c r="AD62" s="51" t="s">
        <v>843</v>
      </c>
      <c r="AE62" s="77" t="s">
        <v>451</v>
      </c>
      <c r="AF62" s="51" t="s">
        <v>843</v>
      </c>
      <c r="AG62" s="77" t="s">
        <v>451</v>
      </c>
      <c r="AH62" s="68" t="s">
        <v>843</v>
      </c>
      <c r="AI62" s="65"/>
      <c r="AJ62" s="68"/>
      <c r="AK62" s="65" t="s">
        <v>844</v>
      </c>
      <c r="AL62" s="93" t="s">
        <v>843</v>
      </c>
      <c r="AM62" s="79">
        <v>45036</v>
      </c>
      <c r="AN62" s="80">
        <v>45007</v>
      </c>
    </row>
    <row r="63" spans="1:40">
      <c r="A63" s="103"/>
      <c r="B63" s="103"/>
      <c r="C63" s="104"/>
      <c r="D63" s="103"/>
      <c r="E63" s="103"/>
      <c r="F63" s="103"/>
      <c r="G63" s="105"/>
      <c r="H63" s="106"/>
      <c r="I63" s="103"/>
      <c r="J63" s="103"/>
      <c r="K63" s="107"/>
      <c r="L63" s="107"/>
      <c r="M63" s="103"/>
      <c r="N63" s="103"/>
      <c r="O63" s="105"/>
      <c r="P63" s="108"/>
      <c r="Q63" s="105"/>
      <c r="R63" s="103"/>
      <c r="S63" s="103"/>
      <c r="T63" s="103"/>
      <c r="U63" s="103"/>
      <c r="V63" s="105"/>
      <c r="W63" s="109"/>
      <c r="X63" s="105"/>
      <c r="Y63" s="110"/>
      <c r="Z63" s="105"/>
      <c r="AA63" s="110"/>
      <c r="AB63" s="105"/>
      <c r="AC63" s="111"/>
      <c r="AD63" s="105"/>
      <c r="AE63" s="111"/>
      <c r="AF63" s="105"/>
      <c r="AG63" s="111"/>
      <c r="AH63" s="105"/>
      <c r="AI63" s="103"/>
      <c r="AJ63" s="105"/>
      <c r="AK63" s="103"/>
      <c r="AL63" s="105"/>
      <c r="AM63" s="112"/>
      <c r="AN63" s="112"/>
    </row>
    <row r="64" spans="1:40" s="4" customFormat="1">
      <c r="A64" s="4" t="s">
        <v>43</v>
      </c>
    </row>
    <row r="66" spans="1:19">
      <c r="A66" s="49" t="s">
        <v>181</v>
      </c>
      <c r="B66" s="49" t="s">
        <v>401</v>
      </c>
      <c r="C66" s="49" t="s">
        <v>846</v>
      </c>
      <c r="D66" s="49" t="s">
        <v>847</v>
      </c>
      <c r="E66" s="49" t="s">
        <v>848</v>
      </c>
      <c r="F66" s="49" t="s">
        <v>849</v>
      </c>
      <c r="G66" s="49"/>
      <c r="I66" s="49"/>
    </row>
    <row r="67" spans="1:19">
      <c r="A67" s="36" t="s">
        <v>850</v>
      </c>
      <c r="B67">
        <v>5</v>
      </c>
      <c r="H67" s="138"/>
      <c r="I67" s="138"/>
      <c r="J67" s="138"/>
      <c r="K67" s="138"/>
      <c r="L67" s="138"/>
      <c r="M67" s="138"/>
      <c r="N67" s="138"/>
      <c r="O67" s="138"/>
      <c r="P67" s="138"/>
      <c r="Q67" s="138"/>
      <c r="R67" s="138"/>
      <c r="S67" s="138"/>
    </row>
    <row r="68" spans="1:19">
      <c r="A68" s="36" t="s">
        <v>403</v>
      </c>
      <c r="B68">
        <v>9</v>
      </c>
      <c r="C68">
        <v>8</v>
      </c>
      <c r="D68">
        <v>2</v>
      </c>
      <c r="E68">
        <v>1</v>
      </c>
      <c r="F68">
        <v>2</v>
      </c>
      <c r="H68" s="138"/>
      <c r="I68" s="138"/>
      <c r="J68" s="138"/>
      <c r="K68" s="138"/>
      <c r="L68" s="138"/>
      <c r="M68" s="138"/>
      <c r="N68" s="138"/>
      <c r="O68" s="138"/>
      <c r="P68" s="138"/>
      <c r="Q68" s="138"/>
      <c r="R68" s="138"/>
      <c r="S68" s="138"/>
    </row>
    <row r="69" spans="1:19">
      <c r="A69" s="36" t="s">
        <v>404</v>
      </c>
      <c r="B69">
        <v>13</v>
      </c>
      <c r="C69">
        <v>6</v>
      </c>
      <c r="D69">
        <v>4</v>
      </c>
      <c r="F69">
        <v>1</v>
      </c>
      <c r="H69" s="138"/>
      <c r="I69" s="138"/>
      <c r="J69" s="138"/>
      <c r="K69" s="138"/>
      <c r="L69" s="138"/>
      <c r="M69" s="138"/>
      <c r="N69" s="138"/>
      <c r="O69" s="138"/>
      <c r="P69" s="138"/>
      <c r="Q69" s="138"/>
      <c r="R69" s="138"/>
      <c r="S69" s="138"/>
    </row>
    <row r="70" spans="1:19">
      <c r="A70" s="36" t="s">
        <v>405</v>
      </c>
      <c r="B70">
        <v>6</v>
      </c>
      <c r="C70">
        <v>1</v>
      </c>
      <c r="H70" s="138"/>
      <c r="I70" s="138"/>
      <c r="J70" s="138"/>
      <c r="K70" s="138"/>
      <c r="L70" s="138"/>
      <c r="M70" s="138"/>
      <c r="N70" s="138"/>
      <c r="O70" s="138"/>
      <c r="P70" s="138"/>
      <c r="Q70" s="138"/>
      <c r="R70" s="138"/>
      <c r="S70" s="138"/>
    </row>
    <row r="71" spans="1:19">
      <c r="A71" s="36" t="s">
        <v>406</v>
      </c>
      <c r="B71">
        <v>2</v>
      </c>
      <c r="D71">
        <v>1</v>
      </c>
      <c r="E71">
        <v>1</v>
      </c>
      <c r="H71" s="138"/>
      <c r="I71" s="138"/>
      <c r="J71" s="138"/>
      <c r="K71" s="138"/>
      <c r="L71" s="138"/>
      <c r="M71" s="138"/>
      <c r="N71" s="138"/>
      <c r="O71" s="138"/>
      <c r="P71" s="138"/>
      <c r="Q71" s="138"/>
      <c r="R71" s="138"/>
      <c r="S71" s="138"/>
    </row>
    <row r="72" spans="1:19">
      <c r="H72" s="138"/>
      <c r="I72" s="138"/>
      <c r="J72" s="138"/>
      <c r="K72" s="138"/>
      <c r="L72" s="138"/>
      <c r="M72" s="138"/>
      <c r="N72" s="138"/>
      <c r="O72" s="138"/>
      <c r="P72" s="138"/>
      <c r="Q72" s="138"/>
      <c r="R72" s="138"/>
      <c r="S72" s="138"/>
    </row>
    <row r="73" spans="1:19">
      <c r="H73" s="138"/>
      <c r="I73" s="138"/>
      <c r="J73" s="138"/>
      <c r="K73" s="138"/>
      <c r="L73" s="138"/>
      <c r="M73" s="138"/>
      <c r="N73" s="138"/>
      <c r="O73" s="138"/>
      <c r="P73" s="138"/>
      <c r="Q73" s="138"/>
      <c r="R73" s="138"/>
      <c r="S73" s="138"/>
    </row>
    <row r="74" spans="1:19">
      <c r="H74" s="138"/>
      <c r="I74" s="138"/>
      <c r="J74" s="138"/>
      <c r="K74" s="138"/>
      <c r="L74" s="138"/>
      <c r="M74" s="138"/>
      <c r="N74" s="138"/>
      <c r="O74" s="138"/>
      <c r="P74" s="138"/>
      <c r="Q74" s="138"/>
      <c r="R74" s="138"/>
      <c r="S74" s="138"/>
    </row>
    <row r="75" spans="1:19">
      <c r="H75" s="138"/>
      <c r="I75" s="138"/>
      <c r="J75" s="138"/>
      <c r="K75" s="138"/>
      <c r="L75" s="138"/>
      <c r="M75" s="138"/>
      <c r="N75" s="138"/>
      <c r="O75" s="138"/>
      <c r="P75" s="138"/>
      <c r="Q75" s="138"/>
      <c r="R75" s="138"/>
      <c r="S75" s="138"/>
    </row>
    <row r="76" spans="1:19">
      <c r="H76" s="138"/>
      <c r="I76" s="138"/>
      <c r="J76" s="138"/>
      <c r="K76" s="138"/>
      <c r="L76" s="138"/>
      <c r="M76" s="138"/>
      <c r="N76" s="138"/>
      <c r="O76" s="138"/>
      <c r="P76" s="138"/>
      <c r="Q76" s="138"/>
      <c r="R76" s="138"/>
      <c r="S76" s="138"/>
    </row>
    <row r="77" spans="1:19">
      <c r="H77" s="138"/>
      <c r="I77" s="138"/>
      <c r="J77" s="138"/>
      <c r="K77" s="138"/>
      <c r="L77" s="138"/>
      <c r="M77" s="138"/>
      <c r="N77" s="138"/>
      <c r="O77" s="138"/>
      <c r="P77" s="138"/>
      <c r="Q77" s="138"/>
      <c r="R77" s="138"/>
      <c r="S77" s="138"/>
    </row>
    <row r="78" spans="1:19">
      <c r="H78" s="138"/>
      <c r="I78" s="138"/>
      <c r="J78" s="138"/>
      <c r="K78" s="138"/>
      <c r="L78" s="138"/>
      <c r="M78" s="138"/>
      <c r="N78" s="138"/>
      <c r="O78" s="138"/>
      <c r="P78" s="138"/>
      <c r="Q78" s="138"/>
      <c r="R78" s="138"/>
      <c r="S78" s="138"/>
    </row>
    <row r="79" spans="1:19">
      <c r="H79" s="138"/>
      <c r="I79" s="138"/>
      <c r="J79" s="138"/>
      <c r="K79" s="138"/>
      <c r="L79" s="138"/>
      <c r="M79" s="138"/>
      <c r="N79" s="138"/>
      <c r="O79" s="138"/>
      <c r="P79" s="138"/>
      <c r="Q79" s="138"/>
      <c r="R79" s="138"/>
      <c r="S79" s="138"/>
    </row>
    <row r="80" spans="1:19">
      <c r="H80" s="138"/>
      <c r="I80" s="138"/>
      <c r="J80" s="138"/>
      <c r="K80" s="138"/>
      <c r="L80" s="138"/>
      <c r="M80" s="138"/>
      <c r="N80" s="138"/>
      <c r="O80" s="138"/>
      <c r="P80" s="138"/>
      <c r="Q80" s="138"/>
      <c r="R80" s="138"/>
      <c r="S80" s="138"/>
    </row>
    <row r="81" spans="1:19">
      <c r="H81" s="138"/>
      <c r="I81" s="138"/>
      <c r="J81" s="138"/>
      <c r="K81" s="138"/>
      <c r="L81" s="138"/>
      <c r="M81" s="138"/>
      <c r="N81" s="138"/>
      <c r="O81" s="138"/>
      <c r="P81" s="138"/>
      <c r="Q81" s="138"/>
      <c r="R81" s="138"/>
      <c r="S81" s="138"/>
    </row>
    <row r="82" spans="1:19">
      <c r="H82" s="139" t="s">
        <v>851</v>
      </c>
      <c r="I82" s="138"/>
      <c r="J82" s="138"/>
      <c r="K82" s="138"/>
      <c r="L82" s="138"/>
      <c r="M82" s="138"/>
      <c r="N82" s="138"/>
      <c r="O82" s="138"/>
      <c r="P82" s="138"/>
      <c r="Q82" s="138"/>
      <c r="R82" s="138"/>
      <c r="S82" s="138"/>
    </row>
    <row r="83" spans="1:19" s="4" customFormat="1">
      <c r="A83" s="4" t="s">
        <v>42</v>
      </c>
    </row>
    <row r="84" spans="1:19">
      <c r="B84" t="s">
        <v>852</v>
      </c>
      <c r="C84" t="s">
        <v>853</v>
      </c>
      <c r="D84" t="s">
        <v>37</v>
      </c>
    </row>
    <row r="85" spans="1:19">
      <c r="A85" t="s">
        <v>854</v>
      </c>
      <c r="B85">
        <v>30</v>
      </c>
      <c r="C85">
        <v>24</v>
      </c>
      <c r="D85">
        <f t="shared" ref="D85:D92" si="0">SUM(B85:C85)</f>
        <v>54</v>
      </c>
    </row>
    <row r="86" spans="1:19">
      <c r="A86" t="s">
        <v>855</v>
      </c>
      <c r="B86">
        <v>14</v>
      </c>
      <c r="C86">
        <v>14</v>
      </c>
      <c r="D86">
        <f t="shared" si="0"/>
        <v>28</v>
      </c>
    </row>
    <row r="87" spans="1:19">
      <c r="A87" t="s">
        <v>856</v>
      </c>
      <c r="B87">
        <v>20</v>
      </c>
      <c r="C87">
        <v>7</v>
      </c>
      <c r="D87">
        <f t="shared" si="0"/>
        <v>27</v>
      </c>
    </row>
    <row r="88" spans="1:19">
      <c r="A88" t="s">
        <v>401</v>
      </c>
      <c r="B88">
        <v>12</v>
      </c>
      <c r="C88">
        <v>6</v>
      </c>
      <c r="D88">
        <f t="shared" si="0"/>
        <v>18</v>
      </c>
    </row>
    <row r="89" spans="1:19">
      <c r="A89" t="s">
        <v>857</v>
      </c>
      <c r="B89">
        <v>5</v>
      </c>
      <c r="C89">
        <v>10</v>
      </c>
      <c r="D89">
        <f t="shared" si="0"/>
        <v>15</v>
      </c>
    </row>
    <row r="90" spans="1:19">
      <c r="A90" t="s">
        <v>858</v>
      </c>
      <c r="B90">
        <v>2</v>
      </c>
      <c r="C90">
        <v>12</v>
      </c>
      <c r="D90">
        <f t="shared" si="0"/>
        <v>14</v>
      </c>
    </row>
    <row r="91" spans="1:19">
      <c r="A91" t="s">
        <v>859</v>
      </c>
      <c r="B91">
        <v>2</v>
      </c>
      <c r="C91">
        <v>11</v>
      </c>
      <c r="D91">
        <f t="shared" si="0"/>
        <v>13</v>
      </c>
    </row>
    <row r="92" spans="1:19">
      <c r="A92" t="s">
        <v>860</v>
      </c>
      <c r="B92">
        <v>1</v>
      </c>
      <c r="C92">
        <v>1</v>
      </c>
      <c r="D92">
        <f t="shared" si="0"/>
        <v>2</v>
      </c>
    </row>
    <row r="95" spans="1:19">
      <c r="A95" s="139" t="s">
        <v>861</v>
      </c>
      <c r="B95" s="138"/>
      <c r="C95" s="138"/>
      <c r="D95" s="138"/>
      <c r="E95" s="138"/>
      <c r="F95" s="138"/>
      <c r="G95" s="138"/>
      <c r="H95" s="138"/>
      <c r="I95" s="138"/>
      <c r="J95" s="138"/>
    </row>
    <row r="96" spans="1:19">
      <c r="A96" s="138"/>
      <c r="B96" s="138"/>
      <c r="C96" s="138"/>
      <c r="D96" s="138"/>
      <c r="E96" s="138"/>
      <c r="F96" s="138"/>
      <c r="G96" s="138"/>
      <c r="H96" s="138"/>
      <c r="I96" s="138"/>
      <c r="J96" s="138"/>
    </row>
    <row r="97" spans="1:10">
      <c r="A97" s="138"/>
      <c r="B97" s="138"/>
      <c r="C97" s="138"/>
      <c r="D97" s="138"/>
      <c r="E97" s="138"/>
      <c r="F97" s="138"/>
      <c r="G97" s="138"/>
      <c r="H97" s="138"/>
      <c r="I97" s="138"/>
      <c r="J97" s="138"/>
    </row>
    <row r="98" spans="1:10">
      <c r="A98" s="138"/>
      <c r="B98" s="138"/>
      <c r="C98" s="138"/>
      <c r="D98" s="138"/>
      <c r="E98" s="138"/>
      <c r="F98" s="138"/>
      <c r="G98" s="138"/>
      <c r="H98" s="138"/>
      <c r="I98" s="138"/>
      <c r="J98" s="138"/>
    </row>
    <row r="99" spans="1:10">
      <c r="A99" s="138"/>
      <c r="B99" s="138"/>
      <c r="C99" s="138"/>
      <c r="D99" s="138"/>
      <c r="E99" s="138"/>
      <c r="F99" s="138"/>
      <c r="G99" s="138"/>
      <c r="H99" s="138"/>
      <c r="I99" s="138"/>
      <c r="J99" s="138"/>
    </row>
    <row r="100" spans="1:10">
      <c r="A100" s="138"/>
      <c r="B100" s="138"/>
      <c r="C100" s="138"/>
      <c r="D100" s="138"/>
      <c r="E100" s="138"/>
      <c r="F100" s="138"/>
      <c r="G100" s="138"/>
      <c r="H100" s="138"/>
      <c r="I100" s="138"/>
      <c r="J100" s="138"/>
    </row>
    <row r="101" spans="1:10">
      <c r="A101" s="138"/>
      <c r="B101" s="138"/>
      <c r="C101" s="138"/>
      <c r="D101" s="138"/>
      <c r="E101" s="138"/>
      <c r="F101" s="138"/>
      <c r="G101" s="138"/>
      <c r="H101" s="138"/>
      <c r="I101" s="138"/>
      <c r="J101" s="138"/>
    </row>
    <row r="102" spans="1:10">
      <c r="A102" s="138"/>
      <c r="B102" s="138"/>
      <c r="C102" s="138"/>
      <c r="D102" s="138"/>
      <c r="E102" s="138"/>
      <c r="F102" s="138"/>
      <c r="G102" s="138"/>
      <c r="H102" s="138"/>
      <c r="I102" s="138"/>
      <c r="J102" s="138"/>
    </row>
    <row r="103" spans="1:10">
      <c r="A103" s="138"/>
      <c r="B103" s="138"/>
      <c r="C103" s="138"/>
      <c r="D103" s="138"/>
      <c r="E103" s="138"/>
      <c r="F103" s="138"/>
      <c r="G103" s="138"/>
      <c r="H103" s="138"/>
      <c r="I103" s="138"/>
      <c r="J103" s="138"/>
    </row>
    <row r="104" spans="1:10">
      <c r="A104" s="138"/>
      <c r="B104" s="138"/>
      <c r="C104" s="138"/>
      <c r="D104" s="138"/>
      <c r="E104" s="138"/>
      <c r="F104" s="138"/>
      <c r="G104" s="138"/>
      <c r="H104" s="138"/>
      <c r="I104" s="138"/>
      <c r="J104" s="138"/>
    </row>
    <row r="105" spans="1:10">
      <c r="A105" s="138"/>
      <c r="B105" s="138"/>
      <c r="C105" s="138"/>
      <c r="D105" s="138"/>
      <c r="E105" s="138"/>
      <c r="F105" s="138"/>
      <c r="G105" s="138"/>
      <c r="H105" s="138"/>
      <c r="I105" s="138"/>
      <c r="J105" s="138"/>
    </row>
    <row r="106" spans="1:10">
      <c r="A106" s="138"/>
      <c r="B106" s="138"/>
      <c r="C106" s="138"/>
      <c r="D106" s="138"/>
      <c r="E106" s="138"/>
      <c r="F106" s="138"/>
      <c r="G106" s="138"/>
      <c r="H106" s="138"/>
      <c r="I106" s="138"/>
      <c r="J106" s="138"/>
    </row>
    <row r="107" spans="1:10">
      <c r="A107" s="138"/>
      <c r="B107" s="138"/>
      <c r="C107" s="138"/>
      <c r="D107" s="138"/>
      <c r="E107" s="138"/>
      <c r="F107" s="138"/>
      <c r="G107" s="138"/>
      <c r="H107" s="138"/>
      <c r="I107" s="138"/>
      <c r="J107" s="138"/>
    </row>
    <row r="108" spans="1:10">
      <c r="A108" s="138"/>
      <c r="B108" s="138"/>
      <c r="C108" s="138"/>
      <c r="D108" s="138"/>
      <c r="E108" s="138"/>
      <c r="F108" s="138"/>
      <c r="G108" s="138"/>
      <c r="H108" s="138"/>
      <c r="I108" s="138"/>
      <c r="J108" s="138"/>
    </row>
    <row r="109" spans="1:10">
      <c r="A109" s="138"/>
      <c r="B109" s="138"/>
      <c r="C109" s="138"/>
      <c r="D109" s="138"/>
      <c r="E109" s="138"/>
      <c r="F109" s="138"/>
      <c r="G109" s="138"/>
      <c r="H109" s="138"/>
      <c r="I109" s="138"/>
      <c r="J109" s="138"/>
    </row>
  </sheetData>
  <autoFilter ref="A84:D84" xr:uid="{50822D8E-185B-417C-B042-74F5F9AE9BEA}">
    <sortState xmlns:xlrd2="http://schemas.microsoft.com/office/spreadsheetml/2017/richdata2" ref="A85:D92">
      <sortCondition descending="1" ref="D84"/>
    </sortState>
  </autoFilter>
  <dataValidations count="1">
    <dataValidation type="list" allowBlank="1" sqref="P15:P34 P40:P42 P37 P44:P49 P55:P56 P58:P63" xr:uid="{80EA2F46-8E98-478A-8D81-BC9F839C7B0E}">
      <formula1>"pilot,demo,full scale,R&amp;D partnership"</formula1>
    </dataValidation>
  </dataValidations>
  <hyperlinks>
    <hyperlink ref="G15" r:id="rId2" xr:uid="{48CBB1FE-4F44-43EB-92C4-19AF20930D2A}"/>
    <hyperlink ref="O15" r:id="rId3" xr:uid="{203FE1C1-90A3-419D-978F-DB5704ECC2DA}"/>
    <hyperlink ref="Q15" r:id="rId4" xr:uid="{65BC2E3A-9E4B-49B0-968C-8A774B621BB5}"/>
    <hyperlink ref="X15" r:id="rId5" xr:uid="{3AED34F8-2F91-4826-9C87-8FED1844AF9B}"/>
    <hyperlink ref="V15" r:id="rId6" xr:uid="{7F7371AD-ED01-4F81-B977-2CD29C98C80C}"/>
    <hyperlink ref="Z15" r:id="rId7" xr:uid="{C47DFA51-C86E-4DD1-857F-2D379B243A15}"/>
    <hyperlink ref="AB15" r:id="rId8" xr:uid="{BD735B53-4D51-433F-A1DD-F3C8F8A7028A}"/>
    <hyperlink ref="AD15" r:id="rId9" xr:uid="{7804D5E5-8E69-4785-9045-BF1F36BDDFF5}"/>
    <hyperlink ref="AJ15" r:id="rId10" xr:uid="{2A41F192-9F20-4199-8A5C-A24953D3F2F7}"/>
    <hyperlink ref="AL15" r:id="rId11" xr:uid="{E86475B0-9DC4-437A-BE22-996866EA2D3C}"/>
    <hyperlink ref="AF15" r:id="rId12" xr:uid="{35D43F51-567B-4B14-9F95-79AE47F3E24C}"/>
    <hyperlink ref="AH15" r:id="rId13" xr:uid="{07789179-B8F1-47AB-8628-67387BA3B8C7}"/>
    <hyperlink ref="G16" r:id="rId14" xr:uid="{AF6D6387-B9E6-45AE-92C2-D37725CF56B6}"/>
    <hyperlink ref="G17" r:id="rId15" xr:uid="{2BC399AE-24E8-44EE-805A-15F28FC29FDB}"/>
    <hyperlink ref="G18" r:id="rId16" xr:uid="{B3E833FC-D205-4639-B8E8-E08DA72AECDE}"/>
    <hyperlink ref="G19" r:id="rId17" xr:uid="{92B32375-6B0B-4472-889B-7DBC5A5413ED}"/>
    <hyperlink ref="G20" r:id="rId18" xr:uid="{4C096B55-F3BF-4B63-9594-1A8FAAB5C091}"/>
    <hyperlink ref="G21" r:id="rId19" xr:uid="{CEEFAF8D-1A15-46A3-915A-D989F704DF7E}"/>
    <hyperlink ref="G22" r:id="rId20" xr:uid="{589C63A4-A30A-4380-A69B-2E12D795FD42}"/>
    <hyperlink ref="G23" r:id="rId21" xr:uid="{84782667-0E3D-4AC1-AFDA-69ECE3ECEDF4}"/>
    <hyperlink ref="G24" r:id="rId22" xr:uid="{A3294120-3114-4A5F-91C3-86E3EA4AA3A7}"/>
    <hyperlink ref="G25" r:id="rId23" xr:uid="{31615E2C-FAFB-4BCE-A71D-C99FE7EB4A0B}"/>
    <hyperlink ref="O16" r:id="rId24" xr:uid="{2BBF2A1A-09B5-4AE6-948E-E9F50B2E6777}"/>
    <hyperlink ref="O18" r:id="rId25" xr:uid="{BC04342C-46B5-4460-B06E-E420DF951225}"/>
    <hyperlink ref="O19" r:id="rId26" xr:uid="{BC8DEBA2-8401-42F6-A43C-10E17D85FA2B}"/>
    <hyperlink ref="O20" r:id="rId27" xr:uid="{678C3B55-E89E-49C6-83A2-AAC0711FEE44}"/>
    <hyperlink ref="O21" r:id="rId28" xr:uid="{24BB9D47-3829-4CB6-90D8-1254A7CDD4C6}"/>
    <hyperlink ref="O22" r:id="rId29" xr:uid="{B67A93FC-852C-4727-B96F-697297A9A719}"/>
    <hyperlink ref="O23" r:id="rId30" xr:uid="{BB3CABC1-9DCF-48C2-B525-1F5A2209174A}"/>
    <hyperlink ref="O24" r:id="rId31" xr:uid="{15159260-13EB-4EC9-88D1-16FC878E5811}"/>
    <hyperlink ref="O25" r:id="rId32" xr:uid="{35A1B992-F08A-457F-8EAE-1A85F51B34DE}"/>
    <hyperlink ref="O17" r:id="rId33" xr:uid="{19840CAA-4B0F-4857-9769-3256E130C364}"/>
    <hyperlink ref="Q16" r:id="rId34" location="press" xr:uid="{A0B780C7-65F9-44A7-918E-5F3702AB77A7}"/>
    <hyperlink ref="Q17" r:id="rId35" xr:uid="{39C9479F-7B66-4C38-A596-F87D5F910DD6}"/>
    <hyperlink ref="Q19" r:id="rId36" xr:uid="{A1A6937B-B57F-427F-BE57-910FE4EBBA1D}"/>
    <hyperlink ref="Q20" r:id="rId37" xr:uid="{5DD765CE-F224-4BA7-9D66-7AF5189620E6}"/>
    <hyperlink ref="Q18" r:id="rId38" xr:uid="{DBAB6E28-8DEF-45C3-B896-8CB3A2B74A04}"/>
    <hyperlink ref="Q21" r:id="rId39" xr:uid="{D7803D9B-15DF-440B-BFD6-879129EFB66F}"/>
    <hyperlink ref="Q22" r:id="rId40" xr:uid="{8E56D503-E960-4A1C-8877-88B630F65B1B}"/>
    <hyperlink ref="Q23" r:id="rId41" xr:uid="{03155098-DAF5-4220-8E49-B921CBCD5315}"/>
    <hyperlink ref="Q24" r:id="rId42" xr:uid="{00C96FB0-4696-49C8-B062-EB7B7ABDBF1D}"/>
    <hyperlink ref="Q25" r:id="rId43" xr:uid="{669F2051-5D72-47AE-91DB-E013ACC5CFEA}"/>
    <hyperlink ref="X17" r:id="rId44" xr:uid="{0AE71949-83C2-4B66-9A9D-D1190BD1D986}"/>
    <hyperlink ref="X19" r:id="rId45" xr:uid="{25F12B5C-E94A-45E9-B6CB-83BB859C129D}"/>
    <hyperlink ref="X16" r:id="rId46" xr:uid="{E82E77D2-7579-46B4-9B8A-190AC5A1AED5}"/>
    <hyperlink ref="X18" r:id="rId47" xr:uid="{75B878B6-C602-4529-93CB-29685B84C225}"/>
    <hyperlink ref="X20" r:id="rId48" xr:uid="{0DAEFAD7-2CC1-4DD3-8DF0-C8B99C6D49A1}"/>
    <hyperlink ref="X21" r:id="rId49" xr:uid="{DB55C77D-8EB8-46C1-981A-DC32B6EABEF2}"/>
    <hyperlink ref="X23" r:id="rId50" xr:uid="{048380F8-0F29-4C94-A6FB-095B1724A333}"/>
    <hyperlink ref="X24" r:id="rId51" xr:uid="{5AF24992-A87A-4F76-91C2-D9A9E53D13D2}"/>
    <hyperlink ref="X25" r:id="rId52" xr:uid="{4142FDAD-15A2-4A9B-A0FC-156015786549}"/>
    <hyperlink ref="V17" r:id="rId53" xr:uid="{19827CA0-20D8-4156-9C8D-3B31BE9F80E2}"/>
    <hyperlink ref="V18" r:id="rId54" xr:uid="{5077E3F8-2AED-4BA2-AEDF-957A21231EF9}"/>
    <hyperlink ref="V19" r:id="rId55" xr:uid="{02F2BA2D-C468-4214-9525-22CB80550E1D}"/>
    <hyperlink ref="V21" r:id="rId56" xr:uid="{7B813532-3F8A-4342-8B24-C6E84E734098}"/>
    <hyperlink ref="V22" r:id="rId57" xr:uid="{73643AD2-57E5-4C01-9D48-3CE33E59B45C}"/>
    <hyperlink ref="V16" r:id="rId58" xr:uid="{0967D625-CF6F-4680-A60C-BAD171073675}"/>
    <hyperlink ref="V20" r:id="rId59" xr:uid="{5ECC6DDF-C465-4881-BD8F-DB8B550E406D}"/>
    <hyperlink ref="V23" r:id="rId60" xr:uid="{A709F978-9C46-4421-A096-E13443969C3E}"/>
    <hyperlink ref="V24" r:id="rId61" xr:uid="{3FA0ACA8-3AAE-4563-906E-AB4304BC45EF}"/>
    <hyperlink ref="V25" r:id="rId62" xr:uid="{A608ED91-4280-4EB9-8C63-DFC50B297F5A}"/>
    <hyperlink ref="Z16" r:id="rId63" xr:uid="{623F608E-7FD9-4FBF-8949-D7F373361301}"/>
    <hyperlink ref="Z18" r:id="rId64" xr:uid="{B13ED586-5397-41B7-A892-2F3F446D4169}"/>
    <hyperlink ref="Z17" r:id="rId65" xr:uid="{C93A315F-6C0A-459C-BF30-8592778F3366}"/>
    <hyperlink ref="Z19" r:id="rId66" xr:uid="{60EA5A85-38A1-47E3-B86B-0EF338169EE0}"/>
    <hyperlink ref="Z20" r:id="rId67" xr:uid="{1451500D-A9BB-46DF-9C83-A6372F7E371C}"/>
    <hyperlink ref="Z21" r:id="rId68" xr:uid="{ADF3C26D-9E21-4DE6-980C-9D3FA008010D}"/>
    <hyperlink ref="Z22" r:id="rId69" xr:uid="{B6F45906-102C-46DC-9166-9F35A83E29D3}"/>
    <hyperlink ref="Z24" r:id="rId70" xr:uid="{73B0F137-7B9B-44D2-A8D9-C1A2F21F9E07}"/>
    <hyperlink ref="Z23" r:id="rId71" xr:uid="{CF46F505-F579-44F1-8B93-AFA2CC6E1EE8}"/>
    <hyperlink ref="Z25" r:id="rId72" xr:uid="{742DDE1B-BB47-4CC7-877A-49D401E487CD}"/>
    <hyperlink ref="AB16" r:id="rId73" xr:uid="{359040B6-318A-49A4-ABFF-943E16919811}"/>
    <hyperlink ref="AB17" r:id="rId74" xr:uid="{2E1B1E41-CA4B-42ED-9AE8-0574D0D1E179}"/>
    <hyperlink ref="AB18" r:id="rId75" location=".X9oWA7N7nIU" xr:uid="{CBE9EBD2-58D4-4B94-8E70-2538F0FE69F6}"/>
    <hyperlink ref="AB19" r:id="rId76" xr:uid="{368AA83A-440A-4D11-ABA0-11A65A882FB0}"/>
    <hyperlink ref="AB20" r:id="rId77" xr:uid="{577798F9-0E15-4044-A027-37E048B05C28}"/>
    <hyperlink ref="AB21" r:id="rId78" xr:uid="{7AB7872B-71F9-4B10-B3E2-18E107D57AB8}"/>
    <hyperlink ref="AB22" r:id="rId79" xr:uid="{060FF2D6-F6F8-482A-9856-B29BB965401D}"/>
    <hyperlink ref="AB23" r:id="rId80" xr:uid="{8664BBA9-6BD1-4AB0-B10D-8C5418528D64}"/>
    <hyperlink ref="AB24" r:id="rId81" xr:uid="{0E53003A-77E5-4279-8E16-0366E5C199B6}"/>
    <hyperlink ref="AB25" r:id="rId82" xr:uid="{DDDF7F4B-6C3E-43BD-88AD-6102BF830417}"/>
    <hyperlink ref="AD16" r:id="rId83" xr:uid="{6D47CACE-90BB-4F30-889B-A23157195287}"/>
    <hyperlink ref="AD18" r:id="rId84" xr:uid="{F93243A7-8071-4030-9411-C7F1A47163CD}"/>
    <hyperlink ref="AD17" r:id="rId85" xr:uid="{427E927C-7BB3-4943-B29F-6E05F56C7ADB}"/>
    <hyperlink ref="AD19" r:id="rId86" xr:uid="{3F5A9F1A-F2AF-4F39-8B10-D32DB1FFA237}"/>
    <hyperlink ref="AD20" r:id="rId87" xr:uid="{9603833C-E8CC-4E41-8A76-0766D3880BB6}"/>
    <hyperlink ref="AD22" r:id="rId88" xr:uid="{9E879ABC-46D8-4EEB-B5C5-4FCA69408E32}"/>
    <hyperlink ref="AD21" r:id="rId89" xr:uid="{F8BFFBA1-CF10-461C-84F7-5200295EF75A}"/>
    <hyperlink ref="AD23" r:id="rId90" xr:uid="{51EDFA38-CB9D-4A0D-B02D-1FD90DFC2BC5}"/>
    <hyperlink ref="AD24" r:id="rId91" xr:uid="{CB91CBE0-A39B-4310-9EAE-DEFFD45D675D}"/>
    <hyperlink ref="AD25" r:id="rId92" xr:uid="{CADB8100-8870-4D4D-B314-F079BBA3ECF7}"/>
    <hyperlink ref="AF21" r:id="rId93" xr:uid="{48D743B7-3F50-4FC1-894C-D250D5B8EEF8}"/>
    <hyperlink ref="AF22" r:id="rId94" xr:uid="{0D36AA2A-C3BE-40B8-86FE-4A6E2C82DB0A}"/>
    <hyperlink ref="AF23" r:id="rId95" xr:uid="{BA57BA46-8C60-4B47-BA41-1308A3A660B1}"/>
    <hyperlink ref="AF24" r:id="rId96" xr:uid="{CC937291-7D0E-4B3C-808C-4957099440AB}"/>
    <hyperlink ref="AF25" r:id="rId97" xr:uid="{9EE7BC00-6B94-4B96-ACFB-7AD32FCB0338}"/>
    <hyperlink ref="AH21" r:id="rId98" xr:uid="{E7A45A42-5D2C-4ADB-93EA-A9C5E006C084}"/>
    <hyperlink ref="AH22" r:id="rId99" xr:uid="{14EC471A-BA9A-4D04-817F-4358FCD68A82}"/>
    <hyperlink ref="AH23" r:id="rId100" xr:uid="{1A160973-04A2-40CE-ACEB-5FECC764629D}"/>
    <hyperlink ref="AH24" r:id="rId101" xr:uid="{621A1196-1D09-4F6C-9BD2-1319F9FD117B}"/>
    <hyperlink ref="AH25" r:id="rId102" xr:uid="{66A9CCCC-C85D-4D55-8728-9841A8BF9961}"/>
    <hyperlink ref="AJ21" r:id="rId103" xr:uid="{B47D5297-5931-4198-A0A7-D351F076BCC9}"/>
    <hyperlink ref="AJ22" r:id="rId104" xr:uid="{4079852A-F4B6-4314-B413-45012E69F38C}"/>
    <hyperlink ref="AJ24" r:id="rId105" xr:uid="{C7125C51-2FCC-4583-882E-3B3D3D425C4C}"/>
    <hyperlink ref="AJ25" r:id="rId106" xr:uid="{FD7D7CB1-1A80-488E-9749-CBA8DE321BC6}"/>
    <hyperlink ref="AJ16" r:id="rId107" xr:uid="{53B2EDA2-E085-416C-B5FD-B6843335C09F}"/>
    <hyperlink ref="AJ17" r:id="rId108" xr:uid="{80D2C9B7-BF60-4D1C-98E8-7CA49327DBD5}"/>
    <hyperlink ref="AJ18" r:id="rId109" xr:uid="{951D31A4-920D-472F-A02A-C06BAD43D4D8}"/>
    <hyperlink ref="AJ19" r:id="rId110" xr:uid="{79C71ABE-1BF3-4DDC-ACD5-7E78686ECD85}"/>
    <hyperlink ref="AJ20" r:id="rId111" xr:uid="{8DC92667-CBAA-44D7-9E91-AC297CE59A7A}"/>
    <hyperlink ref="AL16" r:id="rId112" xr:uid="{5889AD00-41B1-48F3-8058-7D0D8FFE6F84}"/>
    <hyperlink ref="AL18" r:id="rId113" xr:uid="{E978E534-684E-41B9-B812-25A80667678F}"/>
    <hyperlink ref="AL19" r:id="rId114" xr:uid="{0DEB1625-5A64-497B-81B4-AEB63DE9EB8C}"/>
    <hyperlink ref="AL20" r:id="rId115" xr:uid="{78AC0FE4-290F-465A-A2E4-EA006C46F6E2}"/>
    <hyperlink ref="AL21" r:id="rId116" xr:uid="{E3AB2915-5C0D-4109-BBE5-6F2CE03B1BC9}"/>
    <hyperlink ref="AL24" r:id="rId117" display="https://corporate.arcelormittal.com/media/press-releases/arcelormittal-signs-mou-with-the-spanish-government-supporting-1-billion-investment-in-decarbonisation-technologies" xr:uid="{72146695-81F2-428A-821C-C49087888082}"/>
    <hyperlink ref="AL25" r:id="rId118" xr:uid="{3C648D6B-F980-4F3A-AA4A-1FF558184918}"/>
    <hyperlink ref="AL23" r:id="rId119" xr:uid="{1783F85A-93BB-4CCE-A665-1B014BDD7D1E}"/>
    <hyperlink ref="AF16" r:id="rId120" xr:uid="{3AF1192B-E553-42C5-8568-604A013B21FA}"/>
    <hyperlink ref="AF17" r:id="rId121" xr:uid="{DAAEB1E9-EAA1-4C9E-B81C-B7772B6058A9}"/>
    <hyperlink ref="AF18" r:id="rId122" xr:uid="{745B82CF-D798-4002-970B-097BB7ECB6CD}"/>
    <hyperlink ref="AF19" r:id="rId123" xr:uid="{05495117-3BFE-47EE-B0F3-32441064B8CC}"/>
    <hyperlink ref="AH17" r:id="rId124" xr:uid="{F15FC2ED-D5AA-4E73-8A30-40409BF57D00}"/>
    <hyperlink ref="AH18" r:id="rId125" xr:uid="{6E90676C-B299-4D43-AD1A-D148E7D134E8}"/>
    <hyperlink ref="AH19" r:id="rId126" xr:uid="{69ABAB63-7771-4BE8-8DC8-61469208A202}"/>
    <hyperlink ref="AH20" r:id="rId127" xr:uid="{B0DB1D6A-820F-4063-ADB7-A2DB13783A6B}"/>
    <hyperlink ref="AH16" r:id="rId128" xr:uid="{D0CAEDEE-07A6-41B5-98C1-5E6AFBA83AD1}"/>
    <hyperlink ref="C16" r:id="rId129" xr:uid="{A3F94364-9DC3-4775-B988-5841A3FC3A3F}"/>
    <hyperlink ref="C18" r:id="rId130" xr:uid="{698BB195-C3C3-4206-83F8-3CE13BE7E10B}"/>
    <hyperlink ref="C22" r:id="rId131" xr:uid="{00BA3729-0E0F-4C53-9665-0B6C8932A14E}"/>
    <hyperlink ref="C23" r:id="rId132" xr:uid="{7F167FD9-8F47-44F7-B24F-05E9582ABE88}"/>
    <hyperlink ref="G26" r:id="rId133" xr:uid="{68CF0156-CE66-4E92-9088-E82CF4E6AE4F}"/>
    <hyperlink ref="G27" r:id="rId134" xr:uid="{C999F9ED-248C-464B-8474-D30C8560D3A5}"/>
    <hyperlink ref="O26" r:id="rId135" xr:uid="{A09B8AD7-B4F3-4895-82D4-92D31048A24D}"/>
    <hyperlink ref="O27" r:id="rId136" xr:uid="{88DB6095-34A4-4E23-9B50-163C37BF1037}"/>
    <hyperlink ref="Q26" r:id="rId137" xr:uid="{C533FA79-386C-4DDB-BEB5-B867A551DB4B}"/>
    <hyperlink ref="Q27" r:id="rId138" xr:uid="{657ACE85-BE22-49C4-AAB2-6DE202F59A2F}"/>
    <hyperlink ref="X26" r:id="rId139" xr:uid="{8C64AEFA-4B45-4100-9CA3-6BC5C2DB0FBA}"/>
    <hyperlink ref="X27" r:id="rId140" xr:uid="{861CBB84-678B-4B27-9FA7-524C3CC7FFB2}"/>
    <hyperlink ref="V26" r:id="rId141" xr:uid="{BE394B99-7ABA-4E94-AD53-3C61D21BFA68}"/>
    <hyperlink ref="V27" r:id="rId142" xr:uid="{1C16AD58-1803-4ABF-AF97-058AD572206C}"/>
    <hyperlink ref="Z26" r:id="rId143" xr:uid="{57BDB70B-66DD-4D84-85AD-5F92F2807908}"/>
    <hyperlink ref="Z27" r:id="rId144" xr:uid="{44891227-6081-43A1-96B9-48C76C032AC9}"/>
    <hyperlink ref="AB26" r:id="rId145" xr:uid="{B2B40C2F-40B7-4255-ACC5-91E037C0F024}"/>
    <hyperlink ref="AB27" r:id="rId146" xr:uid="{84B395C2-296F-412D-9BFE-1784D6A39121}"/>
    <hyperlink ref="AD27" r:id="rId147" xr:uid="{5DAC0C65-2D39-4642-8898-6BCECC24FDBD}"/>
    <hyperlink ref="AD26" r:id="rId148" xr:uid="{720D1D0D-713E-43C3-B2D1-F9CF979DBBDB}"/>
    <hyperlink ref="AF26" r:id="rId149" xr:uid="{A58D9A51-3221-4E9C-8E01-F637FF7A3BB1}"/>
    <hyperlink ref="AF27" r:id="rId150" xr:uid="{7C0FFD73-3293-43B6-9C8A-4C1C45C057C6}"/>
    <hyperlink ref="AH26" r:id="rId151" xr:uid="{951DE995-A097-4BCA-9157-EC8E73BAB255}"/>
    <hyperlink ref="AH27" r:id="rId152" xr:uid="{A6EA495B-B400-4D5A-9522-6CE168296BF5}"/>
    <hyperlink ref="AJ26" r:id="rId153" xr:uid="{9D5F37FE-5E41-4638-8693-187D0935A63A}"/>
    <hyperlink ref="AJ27" r:id="rId154" xr:uid="{8D320D3F-7096-4F4E-8A85-D67479DA64BA}"/>
    <hyperlink ref="AL26" r:id="rId155" xr:uid="{8DFD58C4-1B3E-4E58-864D-33519CDBA898}"/>
    <hyperlink ref="AL27" r:id="rId156" xr:uid="{B7F77645-BD3D-4F31-8503-87EB5AE92622}"/>
    <hyperlink ref="C26" r:id="rId157" xr:uid="{747FB531-86E5-4C86-ACCB-E1402DE20DA3}"/>
    <hyperlink ref="C27" r:id="rId158" xr:uid="{D5A14A7D-DA8E-430D-9BA8-F35DDFBA12CD}"/>
    <hyperlink ref="G28" r:id="rId159" xr:uid="{33FA577A-E145-432C-B03B-726B7B7987D8}"/>
    <hyperlink ref="O28" r:id="rId160" xr:uid="{11838784-91C6-4834-BD0D-DCC2C45FF3F1}"/>
    <hyperlink ref="Q28" r:id="rId161" xr:uid="{F270DBA8-2FE6-47D2-BD7F-1BDBDB239926}"/>
    <hyperlink ref="X28" r:id="rId162" xr:uid="{CEB6C561-93E5-4647-B857-C9D5CCA7D98F}"/>
    <hyperlink ref="V28" r:id="rId163" xr:uid="{DC02B207-1CFA-41CB-8AF3-AAC8E5E1B97E}"/>
    <hyperlink ref="Z28" r:id="rId164" xr:uid="{AFC99FFE-13BC-4E53-B876-57FBC2E03362}"/>
    <hyperlink ref="AB28" r:id="rId165" xr:uid="{7CA060CA-335A-40A2-B800-A7EAD5FD08DD}"/>
    <hyperlink ref="AD28" r:id="rId166" xr:uid="{6807EB64-6188-4248-A4C8-24086FF08EA0}"/>
    <hyperlink ref="AF28" r:id="rId167" xr:uid="{7EF9EAC3-B3D8-4C65-BFED-098F6D984251}"/>
    <hyperlink ref="AH28" r:id="rId168" xr:uid="{5FC69E2A-20EE-4FB7-B39D-FAE1854EAC8E}"/>
    <hyperlink ref="AJ28" r:id="rId169" xr:uid="{38228858-A437-49E7-9B03-34A8A9FDBBE3}"/>
    <hyperlink ref="C28" r:id="rId170" xr:uid="{C572CFA1-C737-4216-AA0A-6C6AC97D139A}"/>
    <hyperlink ref="G31" r:id="rId171" xr:uid="{331F5CF2-3087-46B3-B021-647E02004076}"/>
    <hyperlink ref="O29" r:id="rId172" xr:uid="{00818456-4AF7-4305-97E5-E6A86D2840F6}"/>
    <hyperlink ref="O30" r:id="rId173" xr:uid="{4D002FCD-FD94-4AAE-93FA-E2D2F8D86F9B}"/>
    <hyperlink ref="O31" r:id="rId174" xr:uid="{5B156DC1-ED72-4976-940E-358FD5A03C89}"/>
    <hyperlink ref="Q29" r:id="rId175" xr:uid="{5E900A8D-18B1-4024-8D1A-7191906B0A5E}"/>
    <hyperlink ref="Q30" r:id="rId176" xr:uid="{49A68A2F-DCA7-429E-881E-89C4A6DE3366}"/>
    <hyperlink ref="Q31" r:id="rId177" xr:uid="{9E6D3F59-F03E-4FCE-8482-B13AE9997858}"/>
    <hyperlink ref="X29" r:id="rId178" xr:uid="{B371F222-3F7E-44D6-AE2D-F6630B718300}"/>
    <hyperlink ref="X30" r:id="rId179" xr:uid="{AD077243-0CAE-4C3D-9232-4FC8212BA825}"/>
    <hyperlink ref="X31" r:id="rId180" xr:uid="{122ADFF3-8DAE-4E62-B63D-AFD75283F272}"/>
    <hyperlink ref="V29" r:id="rId181" xr:uid="{1F615C4C-8562-4448-8D59-53FAA528BC81}"/>
    <hyperlink ref="V30" r:id="rId182" xr:uid="{7C018790-66D2-4DC4-87DF-2928B6BB3C02}"/>
    <hyperlink ref="V31" r:id="rId183" xr:uid="{AD388D85-9A32-4CFF-947D-88202D606D18}"/>
    <hyperlink ref="Z29" r:id="rId184" xr:uid="{BFA7543B-6D63-4A5E-802F-9B190BD5035E}"/>
    <hyperlink ref="Z30" r:id="rId185" xr:uid="{B9A395F9-61A3-4B21-AFC2-7965CD48CDAE}"/>
    <hyperlink ref="Z31" r:id="rId186" xr:uid="{BD18B018-CE12-4068-B052-962238E8E7E9}"/>
    <hyperlink ref="AB29" r:id="rId187" xr:uid="{22F3E766-8A26-4890-AD68-950B705095BB}"/>
    <hyperlink ref="AB30" r:id="rId188" xr:uid="{808ED627-5EDD-4F37-9DD2-320DDA53CAEC}"/>
    <hyperlink ref="AB31" r:id="rId189" xr:uid="{474CE824-83FC-44BA-8033-92A3C47768DF}"/>
    <hyperlink ref="AD29" r:id="rId190" xr:uid="{CD982649-BD12-4342-B237-159A912478F7}"/>
    <hyperlink ref="AD31" r:id="rId191" xr:uid="{6BBFD62D-04F1-4C94-B016-881B74909391}"/>
    <hyperlink ref="AD30" r:id="rId192" xr:uid="{F639BABF-9397-4D56-934F-3A8436D594FB}"/>
    <hyperlink ref="AF29" r:id="rId193" xr:uid="{390FDC39-B528-4797-95B8-F393C576893B}"/>
    <hyperlink ref="AF30" r:id="rId194" xr:uid="{37007F5B-2890-4E39-8DFE-68A90E4512C0}"/>
    <hyperlink ref="AF31" r:id="rId195" xr:uid="{82FD375C-7EF8-4BD1-B6DD-0126697E4DDA}"/>
    <hyperlink ref="AH29" r:id="rId196" xr:uid="{ADA71885-E5C1-4E90-A26A-A1CC062E5166}"/>
    <hyperlink ref="AH30" r:id="rId197" xr:uid="{97CD1F39-8641-47A1-BD14-5B6C603FCDC8}"/>
    <hyperlink ref="AH31" r:id="rId198" xr:uid="{46D38A9E-AF02-430A-8C6B-A6F5D7F21262}"/>
    <hyperlink ref="AJ29" r:id="rId199" xr:uid="{D06B9910-9095-4C64-ADEE-1522348FE5C8}"/>
    <hyperlink ref="AJ30" r:id="rId200" xr:uid="{258CB8E6-196A-43BA-83EE-9F5221448B9D}"/>
    <hyperlink ref="AJ31" r:id="rId201" xr:uid="{C7937232-9BB4-4D4E-8255-F4042EA6BC78}"/>
    <hyperlink ref="AL29" r:id="rId202" xr:uid="{AF47D466-A6A9-4BD0-916D-0541914021D5}"/>
    <hyperlink ref="AL30" r:id="rId203" xr:uid="{233600B5-60DA-41DA-9169-48F69E9CA234}"/>
    <hyperlink ref="G32" r:id="rId204" location="c132333" xr:uid="{57BF7E14-CA8C-4ABA-8745-C5CEC580CD95}"/>
    <hyperlink ref="G33" r:id="rId205" location="c132332" xr:uid="{2067B5B7-04C7-4E81-89CE-0AC74491D5B0}"/>
    <hyperlink ref="G34" r:id="rId206" location="c132331" xr:uid="{0885EE00-658F-4EE5-B9B3-BE7A04A39F3C}"/>
    <hyperlink ref="G35" r:id="rId207" location="c132330" xr:uid="{1EC55937-8056-45DD-B65A-1FCD433CA0FB}"/>
    <hyperlink ref="G36" r:id="rId208" xr:uid="{22305988-5EE3-4883-901F-1EDC24AC0F8E}"/>
    <hyperlink ref="G37" r:id="rId209" xr:uid="{D44417FD-CD6E-4BB1-ABE9-055CD5CBB020}"/>
    <hyperlink ref="G38" r:id="rId210" xr:uid="{7A55F06D-FA2F-4544-BC87-728314EC34AD}"/>
    <hyperlink ref="G40" r:id="rId211" xr:uid="{0C5437C7-CC0D-47DC-9EDC-E59A80597704}"/>
    <hyperlink ref="G39" r:id="rId212" xr:uid="{B1A12579-9173-46A5-959B-89B5CCFC2E84}"/>
    <hyperlink ref="O32" r:id="rId213" xr:uid="{95F5E662-E566-4CE4-B52F-7938C944EEF9}"/>
    <hyperlink ref="O33" r:id="rId214" xr:uid="{EA16CEB2-1253-49EE-A588-E3AE02C57C43}"/>
    <hyperlink ref="O34" r:id="rId215" xr:uid="{A9D9BC5C-A1B8-4419-A7CB-0C4A1F59EB78}"/>
    <hyperlink ref="O35" r:id="rId216" xr:uid="{C2CF6052-1D6A-4515-A524-6541EF06A3F7}"/>
    <hyperlink ref="O36" r:id="rId217" xr:uid="{B2F2D94E-AB2E-4E20-A907-67C5A41A5265}"/>
    <hyperlink ref="O37" r:id="rId218" xr:uid="{AD84B39E-0DF8-4AE0-862E-9E8FA0AC4F26}"/>
    <hyperlink ref="O38" r:id="rId219" xr:uid="{31CFD739-534A-43EF-8FAD-91A3DDCC538E}"/>
    <hyperlink ref="O39" r:id="rId220" xr:uid="{DE516533-ED47-44D6-9AE9-E1E3A363C612}"/>
    <hyperlink ref="O40" r:id="rId221" xr:uid="{CCACA563-267D-4E10-A567-F2DF6805152C}"/>
    <hyperlink ref="Q32" r:id="rId222" xr:uid="{64CEC09B-7C0F-40E4-90E8-77BB230FB6FF}"/>
    <hyperlink ref="Q33" r:id="rId223" xr:uid="{CA35EDD5-A66D-479E-BE50-3C15ACB63358}"/>
    <hyperlink ref="Q34" r:id="rId224" xr:uid="{E9CDE76C-096C-4581-9657-05359FD1C2A3}"/>
    <hyperlink ref="Q35" r:id="rId225" xr:uid="{00D8C0D0-F42C-48FF-9D74-268E9EBF67C3}"/>
    <hyperlink ref="Q36" r:id="rId226" xr:uid="{05B27D1B-E78F-43A4-859C-720FC1E59901}"/>
    <hyperlink ref="Q37" r:id="rId227" xr:uid="{6EE988BF-DDA9-4BB1-88BF-A2209896210E}"/>
    <hyperlink ref="Q38" r:id="rId228" xr:uid="{7DB4421A-41CB-4154-8314-F10F7C451986}"/>
    <hyperlink ref="Q39" r:id="rId229" xr:uid="{C8C0E6EE-7816-461B-A7FB-81D1FAC86406}"/>
    <hyperlink ref="Q40" r:id="rId230" xr:uid="{C88ED2B0-D52E-483A-BAB6-8D9512256832}"/>
    <hyperlink ref="X32" r:id="rId231" xr:uid="{9F3EBEAD-0CD4-4429-81B3-87BF22A80936}"/>
    <hyperlink ref="X33" r:id="rId232" xr:uid="{5E418D6B-CCCF-4470-9C37-B3BB71EA6024}"/>
    <hyperlink ref="X35" r:id="rId233" xr:uid="{99C4A1FA-67BA-455C-A46E-DC1B779CB7E0}"/>
    <hyperlink ref="X37" r:id="rId234" xr:uid="{9BFED703-84F9-4B14-8562-C9C914549C49}"/>
    <hyperlink ref="X38" r:id="rId235" xr:uid="{75725A71-B5CA-4787-AF9E-33C50027D107}"/>
    <hyperlink ref="X39" r:id="rId236" xr:uid="{9E8F62A1-51CF-489B-A6C9-877AAB11B9FF}"/>
    <hyperlink ref="X40" r:id="rId237" xr:uid="{E260E466-EE6A-4F83-A850-4404C2651931}"/>
    <hyperlink ref="X34" r:id="rId238" xr:uid="{4E09C400-1A95-4D96-8055-A669976FE6A6}"/>
    <hyperlink ref="X36" r:id="rId239" xr:uid="{2961858A-C5A5-41B9-AD80-3A2B31D1AC12}"/>
    <hyperlink ref="V32" r:id="rId240" xr:uid="{1DA978ED-AED4-4645-B099-B7ACE0EA2A29}"/>
    <hyperlink ref="V33" r:id="rId241" xr:uid="{37CE9B4A-2CE4-4234-8FAE-2B5E72A957E3}"/>
    <hyperlink ref="V35" r:id="rId242" xr:uid="{759CF17B-B2D9-4221-83AE-9CD0D2B8C055}"/>
    <hyperlink ref="V36" r:id="rId243" xr:uid="{ECFB2147-CCA1-41CD-974E-69AF0D31ABE4}"/>
    <hyperlink ref="V37" r:id="rId244" xr:uid="{9A5F5889-6740-4947-B5E2-991E4E538BC6}"/>
    <hyperlink ref="V38" r:id="rId245" xr:uid="{47D50DE3-A863-4084-A3C8-9F784D86C4C2}"/>
    <hyperlink ref="V39" r:id="rId246" xr:uid="{7958193B-D743-4101-A33F-B52661D96004}"/>
    <hyperlink ref="V40" r:id="rId247" xr:uid="{E17AC1F5-E38D-45F3-9216-D43D5A1026EF}"/>
    <hyperlink ref="V34" r:id="rId248" xr:uid="{DE9B1131-4CF0-4B09-AA10-74B68B275FEB}"/>
    <hyperlink ref="Z32" r:id="rId249" xr:uid="{37E76C43-1569-4F86-89FF-F84E93D40EEC}"/>
    <hyperlink ref="Z33" r:id="rId250" xr:uid="{D72383BF-FEFA-447A-97E5-4F0C57C07FE6}"/>
    <hyperlink ref="Z34" r:id="rId251" xr:uid="{D65219F0-911F-421B-B5B4-83524EBB3A2F}"/>
    <hyperlink ref="Z35" r:id="rId252" xr:uid="{62D52AB1-DBBA-4DB7-A7B1-F50D775A8B0F}"/>
    <hyperlink ref="Z36" r:id="rId253" xr:uid="{285EC74D-164A-4FAC-93E6-FF5CF610EE35}"/>
    <hyperlink ref="Z37" r:id="rId254" xr:uid="{CC8B82CE-5B2C-43A0-87F6-D33E77F54740}"/>
    <hyperlink ref="Z38" r:id="rId255" xr:uid="{C8BF914A-F645-4BEC-908E-7A3A30F3A020}"/>
    <hyperlink ref="Z39" r:id="rId256" xr:uid="{0C2EE07C-E43C-45AC-9F72-5C84C6EE3AF6}"/>
    <hyperlink ref="Z40" r:id="rId257" xr:uid="{8A858811-D504-408C-B1C7-8D467FC1C0D3}"/>
    <hyperlink ref="AB32" r:id="rId258" xr:uid="{710E7E27-DD0E-4640-8B8E-85F09220ED38}"/>
    <hyperlink ref="AB33" r:id="rId259" xr:uid="{E183FC79-D0BC-494B-8240-6E25A8E52B15}"/>
    <hyperlink ref="AB35" r:id="rId260" xr:uid="{AC047E32-1D18-43C9-A2B0-357FCC7DA7B4}"/>
    <hyperlink ref="AB36" r:id="rId261" xr:uid="{F62E6E92-2A73-4737-924B-9BC6D3A4ACE1}"/>
    <hyperlink ref="AB37" r:id="rId262" xr:uid="{9067CE72-DCEA-4B51-A581-61FF40389F1E}"/>
    <hyperlink ref="AB38" r:id="rId263" xr:uid="{08204CB5-BF82-4347-A228-9EE8D1338803}"/>
    <hyperlink ref="AB39" r:id="rId264" xr:uid="{4776238C-E435-4D69-BAC8-49AC2A1EAC26}"/>
    <hyperlink ref="AB34" r:id="rId265" xr:uid="{8930FF2A-0B47-4D89-862A-9B9361A041D1}"/>
    <hyperlink ref="AB40" r:id="rId266" xr:uid="{45FA4051-0496-4AA5-91D1-3075E3B03527}"/>
    <hyperlink ref="AD32" r:id="rId267" xr:uid="{F862A18D-A3C5-4652-86A3-BD8BC9DFF52B}"/>
    <hyperlink ref="AD33" r:id="rId268" xr:uid="{6C7AFB57-066B-4766-A43E-0F26C387FB5D}"/>
    <hyperlink ref="AD34" r:id="rId269" xr:uid="{90CB7DDD-8036-4AE1-AB2E-7DE5D0078545}"/>
    <hyperlink ref="AD35" r:id="rId270" xr:uid="{4AED00A8-3F7E-450C-BB03-39157DCA305C}"/>
    <hyperlink ref="AD37" r:id="rId271" xr:uid="{47976F9A-DB88-4F3D-A5D7-439DE98A2571}"/>
    <hyperlink ref="AD36" r:id="rId272" xr:uid="{53CF49F7-DC60-4AEE-B397-11A875DFAA31}"/>
    <hyperlink ref="AD38" r:id="rId273" xr:uid="{4B32F391-FFD6-4B1F-B70D-7E537CFF20F3}"/>
    <hyperlink ref="AD39" r:id="rId274" xr:uid="{8CF6A9E2-28C0-4CB4-A007-CF702F903AE3}"/>
    <hyperlink ref="AD40" r:id="rId275" xr:uid="{AFA5C85B-F6F9-4751-B0A2-B8A19420E107}"/>
    <hyperlink ref="AF32" r:id="rId276" xr:uid="{F2F5808D-BCE1-471C-AF57-17B012F62B63}"/>
    <hyperlink ref="AF33" r:id="rId277" xr:uid="{F4949457-AF2E-46EC-ACCD-D7E0B9B642E8}"/>
    <hyperlink ref="AF34" r:id="rId278" xr:uid="{9971E632-1BF4-4CFA-A68F-43D02D9120F5}"/>
    <hyperlink ref="AF35" r:id="rId279" xr:uid="{9CC6F42F-4DC7-4D09-A769-A0953886428C}"/>
    <hyperlink ref="AF36" r:id="rId280" xr:uid="{6AB649D7-B19F-4D6B-BE78-3B1059BAA327}"/>
    <hyperlink ref="AF37" r:id="rId281" xr:uid="{B3753142-B052-476B-A299-AE31F3AB44B1}"/>
    <hyperlink ref="AF38" r:id="rId282" xr:uid="{4EFBB719-DAFA-4DF4-8A2A-6A4ABFB2D19B}"/>
    <hyperlink ref="AF39" r:id="rId283" xr:uid="{C32B17D0-DDF2-4D2B-8EEB-3DFB82D2CC36}"/>
    <hyperlink ref="AF40" r:id="rId284" xr:uid="{A214F10B-C071-4B6A-BD00-B932CA0406BB}"/>
    <hyperlink ref="AH32" r:id="rId285" xr:uid="{31591743-F707-4CBD-BB1B-57BB941457C0}"/>
    <hyperlink ref="AH33" r:id="rId286" xr:uid="{9EF37646-730A-4435-B372-80CB6EB413F2}"/>
    <hyperlink ref="AH34" r:id="rId287" xr:uid="{61F3C3E9-F5EE-47D8-8A30-00A471626E67}"/>
    <hyperlink ref="AH35" r:id="rId288" xr:uid="{EE46A157-E631-45FD-81CF-53BFD83C244F}"/>
    <hyperlink ref="AH36" r:id="rId289" xr:uid="{F875DE17-75A7-4721-9A8F-D36C5BCDF8E0}"/>
    <hyperlink ref="AH37" r:id="rId290" xr:uid="{6A4BEED0-A639-429F-945B-EC8BB9A56C70}"/>
    <hyperlink ref="AH38" r:id="rId291" xr:uid="{A03142BC-23D0-4403-8DDD-F82751BF877D}"/>
    <hyperlink ref="AH39" r:id="rId292" xr:uid="{DE054171-9964-4624-A4A4-33D8AAC85118}"/>
    <hyperlink ref="AH40" r:id="rId293" xr:uid="{F1DC4BFA-41AC-4314-999D-061748AA5DD4}"/>
    <hyperlink ref="AJ32" r:id="rId294" xr:uid="{83E471D5-D853-4D64-B18C-0A2EAF213EEE}"/>
    <hyperlink ref="AJ33" r:id="rId295" xr:uid="{AEBD2162-205E-46D9-B45F-82F509A76B83}"/>
    <hyperlink ref="AJ34" r:id="rId296" xr:uid="{3D7D6D1D-93FF-40C0-B3EB-D4A141139D06}"/>
    <hyperlink ref="AJ35" r:id="rId297" xr:uid="{D15FC0A2-8D1D-4101-A440-20B8DFAFB7D0}"/>
    <hyperlink ref="AJ36" r:id="rId298" xr:uid="{FD4550B7-727D-4602-AE3F-94588320D8EB}"/>
    <hyperlink ref="AJ37" r:id="rId299" xr:uid="{2B7E8C53-5142-4586-94B4-8BE77A4E27B4}"/>
    <hyperlink ref="AJ39" r:id="rId300" xr:uid="{5011A4FF-C3CC-4999-BE8B-5F5B43891360}"/>
    <hyperlink ref="AJ40" r:id="rId301" xr:uid="{87D593CC-DDF6-455B-8AB7-E77DBA316765}"/>
    <hyperlink ref="AJ38" r:id="rId302" xr:uid="{3B1BEA6C-0E5C-4CD8-97CB-7CA0B5483DEA}"/>
    <hyperlink ref="AL34" r:id="rId303" xr:uid="{EA9F9F79-8C39-46E0-B49E-731924EE4491}"/>
    <hyperlink ref="AL36" r:id="rId304" xr:uid="{C639C699-B99A-4EDC-800A-25DCAB9C0B17}"/>
    <hyperlink ref="AL37" r:id="rId305" xr:uid="{FC3CE796-090B-4267-B473-6264AFB5C9B3}"/>
    <hyperlink ref="C32" r:id="rId306" xr:uid="{4694EBF8-E284-414C-8A19-EF80723BA7AC}"/>
    <hyperlink ref="C33" r:id="rId307" xr:uid="{1B82FBA3-B8DC-48B2-8242-C169DB65AB44}"/>
    <hyperlink ref="C34" r:id="rId308" xr:uid="{41C5A760-D870-4475-BD60-99F9487712C3}"/>
    <hyperlink ref="C37" r:id="rId309" xr:uid="{16432C5B-F544-4AC4-8337-A268DE1A5394}"/>
    <hyperlink ref="C38" r:id="rId310" xr:uid="{2EB9C255-3D5F-4B0D-A036-00ED91A79C68}"/>
    <hyperlink ref="C39" r:id="rId311" xr:uid="{F0CBB587-181A-4CC1-BBCE-60977470A6FA}"/>
    <hyperlink ref="C40" r:id="rId312" xr:uid="{644402DE-8B07-44A0-BE62-69015BD5172C}"/>
    <hyperlink ref="G41" r:id="rId313" xr:uid="{6A8F9905-EB32-490F-B2B1-0F5FF892C079}"/>
    <hyperlink ref="G43" r:id="rId314" xr:uid="{FF301558-9CFA-4B9A-BDA6-6BCFB0A2F7E6}"/>
    <hyperlink ref="G45" r:id="rId315" xr:uid="{9FFFA853-9704-467B-AF17-C1AFEF399256}"/>
    <hyperlink ref="G46" r:id="rId316" xr:uid="{0D883ED2-5B85-4347-8C6A-11E39393F398}"/>
    <hyperlink ref="G47" r:id="rId317" xr:uid="{267FD855-DFE0-4E12-B2CF-73F3CF415748}"/>
    <hyperlink ref="G42" r:id="rId318" xr:uid="{F30CC655-39BC-48CF-B8FD-7BD143797FC9}"/>
    <hyperlink ref="G44" r:id="rId319" xr:uid="{ACF2352A-436B-4903-808E-E33905A861AA}"/>
    <hyperlink ref="O41" r:id="rId320" xr:uid="{E6BD0B1F-B6BC-4C1C-A451-D2BD3F764989}"/>
    <hyperlink ref="O42" r:id="rId321" location="/facilitylevels" xr:uid="{CF549411-4BBA-4964-8E9B-8761A5037D47}"/>
    <hyperlink ref="O43" r:id="rId322" location="/facilitylevels" xr:uid="{8698C0B0-C8C3-4AB9-BD6F-6CC61A909069}"/>
    <hyperlink ref="O44" r:id="rId323" xr:uid="{337B8074-E9A9-424A-96FC-AC96EC3E5D91}"/>
    <hyperlink ref="O45" r:id="rId324" xr:uid="{0F527338-DB05-4101-809A-DA57D0D31391}"/>
    <hyperlink ref="O46" r:id="rId325" xr:uid="{32CCE45F-532B-4D8D-80EE-D564EE146232}"/>
    <hyperlink ref="O47" r:id="rId326" xr:uid="{92BEFB87-0528-43F1-AF7F-7681AD4F3B75}"/>
    <hyperlink ref="Q41" r:id="rId327" xr:uid="{1EB1B531-7ED2-432A-8FDB-070811A731A8}"/>
    <hyperlink ref="Q42" r:id="rId328" xr:uid="{324B678F-93A8-4C89-B08A-1DD56A570D40}"/>
    <hyperlink ref="Q43" r:id="rId329" xr:uid="{5461805B-384B-4139-AB56-8B81C75221B0}"/>
    <hyperlink ref="Q44" r:id="rId330" xr:uid="{20E7786F-A82A-4D15-AE22-BCDCA0AACD1D}"/>
    <hyperlink ref="Q45" r:id="rId331" xr:uid="{0938F183-3B77-4015-8EF3-3507EE605513}"/>
    <hyperlink ref="Q46" r:id="rId332" xr:uid="{B180580C-CC90-40CB-AF35-092880B1F7F9}"/>
    <hyperlink ref="Q47" r:id="rId333" xr:uid="{900788DE-F833-4513-B4D5-2764CEF9446F}"/>
    <hyperlink ref="X41" r:id="rId334" xr:uid="{63DE7373-F8A3-459A-BFF2-F4A51EB78F35}"/>
    <hyperlink ref="X42" r:id="rId335" xr:uid="{D7380E7D-3244-4317-A278-3A1B1E4A5ED8}"/>
    <hyperlink ref="X43" r:id="rId336" xr:uid="{C72B6601-0111-42CE-82E5-204F71D79D12}"/>
    <hyperlink ref="X44" r:id="rId337" xr:uid="{56219E97-21D9-47CF-B3BD-7010E47DC147}"/>
    <hyperlink ref="X45" r:id="rId338" xr:uid="{4D9A0AB2-5CD9-4256-AFEB-857DA8FDF8D2}"/>
    <hyperlink ref="X47" r:id="rId339" xr:uid="{0535F24B-F58F-40BE-A579-E554380DB144}"/>
    <hyperlink ref="X46" r:id="rId340" xr:uid="{3977AAE4-86B4-4226-982A-05A46AECB230}"/>
    <hyperlink ref="V41" r:id="rId341" xr:uid="{0BFE788B-E418-4756-8D72-714DE0946756}"/>
    <hyperlink ref="V42" r:id="rId342" xr:uid="{6E20D44F-C442-4915-BD8F-C6EFB36FD2CC}"/>
    <hyperlink ref="V43" r:id="rId343" xr:uid="{FB1FF1AD-693D-47EC-9BB3-44DB4C90D585}"/>
    <hyperlink ref="V44" r:id="rId344" xr:uid="{3B84546D-7C21-40FC-8590-5849DB55C3FC}"/>
    <hyperlink ref="V45" r:id="rId345" xr:uid="{0C191EED-16B9-4570-9347-81F4E85FF840}"/>
    <hyperlink ref="V46" r:id="rId346" xr:uid="{26A70459-D02C-4E34-8471-0156888A2A46}"/>
    <hyperlink ref="V47" r:id="rId347" xr:uid="{806D514B-6E93-4C0E-B267-E3185BFA7688}"/>
    <hyperlink ref="Z41" r:id="rId348" xr:uid="{BD26C29D-8FCF-4933-8E96-C1F986BAE89E}"/>
    <hyperlink ref="Z42" r:id="rId349" xr:uid="{ED6D6906-859C-49BD-B933-BEAF4FD7DFB3}"/>
    <hyperlink ref="Z43" r:id="rId350" xr:uid="{C48168DB-50C7-4C0B-97BE-9AD40F1F5CC7}"/>
    <hyperlink ref="Z44" r:id="rId351" xr:uid="{B7242958-BB41-4CE2-8B52-4F5F186CAD9C}"/>
    <hyperlink ref="Z45" r:id="rId352" xr:uid="{4FD3574F-4F40-42F2-833B-EAB71ACBEE46}"/>
    <hyperlink ref="Z46" r:id="rId353" xr:uid="{666B45F1-9607-4F71-9E91-27F3C58813C0}"/>
    <hyperlink ref="Z47" r:id="rId354" xr:uid="{327913A2-46CF-421C-A15F-D18AB0C8FE96}"/>
    <hyperlink ref="AB41" r:id="rId355" xr:uid="{9EE6A41F-AF3E-4292-9292-5CD372EA6446}"/>
    <hyperlink ref="AB43" r:id="rId356" xr:uid="{1C5BD8B3-07BB-46FF-8101-8E17141CBE73}"/>
    <hyperlink ref="AB44" r:id="rId357" xr:uid="{3DC779A9-FA01-41C5-A941-990555B223DA}"/>
    <hyperlink ref="AB46" r:id="rId358" xr:uid="{33CA3934-D8E8-4541-BED4-23C0111CFBE2}"/>
    <hyperlink ref="AB47" r:id="rId359" xr:uid="{63D964ED-7FB4-40AB-BD0C-F7C00DDB9A98}"/>
    <hyperlink ref="AB42" r:id="rId360" xr:uid="{C8F1B003-09EB-4FF9-A0DE-FA35267BA10F}"/>
    <hyperlink ref="AB45" r:id="rId361" xr:uid="{B811C212-6FE6-4F77-AF61-2E82D79928D6}"/>
    <hyperlink ref="AD41" r:id="rId362" xr:uid="{B2943B45-BEA1-4AC7-BB6C-C2FB3DA63AFD}"/>
    <hyperlink ref="AD42" r:id="rId363" xr:uid="{637EC049-4DFC-440B-B608-4F3C18E2FF14}"/>
    <hyperlink ref="AD43" r:id="rId364" xr:uid="{D4BA64B5-84C0-4EAA-9D98-40936BDCC6DA}"/>
    <hyperlink ref="AD44" r:id="rId365" xr:uid="{628BADAE-B8D0-4623-9D31-B3AE930AB873}"/>
    <hyperlink ref="AD45" r:id="rId366" xr:uid="{A8B5FA76-5C9A-4F85-A588-14BA0F71A0A5}"/>
    <hyperlink ref="AD46" r:id="rId367" xr:uid="{7E99C3E8-3A75-4DB3-A66A-4C83710C9374}"/>
    <hyperlink ref="AD47" r:id="rId368" xr:uid="{BC34648F-D044-40CC-9A14-E54CA22E013C}"/>
    <hyperlink ref="AF41" r:id="rId369" xr:uid="{843A37D4-EC79-4FA2-8B32-A0F4738B2712}"/>
    <hyperlink ref="AF42" r:id="rId370" xr:uid="{4B396892-DDE1-4929-8822-064623416470}"/>
    <hyperlink ref="AF43" r:id="rId371" xr:uid="{551C6366-139C-45C5-9330-3499837C6F86}"/>
    <hyperlink ref="AF44" r:id="rId372" xr:uid="{33C60A0D-9677-4151-97B1-65ADB566B3DA}"/>
    <hyperlink ref="AF45" r:id="rId373" xr:uid="{5BABAEB0-DB0A-4E7F-8B4E-44B8D3551B43}"/>
    <hyperlink ref="AF46" r:id="rId374" xr:uid="{62E3157D-FC22-41BC-98EA-8089EF5F8C05}"/>
    <hyperlink ref="AF47" r:id="rId375" xr:uid="{5D211BC1-B3E9-453F-BFF4-1E9CCA5CA909}"/>
    <hyperlink ref="AH41" r:id="rId376" xr:uid="{54597056-8F61-4BD7-B09C-363937C1F58A}"/>
    <hyperlink ref="AH42" r:id="rId377" xr:uid="{F9AB5B73-5C72-4DE3-BD8E-D1B405ACFC3B}"/>
    <hyperlink ref="AH43" r:id="rId378" xr:uid="{4685A951-5A02-47B4-AA7F-B1AF64287BF8}"/>
    <hyperlink ref="AH44" r:id="rId379" xr:uid="{5D13800C-DBF6-47BB-8983-FA2762715CFB}"/>
    <hyperlink ref="AH45" r:id="rId380" xr:uid="{B42A3F3F-50C4-4568-B614-89BEEC6E2F4B}"/>
    <hyperlink ref="AH46" r:id="rId381" xr:uid="{97535B3D-A675-4E0E-B875-F1BCD0435319}"/>
    <hyperlink ref="AH47" r:id="rId382" xr:uid="{113B03E1-B9CB-4FB9-9451-22112D0FA594}"/>
    <hyperlink ref="AJ41" r:id="rId383" xr:uid="{7EAD18C3-A965-49B7-A4D3-569CC4415EA2}"/>
    <hyperlink ref="AJ42" r:id="rId384" xr:uid="{CEFAAEAC-FF7E-48B6-877F-FEECDE5ECBF3}"/>
    <hyperlink ref="AJ43" r:id="rId385" xr:uid="{8544C3E5-5B85-4532-BDD9-65647142A980}"/>
    <hyperlink ref="AJ44" r:id="rId386" xr:uid="{E1212A79-4B84-46EA-8D4C-36A602900F5F}"/>
    <hyperlink ref="AJ45" r:id="rId387" xr:uid="{BBCB56CC-8217-4B3F-A678-C75E8D02479B}"/>
    <hyperlink ref="AJ46" r:id="rId388" xr:uid="{4F2826C9-2873-4F1A-BAAB-38378D9CA14C}"/>
    <hyperlink ref="AJ47" r:id="rId389" xr:uid="{05E38BD0-ABF8-4FC6-929D-2B00010AE012}"/>
    <hyperlink ref="AL42" r:id="rId390" xr:uid="{07429BDA-2279-48AC-B649-D0448B9156FE}"/>
    <hyperlink ref="AL43" r:id="rId391" xr:uid="{274E7681-4A25-4DA5-B3AC-3C76AC25EA93}"/>
    <hyperlink ref="AL44" r:id="rId392" xr:uid="{68F4587C-F8A0-40EF-B3A0-5FD289332CEE}"/>
    <hyperlink ref="AL46" r:id="rId393" display="https://www.steag.com/en/press-release/21-03-2022-thyssenkrupp-steel-and-steag-agree-delivery-of-hydrogen" xr:uid="{73BEC3D0-F984-48D8-8143-C63F2283DF37}"/>
    <hyperlink ref="AL47" r:id="rId394" xr:uid="{7A98A126-A50E-412D-A39F-88079D9A06C2}"/>
    <hyperlink ref="AL45" r:id="rId395" display="https://www.greencarcongress.com/2022/09/20220909-thyssenkrupp.html" xr:uid="{F6CFCC32-1619-45EE-931A-6F8702DE6551}"/>
    <hyperlink ref="C42" r:id="rId396" xr:uid="{9A549884-C6B3-4C5D-9368-4194F6ABEA94}"/>
    <hyperlink ref="C43" r:id="rId397" xr:uid="{2E9A765C-DB85-4864-832F-0BD85D5853E1}"/>
    <hyperlink ref="C46" r:id="rId398" xr:uid="{775A2BCB-C618-4405-8594-99EDB32EE19D}"/>
    <hyperlink ref="C47" r:id="rId399" xr:uid="{F301FF71-9331-4FF8-9677-3510AF9B9DCE}"/>
    <hyperlink ref="G48" r:id="rId400" xr:uid="{C169790B-163A-4464-83A8-A3BAA9185397}"/>
    <hyperlink ref="G49" r:id="rId401" xr:uid="{F2DE6F6A-E8D2-45A2-98E2-A3550A90E949}"/>
    <hyperlink ref="G50" r:id="rId402" xr:uid="{937594A8-3E3F-4614-812D-EAED31635867}"/>
    <hyperlink ref="G51" r:id="rId403" xr:uid="{E8C17938-6961-401B-B97D-2468A164FE5A}"/>
    <hyperlink ref="O48" r:id="rId404" xr:uid="{471C1133-AC20-4E0F-BC22-E0CBDD71FCB8}"/>
    <hyperlink ref="O49" r:id="rId405" xr:uid="{50000149-E797-40FF-8647-41BC85582797}"/>
    <hyperlink ref="O50" r:id="rId406" xr:uid="{A3AE46D2-3049-409E-AAB6-02ABAE210D46}"/>
    <hyperlink ref="O51" r:id="rId407" xr:uid="{8050F2CE-FDDC-44BF-A180-58A8340728AC}"/>
    <hyperlink ref="Q48" r:id="rId408" xr:uid="{B37EBBEA-86D9-4B98-9BF0-73B52852AF38}"/>
    <hyperlink ref="Q49" r:id="rId409" xr:uid="{59399D2A-EBC5-472D-8142-9DEFB02EB8F4}"/>
    <hyperlink ref="Q50" r:id="rId410" xr:uid="{90B091D1-8A62-44BC-A217-C2DB24D5EF59}"/>
    <hyperlink ref="Q51" r:id="rId411" xr:uid="{E35F19E0-340F-40B9-BABE-1C4F92498B1C}"/>
    <hyperlink ref="X48" r:id="rId412" xr:uid="{D69CFED0-FDA7-4D35-AA33-86CBA919E1A0}"/>
    <hyperlink ref="X49" r:id="rId413" xr:uid="{35E82223-64FB-4B1E-A017-3A4E61F949D2}"/>
    <hyperlink ref="X51" r:id="rId414" xr:uid="{EC49E38F-00DD-4BA4-90CD-041A3867321C}"/>
    <hyperlink ref="X50" r:id="rId415" xr:uid="{59F9CD83-7974-45B8-B6A7-88BFCF38041B}"/>
    <hyperlink ref="V48" r:id="rId416" xr:uid="{9754E8EC-44DB-434A-9102-2AD3189CB5B4}"/>
    <hyperlink ref="V49" r:id="rId417" xr:uid="{76AD696D-2FEB-449F-83DC-0E18F50B8CE2}"/>
    <hyperlink ref="V50" r:id="rId418" xr:uid="{7DB9162B-26C5-4634-8B8E-7CA2F1EEFFB5}"/>
    <hyperlink ref="V51" r:id="rId419" xr:uid="{9E7717A5-81AF-4A8D-9076-0370D33DE73E}"/>
    <hyperlink ref="Z48" r:id="rId420" xr:uid="{A0A7518E-3A3E-4243-BEDA-A3BF2B084A5B}"/>
    <hyperlink ref="Z49" r:id="rId421" xr:uid="{CE23AE1A-CC03-4972-B44E-B486EF0BB372}"/>
    <hyperlink ref="Z50" r:id="rId422" xr:uid="{10A6F077-0EAE-4153-9E61-0C9E4D1EA929}"/>
    <hyperlink ref="Z51" r:id="rId423" xr:uid="{CDA4EFB6-8DE6-4033-A016-24280D11F942}"/>
    <hyperlink ref="AB48" r:id="rId424" xr:uid="{DEB5E080-6900-4512-89D6-2A2C36E26988}"/>
    <hyperlink ref="AB49" r:id="rId425" xr:uid="{AEF5A085-F709-4022-8A9F-EACA541F8057}"/>
    <hyperlink ref="AB50" r:id="rId426" xr:uid="{EA680843-C0E1-4691-91BB-A696E449AC99}"/>
    <hyperlink ref="AB51" r:id="rId427" xr:uid="{F5BFD2C5-B505-4D42-8A89-AB7F4318EFC2}"/>
    <hyperlink ref="AD48" r:id="rId428" xr:uid="{CDC34F2D-8710-4476-92C3-4F987127B8C1}"/>
    <hyperlink ref="AD49" r:id="rId429" xr:uid="{4B3846C5-4FEA-4517-9464-F964A2E1771E}"/>
    <hyperlink ref="AD51" r:id="rId430" xr:uid="{C0EE1A18-85DA-46D3-8E52-B2363E79A7B7}"/>
    <hyperlink ref="AD50" r:id="rId431" xr:uid="{81B2FDB5-BADB-4467-B639-E86783E428CD}"/>
    <hyperlink ref="AF48" r:id="rId432" xr:uid="{E0BB799B-8CE1-4646-8714-6521181C9CF3}"/>
    <hyperlink ref="AF49" r:id="rId433" xr:uid="{0F1C1ABB-CD57-4FB9-85A3-0D363E48146D}"/>
    <hyperlink ref="AF50" r:id="rId434" xr:uid="{6A801FF6-99F0-496A-A2DC-E63EC844145D}"/>
    <hyperlink ref="AF51" r:id="rId435" xr:uid="{33FE0369-2770-4614-97B4-B424A13EFB25}"/>
    <hyperlink ref="AH48" r:id="rId436" xr:uid="{C4BC0E15-1756-4C36-A52D-E77F68BC64F5}"/>
    <hyperlink ref="AH49" r:id="rId437" xr:uid="{B43A673E-54A0-4632-AE45-F24DC8C976F6}"/>
    <hyperlink ref="AH50" r:id="rId438" xr:uid="{79C7F102-B640-44D7-AC22-DC7A97EABD6A}"/>
    <hyperlink ref="AH51" r:id="rId439" xr:uid="{C1EEBEDF-180E-4015-B570-9131ACC13516}"/>
    <hyperlink ref="AJ49" r:id="rId440" xr:uid="{E4B95DFD-E14C-48F1-9900-0CE4654E3C4F}"/>
    <hyperlink ref="AJ50" r:id="rId441" xr:uid="{C283F3D8-2F39-44D4-ACA4-4FA4B1513671}"/>
    <hyperlink ref="AJ51" r:id="rId442" xr:uid="{EFBAC8B4-207F-4895-B856-89EDA7E07E89}"/>
    <hyperlink ref="AL49" r:id="rId443" xr:uid="{42C757ED-D330-4DC4-8947-13FAE0DAFE58}"/>
    <hyperlink ref="AL50" r:id="rId444" display="https://www.voestalpine.com/group/en/media/press-releases/2019-11-11-h2future-worlds-largest-green-hydrogen-pilot-facility-successfully-commences-operation/" xr:uid="{387644BB-564D-4C7F-B4CC-B3651F925924}"/>
    <hyperlink ref="AL51" r:id="rId445" xr:uid="{94CD2F67-B317-4899-AFCE-819A79B3211D}"/>
    <hyperlink ref="C48" r:id="rId446" xr:uid="{BA3FEA91-C6B3-452B-9125-F84028490831}"/>
    <hyperlink ref="C49" r:id="rId447" xr:uid="{0DCB39D1-B353-4545-BB70-F30E7E0519CC}"/>
    <hyperlink ref="C50" r:id="rId448" xr:uid="{829F5876-5FA7-482A-9604-40D32A071A8F}"/>
    <hyperlink ref="C51" r:id="rId449" xr:uid="{18D40185-697B-419F-9FD7-517CBE0AAAC8}"/>
    <hyperlink ref="G52" r:id="rId450" xr:uid="{1D6E4484-F409-44AA-80C9-1E092E6CEEB3}"/>
    <hyperlink ref="G53" r:id="rId451" xr:uid="{893AF6E9-4D8E-4F68-B96F-4EDE8F38D4F7}"/>
    <hyperlink ref="O52" r:id="rId452" xr:uid="{E5598665-B72D-4EA9-92D1-1556464FE7DB}"/>
    <hyperlink ref="O53" r:id="rId453" xr:uid="{FA72A0B5-A49D-4F8F-92A2-7FE14BD0C240}"/>
    <hyperlink ref="Q52" r:id="rId454" xr:uid="{335DF9E7-76A5-482D-9CAE-D577F063D90F}"/>
    <hyperlink ref="Q53" r:id="rId455" xr:uid="{7CBE43D2-8611-44D1-A268-AD43FE2A9FD0}"/>
    <hyperlink ref="X52" r:id="rId456" xr:uid="{4A6611A5-B428-4BB1-A00E-819BF7D0B4EF}"/>
    <hyperlink ref="X53" r:id="rId457" xr:uid="{2322929E-0CD4-4CC5-A429-CB7B70E8BA02}"/>
    <hyperlink ref="V52" r:id="rId458" xr:uid="{78E3A034-82BF-46C9-A9A7-59945CD3B4CD}"/>
    <hyperlink ref="V53" r:id="rId459" xr:uid="{D3BD6B4B-DFA2-4ABB-90B2-134D539FF16D}"/>
    <hyperlink ref="Z52" r:id="rId460" xr:uid="{061CA6A4-3329-43DD-BAF6-EAC74806C17F}"/>
    <hyperlink ref="Z53" r:id="rId461" xr:uid="{1BAE60A4-14A0-4919-8729-407C41D02DF5}"/>
    <hyperlink ref="AB52" r:id="rId462" xr:uid="{BE579273-BE73-45B2-A514-D1B4A33C9E20}"/>
    <hyperlink ref="AB53" r:id="rId463" xr:uid="{41AFB359-2620-463D-9357-E801A5BC016B}"/>
    <hyperlink ref="AD52" r:id="rId464" xr:uid="{EF411A6C-08E0-4BEE-A6B5-BF10C0D4E80B}"/>
    <hyperlink ref="AD53" r:id="rId465" xr:uid="{9C6290B4-48A4-4B40-B88C-8F869B33A231}"/>
    <hyperlink ref="AF52" r:id="rId466" xr:uid="{55F3F77A-9124-410F-AD48-5A68B1F68ED8}"/>
    <hyperlink ref="AF53" r:id="rId467" xr:uid="{B9B4C3E2-9B7A-464F-8529-AF9BEBF8CF70}"/>
    <hyperlink ref="AH53" r:id="rId468" xr:uid="{B8BE8019-9028-43D4-8091-3B83EB159E63}"/>
    <hyperlink ref="AH52" r:id="rId469" xr:uid="{13398D5C-36B9-40FB-90DD-334F6003693D}"/>
    <hyperlink ref="AJ52" r:id="rId470" xr:uid="{F0DCB7BA-24DE-494A-B9C8-F3F0F620C3CD}"/>
    <hyperlink ref="AJ53" r:id="rId471" xr:uid="{4474BA3A-2C66-4428-A605-E943AC0E3C36}"/>
    <hyperlink ref="AL52" r:id="rId472" xr:uid="{60C8B80B-938B-4300-AAD3-543A158F6A1B}"/>
    <hyperlink ref="AL53" r:id="rId473" xr:uid="{37CAD604-6673-4B73-B523-FBC8AA052629}"/>
    <hyperlink ref="C52" r:id="rId474" xr:uid="{47CA3B3D-4C52-4E19-BAFF-333627842E4E}"/>
    <hyperlink ref="C53" r:id="rId475" xr:uid="{B3B29D83-30B4-4E9A-A0E0-6A073E341BD2}"/>
    <hyperlink ref="G54" r:id="rId476" location="c132331" xr:uid="{23B227EE-E426-400E-9EA9-93886FD9D447}"/>
    <hyperlink ref="G55" r:id="rId477" xr:uid="{05C2D44D-A663-4056-8AA8-D581C10CBA54}"/>
    <hyperlink ref="O54" r:id="rId478" xr:uid="{47A944B1-BE65-483D-B244-8B8818198BCE}"/>
    <hyperlink ref="O55" r:id="rId479" xr:uid="{AD0C8334-E27D-41D4-B6F7-F2DB8B7F0564}"/>
    <hyperlink ref="Q54" r:id="rId480" xr:uid="{BD505F59-D2AE-4AFD-BA88-F2BFE9D25342}"/>
    <hyperlink ref="Q55" r:id="rId481" xr:uid="{975953DE-01F4-4197-BD0E-B1A01E89BC4F}"/>
    <hyperlink ref="X54" r:id="rId482" xr:uid="{EC1B10A5-F783-4B84-98FC-7D1FFC411D7D}"/>
    <hyperlink ref="X55" r:id="rId483" xr:uid="{B8A62D73-0F40-41CD-BE14-1FB76AD1447B}"/>
    <hyperlink ref="V54" r:id="rId484" xr:uid="{937EF269-0E3C-42B0-8543-1AF3CD6A901F}"/>
    <hyperlink ref="V55" r:id="rId485" xr:uid="{C450AB4E-DEA9-4741-ABB8-A16D5AD11221}"/>
    <hyperlink ref="Z54" r:id="rId486" xr:uid="{AA63A633-F289-46E6-AAB2-6F69CC101D02}"/>
    <hyperlink ref="Z55" r:id="rId487" xr:uid="{17F2E0F5-BF15-4CE1-8422-90A9D1E07226}"/>
    <hyperlink ref="AB55" r:id="rId488" xr:uid="{9477F394-9DB1-48C2-BACA-BDB0134BF24B}"/>
    <hyperlink ref="AB54" r:id="rId489" xr:uid="{AC47FF23-978E-45CB-8FEF-B643F89512E8}"/>
    <hyperlink ref="AD55" r:id="rId490" xr:uid="{2EDEEA57-ACDA-461D-BB5F-DA06225DD4CC}"/>
    <hyperlink ref="AD54" r:id="rId491" xr:uid="{4F716C8E-FF00-4273-B1C4-EA66E1341752}"/>
    <hyperlink ref="AF54" r:id="rId492" xr:uid="{2ABB30F6-1762-4ABC-BF61-005920E35CBD}"/>
    <hyperlink ref="AF55" r:id="rId493" xr:uid="{3A78826B-B4B2-40AA-A12F-6132674B9BAD}"/>
    <hyperlink ref="AH54" r:id="rId494" xr:uid="{38696063-BBCA-4592-9C0B-E82D3A103F1E}"/>
    <hyperlink ref="AH55" r:id="rId495" xr:uid="{9E1E3C22-0FFF-478E-8FC2-8779ACF640AE}"/>
    <hyperlink ref="AJ55" r:id="rId496" xr:uid="{3D430454-6C89-4A2B-8B69-3B2E81E4E3F1}"/>
    <hyperlink ref="AJ54" r:id="rId497" xr:uid="{61E9DF40-9D73-406E-8805-7F8F4BAA8DF4}"/>
    <hyperlink ref="AL54" r:id="rId498" xr:uid="{9D1A5EB8-9B8F-4D22-A7FB-EB1A25F6D431}"/>
    <hyperlink ref="AL55" r:id="rId499" xr:uid="{13636760-DE58-4790-AC9F-A9ADE4765D3A}"/>
    <hyperlink ref="C54" r:id="rId500" xr:uid="{FCAA2CBA-9E45-41D9-9F8E-6971934A5440}"/>
    <hyperlink ref="C55" r:id="rId501" xr:uid="{D1AF3273-87C1-4051-952E-B40A0D19DD83}"/>
    <hyperlink ref="G56" r:id="rId502" xr:uid="{ECA73EB8-B995-43B1-A15E-AC15D39A8F1E}"/>
    <hyperlink ref="G57" r:id="rId503" location="c132331" xr:uid="{B82E1943-F099-487E-BD5E-DB4FB563457F}"/>
    <hyperlink ref="O56" r:id="rId504" xr:uid="{9BED63BE-65DF-4398-9AA1-F4893493BD7A}"/>
    <hyperlink ref="O57" r:id="rId505" xr:uid="{6A6CA3FA-3E1D-4BAE-99DD-E56C9817E9C9}"/>
    <hyperlink ref="Q56" r:id="rId506" xr:uid="{788F4B7F-99FD-4BC2-B38D-3F529437F3EA}"/>
    <hyperlink ref="Q57" r:id="rId507" xr:uid="{EB37B358-4A41-4D69-A7FE-2B875E56E86C}"/>
    <hyperlink ref="X56" r:id="rId508" xr:uid="{C80113D4-EA36-48B7-98F3-8601165BE0CE}"/>
    <hyperlink ref="X57" r:id="rId509" location="c141562" xr:uid="{7F28F486-2B3C-4532-81FC-1902A6F10544}"/>
    <hyperlink ref="V56" r:id="rId510" xr:uid="{0A43518A-041D-4659-860E-02BE83551997}"/>
    <hyperlink ref="V57" r:id="rId511" location="c141552" xr:uid="{D2CD0814-C553-472A-9899-00D425CA2F5C}"/>
    <hyperlink ref="Z56" r:id="rId512" xr:uid="{0628F8B3-C423-4B82-B084-D81AC29AC880}"/>
    <hyperlink ref="AB57" r:id="rId513" xr:uid="{925FF102-3BCB-432E-A2DA-46E9EFED5E7C}"/>
    <hyperlink ref="AB56" r:id="rId514" xr:uid="{D1265645-AB44-4E17-83A7-6E59C0B8E931}"/>
    <hyperlink ref="AD56" r:id="rId515" xr:uid="{29E283E9-D72A-40C9-9074-C07ADB9E6CDA}"/>
    <hyperlink ref="AD57" r:id="rId516" xr:uid="{28CA8981-CD78-44C0-921C-DA014FE6CB70}"/>
    <hyperlink ref="AF56" r:id="rId517" xr:uid="{62B66107-DB74-42B1-97A3-35BA84E23327}"/>
    <hyperlink ref="AF57" r:id="rId518" xr:uid="{09126F9B-AB64-4782-97B0-CC8F4D58D569}"/>
    <hyperlink ref="AH56" r:id="rId519" xr:uid="{0225E64D-DA39-4C40-AC68-29A7782B7B59}"/>
    <hyperlink ref="AH57" r:id="rId520" xr:uid="{ABC073DE-B74F-4E46-840C-8EE20EE21679}"/>
    <hyperlink ref="AJ56" r:id="rId521" xr:uid="{8911E6F2-1437-42F1-909C-29EF9D422DA1}"/>
    <hyperlink ref="AJ57" r:id="rId522" xr:uid="{9FA35F1F-5CF4-4CB0-8D7E-49DBEDF29E2A}"/>
    <hyperlink ref="AL56" r:id="rId523" xr:uid="{7E750C32-E0B3-4F7C-ABC2-8078B5DC73E9}"/>
    <hyperlink ref="O58" r:id="rId524" xr:uid="{07CF574B-D76B-4967-BC6B-F2E0B8D33791}"/>
    <hyperlink ref="Z58" r:id="rId525" xr:uid="{70F0E090-0751-44FC-9AA0-07C3F4906C28}"/>
    <hyperlink ref="AB58" r:id="rId526" xr:uid="{51704475-1711-435B-824D-83A6B376DB9A}"/>
    <hyperlink ref="C58" r:id="rId527" xr:uid="{A8F15079-652F-4044-9BD5-834794715B91}"/>
    <hyperlink ref="G58" r:id="rId528" xr:uid="{55EAFB53-21CD-4819-B1AF-AE914CD2DB32}"/>
    <hyperlink ref="Q58" r:id="rId529" xr:uid="{73043AF3-2201-4BAF-8295-38000814DB8E}"/>
    <hyperlink ref="AD58" r:id="rId530" xr:uid="{561E6229-3790-446F-85F7-73FEF22B04EC}"/>
    <hyperlink ref="V58" r:id="rId531" xr:uid="{52CF4528-7CBF-416A-91A3-45431EFB80C9}"/>
    <hyperlink ref="X58" r:id="rId532" xr:uid="{24F178A9-7A66-4BDF-9495-2670BD9FE195}"/>
    <hyperlink ref="AF58" r:id="rId533" xr:uid="{1E236DDC-5951-45F3-BD10-B4CCA13A10D3}"/>
    <hyperlink ref="AH58" r:id="rId534" xr:uid="{4A1011ED-440B-4D05-8C33-153A505F71AB}"/>
    <hyperlink ref="AJ58" r:id="rId535" xr:uid="{018B9FB2-4D2E-429A-A787-D0F301DBDF74}"/>
    <hyperlink ref="AL58" r:id="rId536" display="https://www.thyssenkrupp.com/en/newsroom/press-releases/pressdetailpage/thyssenkrupp-is-accelerating-the-green-transformation--decision-taken-on-the-construction-of-germanys-largest-direct-reduction-plant-for-low-co2-steel-146809" xr:uid="{1B08E3DE-3034-4314-9000-E4EB9DE497ED}"/>
    <hyperlink ref="O59" r:id="rId537" xr:uid="{32ADE53A-1947-4F06-A0A1-FF73EA765189}"/>
    <hyperlink ref="Z59" r:id="rId538" xr:uid="{B63840B4-5C2D-4AC7-AC54-BFA24C7A2813}"/>
    <hyperlink ref="X59" r:id="rId539" xr:uid="{A2AA1FB6-260A-4C46-A14C-D4E7D87F015E}"/>
    <hyperlink ref="AJ59" r:id="rId540" xr:uid="{B65996FF-97AC-41C6-865E-3F69DC1E5BA0}"/>
    <hyperlink ref="AB59" r:id="rId541" xr:uid="{BC8B03C4-B808-4801-8B57-A2957667D713}"/>
    <hyperlink ref="AH59" r:id="rId542" xr:uid="{EA594A38-D522-45D1-833B-9BB73D0F95A9}"/>
    <hyperlink ref="AF59" r:id="rId543" xr:uid="{E74D9110-BED6-4CDC-A97B-D2446B42C9DD}"/>
    <hyperlink ref="AD59" r:id="rId544" xr:uid="{749AB02B-0C21-4C06-86A8-D028E7F25EC2}"/>
    <hyperlink ref="AL59" r:id="rId545" xr:uid="{290EED74-BB16-408A-9104-C571F8CB1D46}"/>
    <hyperlink ref="Q59" r:id="rId546" xr:uid="{F146E5BF-FF66-4DC4-B874-7D5EEF1285E2}"/>
    <hyperlink ref="V59" r:id="rId547" xr:uid="{ADD3504B-5C8F-47AE-A7A7-627BB1DD1E95}"/>
    <hyperlink ref="C59" r:id="rId548" xr:uid="{8CB06E01-9F8E-47D4-994B-35F9E9CB50B0}"/>
    <hyperlink ref="G59" r:id="rId549" xr:uid="{D67B0BFB-3E8D-42B5-A12F-8525675866E6}"/>
    <hyperlink ref="C56" r:id="rId550" xr:uid="{58C3FC86-9DF5-4E19-ADAE-75E182C63B88}"/>
    <hyperlink ref="C57" r:id="rId551" xr:uid="{A4562A3C-A172-4C4E-91B2-87721D3F36B7}"/>
    <hyperlink ref="G60" r:id="rId552" xr:uid="{42033B03-98DB-45BE-ADC8-C58ABCCDCAF8}"/>
    <hyperlink ref="C60" r:id="rId553" xr:uid="{9DEC99D0-B34E-4223-9C08-A0C13B956A89}"/>
    <hyperlink ref="O60" r:id="rId554" xr:uid="{D8629C98-F163-413F-B154-9D5FB3CB424A}"/>
    <hyperlink ref="Q60" r:id="rId555" xr:uid="{E35EF744-1888-454F-AD8A-54C814157C0E}"/>
    <hyperlink ref="Z60" r:id="rId556" xr:uid="{BAFACC76-4603-4728-89E5-77A0A9840F9D}"/>
    <hyperlink ref="V60" r:id="rId557" location="marker1" xr:uid="{EA842568-FE09-4547-A6CE-1ED4C9569C80}"/>
    <hyperlink ref="X60" r:id="rId558" xr:uid="{24C2E1C0-164C-494D-A464-D2B416D1CB73}"/>
    <hyperlink ref="AB60" r:id="rId559" location="marker1" xr:uid="{8E875978-F23D-4819-BDA8-F6DA9A5CE381}"/>
    <hyperlink ref="AD60" r:id="rId560" location="marker1" xr:uid="{6CAD6CC2-4438-4289-9FCF-B0173096B118}"/>
    <hyperlink ref="AF60" r:id="rId561" location="marker1" xr:uid="{FA2A0517-AC57-4484-B634-5D32D59BD08D}"/>
    <hyperlink ref="AH60" r:id="rId562" location="marker1" xr:uid="{B1E7403C-2E1E-4790-AECC-1F53CDB5561A}"/>
    <hyperlink ref="AL60" r:id="rId563" location="marker1" xr:uid="{7A210F63-83AC-4898-9101-BB300531B9D0}"/>
    <hyperlink ref="AJ60" r:id="rId564" location="marker" xr:uid="{A373A818-1C39-4674-A75B-DA649FFD4F3F}"/>
    <hyperlink ref="C61" r:id="rId565" xr:uid="{0DEA3288-01D3-46F1-8962-B00F9AD0A416}"/>
    <hyperlink ref="C62" r:id="rId566" xr:uid="{23B82E09-60CA-49A6-BEB6-37EB50A24874}"/>
    <hyperlink ref="G61" r:id="rId567" xr:uid="{F6503888-E91A-4C76-8A6D-96FD2D9D74E2}"/>
    <hyperlink ref="G62" r:id="rId568" xr:uid="{8ABFEE06-E0B7-45A4-8938-8AB3DD33A296}"/>
    <hyperlink ref="O61" r:id="rId569" xr:uid="{EEDD9E41-F62A-4A29-8286-C83452ECDDFC}"/>
    <hyperlink ref="O62" r:id="rId570" xr:uid="{4AE14D0F-86EF-45DE-886B-BE7ECD069E4B}"/>
    <hyperlink ref="Q61" r:id="rId571" xr:uid="{91014356-87D7-48CA-9666-A86411036405}"/>
    <hyperlink ref="Q62" r:id="rId572" xr:uid="{E31513A8-E70E-4435-A18B-034640CC2979}"/>
    <hyperlink ref="V61" r:id="rId573" xr:uid="{6C265ED4-1380-452B-B6C6-FA93342C257B}"/>
    <hyperlink ref="V62" r:id="rId574" xr:uid="{3E41E169-737E-4491-A636-2964D92955C0}"/>
    <hyperlink ref="X61" r:id="rId575" xr:uid="{9F918230-DEED-4496-8CA0-430E5215F549}"/>
    <hyperlink ref="X62" r:id="rId576" xr:uid="{4C01F3A3-66E3-4E2F-8A25-C2C457C47037}"/>
    <hyperlink ref="Z61" r:id="rId577" xr:uid="{4E742F95-47AD-4670-94EF-8D9CD45CB0B1}"/>
    <hyperlink ref="Z62" r:id="rId578" xr:uid="{72744E20-D023-492B-B3E0-350DFCC75C77}"/>
    <hyperlink ref="AB61" r:id="rId579" xr:uid="{50AA27D0-F642-4EDE-9206-B852270574B7}"/>
    <hyperlink ref="AB62" r:id="rId580" xr:uid="{F849208B-094F-41C6-AF91-D0607115CABB}"/>
    <hyperlink ref="AD61" r:id="rId581" xr:uid="{F677072D-5DB6-4643-89D7-32D782662D9E}"/>
    <hyperlink ref="AD62" r:id="rId582" xr:uid="{E47DB8C0-2F68-4E13-B8CE-EB0B6002B091}"/>
    <hyperlink ref="AF61" r:id="rId583" xr:uid="{620E6A35-3949-4574-A3B6-9DE7B4204E94}"/>
    <hyperlink ref="AF62" r:id="rId584" xr:uid="{5D57FE98-049B-4268-82AB-4B339319C188}"/>
    <hyperlink ref="AH61" r:id="rId585" xr:uid="{D1CE8548-6236-463A-8D63-BF2CABD9034F}"/>
    <hyperlink ref="AH62" r:id="rId586" xr:uid="{F83902B9-14CD-46F3-B16A-AC925242EB99}"/>
    <hyperlink ref="AL61" r:id="rId587" xr:uid="{E064C6EA-CB6A-46E6-8B85-8036C064E728}"/>
    <hyperlink ref="AL62" r:id="rId588" xr:uid="{147A6F2B-BAD3-4384-8F3A-4D9C2BBCC27A}"/>
  </hyperlinks>
  <pageMargins left="0.7" right="0.7" top="0.75" bottom="0.75" header="0.3" footer="0.3"/>
  <drawing r:id="rId589"/>
  <legacyDrawing r:id="rId59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C6237-B064-4173-8EC2-51BA6E99C9BD}">
  <dimension ref="A1:AC26"/>
  <sheetViews>
    <sheetView showGridLines="0" zoomScale="115" zoomScaleNormal="115" workbookViewId="0">
      <selection activeCell="Q24" sqref="Q24"/>
    </sheetView>
  </sheetViews>
  <sheetFormatPr defaultRowHeight="14.4"/>
  <cols>
    <col min="2" max="3" width="0" hidden="1" customWidth="1"/>
  </cols>
  <sheetData>
    <row r="1" spans="1:29" s="4" customFormat="1">
      <c r="A1" s="4" t="s">
        <v>862</v>
      </c>
    </row>
    <row r="2" spans="1:29">
      <c r="B2" t="s">
        <v>31</v>
      </c>
      <c r="C2" t="s">
        <v>32</v>
      </c>
      <c r="D2">
        <v>2005</v>
      </c>
      <c r="I2">
        <v>2010</v>
      </c>
      <c r="N2">
        <v>2015</v>
      </c>
      <c r="S2">
        <v>2020</v>
      </c>
      <c r="X2">
        <v>2025</v>
      </c>
      <c r="AC2">
        <v>2030</v>
      </c>
    </row>
    <row r="3" spans="1:29">
      <c r="A3" t="s">
        <v>37</v>
      </c>
      <c r="D3">
        <f>D4+D5+D6+D7</f>
        <v>7801.7037599999994</v>
      </c>
      <c r="E3">
        <f t="shared" ref="E3:S3" si="0">E4+E5+E6+E7</f>
        <v>8113.0993369999997</v>
      </c>
      <c r="F3">
        <f t="shared" si="0"/>
        <v>8316.5995779999994</v>
      </c>
      <c r="G3">
        <f t="shared" si="0"/>
        <v>8141.3050819999999</v>
      </c>
      <c r="H3">
        <f t="shared" si="0"/>
        <v>7131.7974450000002</v>
      </c>
      <c r="I3">
        <f t="shared" si="0"/>
        <v>6511.6935990000002</v>
      </c>
      <c r="J3">
        <f t="shared" si="0"/>
        <v>6813.4507889999995</v>
      </c>
      <c r="K3">
        <f t="shared" si="0"/>
        <v>6289.683454</v>
      </c>
      <c r="L3">
        <f t="shared" si="0"/>
        <v>6158.6124280000004</v>
      </c>
      <c r="M3">
        <f t="shared" si="0"/>
        <v>6203.6944130000002</v>
      </c>
      <c r="N3">
        <f t="shared" si="0"/>
        <v>6224.0289549999998</v>
      </c>
      <c r="O3">
        <f t="shared" si="0"/>
        <v>6238.2602299999999</v>
      </c>
      <c r="P3">
        <f t="shared" si="0"/>
        <v>6343.0074249999998</v>
      </c>
      <c r="Q3">
        <f t="shared" si="0"/>
        <v>6464.0159700000004</v>
      </c>
      <c r="R3">
        <f t="shared" si="0"/>
        <v>6469.4543000000003</v>
      </c>
      <c r="S3">
        <f t="shared" si="0"/>
        <v>6108.2431819999993</v>
      </c>
    </row>
    <row r="4" spans="1:29">
      <c r="A4" t="s">
        <v>863</v>
      </c>
      <c r="B4" t="s">
        <v>864</v>
      </c>
      <c r="C4" t="s">
        <v>213</v>
      </c>
      <c r="D4">
        <v>1491.542342</v>
      </c>
      <c r="E4">
        <v>1425.1868089999998</v>
      </c>
      <c r="F4">
        <v>1479.841291</v>
      </c>
      <c r="G4">
        <v>1487.7784939999999</v>
      </c>
      <c r="H4">
        <v>1423.6950379999998</v>
      </c>
      <c r="I4">
        <v>1367.3808980000001</v>
      </c>
      <c r="J4">
        <v>1422.629304</v>
      </c>
      <c r="K4">
        <v>1365.563042</v>
      </c>
      <c r="L4">
        <v>1396.4906289999999</v>
      </c>
      <c r="M4">
        <v>1487.9839010000001</v>
      </c>
      <c r="N4">
        <v>1380.932438</v>
      </c>
      <c r="O4">
        <v>1406.297769</v>
      </c>
      <c r="P4">
        <v>1459.9954290000001</v>
      </c>
      <c r="Q4">
        <v>1412.4576010000001</v>
      </c>
      <c r="R4">
        <v>1429.352985</v>
      </c>
      <c r="S4">
        <v>1384.0926569999999</v>
      </c>
    </row>
    <row r="5" spans="1:29">
      <c r="A5" t="s">
        <v>865</v>
      </c>
      <c r="B5" t="s">
        <v>864</v>
      </c>
      <c r="C5" t="s">
        <v>213</v>
      </c>
      <c r="D5">
        <v>862.52496099999996</v>
      </c>
      <c r="E5">
        <v>938.99530500000003</v>
      </c>
      <c r="F5">
        <v>923.54728300000011</v>
      </c>
      <c r="G5">
        <v>886.27760000000001</v>
      </c>
      <c r="H5">
        <v>587.15222699999993</v>
      </c>
      <c r="I5">
        <v>637.62623199999996</v>
      </c>
      <c r="J5">
        <v>630.23303099999998</v>
      </c>
      <c r="K5">
        <v>578.34135800000001</v>
      </c>
      <c r="L5">
        <v>596.61450400000001</v>
      </c>
      <c r="M5">
        <v>597.44264499999997</v>
      </c>
      <c r="N5">
        <v>616.63172199999997</v>
      </c>
      <c r="O5">
        <v>622.84058700000003</v>
      </c>
      <c r="P5">
        <v>645.35605099999998</v>
      </c>
      <c r="Q5">
        <v>636.18564300000003</v>
      </c>
      <c r="R5">
        <v>599.40436699999998</v>
      </c>
      <c r="S5">
        <v>549.9487979999999</v>
      </c>
    </row>
    <row r="6" spans="1:29">
      <c r="A6" t="s">
        <v>866</v>
      </c>
      <c r="B6" t="s">
        <v>864</v>
      </c>
      <c r="C6" t="s">
        <v>213</v>
      </c>
      <c r="D6">
        <v>3663.20228</v>
      </c>
      <c r="E6">
        <v>3924.118876</v>
      </c>
      <c r="F6">
        <v>4153.8056889999998</v>
      </c>
      <c r="G6">
        <v>4000.5974740000001</v>
      </c>
      <c r="H6">
        <v>3336.9698560000002</v>
      </c>
      <c r="I6">
        <v>3019.5863960000001</v>
      </c>
      <c r="J6">
        <v>3259.7704290000001</v>
      </c>
      <c r="K6">
        <v>2882.7695869999998</v>
      </c>
      <c r="L6">
        <v>2711.808356</v>
      </c>
      <c r="M6">
        <v>2717.0374710000001</v>
      </c>
      <c r="N6">
        <v>2794.2754950000003</v>
      </c>
      <c r="O6">
        <v>2812.9570269999999</v>
      </c>
      <c r="P6">
        <v>2837.7498919999998</v>
      </c>
      <c r="Q6">
        <v>3013.5041260000003</v>
      </c>
      <c r="R6">
        <v>3086.9764829999999</v>
      </c>
      <c r="S6">
        <v>3037.1228689999998</v>
      </c>
    </row>
    <row r="7" spans="1:29">
      <c r="A7" t="s">
        <v>867</v>
      </c>
      <c r="B7" t="s">
        <v>864</v>
      </c>
      <c r="C7" t="s">
        <v>213</v>
      </c>
      <c r="D7">
        <v>1784.4341769999999</v>
      </c>
      <c r="E7">
        <v>1824.7983470000001</v>
      </c>
      <c r="F7">
        <v>1759.405315</v>
      </c>
      <c r="G7">
        <v>1766.6515139999999</v>
      </c>
      <c r="H7">
        <v>1783.9803240000001</v>
      </c>
      <c r="I7">
        <v>1487.1000730000001</v>
      </c>
      <c r="J7">
        <v>1500.8180249999998</v>
      </c>
      <c r="K7">
        <v>1463.0094669999999</v>
      </c>
      <c r="L7">
        <v>1453.6989390000001</v>
      </c>
      <c r="M7">
        <v>1401.2303959999999</v>
      </c>
      <c r="N7">
        <v>1432.1893</v>
      </c>
      <c r="O7">
        <v>1396.164847</v>
      </c>
      <c r="P7">
        <v>1399.9060530000002</v>
      </c>
      <c r="Q7">
        <v>1401.8686</v>
      </c>
      <c r="R7">
        <v>1353.7204650000001</v>
      </c>
      <c r="S7">
        <v>1137.0788580000001</v>
      </c>
    </row>
    <row r="8" spans="1:29">
      <c r="A8" t="s">
        <v>49</v>
      </c>
      <c r="AC8">
        <v>4500</v>
      </c>
    </row>
    <row r="26" spans="1:6">
      <c r="A26" t="s">
        <v>868</v>
      </c>
      <c r="F26">
        <f>AVERAGE(S3-R3,R3-Q3,Q3-P3,P3-O3)</f>
        <v>-32.504262000000153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41773-3EEA-4822-9A67-877E816D57A3}">
  <dimension ref="A1:AW29"/>
  <sheetViews>
    <sheetView showGridLines="0" zoomScale="69" zoomScaleNormal="69" workbookViewId="0">
      <selection activeCell="F50" sqref="F50"/>
    </sheetView>
  </sheetViews>
  <sheetFormatPr defaultRowHeight="14.4"/>
  <cols>
    <col min="1" max="1" width="28.33203125" bestFit="1" customWidth="1"/>
    <col min="4" max="20" width="9.5546875" bestFit="1" customWidth="1"/>
  </cols>
  <sheetData>
    <row r="1" spans="1:49" s="4" customFormat="1">
      <c r="A1" s="4" t="s">
        <v>869</v>
      </c>
    </row>
    <row r="2" spans="1:49">
      <c r="B2" t="s">
        <v>31</v>
      </c>
      <c r="C2" t="s">
        <v>32</v>
      </c>
      <c r="D2">
        <v>2005</v>
      </c>
      <c r="I2">
        <v>2010</v>
      </c>
      <c r="N2">
        <v>2015</v>
      </c>
      <c r="S2">
        <v>2020</v>
      </c>
      <c r="X2">
        <v>2025</v>
      </c>
      <c r="AC2">
        <v>2030</v>
      </c>
      <c r="AH2">
        <v>2035</v>
      </c>
      <c r="AM2">
        <v>2040</v>
      </c>
      <c r="AR2">
        <v>2045</v>
      </c>
      <c r="AW2">
        <v>2050</v>
      </c>
    </row>
    <row r="3" spans="1:49">
      <c r="A3" t="s">
        <v>233</v>
      </c>
      <c r="B3" t="s">
        <v>60</v>
      </c>
      <c r="C3" t="s">
        <v>58</v>
      </c>
      <c r="D3" s="2">
        <f>D23/$D23</f>
        <v>1</v>
      </c>
      <c r="E3" s="2">
        <f t="shared" ref="E3:T3" si="0">E23/$D23</f>
        <v>1.0013310299378999</v>
      </c>
      <c r="F3" s="2">
        <f t="shared" si="0"/>
        <v>1.0072387906949984</v>
      </c>
      <c r="G3" s="2">
        <f t="shared" si="0"/>
        <v>1.0056642682220394</v>
      </c>
      <c r="H3" s="2">
        <f t="shared" si="0"/>
        <v>0.96569048362809973</v>
      </c>
      <c r="I3" s="2">
        <f t="shared" si="0"/>
        <v>0.97449468457527477</v>
      </c>
      <c r="J3" s="2">
        <f t="shared" si="0"/>
        <v>0.94845288713003506</v>
      </c>
      <c r="K3" s="2">
        <f t="shared" si="0"/>
        <v>0.92992274426488997</v>
      </c>
      <c r="L3" s="2">
        <f t="shared" si="0"/>
        <v>0.90381027200821507</v>
      </c>
      <c r="M3" s="2">
        <f t="shared" si="0"/>
        <v>0.8899634744722601</v>
      </c>
      <c r="N3" s="2">
        <f t="shared" si="0"/>
        <v>0.9082334843013502</v>
      </c>
      <c r="O3" s="2">
        <f t="shared" si="0"/>
        <v>0.90253611464658401</v>
      </c>
      <c r="P3" s="2">
        <f t="shared" si="0"/>
        <v>0.90886486733510508</v>
      </c>
      <c r="Q3" s="2">
        <f t="shared" si="0"/>
        <v>0.90194671404142257</v>
      </c>
      <c r="R3" s="2">
        <f t="shared" si="0"/>
        <v>0.88561599351463494</v>
      </c>
      <c r="S3" s="2">
        <f t="shared" si="0"/>
        <v>0.88366782799983157</v>
      </c>
      <c r="T3" s="2">
        <f t="shared" si="0"/>
        <v>0.90409119131193116</v>
      </c>
    </row>
    <row r="4" spans="1:49">
      <c r="A4" t="s">
        <v>49</v>
      </c>
      <c r="B4" t="s">
        <v>60</v>
      </c>
      <c r="C4" t="s">
        <v>58</v>
      </c>
      <c r="AC4" s="2">
        <f>AC27/D27</f>
        <v>0.68484848484848482</v>
      </c>
    </row>
    <row r="5" spans="1:49">
      <c r="A5" t="s">
        <v>52</v>
      </c>
      <c r="B5" t="s">
        <v>60</v>
      </c>
      <c r="C5" t="s">
        <v>58</v>
      </c>
      <c r="AW5" s="2">
        <f>AW28/D28</f>
        <v>5.4138593587515264E-2</v>
      </c>
    </row>
    <row r="6" spans="1:49">
      <c r="A6" t="s">
        <v>47</v>
      </c>
      <c r="T6" s="71">
        <v>0.90409119131193094</v>
      </c>
      <c r="U6" s="71">
        <v>0.8797308905937703</v>
      </c>
      <c r="V6" s="71">
        <v>0.85537058987560954</v>
      </c>
      <c r="W6" s="71">
        <v>0.8310102891574489</v>
      </c>
      <c r="X6" s="71">
        <v>0.80664998843928815</v>
      </c>
      <c r="Y6" s="71">
        <v>0.78228968772112739</v>
      </c>
      <c r="Z6" s="71">
        <v>0.75792938700296675</v>
      </c>
      <c r="AA6" s="71">
        <v>0.7335690862848061</v>
      </c>
      <c r="AB6" s="71">
        <v>0.70920878556664535</v>
      </c>
      <c r="AC6" s="71">
        <v>0.6848484848484846</v>
      </c>
      <c r="AD6" s="71">
        <v>0.65331299028543621</v>
      </c>
      <c r="AE6" s="71">
        <v>0.62177749572238783</v>
      </c>
      <c r="AF6" s="71">
        <v>0.59024200115933934</v>
      </c>
      <c r="AG6" s="71">
        <v>0.55870650659629084</v>
      </c>
      <c r="AH6" s="71">
        <v>0.52717101203324235</v>
      </c>
      <c r="AI6" s="71">
        <v>0.49563551747019385</v>
      </c>
      <c r="AJ6" s="71">
        <v>0.46410002290714542</v>
      </c>
      <c r="AK6" s="71">
        <v>0.43256452834409692</v>
      </c>
      <c r="AL6" s="71">
        <v>0.40102903378104848</v>
      </c>
      <c r="AM6" s="71">
        <v>0.36949353921799999</v>
      </c>
      <c r="AN6" s="71">
        <v>0.33795804465495149</v>
      </c>
      <c r="AO6" s="71">
        <v>0.30642255009190306</v>
      </c>
      <c r="AP6" s="71">
        <v>0.27488705552885456</v>
      </c>
      <c r="AQ6" s="71">
        <v>0.24335156096580612</v>
      </c>
      <c r="AR6" s="71">
        <v>0.21181606640275763</v>
      </c>
      <c r="AS6" s="71">
        <v>0.18028057183970914</v>
      </c>
      <c r="AT6" s="71">
        <v>0.14874507727666064</v>
      </c>
      <c r="AU6" s="71">
        <v>0.11720958271361226</v>
      </c>
      <c r="AV6" s="71">
        <v>8.5674088150563765E-2</v>
      </c>
      <c r="AW6" s="71">
        <v>5.4138593587515271E-2</v>
      </c>
    </row>
    <row r="10" spans="1:49">
      <c r="D10" t="s">
        <v>61</v>
      </c>
      <c r="F10" s="43">
        <f>AVERAGE(T3-S3,S3-R3,R3-Q3,Q3-P3)</f>
        <v>-1.1934190057934779E-3</v>
      </c>
    </row>
    <row r="11" spans="1:49">
      <c r="D11" t="s">
        <v>237</v>
      </c>
      <c r="F11" s="43">
        <f>U6-T6</f>
        <v>-2.4360300718160643E-2</v>
      </c>
    </row>
    <row r="12" spans="1:49">
      <c r="D12" t="s">
        <v>66</v>
      </c>
      <c r="F12" s="43">
        <f>AF6-AE6</f>
        <v>-3.1535494563048494E-2</v>
      </c>
    </row>
    <row r="19" spans="1:49" s="4" customFormat="1">
      <c r="A19" s="4" t="s">
        <v>321</v>
      </c>
    </row>
    <row r="20" spans="1:49">
      <c r="B20" t="s">
        <v>31</v>
      </c>
      <c r="C20" t="s">
        <v>32</v>
      </c>
      <c r="D20">
        <v>2005</v>
      </c>
      <c r="I20">
        <v>2010</v>
      </c>
      <c r="N20">
        <v>2015</v>
      </c>
      <c r="S20">
        <v>2020</v>
      </c>
      <c r="X20">
        <v>2025</v>
      </c>
      <c r="AC20">
        <v>2030</v>
      </c>
      <c r="AH20">
        <v>2035</v>
      </c>
      <c r="AM20">
        <v>2040</v>
      </c>
      <c r="AR20">
        <v>2045</v>
      </c>
      <c r="AW20">
        <v>2050</v>
      </c>
    </row>
    <row r="21" spans="1:49">
      <c r="A21" t="s">
        <v>870</v>
      </c>
      <c r="B21" t="s">
        <v>871</v>
      </c>
      <c r="C21" t="s">
        <v>257</v>
      </c>
      <c r="D21" s="1">
        <f>'I5. Energy use'!D24</f>
        <v>3199.7067040200013</v>
      </c>
      <c r="E21" s="1">
        <f>'I5. Energy use'!E24</f>
        <v>3135.1733342900002</v>
      </c>
      <c r="F21" s="1">
        <f>'I5. Energy use'!F24</f>
        <v>3189.8280889800008</v>
      </c>
      <c r="G21" s="1">
        <f>'I5. Energy use'!G24</f>
        <v>3083.2069006200013</v>
      </c>
      <c r="H21" s="1">
        <f>'I5. Energy use'!H24</f>
        <v>2665.3687498000004</v>
      </c>
      <c r="I21" s="1">
        <f>'I5. Energy use'!I24</f>
        <v>2836.2442809300005</v>
      </c>
      <c r="J21" s="1">
        <f>'I5. Energy use'!J24</f>
        <v>2841.1573162800005</v>
      </c>
      <c r="K21" s="1">
        <f>'I5. Energy use'!K24</f>
        <v>2787.7423428500006</v>
      </c>
      <c r="L21" s="1">
        <f>'I5. Energy use'!L24</f>
        <v>2753.3852410800005</v>
      </c>
      <c r="M21" s="1">
        <f>'I5. Energy use'!M24</f>
        <v>2713.2530302100004</v>
      </c>
      <c r="N21" s="1">
        <f>'I5. Energy use'!N24</f>
        <v>2715.6941206900005</v>
      </c>
      <c r="O21" s="1">
        <f>'I5. Energy use'!O24</f>
        <v>2765.6047308900006</v>
      </c>
      <c r="P21" s="1">
        <f>'I5. Energy use'!P24</f>
        <v>2791.9385980400007</v>
      </c>
      <c r="Q21" s="1">
        <f>'I5. Energy use'!Q24</f>
        <v>2819.8833016000008</v>
      </c>
      <c r="R21" s="1">
        <f>'I5. Energy use'!R24</f>
        <v>2782.3564898500008</v>
      </c>
      <c r="S21" s="1">
        <f>'I5. Energy use'!S24</f>
        <v>2685.6380720400007</v>
      </c>
      <c r="T21" s="1">
        <f>'I5. Energy use'!T24</f>
        <v>2795.1989638700002</v>
      </c>
    </row>
    <row r="22" spans="1:49">
      <c r="A22" t="s">
        <v>872</v>
      </c>
      <c r="B22" t="s">
        <v>38</v>
      </c>
      <c r="C22" t="s">
        <v>39</v>
      </c>
      <c r="D22" s="1">
        <f>'I1. GHG emissions'!D46/1000</f>
        <v>556.5237994334318</v>
      </c>
      <c r="E22" s="1">
        <f>'I1. GHG emissions'!E46/1000</f>
        <v>546.02534439376336</v>
      </c>
      <c r="F22" s="1">
        <f>'I1. GHG emissions'!F46/1000</f>
        <v>558.82173731368869</v>
      </c>
      <c r="G22" s="1">
        <f>'I1. GHG emissions'!G46/1000</f>
        <v>539.29855818943224</v>
      </c>
      <c r="H22" s="1">
        <f>'I1. GHG emissions'!H46/1000</f>
        <v>447.68116542716348</v>
      </c>
      <c r="I22" s="1">
        <f>'I1. GHG emissions'!I46/1000</f>
        <v>480.72496661687524</v>
      </c>
      <c r="J22" s="1">
        <f>'I1. GHG emissions'!J46/1000</f>
        <v>468.68884210737536</v>
      </c>
      <c r="K22" s="1">
        <f>'I1. GHG emissions'!K46/1000</f>
        <v>450.89256256423181</v>
      </c>
      <c r="L22" s="1">
        <f>'I1. GHG emissions'!L46/1000</f>
        <v>432.8304669897874</v>
      </c>
      <c r="M22" s="1">
        <f>'I1. GHG emissions'!M46/1000</f>
        <v>419.98719537616114</v>
      </c>
      <c r="N22" s="1">
        <f>'I1. GHG emissions'!N46/1000</f>
        <v>428.99470467562929</v>
      </c>
      <c r="O22" s="1">
        <f>'I1. GHG emissions'!O46/1000</f>
        <v>434.13846733066373</v>
      </c>
      <c r="P22" s="1">
        <f>'I1. GHG emissions'!P46/1000</f>
        <v>441.34554675687662</v>
      </c>
      <c r="Q22" s="1">
        <f>'I1. GHG emissions'!Q46/1000</f>
        <v>442.36991823639437</v>
      </c>
      <c r="R22" s="1">
        <f>'I1. GHG emissions'!R46/1000</f>
        <v>428.5798953015269</v>
      </c>
      <c r="S22" s="1">
        <f>'I1. GHG emissions'!S46/1000</f>
        <v>412.77187569894545</v>
      </c>
      <c r="T22" s="1">
        <f>'I1. GHG emissions'!T46/1000</f>
        <v>439.54013245647894</v>
      </c>
    </row>
    <row r="23" spans="1:49">
      <c r="A23" t="s">
        <v>873</v>
      </c>
      <c r="B23" t="s">
        <v>60</v>
      </c>
      <c r="C23" t="s">
        <v>874</v>
      </c>
      <c r="D23" s="40">
        <f t="shared" ref="D23:T23" si="1">D22/D21</f>
        <v>0.17392962884199181</v>
      </c>
      <c r="E23" s="40">
        <f t="shared" si="1"/>
        <v>0.17416113438506831</v>
      </c>
      <c r="F23" s="40">
        <f t="shared" si="1"/>
        <v>0.17518866902083774</v>
      </c>
      <c r="G23" s="40">
        <f t="shared" si="1"/>
        <v>0.17491481291151262</v>
      </c>
      <c r="H23" s="40">
        <f t="shared" si="1"/>
        <v>0.16796218739367896</v>
      </c>
      <c r="I23" s="40">
        <f t="shared" si="1"/>
        <v>0.16949349879667142</v>
      </c>
      <c r="J23" s="40">
        <f t="shared" si="1"/>
        <v>0.16496405863264255</v>
      </c>
      <c r="K23" s="40">
        <f t="shared" si="1"/>
        <v>0.16174111776171879</v>
      </c>
      <c r="L23" s="40">
        <f t="shared" si="1"/>
        <v>0.1571993851539685</v>
      </c>
      <c r="M23" s="40">
        <f t="shared" si="1"/>
        <v>0.15479101679788965</v>
      </c>
      <c r="N23" s="40">
        <f t="shared" si="1"/>
        <v>0.15796871282640285</v>
      </c>
      <c r="O23" s="40">
        <f t="shared" si="1"/>
        <v>0.15697777143697372</v>
      </c>
      <c r="P23" s="40">
        <f t="shared" si="1"/>
        <v>0.15807852904312095</v>
      </c>
      <c r="Q23" s="40">
        <f t="shared" si="1"/>
        <v>0.15687525720847875</v>
      </c>
      <c r="R23" s="40">
        <f t="shared" si="1"/>
        <v>0.15403486104853228</v>
      </c>
      <c r="S23" s="40">
        <f t="shared" si="1"/>
        <v>0.15369601734361976</v>
      </c>
      <c r="T23" s="40">
        <f t="shared" si="1"/>
        <v>0.1572482453441984</v>
      </c>
    </row>
    <row r="25" spans="1:49" s="4" customFormat="1">
      <c r="A25" s="4" t="s">
        <v>391</v>
      </c>
    </row>
    <row r="26" spans="1:49">
      <c r="B26" t="s">
        <v>31</v>
      </c>
      <c r="C26" t="s">
        <v>32</v>
      </c>
      <c r="D26">
        <v>2005</v>
      </c>
      <c r="I26">
        <v>2010</v>
      </c>
      <c r="N26">
        <v>2015</v>
      </c>
      <c r="S26">
        <v>2020</v>
      </c>
      <c r="X26">
        <v>2025</v>
      </c>
      <c r="AC26">
        <v>2030</v>
      </c>
      <c r="AH26">
        <v>2035</v>
      </c>
      <c r="AM26">
        <v>2040</v>
      </c>
      <c r="AR26">
        <v>2045</v>
      </c>
      <c r="AW26">
        <v>2050</v>
      </c>
    </row>
    <row r="27" spans="1:49">
      <c r="A27" t="s">
        <v>875</v>
      </c>
      <c r="B27" t="s">
        <v>876</v>
      </c>
      <c r="C27" t="s">
        <v>874</v>
      </c>
      <c r="D27">
        <v>1.65</v>
      </c>
      <c r="I27">
        <v>1.54</v>
      </c>
      <c r="N27">
        <v>1.48</v>
      </c>
      <c r="S27">
        <v>1.47</v>
      </c>
      <c r="X27">
        <v>1.37</v>
      </c>
      <c r="AC27">
        <v>1.1299999999999999</v>
      </c>
    </row>
    <row r="28" spans="1:49">
      <c r="A28" t="s">
        <v>877</v>
      </c>
      <c r="B28" t="s">
        <v>878</v>
      </c>
      <c r="C28" t="s">
        <v>874</v>
      </c>
      <c r="D28" s="40">
        <f>I28/I3*D3</f>
        <v>1.8471111525708472</v>
      </c>
      <c r="I28">
        <v>1.8</v>
      </c>
      <c r="N28">
        <v>1.8</v>
      </c>
      <c r="S28">
        <v>1.7</v>
      </c>
      <c r="X28">
        <v>1.5</v>
      </c>
      <c r="AC28">
        <v>1.3</v>
      </c>
      <c r="AH28">
        <v>1</v>
      </c>
      <c r="AM28">
        <v>0.4</v>
      </c>
      <c r="AR28">
        <v>0.2</v>
      </c>
      <c r="AW28">
        <v>0.1</v>
      </c>
    </row>
    <row r="29" spans="1:49">
      <c r="A29" t="s">
        <v>879</v>
      </c>
      <c r="B29" t="s">
        <v>878</v>
      </c>
      <c r="C29" t="s">
        <v>874</v>
      </c>
      <c r="D29" s="40">
        <f>D28</f>
        <v>1.8471111525708472</v>
      </c>
      <c r="I29">
        <v>1.8</v>
      </c>
      <c r="N29">
        <v>1.8</v>
      </c>
      <c r="S29">
        <v>1.7</v>
      </c>
      <c r="X29">
        <v>1.5</v>
      </c>
      <c r="AC29">
        <v>1.3</v>
      </c>
      <c r="AH29">
        <v>1</v>
      </c>
      <c r="AM29">
        <v>0.5</v>
      </c>
      <c r="AR29">
        <v>0.2</v>
      </c>
      <c r="AW29">
        <v>0.1</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5B680-C89E-4691-9380-E1802FC86408}">
  <dimension ref="A1:V3"/>
  <sheetViews>
    <sheetView topLeftCell="I1" workbookViewId="0">
      <selection activeCell="Q5" sqref="Q5"/>
    </sheetView>
  </sheetViews>
  <sheetFormatPr defaultRowHeight="14.4"/>
  <sheetData>
    <row r="1" spans="1:22">
      <c r="C1" s="125" t="s">
        <v>33</v>
      </c>
      <c r="D1" s="125" t="s">
        <v>75</v>
      </c>
      <c r="E1" s="125" t="s">
        <v>76</v>
      </c>
      <c r="F1" s="125" t="s">
        <v>77</v>
      </c>
      <c r="G1" s="125" t="s">
        <v>78</v>
      </c>
      <c r="H1" s="125" t="s">
        <v>34</v>
      </c>
      <c r="I1" s="125" t="s">
        <v>79</v>
      </c>
      <c r="J1" s="125" t="s">
        <v>80</v>
      </c>
      <c r="K1" s="125" t="s">
        <v>81</v>
      </c>
      <c r="L1" s="125" t="s">
        <v>82</v>
      </c>
      <c r="M1" s="125" t="s">
        <v>35</v>
      </c>
      <c r="N1" s="125" t="s">
        <v>83</v>
      </c>
      <c r="O1" s="125" t="s">
        <v>84</v>
      </c>
      <c r="P1" s="125" t="s">
        <v>85</v>
      </c>
      <c r="Q1" s="125" t="s">
        <v>86</v>
      </c>
      <c r="R1" s="125" t="s">
        <v>36</v>
      </c>
      <c r="S1" s="125" t="s">
        <v>87</v>
      </c>
      <c r="T1" s="125" t="s">
        <v>880</v>
      </c>
    </row>
    <row r="2" spans="1:22">
      <c r="A2" t="s">
        <v>881</v>
      </c>
      <c r="B2" t="s">
        <v>882</v>
      </c>
      <c r="C2" s="144">
        <v>1796676.6</v>
      </c>
      <c r="D2" s="144">
        <v>1903597.8</v>
      </c>
      <c r="E2" s="144">
        <v>2018747.9</v>
      </c>
      <c r="F2" s="144">
        <v>2042292.8</v>
      </c>
      <c r="G2" s="144">
        <v>1811101.6</v>
      </c>
      <c r="H2" s="144">
        <v>1952226.7</v>
      </c>
      <c r="I2" s="148">
        <v>2042137</v>
      </c>
      <c r="J2" s="144">
        <v>2046363.2</v>
      </c>
      <c r="K2" s="144">
        <v>2043626.7</v>
      </c>
      <c r="L2" s="144">
        <v>2097854.1</v>
      </c>
      <c r="M2" s="144">
        <v>2229033.2999999998</v>
      </c>
      <c r="N2" s="148">
        <v>2290710</v>
      </c>
      <c r="O2" s="144">
        <v>2373818.1</v>
      </c>
      <c r="P2" s="144">
        <v>2438592.9</v>
      </c>
      <c r="Q2" s="144">
        <v>2503225.2000000002</v>
      </c>
      <c r="R2" s="144">
        <v>2382534.7000000002</v>
      </c>
      <c r="S2" s="144">
        <v>2631462.5</v>
      </c>
      <c r="T2" s="144">
        <v>2945588.1</v>
      </c>
      <c r="V2">
        <f>T2/C2-1</f>
        <v>0.63946483190130032</v>
      </c>
    </row>
    <row r="3" spans="1:22">
      <c r="A3" t="s">
        <v>883</v>
      </c>
      <c r="C3" s="143">
        <v>100</v>
      </c>
      <c r="D3" s="144">
        <v>101.541</v>
      </c>
      <c r="E3" s="144">
        <v>103.794</v>
      </c>
      <c r="F3" s="144">
        <v>106.502</v>
      </c>
      <c r="G3" s="144">
        <v>107.121</v>
      </c>
      <c r="H3" s="144">
        <v>106.46299999999999</v>
      </c>
      <c r="I3" s="144">
        <v>107.861</v>
      </c>
      <c r="J3" s="144">
        <v>109.73099999999999</v>
      </c>
      <c r="K3" s="144">
        <v>110.792</v>
      </c>
      <c r="L3" s="144">
        <v>110.97199999999999</v>
      </c>
      <c r="M3" s="144">
        <v>114.084</v>
      </c>
      <c r="N3" s="144">
        <v>114.14100000000001</v>
      </c>
      <c r="O3" s="144">
        <v>114.224</v>
      </c>
      <c r="P3" s="144">
        <v>115.075</v>
      </c>
      <c r="Q3" s="143">
        <v>117.21</v>
      </c>
      <c r="R3" s="143">
        <v>118.66</v>
      </c>
      <c r="S3" s="144">
        <v>121.182</v>
      </c>
      <c r="T3" s="144">
        <v>133.059</v>
      </c>
      <c r="V3">
        <f>T3/C3-1</f>
        <v>0.33058999999999994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8fcedee-7f03-4257-8c59-ae56f55c4b1e" xsi:nil="true"/>
    <lcf76f155ced4ddcb4097134ff3c332f xmlns="a9d963ac-f1ca-452e-b18b-8cbbecb7290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462A1B62F2C54A89815A910B5DA9DF" ma:contentTypeVersion="16" ma:contentTypeDescription="Create a new document." ma:contentTypeScope="" ma:versionID="43a3ad87b04958c91f7313fb39e06f27">
  <xsd:schema xmlns:xsd="http://www.w3.org/2001/XMLSchema" xmlns:xs="http://www.w3.org/2001/XMLSchema" xmlns:p="http://schemas.microsoft.com/office/2006/metadata/properties" xmlns:ns2="a9d963ac-f1ca-452e-b18b-8cbbecb7290e" xmlns:ns3="a8fcedee-7f03-4257-8c59-ae56f55c4b1e" targetNamespace="http://schemas.microsoft.com/office/2006/metadata/properties" ma:root="true" ma:fieldsID="d00b033298dd0215310f833e8991d3df" ns2:_="" ns3:_="">
    <xsd:import namespace="a9d963ac-f1ca-452e-b18b-8cbbecb7290e"/>
    <xsd:import namespace="a8fcedee-7f03-4257-8c59-ae56f55c4b1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d963ac-f1ca-452e-b18b-8cbbecb729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de42cbc-566b-46c9-aea5-a71cdcd36d8f" ma:termSetId="09814cd3-568e-fe90-9814-8d621ff8fb84" ma:anchorId="fba54fb3-c3e1-fe81-a776-ca4b69148c4d" ma:open="true" ma:isKeyword="false">
      <xsd:complexType>
        <xsd:sequence>
          <xsd:element ref="pc:Terms" minOccurs="0" maxOccurs="1"/>
        </xsd:sequence>
      </xsd:complex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fcedee-7f03-4257-8c59-ae56f55c4b1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5e1f8554-d6c4-460b-bca5-2ae6d8f9a2f4}" ma:internalName="TaxCatchAll" ma:showField="CatchAllData" ma:web="a8fcedee-7f03-4257-8c59-ae56f55c4b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FC40EA-F31F-402D-8C78-BA29C03C7D8B}">
  <ds:schemaRefs>
    <ds:schemaRef ds:uri="http://purl.org/dc/elements/1.1/"/>
    <ds:schemaRef ds:uri="http://www.w3.org/XML/1998/namespace"/>
    <ds:schemaRef ds:uri="http://purl.org/dc/dcmitype/"/>
    <ds:schemaRef ds:uri="http://schemas.microsoft.com/office/2006/documentManagement/types"/>
    <ds:schemaRef ds:uri="http://purl.org/dc/terms/"/>
    <ds:schemaRef ds:uri="a8fcedee-7f03-4257-8c59-ae56f55c4b1e"/>
    <ds:schemaRef ds:uri="a9d963ac-f1ca-452e-b18b-8cbbecb7290e"/>
    <ds:schemaRef ds:uri="http://schemas.microsoft.com/office/2006/metadata/propertie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B607A971-E650-48FC-AD89-980BB79943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d963ac-f1ca-452e-b18b-8cbbecb7290e"/>
    <ds:schemaRef ds:uri="a8fcedee-7f03-4257-8c59-ae56f55c4b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F2426F-7829-4C54-AD0D-0104F971E5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conversion factor</vt:lpstr>
      <vt:lpstr>Colour palette</vt:lpstr>
      <vt:lpstr>I1. GHG emissions</vt:lpstr>
      <vt:lpstr>Figure 21. emissions profile</vt:lpstr>
      <vt:lpstr>I2. Production and consumption</vt:lpstr>
      <vt:lpstr>I3. CMUR</vt:lpstr>
      <vt:lpstr>I4. GHG intensity products</vt:lpstr>
      <vt:lpstr>I5. Energy use</vt:lpstr>
      <vt:lpstr>I6. Energy mix</vt:lpstr>
      <vt:lpstr>I7a,b&amp;c. Low carbon projects</vt:lpstr>
      <vt:lpstr>3. Material footprint</vt:lpstr>
      <vt:lpstr>8. GHG intensity energy use</vt:lpstr>
      <vt:lpstr>GVA</vt:lpstr>
      <vt:lpstr>Mtoe_to_TWh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Pieter Lemmens</dc:creator>
  <cp:keywords/>
  <dc:description/>
  <cp:lastModifiedBy>Ciaran Maguire</cp:lastModifiedBy>
  <cp:revision/>
  <dcterms:created xsi:type="dcterms:W3CDTF">2015-06-05T18:17:20Z</dcterms:created>
  <dcterms:modified xsi:type="dcterms:W3CDTF">2024-07-05T14:36:01Z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0x01010003462A1B62F2C54A89815A910B5DA9DF</vt:lpwstr>
  </property>
  <property fmtid="{D5CDD505-2E9C-101B-9397-08002B2CF9AE}" pid="3" name="MediaServiceImageTags">
    <vt:lpwstr/>
  </property>
</Properties>
</file>