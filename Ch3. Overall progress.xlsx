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.xml" ContentType="application/vnd.openxmlformats-officedocument.spreadsheetml.pivotTab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https://eea1.sharepoint.com/teams/EuropeanScientificAdvisoryBoardonClimateChange2/Shared Documents/General/Subgroups/1b. Consistency EU measures/Drafts/underlying excels and flowcharts/Final Figures and Graphs/"/>
    </mc:Choice>
  </mc:AlternateContent>
  <xr:revisionPtr revIDLastSave="0" documentId="8_{08503ECD-ADBF-47F3-A1E4-401087BBB171}" xr6:coauthVersionLast="47" xr6:coauthVersionMax="47" xr10:uidLastSave="{00000000-0000-0000-0000-000000000000}"/>
  <bookViews>
    <workbookView xWindow="-120" yWindow="-120" windowWidth="51840" windowHeight="21240" firstSheet="3" activeTab="3" xr2:uid="{00000000-000D-0000-FFFF-FFFF00000000}"/>
  </bookViews>
  <sheets>
    <sheet name="2. share of renewables" sheetId="3" state="hidden" r:id="rId1"/>
    <sheet name="4. FEC to PEC ratio" sheetId="5" state="hidden" r:id="rId2"/>
    <sheet name="Colour palette" sheetId="2" r:id="rId3"/>
    <sheet name="O1 &amp; Fig 2. GHG emissions" sheetId="1" r:id="rId4"/>
    <sheet name="O2. Primary &amp; final energy use" sheetId="4" r:id="rId5"/>
    <sheet name="O3. gross inland consumption" sheetId="7" r:id="rId6"/>
    <sheet name="MS projections raw data" sheetId="9" r:id="rId7"/>
    <sheet name="2. sectoral progress GHG emissi" sheetId="6" state="hidden" r:id="rId8"/>
    <sheet name="conversion factor" sheetId="8" state="hidden" r:id="rId9"/>
  </sheets>
  <externalReferences>
    <externalReference r:id="rId10"/>
  </externalReferences>
  <definedNames>
    <definedName name="_xlnm._FilterDatabase" localSheetId="6" hidden="1">'MS projections raw data'!$A$1:$I$5621</definedName>
    <definedName name="Mtoe_to_TWh">'conversion factor'!$B$10</definedName>
  </definedNames>
  <calcPr calcId="191028"/>
  <pivotCaches>
    <pivotCache cacheId="231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" i="1" l="1"/>
  <c r="AI3" i="1"/>
  <c r="AJ5" i="1"/>
  <c r="U5" i="1"/>
  <c r="S5" i="1"/>
  <c r="S3" i="1"/>
  <c r="D3" i="1"/>
  <c r="BB17" i="1" s="1"/>
  <c r="D8" i="1"/>
  <c r="V68" i="1"/>
  <c r="V67" i="1"/>
  <c r="E8" i="4"/>
  <c r="D5" i="8"/>
  <c r="D4" i="8"/>
  <c r="C6" i="8"/>
  <c r="C5" i="8"/>
  <c r="B5" i="8"/>
  <c r="E6" i="8"/>
  <c r="E5" i="8"/>
  <c r="E9" i="4"/>
  <c r="E6" i="4"/>
  <c r="D3" i="4"/>
  <c r="E3" i="7"/>
  <c r="O119" i="4"/>
  <c r="O118" i="4"/>
  <c r="O117" i="4"/>
  <c r="O116" i="4"/>
  <c r="O115" i="4"/>
  <c r="N163" i="4"/>
  <c r="N160" i="4"/>
  <c r="N157" i="4"/>
  <c r="N154" i="4"/>
  <c r="N166" i="4"/>
  <c r="O163" i="4" l="1"/>
  <c r="BB16" i="1"/>
  <c r="AH14" i="1"/>
  <c r="AD11" i="7"/>
  <c r="AD16" i="4" l="1"/>
  <c r="G25" i="4"/>
  <c r="G26" i="4"/>
  <c r="E26" i="4"/>
  <c r="E25" i="4"/>
  <c r="AD19" i="4"/>
  <c r="U19" i="4"/>
  <c r="U18" i="4"/>
  <c r="AX16" i="4"/>
  <c r="V19" i="4"/>
  <c r="W19" i="4" s="1"/>
  <c r="X19" i="4" s="1"/>
  <c r="Y19" i="4" s="1"/>
  <c r="Z19" i="4" s="1"/>
  <c r="AA19" i="4" s="1"/>
  <c r="AB19" i="4" s="1"/>
  <c r="AC19" i="4" s="1"/>
  <c r="F25" i="4"/>
  <c r="D138" i="4"/>
  <c r="E138" i="4"/>
  <c r="F138" i="4"/>
  <c r="G138" i="4"/>
  <c r="H138" i="4"/>
  <c r="I138" i="4"/>
  <c r="J138" i="4"/>
  <c r="K138" i="4"/>
  <c r="L138" i="4"/>
  <c r="M138" i="4"/>
  <c r="N138" i="4"/>
  <c r="D139" i="4"/>
  <c r="E139" i="4"/>
  <c r="F139" i="4"/>
  <c r="G139" i="4"/>
  <c r="H139" i="4"/>
  <c r="I139" i="4"/>
  <c r="J139" i="4"/>
  <c r="K139" i="4"/>
  <c r="L139" i="4"/>
  <c r="M139" i="4"/>
  <c r="N139" i="4"/>
  <c r="D140" i="4"/>
  <c r="E140" i="4"/>
  <c r="F140" i="4"/>
  <c r="G140" i="4"/>
  <c r="H140" i="4"/>
  <c r="I140" i="4"/>
  <c r="J140" i="4"/>
  <c r="K140" i="4"/>
  <c r="L140" i="4"/>
  <c r="M140" i="4"/>
  <c r="N140" i="4"/>
  <c r="D141" i="4"/>
  <c r="E141" i="4"/>
  <c r="F141" i="4"/>
  <c r="G141" i="4"/>
  <c r="H141" i="4"/>
  <c r="I141" i="4"/>
  <c r="J141" i="4"/>
  <c r="K141" i="4"/>
  <c r="L141" i="4"/>
  <c r="M141" i="4"/>
  <c r="N141" i="4"/>
  <c r="D142" i="4"/>
  <c r="E142" i="4"/>
  <c r="F142" i="4"/>
  <c r="G142" i="4"/>
  <c r="H142" i="4"/>
  <c r="I142" i="4"/>
  <c r="J142" i="4"/>
  <c r="K142" i="4"/>
  <c r="L142" i="4"/>
  <c r="M142" i="4"/>
  <c r="N142" i="4"/>
  <c r="D143" i="4"/>
  <c r="E143" i="4"/>
  <c r="F143" i="4"/>
  <c r="G143" i="4"/>
  <c r="H143" i="4"/>
  <c r="I143" i="4"/>
  <c r="J143" i="4"/>
  <c r="K143" i="4"/>
  <c r="L143" i="4"/>
  <c r="M143" i="4"/>
  <c r="N143" i="4"/>
  <c r="D144" i="4"/>
  <c r="E144" i="4"/>
  <c r="F144" i="4"/>
  <c r="G144" i="4"/>
  <c r="H144" i="4"/>
  <c r="I144" i="4"/>
  <c r="J144" i="4"/>
  <c r="K144" i="4"/>
  <c r="L144" i="4"/>
  <c r="M144" i="4"/>
  <c r="N144" i="4"/>
  <c r="D145" i="4"/>
  <c r="E145" i="4"/>
  <c r="F145" i="4"/>
  <c r="G145" i="4"/>
  <c r="H145" i="4"/>
  <c r="I145" i="4"/>
  <c r="J145" i="4"/>
  <c r="K145" i="4"/>
  <c r="L145" i="4"/>
  <c r="M145" i="4"/>
  <c r="N145" i="4"/>
  <c r="D146" i="4"/>
  <c r="E146" i="4"/>
  <c r="F146" i="4"/>
  <c r="G146" i="4"/>
  <c r="H146" i="4"/>
  <c r="I146" i="4"/>
  <c r="J146" i="4"/>
  <c r="K146" i="4"/>
  <c r="L146" i="4"/>
  <c r="M146" i="4"/>
  <c r="N146" i="4"/>
  <c r="D147" i="4"/>
  <c r="E147" i="4"/>
  <c r="F147" i="4"/>
  <c r="G147" i="4"/>
  <c r="H147" i="4"/>
  <c r="I147" i="4"/>
  <c r="J147" i="4"/>
  <c r="K147" i="4"/>
  <c r="L147" i="4"/>
  <c r="M147" i="4"/>
  <c r="N147" i="4"/>
  <c r="D148" i="4"/>
  <c r="E148" i="4"/>
  <c r="F148" i="4"/>
  <c r="G148" i="4"/>
  <c r="H148" i="4"/>
  <c r="I148" i="4"/>
  <c r="J148" i="4"/>
  <c r="K148" i="4"/>
  <c r="L148" i="4"/>
  <c r="M148" i="4"/>
  <c r="N148" i="4"/>
  <c r="D149" i="4"/>
  <c r="E149" i="4"/>
  <c r="F149" i="4"/>
  <c r="G149" i="4"/>
  <c r="H149" i="4"/>
  <c r="I149" i="4"/>
  <c r="J149" i="4"/>
  <c r="K149" i="4"/>
  <c r="L149" i="4"/>
  <c r="M149" i="4"/>
  <c r="N149" i="4"/>
  <c r="D150" i="4"/>
  <c r="E150" i="4"/>
  <c r="F150" i="4"/>
  <c r="G150" i="4"/>
  <c r="H150" i="4"/>
  <c r="I150" i="4"/>
  <c r="J150" i="4"/>
  <c r="K150" i="4"/>
  <c r="L150" i="4"/>
  <c r="M150" i="4"/>
  <c r="N150" i="4"/>
  <c r="C139" i="4"/>
  <c r="C140" i="4"/>
  <c r="C141" i="4"/>
  <c r="C142" i="4"/>
  <c r="C143" i="4"/>
  <c r="C144" i="4"/>
  <c r="C145" i="4"/>
  <c r="C146" i="4"/>
  <c r="C147" i="4"/>
  <c r="C148" i="4"/>
  <c r="AX8" i="4" s="1"/>
  <c r="C149" i="4"/>
  <c r="C150" i="4"/>
  <c r="C138" i="4"/>
  <c r="AD17" i="4"/>
  <c r="J6" i="4"/>
  <c r="L6" i="4"/>
  <c r="R6" i="4"/>
  <c r="T6" i="4"/>
  <c r="I7" i="4"/>
  <c r="J7" i="4"/>
  <c r="L7" i="4"/>
  <c r="Q7" i="4"/>
  <c r="R7" i="4"/>
  <c r="T7" i="4"/>
  <c r="D7" i="4"/>
  <c r="M7" i="4" s="1"/>
  <c r="D6" i="4"/>
  <c r="M6" i="4" s="1"/>
  <c r="D4" i="4"/>
  <c r="H11" i="4"/>
  <c r="I10" i="4"/>
  <c r="P9" i="4"/>
  <c r="L8" i="4"/>
  <c r="T8" i="4"/>
  <c r="D8" i="4"/>
  <c r="G8" i="4" s="1"/>
  <c r="D9" i="4"/>
  <c r="J9" i="4" s="1"/>
  <c r="D10" i="4"/>
  <c r="J10" i="4" s="1"/>
  <c r="D11" i="4"/>
  <c r="L11" i="4" s="1"/>
  <c r="D12" i="4"/>
  <c r="D13" i="4"/>
  <c r="D14" i="4"/>
  <c r="F14" i="4" s="1"/>
  <c r="AX12" i="7"/>
  <c r="AX11" i="7"/>
  <c r="AD14" i="7"/>
  <c r="AD13" i="7"/>
  <c r="AD12" i="7"/>
  <c r="V18" i="4" l="1"/>
  <c r="W18" i="4" s="1"/>
  <c r="X18" i="4" s="1"/>
  <c r="Y18" i="4" s="1"/>
  <c r="Z18" i="4" s="1"/>
  <c r="AA18" i="4" s="1"/>
  <c r="AB18" i="4" s="1"/>
  <c r="AC18" i="4" s="1"/>
  <c r="AD18" i="4" s="1"/>
  <c r="Q10" i="4"/>
  <c r="S7" i="4"/>
  <c r="K7" i="4"/>
  <c r="S6" i="4"/>
  <c r="K6" i="4"/>
  <c r="G10" i="4"/>
  <c r="Q6" i="4"/>
  <c r="I6" i="4"/>
  <c r="S11" i="4"/>
  <c r="P7" i="4"/>
  <c r="H7" i="4"/>
  <c r="P6" i="4"/>
  <c r="H6" i="4"/>
  <c r="P11" i="4"/>
  <c r="O7" i="4"/>
  <c r="G7" i="4"/>
  <c r="O6" i="4"/>
  <c r="G6" i="4"/>
  <c r="M11" i="4"/>
  <c r="E7" i="4"/>
  <c r="N7" i="4"/>
  <c r="F7" i="4"/>
  <c r="N6" i="4"/>
  <c r="F6" i="4"/>
  <c r="J11" i="4"/>
  <c r="U7" i="4"/>
  <c r="U6" i="4"/>
  <c r="S9" i="4"/>
  <c r="Q9" i="4"/>
  <c r="O10" i="4"/>
  <c r="K11" i="4"/>
  <c r="N9" i="4"/>
  <c r="N8" i="4"/>
  <c r="K9" i="4"/>
  <c r="U11" i="4"/>
  <c r="U14" i="4"/>
  <c r="I9" i="4"/>
  <c r="S14" i="4"/>
  <c r="F8" i="4"/>
  <c r="H9" i="4"/>
  <c r="R11" i="4"/>
  <c r="M14" i="4"/>
  <c r="F9" i="4"/>
  <c r="K14" i="4"/>
  <c r="U8" i="4"/>
  <c r="M8" i="4"/>
  <c r="O9" i="4"/>
  <c r="G9" i="4"/>
  <c r="P10" i="4"/>
  <c r="H10" i="4"/>
  <c r="Q11" i="4"/>
  <c r="I11" i="4"/>
  <c r="T14" i="4"/>
  <c r="L14" i="4"/>
  <c r="S8" i="4"/>
  <c r="K8" i="4"/>
  <c r="U9" i="4"/>
  <c r="M9" i="4"/>
  <c r="E10" i="4"/>
  <c r="N10" i="4"/>
  <c r="F10" i="4"/>
  <c r="O11" i="4"/>
  <c r="G11" i="4"/>
  <c r="R14" i="4"/>
  <c r="J14" i="4"/>
  <c r="R8" i="4"/>
  <c r="J8" i="4"/>
  <c r="T9" i="4"/>
  <c r="L9" i="4"/>
  <c r="U10" i="4"/>
  <c r="M10" i="4"/>
  <c r="E11" i="4"/>
  <c r="N11" i="4"/>
  <c r="F11" i="4"/>
  <c r="Q14" i="4"/>
  <c r="I14" i="4"/>
  <c r="Q8" i="4"/>
  <c r="I8" i="4"/>
  <c r="T10" i="4"/>
  <c r="L10" i="4"/>
  <c r="P14" i="4"/>
  <c r="H14" i="4"/>
  <c r="P8" i="4"/>
  <c r="H8" i="4"/>
  <c r="R9" i="4"/>
  <c r="S10" i="4"/>
  <c r="K10" i="4"/>
  <c r="T11" i="4"/>
  <c r="O14" i="4"/>
  <c r="G14" i="4"/>
  <c r="O8" i="4"/>
  <c r="R10" i="4"/>
  <c r="E14" i="4"/>
  <c r="N14" i="4"/>
  <c r="G27" i="4" l="1"/>
  <c r="E6" i="7" l="1"/>
  <c r="E8" i="7"/>
  <c r="E9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E10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U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E7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E5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E4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D4" i="7"/>
  <c r="D5" i="7"/>
  <c r="D6" i="7"/>
  <c r="D7" i="7"/>
  <c r="D8" i="7"/>
  <c r="D9" i="7"/>
  <c r="D10" i="7"/>
  <c r="D3" i="7"/>
  <c r="D6" i="8"/>
  <c r="B6" i="8"/>
  <c r="E4" i="8"/>
  <c r="B4" i="8"/>
  <c r="T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Q46" i="9"/>
  <c r="BL4" i="1" s="1"/>
  <c r="AP46" i="9"/>
  <c r="BK4" i="1" s="1"/>
  <c r="AO46" i="9"/>
  <c r="BJ4" i="1" s="1"/>
  <c r="AN46" i="9"/>
  <c r="BI4" i="1" s="1"/>
  <c r="AM46" i="9"/>
  <c r="BH4" i="1" s="1"/>
  <c r="AL46" i="9"/>
  <c r="BG4" i="1" s="1"/>
  <c r="AK46" i="9"/>
  <c r="BF4" i="1" s="1"/>
  <c r="AJ46" i="9"/>
  <c r="BE4" i="1" s="1"/>
  <c r="AI46" i="9"/>
  <c r="BD4" i="1" s="1"/>
  <c r="AH46" i="9"/>
  <c r="BC4" i="1" s="1"/>
  <c r="AG46" i="9"/>
  <c r="BB4" i="1" s="1"/>
  <c r="AF46" i="9"/>
  <c r="BA4" i="1" s="1"/>
  <c r="AE46" i="9"/>
  <c r="AZ4" i="1" s="1"/>
  <c r="AD46" i="9"/>
  <c r="AY4" i="1" s="1"/>
  <c r="AC46" i="9"/>
  <c r="AX4" i="1" s="1"/>
  <c r="AB46" i="9"/>
  <c r="AW4" i="1" s="1"/>
  <c r="AA46" i="9"/>
  <c r="AV4" i="1" s="1"/>
  <c r="Z46" i="9"/>
  <c r="AU4" i="1" s="1"/>
  <c r="Y46" i="9"/>
  <c r="AT4" i="1" s="1"/>
  <c r="X46" i="9"/>
  <c r="AS4" i="1" s="1"/>
  <c r="W46" i="9"/>
  <c r="AR4" i="1" s="1"/>
  <c r="V46" i="9"/>
  <c r="AQ4" i="1" s="1"/>
  <c r="U46" i="9"/>
  <c r="AP4" i="1" s="1"/>
  <c r="T46" i="9"/>
  <c r="AO4" i="1" s="1"/>
  <c r="S46" i="9"/>
  <c r="AN4" i="1" s="1"/>
  <c r="R46" i="9"/>
  <c r="AM4" i="1" s="1"/>
  <c r="Q46" i="9"/>
  <c r="AL4" i="1" s="1"/>
  <c r="P46" i="9"/>
  <c r="AK4" i="1" s="1"/>
  <c r="O46" i="9"/>
  <c r="AJ4" i="1" s="1"/>
  <c r="AQ44" i="9"/>
  <c r="AP44" i="9"/>
  <c r="AO44" i="9"/>
  <c r="AN44" i="9"/>
  <c r="AM44" i="9"/>
  <c r="AL44" i="9"/>
  <c r="AK44" i="9"/>
  <c r="AJ44" i="9"/>
  <c r="AI44" i="9"/>
  <c r="AH44" i="9"/>
  <c r="AG44" i="9"/>
  <c r="AF44" i="9"/>
  <c r="AE44" i="9"/>
  <c r="AD44" i="9"/>
  <c r="AC44" i="9"/>
  <c r="AB44" i="9"/>
  <c r="AA44" i="9"/>
  <c r="Z44" i="9"/>
  <c r="Y44" i="9"/>
  <c r="X44" i="9"/>
  <c r="W44" i="9"/>
  <c r="V44" i="9"/>
  <c r="U44" i="9"/>
  <c r="T44" i="9"/>
  <c r="S44" i="9"/>
  <c r="R44" i="9"/>
  <c r="Q44" i="9"/>
  <c r="P44" i="9"/>
  <c r="O44" i="9"/>
  <c r="N44" i="9"/>
  <c r="AQ43" i="9"/>
  <c r="AP43" i="9"/>
  <c r="AO43" i="9"/>
  <c r="AN43" i="9"/>
  <c r="AM43" i="9"/>
  <c r="AL43" i="9"/>
  <c r="AK43" i="9"/>
  <c r="AJ43" i="9"/>
  <c r="AI43" i="9"/>
  <c r="AH43" i="9"/>
  <c r="AG43" i="9"/>
  <c r="AF43" i="9"/>
  <c r="AE43" i="9"/>
  <c r="AD43" i="9"/>
  <c r="AC43" i="9"/>
  <c r="AB43" i="9"/>
  <c r="AA43" i="9"/>
  <c r="Z43" i="9"/>
  <c r="Y43" i="9"/>
  <c r="X43" i="9"/>
  <c r="W43" i="9"/>
  <c r="V43" i="9"/>
  <c r="U43" i="9"/>
  <c r="T43" i="9"/>
  <c r="S43" i="9"/>
  <c r="R43" i="9"/>
  <c r="Q43" i="9"/>
  <c r="P43" i="9"/>
  <c r="O43" i="9"/>
  <c r="N43" i="9"/>
  <c r="AQ42" i="9"/>
  <c r="AP42" i="9"/>
  <c r="AO42" i="9"/>
  <c r="AN42" i="9"/>
  <c r="AM42" i="9"/>
  <c r="AL42" i="9"/>
  <c r="AK42" i="9"/>
  <c r="AJ42" i="9"/>
  <c r="AI42" i="9"/>
  <c r="AH42" i="9"/>
  <c r="AG42" i="9"/>
  <c r="AF42" i="9"/>
  <c r="AE42" i="9"/>
  <c r="AD42" i="9"/>
  <c r="AC42" i="9"/>
  <c r="AB42" i="9"/>
  <c r="AA42" i="9"/>
  <c r="Z42" i="9"/>
  <c r="Y42" i="9"/>
  <c r="X42" i="9"/>
  <c r="W42" i="9"/>
  <c r="V42" i="9"/>
  <c r="U42" i="9"/>
  <c r="T42" i="9"/>
  <c r="S42" i="9"/>
  <c r="R42" i="9"/>
  <c r="Q42" i="9"/>
  <c r="P42" i="9"/>
  <c r="O42" i="9"/>
  <c r="N42" i="9"/>
  <c r="AQ41" i="9"/>
  <c r="AP41" i="9"/>
  <c r="AO41" i="9"/>
  <c r="AN41" i="9"/>
  <c r="AM41" i="9"/>
  <c r="AL41" i="9"/>
  <c r="AK41" i="9"/>
  <c r="AJ41" i="9"/>
  <c r="AI41" i="9"/>
  <c r="AH41" i="9"/>
  <c r="AG41" i="9"/>
  <c r="AF41" i="9"/>
  <c r="AE41" i="9"/>
  <c r="AD41" i="9"/>
  <c r="AC41" i="9"/>
  <c r="AB41" i="9"/>
  <c r="AA41" i="9"/>
  <c r="Z41" i="9"/>
  <c r="Y41" i="9"/>
  <c r="X41" i="9"/>
  <c r="W41" i="9"/>
  <c r="V41" i="9"/>
  <c r="U41" i="9"/>
  <c r="T41" i="9"/>
  <c r="S41" i="9"/>
  <c r="R41" i="9"/>
  <c r="Q41" i="9"/>
  <c r="P41" i="9"/>
  <c r="O41" i="9"/>
  <c r="N41" i="9"/>
  <c r="AQ40" i="9"/>
  <c r="AP40" i="9"/>
  <c r="AO40" i="9"/>
  <c r="AN40" i="9"/>
  <c r="AM40" i="9"/>
  <c r="AL40" i="9"/>
  <c r="AK40" i="9"/>
  <c r="AJ40" i="9"/>
  <c r="AI40" i="9"/>
  <c r="AH40" i="9"/>
  <c r="AG40" i="9"/>
  <c r="AF40" i="9"/>
  <c r="AE40" i="9"/>
  <c r="AD40" i="9"/>
  <c r="AC40" i="9"/>
  <c r="AB40" i="9"/>
  <c r="AA40" i="9"/>
  <c r="Z40" i="9"/>
  <c r="Y40" i="9"/>
  <c r="X40" i="9"/>
  <c r="W40" i="9"/>
  <c r="V40" i="9"/>
  <c r="U40" i="9"/>
  <c r="T40" i="9"/>
  <c r="S40" i="9"/>
  <c r="R40" i="9"/>
  <c r="Q40" i="9"/>
  <c r="P40" i="9"/>
  <c r="O40" i="9"/>
  <c r="N40" i="9"/>
  <c r="AQ39" i="9"/>
  <c r="AP39" i="9"/>
  <c r="AO39" i="9"/>
  <c r="AN39" i="9"/>
  <c r="AM39" i="9"/>
  <c r="AL39" i="9"/>
  <c r="AK39" i="9"/>
  <c r="AJ39" i="9"/>
  <c r="AI39" i="9"/>
  <c r="AH39" i="9"/>
  <c r="AG39" i="9"/>
  <c r="AF39" i="9"/>
  <c r="AE39" i="9"/>
  <c r="AD39" i="9"/>
  <c r="AC39" i="9"/>
  <c r="AB39" i="9"/>
  <c r="AA39" i="9"/>
  <c r="Z39" i="9"/>
  <c r="Y39" i="9"/>
  <c r="X39" i="9"/>
  <c r="W39" i="9"/>
  <c r="V39" i="9"/>
  <c r="U39" i="9"/>
  <c r="T39" i="9"/>
  <c r="S39" i="9"/>
  <c r="R39" i="9"/>
  <c r="Q39" i="9"/>
  <c r="P39" i="9"/>
  <c r="O39" i="9"/>
  <c r="N39" i="9"/>
  <c r="AQ38" i="9"/>
  <c r="AP38" i="9"/>
  <c r="AO38" i="9"/>
  <c r="AN38" i="9"/>
  <c r="AM38" i="9"/>
  <c r="AL38" i="9"/>
  <c r="AK38" i="9"/>
  <c r="AJ38" i="9"/>
  <c r="AI38" i="9"/>
  <c r="AH38" i="9"/>
  <c r="AG38" i="9"/>
  <c r="AF38" i="9"/>
  <c r="AE38" i="9"/>
  <c r="AD38" i="9"/>
  <c r="AC38" i="9"/>
  <c r="AB38" i="9"/>
  <c r="AA38" i="9"/>
  <c r="Z38" i="9"/>
  <c r="Y38" i="9"/>
  <c r="X38" i="9"/>
  <c r="W38" i="9"/>
  <c r="V38" i="9"/>
  <c r="U38" i="9"/>
  <c r="T38" i="9"/>
  <c r="S38" i="9"/>
  <c r="R38" i="9"/>
  <c r="Q38" i="9"/>
  <c r="P38" i="9"/>
  <c r="O38" i="9"/>
  <c r="N38" i="9"/>
  <c r="AQ37" i="9"/>
  <c r="AP37" i="9"/>
  <c r="AO37" i="9"/>
  <c r="AN37" i="9"/>
  <c r="AM37" i="9"/>
  <c r="AL37" i="9"/>
  <c r="AK37" i="9"/>
  <c r="AJ37" i="9"/>
  <c r="AI37" i="9"/>
  <c r="AH37" i="9"/>
  <c r="AG37" i="9"/>
  <c r="AF37" i="9"/>
  <c r="AE37" i="9"/>
  <c r="AD37" i="9"/>
  <c r="AC37" i="9"/>
  <c r="AB37" i="9"/>
  <c r="AA37" i="9"/>
  <c r="Z37" i="9"/>
  <c r="Y37" i="9"/>
  <c r="X37" i="9"/>
  <c r="W37" i="9"/>
  <c r="V37" i="9"/>
  <c r="U37" i="9"/>
  <c r="T37" i="9"/>
  <c r="S37" i="9"/>
  <c r="R37" i="9"/>
  <c r="Q37" i="9"/>
  <c r="P37" i="9"/>
  <c r="O37" i="9"/>
  <c r="N37" i="9"/>
  <c r="AQ36" i="9"/>
  <c r="AP36" i="9"/>
  <c r="AO36" i="9"/>
  <c r="AN36" i="9"/>
  <c r="AM36" i="9"/>
  <c r="AL36" i="9"/>
  <c r="AK36" i="9"/>
  <c r="AJ36" i="9"/>
  <c r="AI36" i="9"/>
  <c r="AH36" i="9"/>
  <c r="AG36" i="9"/>
  <c r="AF36" i="9"/>
  <c r="AE36" i="9"/>
  <c r="AD36" i="9"/>
  <c r="AC36" i="9"/>
  <c r="AB36" i="9"/>
  <c r="AA36" i="9"/>
  <c r="Z36" i="9"/>
  <c r="Y36" i="9"/>
  <c r="X36" i="9"/>
  <c r="W36" i="9"/>
  <c r="V36" i="9"/>
  <c r="U36" i="9"/>
  <c r="T36" i="9"/>
  <c r="S36" i="9"/>
  <c r="R36" i="9"/>
  <c r="Q36" i="9"/>
  <c r="P36" i="9"/>
  <c r="O36" i="9"/>
  <c r="N36" i="9"/>
  <c r="AQ35" i="9"/>
  <c r="AP35" i="9"/>
  <c r="AO35" i="9"/>
  <c r="AN35" i="9"/>
  <c r="AM35" i="9"/>
  <c r="AL35" i="9"/>
  <c r="AK35" i="9"/>
  <c r="AJ35" i="9"/>
  <c r="AI35" i="9"/>
  <c r="AH35" i="9"/>
  <c r="AG35" i="9"/>
  <c r="AF35" i="9"/>
  <c r="AE35" i="9"/>
  <c r="AD35" i="9"/>
  <c r="AC35" i="9"/>
  <c r="AB35" i="9"/>
  <c r="AA35" i="9"/>
  <c r="Z35" i="9"/>
  <c r="Y35" i="9"/>
  <c r="X35" i="9"/>
  <c r="W35" i="9"/>
  <c r="V35" i="9"/>
  <c r="U35" i="9"/>
  <c r="T35" i="9"/>
  <c r="S35" i="9"/>
  <c r="R35" i="9"/>
  <c r="Q35" i="9"/>
  <c r="P35" i="9"/>
  <c r="O35" i="9"/>
  <c r="N35" i="9"/>
  <c r="D12" i="1"/>
  <c r="D11" i="1"/>
  <c r="D10" i="1"/>
  <c r="D9" i="1"/>
  <c r="D7" i="1"/>
  <c r="D6" i="1"/>
  <c r="D5" i="1"/>
  <c r="V66" i="1"/>
  <c r="N46" i="9" s="1"/>
  <c r="AI4" i="1" s="1"/>
  <c r="U66" i="1"/>
  <c r="U68" i="1" s="1"/>
  <c r="T66" i="1"/>
  <c r="S66" i="1"/>
  <c r="U67" i="1"/>
  <c r="T67" i="1"/>
  <c r="S67" i="1"/>
  <c r="S68" i="1" s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S6" i="1"/>
  <c r="AJ9" i="1"/>
  <c r="T41" i="1" s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T68" i="1" l="1"/>
  <c r="T51" i="1"/>
  <c r="D13" i="1"/>
  <c r="AR15" i="1" l="1"/>
  <c r="S30" i="1"/>
  <c r="E57" i="7" l="1"/>
  <c r="E56" i="7"/>
  <c r="F26" i="4"/>
  <c r="O7" i="6"/>
  <c r="O6" i="6"/>
  <c r="O5" i="6"/>
  <c r="O4" i="6"/>
  <c r="O3" i="6"/>
  <c r="O2" i="6"/>
  <c r="N7" i="6"/>
  <c r="N6" i="6"/>
  <c r="N5" i="6"/>
  <c r="N4" i="6"/>
  <c r="N3" i="6"/>
  <c r="N2" i="6"/>
  <c r="M7" i="6"/>
  <c r="M6" i="6"/>
  <c r="M5" i="6"/>
  <c r="M4" i="6"/>
  <c r="M3" i="6"/>
  <c r="M2" i="6"/>
  <c r="AX14" i="4"/>
  <c r="AX13" i="4"/>
  <c r="AX12" i="4"/>
  <c r="AX11" i="4"/>
  <c r="AX15" i="4"/>
  <c r="AX10" i="4"/>
  <c r="AX9" i="4"/>
  <c r="U68" i="4" l="1"/>
  <c r="U13" i="4" s="1"/>
  <c r="T68" i="4"/>
  <c r="T13" i="4" s="1"/>
  <c r="S68" i="4"/>
  <c r="S13" i="4" s="1"/>
  <c r="R68" i="4"/>
  <c r="R13" i="4" s="1"/>
  <c r="Q68" i="4"/>
  <c r="Q13" i="4" s="1"/>
  <c r="P68" i="4"/>
  <c r="P13" i="4" s="1"/>
  <c r="O68" i="4"/>
  <c r="O13" i="4" s="1"/>
  <c r="N68" i="4"/>
  <c r="N13" i="4" s="1"/>
  <c r="M68" i="4"/>
  <c r="M13" i="4" s="1"/>
  <c r="L68" i="4"/>
  <c r="L13" i="4" s="1"/>
  <c r="K68" i="4"/>
  <c r="K13" i="4" s="1"/>
  <c r="J68" i="4"/>
  <c r="J13" i="4" s="1"/>
  <c r="I68" i="4"/>
  <c r="I13" i="4" s="1"/>
  <c r="H68" i="4"/>
  <c r="H13" i="4" s="1"/>
  <c r="G68" i="4"/>
  <c r="G13" i="4" s="1"/>
  <c r="F68" i="4"/>
  <c r="F13" i="4" s="1"/>
  <c r="E68" i="4"/>
  <c r="E13" i="4" s="1"/>
  <c r="G52" i="7"/>
  <c r="F52" i="7"/>
  <c r="E22" i="7"/>
  <c r="F67" i="4" l="1"/>
  <c r="F12" i="4" s="1"/>
  <c r="L67" i="4"/>
  <c r="L12" i="4" s="1"/>
  <c r="T67" i="4"/>
  <c r="T12" i="4" s="1"/>
  <c r="N67" i="4"/>
  <c r="N12" i="4" s="1"/>
  <c r="O67" i="4"/>
  <c r="O12" i="4" s="1"/>
  <c r="P67" i="4"/>
  <c r="P12" i="4" s="1"/>
  <c r="I67" i="4"/>
  <c r="I12" i="4" s="1"/>
  <c r="J67" i="4"/>
  <c r="J12" i="4" s="1"/>
  <c r="R67" i="4"/>
  <c r="R12" i="4" s="1"/>
  <c r="G67" i="4"/>
  <c r="G12" i="4" s="1"/>
  <c r="Q67" i="4"/>
  <c r="Q12" i="4" s="1"/>
  <c r="K67" i="4"/>
  <c r="K12" i="4" s="1"/>
  <c r="S67" i="4"/>
  <c r="S12" i="4" s="1"/>
  <c r="H67" i="4"/>
  <c r="H12" i="4" s="1"/>
  <c r="E67" i="4"/>
  <c r="E12" i="4" s="1"/>
  <c r="M67" i="4"/>
  <c r="M12" i="4" s="1"/>
  <c r="U67" i="4"/>
  <c r="U12" i="4" s="1"/>
  <c r="AX46" i="7"/>
  <c r="AD46" i="7"/>
  <c r="AX44" i="7"/>
  <c r="AD44" i="7"/>
  <c r="AX42" i="7"/>
  <c r="AD42" i="7"/>
  <c r="N67" i="7"/>
  <c r="M67" i="7"/>
  <c r="L67" i="7"/>
  <c r="K67" i="7"/>
  <c r="J67" i="7"/>
  <c r="I67" i="7"/>
  <c r="H67" i="7"/>
  <c r="G67" i="7"/>
  <c r="F67" i="7"/>
  <c r="G57" i="7" s="1"/>
  <c r="E67" i="7"/>
  <c r="N64" i="7"/>
  <c r="M64" i="7"/>
  <c r="L64" i="7"/>
  <c r="K64" i="7"/>
  <c r="J64" i="7"/>
  <c r="I64" i="7"/>
  <c r="H64" i="7"/>
  <c r="G64" i="7"/>
  <c r="F64" i="7"/>
  <c r="E64" i="7"/>
  <c r="G56" i="7" l="1"/>
  <c r="AX43" i="7"/>
  <c r="AX14" i="7"/>
  <c r="AD43" i="7"/>
  <c r="F57" i="7"/>
  <c r="T40" i="7"/>
  <c r="R40" i="7"/>
  <c r="Q40" i="7"/>
  <c r="P40" i="7"/>
  <c r="O40" i="7"/>
  <c r="N40" i="7"/>
  <c r="M40" i="7"/>
  <c r="L40" i="7"/>
  <c r="K40" i="7"/>
  <c r="J40" i="7"/>
  <c r="I40" i="7"/>
  <c r="H40" i="7"/>
  <c r="G40" i="7"/>
  <c r="F40" i="7"/>
  <c r="T38" i="7"/>
  <c r="S38" i="7"/>
  <c r="R38" i="7"/>
  <c r="Q38" i="7"/>
  <c r="P38" i="7"/>
  <c r="O38" i="7"/>
  <c r="N38" i="7"/>
  <c r="M38" i="7"/>
  <c r="L38" i="7"/>
  <c r="K38" i="7"/>
  <c r="J38" i="7"/>
  <c r="I38" i="7"/>
  <c r="H38" i="7"/>
  <c r="G38" i="7"/>
  <c r="F38" i="7"/>
  <c r="U37" i="7"/>
  <c r="T37" i="7"/>
  <c r="S37" i="7"/>
  <c r="R37" i="7"/>
  <c r="O37" i="7"/>
  <c r="N37" i="7"/>
  <c r="M37" i="7"/>
  <c r="L37" i="7"/>
  <c r="K37" i="7"/>
  <c r="J37" i="7"/>
  <c r="G37" i="7"/>
  <c r="F37" i="7"/>
  <c r="U94" i="7"/>
  <c r="T94" i="7"/>
  <c r="S94" i="7"/>
  <c r="R94" i="7"/>
  <c r="Q94" i="7"/>
  <c r="P94" i="7"/>
  <c r="O94" i="7"/>
  <c r="N94" i="7"/>
  <c r="M94" i="7"/>
  <c r="L94" i="7"/>
  <c r="K94" i="7"/>
  <c r="J94" i="7"/>
  <c r="I94" i="7"/>
  <c r="H94" i="7"/>
  <c r="G94" i="7"/>
  <c r="F94" i="7"/>
  <c r="E94" i="7"/>
  <c r="U86" i="7"/>
  <c r="T86" i="7"/>
  <c r="S86" i="7"/>
  <c r="R86" i="7"/>
  <c r="Q86" i="7"/>
  <c r="P86" i="7"/>
  <c r="O86" i="7"/>
  <c r="N86" i="7"/>
  <c r="M86" i="7"/>
  <c r="L86" i="7"/>
  <c r="K86" i="7"/>
  <c r="J86" i="7"/>
  <c r="I86" i="7"/>
  <c r="H86" i="7"/>
  <c r="G86" i="7"/>
  <c r="F86" i="7"/>
  <c r="E86" i="7"/>
  <c r="S41" i="1"/>
  <c r="S51" i="1" s="1"/>
  <c r="G17" i="6"/>
  <c r="F17" i="6"/>
  <c r="E17" i="6"/>
  <c r="D17" i="6"/>
  <c r="C17" i="6"/>
  <c r="B17" i="6"/>
  <c r="G16" i="6"/>
  <c r="F16" i="6"/>
  <c r="E16" i="6"/>
  <c r="D16" i="6"/>
  <c r="C16" i="6"/>
  <c r="B16" i="6"/>
  <c r="G15" i="6"/>
  <c r="F15" i="6"/>
  <c r="E15" i="6"/>
  <c r="D15" i="6"/>
  <c r="C15" i="6"/>
  <c r="B15" i="6"/>
  <c r="G13" i="6"/>
  <c r="F13" i="6"/>
  <c r="E13" i="6"/>
  <c r="D13" i="6"/>
  <c r="C13" i="6"/>
  <c r="B13" i="6"/>
  <c r="G12" i="6"/>
  <c r="F12" i="6"/>
  <c r="E12" i="6"/>
  <c r="D12" i="6"/>
  <c r="C12" i="6"/>
  <c r="B12" i="6"/>
  <c r="G11" i="6"/>
  <c r="F11" i="6"/>
  <c r="E11" i="6"/>
  <c r="D11" i="6"/>
  <c r="C11" i="6"/>
  <c r="B11" i="6"/>
  <c r="U38" i="7" l="1"/>
  <c r="F56" i="7"/>
  <c r="AD45" i="7"/>
  <c r="AX45" i="7"/>
  <c r="AX13" i="7"/>
  <c r="E20" i="7"/>
  <c r="E21" i="7"/>
  <c r="U40" i="7"/>
  <c r="S40" i="7"/>
  <c r="E38" i="7"/>
  <c r="E40" i="7"/>
  <c r="F39" i="7"/>
  <c r="F41" i="7" s="1"/>
  <c r="N39" i="7"/>
  <c r="N41" i="7" s="1"/>
  <c r="E37" i="7"/>
  <c r="G39" i="7"/>
  <c r="G41" i="7" s="1"/>
  <c r="O39" i="7"/>
  <c r="O41" i="7" s="1"/>
  <c r="P37" i="7"/>
  <c r="P39" i="7" s="1"/>
  <c r="P41" i="7" s="1"/>
  <c r="H37" i="7"/>
  <c r="H39" i="7" s="1"/>
  <c r="H41" i="7" s="1"/>
  <c r="R39" i="7"/>
  <c r="R41" i="7" s="1"/>
  <c r="S39" i="7"/>
  <c r="S41" i="7" s="1"/>
  <c r="L39" i="7"/>
  <c r="L41" i="7" s="1"/>
  <c r="T39" i="7"/>
  <c r="T41" i="7" s="1"/>
  <c r="J39" i="7"/>
  <c r="J41" i="7" s="1"/>
  <c r="K39" i="7"/>
  <c r="K41" i="7" s="1"/>
  <c r="M39" i="7"/>
  <c r="M41" i="7" s="1"/>
  <c r="U39" i="7"/>
  <c r="U41" i="7" s="1"/>
  <c r="I37" i="7"/>
  <c r="I39" i="7" s="1"/>
  <c r="I41" i="7" s="1"/>
  <c r="Q37" i="7"/>
  <c r="Q39" i="7" s="1"/>
  <c r="Q41" i="7" s="1"/>
  <c r="AJ11" i="1"/>
  <c r="T43" i="1" s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AJ10" i="1"/>
  <c r="T42" i="1" s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AJ12" i="1"/>
  <c r="AJ8" i="1"/>
  <c r="T40" i="1" s="1"/>
  <c r="S25" i="1"/>
  <c r="AJ7" i="1"/>
  <c r="P90" i="4"/>
  <c r="P95" i="4"/>
  <c r="P116" i="4"/>
  <c r="O157" i="4"/>
  <c r="AN20" i="4" l="1"/>
  <c r="G29" i="4" s="1"/>
  <c r="T39" i="1"/>
  <c r="T45" i="1"/>
  <c r="AJ13" i="1"/>
  <c r="T44" i="1" s="1"/>
  <c r="O25" i="6"/>
  <c r="N25" i="6"/>
  <c r="M25" i="6"/>
  <c r="O26" i="6"/>
  <c r="M26" i="6"/>
  <c r="N26" i="6"/>
  <c r="P118" i="4"/>
  <c r="AN21" i="4" s="1"/>
  <c r="E39" i="7"/>
  <c r="E41" i="7" s="1"/>
  <c r="E52" i="7" s="1"/>
  <c r="O166" i="4"/>
  <c r="AX20" i="4" s="1"/>
  <c r="AE18" i="4" s="1"/>
  <c r="S27" i="1"/>
  <c r="S28" i="1"/>
  <c r="P117" i="4"/>
  <c r="AD21" i="4" s="1"/>
  <c r="P119" i="4"/>
  <c r="AX21" i="4" s="1"/>
  <c r="AE19" i="4" s="1"/>
  <c r="AF19" i="4" s="1"/>
  <c r="AG19" i="4" s="1"/>
  <c r="AH19" i="4" s="1"/>
  <c r="AI19" i="4" s="1"/>
  <c r="AJ19" i="4" s="1"/>
  <c r="AK19" i="4" s="1"/>
  <c r="AL19" i="4" s="1"/>
  <c r="AM19" i="4" s="1"/>
  <c r="AN19" i="4" s="1"/>
  <c r="AO19" i="4" s="1"/>
  <c r="AP19" i="4" s="1"/>
  <c r="AQ19" i="4" s="1"/>
  <c r="AR19" i="4" s="1"/>
  <c r="AS19" i="4" s="1"/>
  <c r="AT19" i="4" s="1"/>
  <c r="AU19" i="4" s="1"/>
  <c r="AV19" i="4" s="1"/>
  <c r="AW19" i="4" s="1"/>
  <c r="AX19" i="4" s="1"/>
  <c r="O160" i="4"/>
  <c r="AD20" i="4" s="1"/>
  <c r="G28" i="4" l="1"/>
  <c r="AF18" i="4"/>
  <c r="AG18" i="4" s="1"/>
  <c r="AH18" i="4" s="1"/>
  <c r="AI18" i="4" s="1"/>
  <c r="AJ18" i="4" s="1"/>
  <c r="AK18" i="4" s="1"/>
  <c r="AL18" i="4" s="1"/>
  <c r="AM18" i="4" s="1"/>
  <c r="AN18" i="4" s="1"/>
  <c r="AO18" i="4" s="1"/>
  <c r="AP18" i="4" s="1"/>
  <c r="AQ18" i="4" s="1"/>
  <c r="AR18" i="4" s="1"/>
  <c r="AS18" i="4" s="1"/>
  <c r="AT18" i="4" s="1"/>
  <c r="AU18" i="4" s="1"/>
  <c r="AV18" i="4" s="1"/>
  <c r="AW18" i="4" s="1"/>
  <c r="AX18" i="4" s="1"/>
  <c r="AJ3" i="1"/>
  <c r="S26" i="1"/>
  <c r="T3" i="5" l="1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T2" i="5"/>
  <c r="S2" i="5"/>
  <c r="R2" i="5"/>
  <c r="Q2" i="5"/>
  <c r="P2" i="5"/>
  <c r="O2" i="5"/>
  <c r="N2" i="5"/>
  <c r="M2" i="5"/>
  <c r="L2" i="5"/>
  <c r="K2" i="5"/>
  <c r="J2" i="5"/>
  <c r="I2" i="5"/>
  <c r="H2" i="5"/>
  <c r="G2" i="5"/>
  <c r="F2" i="5"/>
  <c r="E2" i="5"/>
  <c r="D2" i="5"/>
  <c r="C111" i="4"/>
  <c r="C110" i="4"/>
  <c r="B106" i="4"/>
  <c r="G102" i="4" s="1"/>
  <c r="H102" i="4" s="1"/>
  <c r="G101" i="4" l="1"/>
  <c r="H101" i="4" s="1"/>
  <c r="AI12" i="1"/>
  <c r="AI8" i="1"/>
  <c r="AI7" i="1"/>
  <c r="AH12" i="1"/>
  <c r="AH8" i="1"/>
  <c r="AH7" i="1"/>
  <c r="AG12" i="1"/>
  <c r="AG8" i="1"/>
  <c r="AG7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AF8" i="1"/>
  <c r="AE8" i="1"/>
  <c r="AD8" i="1"/>
  <c r="AC8" i="1"/>
  <c r="AB8" i="1"/>
  <c r="AA8" i="1"/>
  <c r="Z8" i="1"/>
  <c r="Y8" i="1"/>
  <c r="X8" i="1"/>
  <c r="S35" i="1" s="1"/>
  <c r="W8" i="1"/>
  <c r="V8" i="1"/>
  <c r="U8" i="1"/>
  <c r="T8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12" i="1"/>
  <c r="S43" i="1"/>
  <c r="S42" i="1"/>
  <c r="S8" i="1"/>
  <c r="S7" i="1"/>
  <c r="AD13" i="1" l="1"/>
  <c r="AD3" i="1" s="1"/>
  <c r="W13" i="1"/>
  <c r="W3" i="1" s="1"/>
  <c r="V13" i="1"/>
  <c r="V3" i="1" s="1"/>
  <c r="AE13" i="1"/>
  <c r="AE3" i="1" s="1"/>
  <c r="X13" i="1"/>
  <c r="X3" i="1" s="1"/>
  <c r="Y13" i="1"/>
  <c r="Y3" i="1" s="1"/>
  <c r="Z13" i="1"/>
  <c r="Z3" i="1" s="1"/>
  <c r="AA13" i="1"/>
  <c r="AA3" i="1" s="1"/>
  <c r="AF13" i="1"/>
  <c r="AF3" i="1" s="1"/>
  <c r="S13" i="1"/>
  <c r="T13" i="1"/>
  <c r="T3" i="1" s="1"/>
  <c r="AB13" i="1"/>
  <c r="AB3" i="1" s="1"/>
  <c r="AG13" i="1"/>
  <c r="AG3" i="1" s="1"/>
  <c r="AI13" i="1"/>
  <c r="AH13" i="1"/>
  <c r="AH3" i="1" s="1"/>
  <c r="U13" i="1"/>
  <c r="U3" i="1" s="1"/>
  <c r="AC13" i="1"/>
  <c r="AC3" i="1" s="1"/>
  <c r="S39" i="1"/>
  <c r="V39" i="1" s="1"/>
  <c r="N22" i="6"/>
  <c r="M22" i="6"/>
  <c r="O22" i="6"/>
  <c r="V41" i="1"/>
  <c r="N24" i="6"/>
  <c r="O24" i="6"/>
  <c r="M24" i="6"/>
  <c r="S40" i="1"/>
  <c r="U40" i="1" s="1"/>
  <c r="N23" i="6"/>
  <c r="O23" i="6"/>
  <c r="M23" i="6"/>
  <c r="S45" i="1"/>
  <c r="V45" i="1" s="1"/>
  <c r="M27" i="6"/>
  <c r="N27" i="6"/>
  <c r="O27" i="6"/>
  <c r="V40" i="1"/>
  <c r="U43" i="1"/>
  <c r="V43" i="1"/>
  <c r="U42" i="1"/>
  <c r="V42" i="1"/>
  <c r="S24" i="1" l="1"/>
  <c r="U39" i="1"/>
  <c r="U41" i="1"/>
  <c r="U45" i="1"/>
  <c r="S44" i="1"/>
  <c r="S23" i="1"/>
  <c r="V44" i="1" l="1"/>
  <c r="U4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Pieter Lemmens</author>
  </authors>
  <commentList>
    <comment ref="P95" authorId="0" shapeId="0" xr:uid="{3C02ADF2-B118-47F1-BF73-60C416E820F2}">
      <text>
        <r>
          <rPr>
            <b/>
            <sz val="9"/>
            <color indexed="81"/>
            <rFont val="Tahoma"/>
            <family val="2"/>
          </rPr>
          <t>Pieter Lemmens:</t>
        </r>
        <r>
          <rPr>
            <sz val="9"/>
            <color indexed="81"/>
            <rFont val="Tahoma"/>
            <family val="2"/>
          </rPr>
          <t xml:space="preserve">
Calculated as gross inland - non-energy use, but value seems too high (see also note below)</t>
        </r>
      </text>
    </comment>
    <comment ref="H101" authorId="0" shapeId="0" xr:uid="{A433710A-F36E-4157-BEA4-7322F9D9CF56}">
      <text>
        <r>
          <rPr>
            <b/>
            <sz val="9"/>
            <color indexed="81"/>
            <rFont val="Tahoma"/>
            <family val="2"/>
          </rPr>
          <t>Pieter Lemmens:</t>
        </r>
        <r>
          <rPr>
            <sz val="9"/>
            <color indexed="81"/>
            <rFont val="Tahoma"/>
            <family val="2"/>
          </rPr>
          <t xml:space="preserve">
Already lower than the CTP number derived from gross inland consumption, but still slightly higher than if calculated based on figure 17 (see below)</t>
        </r>
      </text>
    </comment>
    <comment ref="C110" authorId="0" shapeId="0" xr:uid="{DE4E99CB-59BD-449B-B6B9-98EB18E8FCC8}">
      <text>
        <r>
          <rPr>
            <b/>
            <sz val="9"/>
            <color indexed="81"/>
            <rFont val="Tahoma"/>
            <family val="2"/>
          </rPr>
          <t>Pieter Lemmens:</t>
        </r>
        <r>
          <rPr>
            <sz val="9"/>
            <color indexed="81"/>
            <rFont val="Tahoma"/>
            <family val="2"/>
          </rPr>
          <t xml:space="preserve">
lowest value of all, seems also most consistent with the CTP FEC benchmark. Used as benchmark for now
</t>
        </r>
      </text>
    </comment>
  </commentList>
</comments>
</file>

<file path=xl/sharedStrings.xml><?xml version="1.0" encoding="utf-8"?>
<sst xmlns="http://schemas.openxmlformats.org/spreadsheetml/2006/main" count="23242" uniqueCount="381">
  <si>
    <t>Source</t>
  </si>
  <si>
    <t>Unit</t>
  </si>
  <si>
    <t>Total FEC to PEC ratio</t>
  </si>
  <si>
    <t>%</t>
  </si>
  <si>
    <t>Input-output ratio for power and heat</t>
  </si>
  <si>
    <t>Total FEC</t>
  </si>
  <si>
    <t>Energy balance</t>
  </si>
  <si>
    <t>Mtoe</t>
  </si>
  <si>
    <t>Total PEC</t>
  </si>
  <si>
    <t>Total transformation input - elec and heat - energy use</t>
  </si>
  <si>
    <t>ktoe</t>
  </si>
  <si>
    <t>Total transformation output - elec and heat - energy use</t>
  </si>
  <si>
    <t>Gross electricity production</t>
  </si>
  <si>
    <t>Gross heat production</t>
  </si>
  <si>
    <t>Demand-side Focus Pathway</t>
  </si>
  <si>
    <t>High Renewable Energy Pathway</t>
  </si>
  <si>
    <t>Font and colours:</t>
  </si>
  <si>
    <t>Half page width:</t>
  </si>
  <si>
    <t>Mixed Options Pathway</t>
  </si>
  <si>
    <t xml:space="preserve">Font: </t>
  </si>
  <si>
    <t xml:space="preserve">Segoe UI, size 8 </t>
  </si>
  <si>
    <t>Signature colour</t>
  </si>
  <si>
    <t>Gridlines:</t>
  </si>
  <si>
    <t>Transparency: 90%</t>
  </si>
  <si>
    <t>Lines:</t>
  </si>
  <si>
    <t>High width: 2.25 pt</t>
  </si>
  <si>
    <t>Low width: 0.25 pt</t>
  </si>
  <si>
    <t>Colours:</t>
  </si>
  <si>
    <t>Primary colour palette</t>
  </si>
  <si>
    <t>Full page width:</t>
  </si>
  <si>
    <t>Title and</t>
  </si>
  <si>
    <t xml:space="preserve">In Word document </t>
  </si>
  <si>
    <t>source:</t>
  </si>
  <si>
    <t>(CO2 / Energy / Supply / Electricity)</t>
  </si>
  <si>
    <t xml:space="preserve"> </t>
  </si>
  <si>
    <t>Graph 1</t>
  </si>
  <si>
    <t>2005</t>
  </si>
  <si>
    <t>2010</t>
  </si>
  <si>
    <t>2015</t>
  </si>
  <si>
    <t>2020</t>
  </si>
  <si>
    <t>Total</t>
  </si>
  <si>
    <t>EEA GHG data viewer</t>
  </si>
  <si>
    <t>Mt CO2e</t>
  </si>
  <si>
    <t>WAM projections</t>
  </si>
  <si>
    <t>International maritime</t>
  </si>
  <si>
    <t>International aviation</t>
  </si>
  <si>
    <t>Energy supply</t>
  </si>
  <si>
    <t>Industry</t>
  </si>
  <si>
    <t>Transport</t>
  </si>
  <si>
    <t>Buildings and agriculture energy</t>
  </si>
  <si>
    <t>Agriculture (non-energy)</t>
  </si>
  <si>
    <t>LULUCF</t>
  </si>
  <si>
    <t>Waste and other sectors</t>
  </si>
  <si>
    <t>2020 (-20%)</t>
  </si>
  <si>
    <t>2030 (-55%)</t>
  </si>
  <si>
    <t>2040 advice (-90 to -95%)</t>
  </si>
  <si>
    <t>2040 dummy</t>
  </si>
  <si>
    <t>2050 (climate neutrality)</t>
  </si>
  <si>
    <t>linear trajectory to targets</t>
  </si>
  <si>
    <t>linear trajector towards 2040 range</t>
  </si>
  <si>
    <t>linear trajector towards 2040 advice</t>
  </si>
  <si>
    <t>Average 2005-2022</t>
  </si>
  <si>
    <t>Average 2018-2022</t>
  </si>
  <si>
    <t>Average 2023-2030</t>
  </si>
  <si>
    <t>Average 2031-2050</t>
  </si>
  <si>
    <t>Average 2031-2040 (95%)</t>
  </si>
  <si>
    <t>Average 2031-2040 (90%)</t>
  </si>
  <si>
    <t>WAM 2030 compared to 1990</t>
  </si>
  <si>
    <t>INDICATOR O1</t>
  </si>
  <si>
    <t>2005-2022</t>
  </si>
  <si>
    <t>2005-2022 %</t>
  </si>
  <si>
    <t>Transport (incl. int. bunkers)</t>
  </si>
  <si>
    <t>sectoral GHG emissions in 2005 and 2022</t>
  </si>
  <si>
    <t>Maritime ECL scope</t>
  </si>
  <si>
    <t>https://climate.ec.europa.eu/system/files/2023-03/swd_2023_54_en.pdf</t>
  </si>
  <si>
    <t>At berth</t>
  </si>
  <si>
    <t>Intra-EU</t>
  </si>
  <si>
    <t>Extra-EU incoming</t>
  </si>
  <si>
    <t>Extra=EU outgoing</t>
  </si>
  <si>
    <t>covered by EU ETS</t>
  </si>
  <si>
    <t>Reported in GHG inventory</t>
  </si>
  <si>
    <t>% covered by the EU ETS</t>
  </si>
  <si>
    <t>Raw data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</si>
  <si>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</si>
  <si>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</si>
  <si>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</si>
  <si>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</si>
  <si>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</si>
  <si>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</si>
  <si>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</si>
  <si>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</si>
  <si>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</si>
  <si>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</si>
  <si>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</si>
  <si>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</si>
  <si>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</si>
  <si>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</si>
  <si>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</si>
  <si>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2006</t>
  </si>
  <si>
    <t>2007</t>
  </si>
  <si>
    <t>2008</t>
  </si>
  <si>
    <t>2009</t>
  </si>
  <si>
    <t>2011</t>
  </si>
  <si>
    <t>2012</t>
  </si>
  <si>
    <t>2013</t>
  </si>
  <si>
    <t>2014</t>
  </si>
  <si>
    <t>2016</t>
  </si>
  <si>
    <t>2017</t>
  </si>
  <si>
    <t>2018</t>
  </si>
  <si>
    <t>2019</t>
  </si>
  <si>
    <t>2021</t>
  </si>
  <si>
    <t>1 - Energy</t>
  </si>
  <si>
    <t>kt CO2e</t>
  </si>
  <si>
    <t>1.A.1 - Energy Industries</t>
  </si>
  <si>
    <t>1.A.2 - Manufacturing Industries and Construction</t>
  </si>
  <si>
    <t>1.A.3 - Transport</t>
  </si>
  <si>
    <t>1.A.4 - Other Sectors</t>
  </si>
  <si>
    <t>1.A.4.a - Commercial/Institutional</t>
  </si>
  <si>
    <t>1.A.4.b - Residential</t>
  </si>
  <si>
    <t>1.A.4.c - Agriculture/Forestry/Fishing</t>
  </si>
  <si>
    <t>1.A.5 - Other Other Sectors</t>
  </si>
  <si>
    <t>1.AA - Fuel Combustion - Sectoral approach</t>
  </si>
  <si>
    <t>1.B - Fugitive Emissions from Fuels</t>
  </si>
  <si>
    <t>1.C - CO2 Transport and Storage</t>
  </si>
  <si>
    <t>1.D.1.a - International Aviation</t>
  </si>
  <si>
    <t>1.D.1.b - International Navigation</t>
  </si>
  <si>
    <t>v</t>
  </si>
  <si>
    <t>2 - Industrial Processes and Product Use</t>
  </si>
  <si>
    <t>3 - Agriculture</t>
  </si>
  <si>
    <t>4 - Land Use, Land-Use Change and Forestry</t>
  </si>
  <si>
    <t>5 - Waste management</t>
  </si>
  <si>
    <t>6 - Other Sector</t>
  </si>
  <si>
    <t>- 4(IV)  Indirect N2O Emissions from Managed Soils</t>
  </si>
  <si>
    <t>ind_CO2 - Indirect CO2</t>
  </si>
  <si>
    <t>Total emissions (UNFCCC)</t>
  </si>
  <si>
    <t>Total net emissions (UNFCCC)</t>
  </si>
  <si>
    <t>Total net emissions with international aviation (EU NDC)</t>
  </si>
  <si>
    <t>Graph</t>
  </si>
  <si>
    <t>Conversion</t>
  </si>
  <si>
    <t>PEC</t>
  </si>
  <si>
    <t>Eurostat</t>
  </si>
  <si>
    <t>FEC</t>
  </si>
  <si>
    <t>TWh</t>
  </si>
  <si>
    <t>Solid fossil fuels</t>
  </si>
  <si>
    <t>Oil products</t>
  </si>
  <si>
    <t>Fossil gases</t>
  </si>
  <si>
    <t>Electricity</t>
  </si>
  <si>
    <t>Biomass</t>
  </si>
  <si>
    <t>Other renewables</t>
  </si>
  <si>
    <t>Others</t>
  </si>
  <si>
    <t>H2 and derivates</t>
  </si>
  <si>
    <t>FEC benchmark</t>
  </si>
  <si>
    <t>EED for 2030, 2020 CTP for 2050 (figure 37)</t>
  </si>
  <si>
    <t>PEC benchmark</t>
  </si>
  <si>
    <t>EED for 2030, 1.5LIFE for 2050 (figure 17)</t>
  </si>
  <si>
    <t>linear trajectory - FEC</t>
  </si>
  <si>
    <t>linear trajectory - PEC</t>
  </si>
  <si>
    <t>FEC - 2040 advice scenarios</t>
  </si>
  <si>
    <t>PEC - 2040 advice scenarios</t>
  </si>
  <si>
    <t>Absolute</t>
  </si>
  <si>
    <t>Relative</t>
  </si>
  <si>
    <t>per year</t>
  </si>
  <si>
    <t>2005-2021 PEC</t>
  </si>
  <si>
    <t>2005-2021 FEC</t>
  </si>
  <si>
    <t>2022-2030 FEC</t>
  </si>
  <si>
    <t>2031-2050 FEC</t>
  </si>
  <si>
    <t>2031-2040 ESABCC</t>
  </si>
  <si>
    <t>Historical raw data</t>
  </si>
  <si>
    <t>Final energy consumption (excl. aviation)</t>
  </si>
  <si>
    <t/>
  </si>
  <si>
    <t>Manufactured gases</t>
  </si>
  <si>
    <t>Peat and peat products</t>
  </si>
  <si>
    <t>Oil shale and oil sands</t>
  </si>
  <si>
    <t>Natural gas</t>
  </si>
  <si>
    <t>Oil and petroleum products (excluding biofuel portion)</t>
  </si>
  <si>
    <t>Renewables and biofuels</t>
  </si>
  <si>
    <t>Biofuels</t>
  </si>
  <si>
    <t>Solar thermal</t>
  </si>
  <si>
    <t>Geothermal</t>
  </si>
  <si>
    <t>Ambient heat (heat pumps)</t>
  </si>
  <si>
    <t>Non-renewable waste</t>
  </si>
  <si>
    <t>Heat</t>
  </si>
  <si>
    <t>Aviation</t>
  </si>
  <si>
    <t>Benchmark raw data</t>
  </si>
  <si>
    <t>Primary</t>
  </si>
  <si>
    <t>2050 energy gross inland consumption (CTP IA figure 36)</t>
  </si>
  <si>
    <t>Non-energy use (oil)</t>
  </si>
  <si>
    <t>Non-energy use (gas)</t>
  </si>
  <si>
    <t>Coal*</t>
  </si>
  <si>
    <t>Oil</t>
  </si>
  <si>
    <t>Nuclear</t>
  </si>
  <si>
    <t>e-liquids</t>
  </si>
  <si>
    <t>e-gas</t>
  </si>
  <si>
    <t>Bioenergy**</t>
  </si>
  <si>
    <t>PEC calculated</t>
  </si>
  <si>
    <t>BSL</t>
  </si>
  <si>
    <t>MIX-50</t>
  </si>
  <si>
    <t>REG</t>
  </si>
  <si>
    <t>MIX</t>
  </si>
  <si>
    <t>CPRICE</t>
  </si>
  <si>
    <t>ALLBNK</t>
  </si>
  <si>
    <t>2050 gross inland consumption (ACP4A figure 18)</t>
  </si>
  <si>
    <t>non-energy oil (%)</t>
  </si>
  <si>
    <t>non-energy gas (%)</t>
  </si>
  <si>
    <t>total (Mtoe)</t>
  </si>
  <si>
    <t>Total recalbrated for EU27</t>
  </si>
  <si>
    <t>1,5 LIFE 2050</t>
  </si>
  <si>
    <t>1,5 TECH 2050</t>
  </si>
  <si>
    <t>EU27 2015 total gross inland consumption</t>
  </si>
  <si>
    <t>UK 2015 total gross inland consumption</t>
  </si>
  <si>
    <t>EU27 share</t>
  </si>
  <si>
    <t>2050 change in primary energy consumption (ACP4A figure 17)</t>
  </si>
  <si>
    <t>2005-2050 change</t>
  </si>
  <si>
    <t>2040 advice - average of 90-95% paths</t>
  </si>
  <si>
    <t>Harmonised to 2015 Eurostat</t>
  </si>
  <si>
    <t>Final</t>
  </si>
  <si>
    <t>2050 final energy consumption (CTP IA figure 37) (Mtoe)</t>
  </si>
  <si>
    <t>Natural gas**</t>
  </si>
  <si>
    <t>Hydrogen</t>
  </si>
  <si>
    <t>Heat distributed</t>
  </si>
  <si>
    <t>Bioenergy***</t>
  </si>
  <si>
    <t>Other RES</t>
  </si>
  <si>
    <t>2050 final energy consumption (CTP IA figure 37) (TWh)</t>
  </si>
  <si>
    <t>2040 advice final energy consumption</t>
  </si>
  <si>
    <t>Min (of 90-95 within env risk levels)</t>
  </si>
  <si>
    <t>Max (of 90-95 within env risk levels)</t>
  </si>
  <si>
    <t>High Renewable Energy pathway</t>
  </si>
  <si>
    <t>gross inland consumption (excl. bunkers, incl. non-energy use)</t>
  </si>
  <si>
    <t>Conversion Factor</t>
  </si>
  <si>
    <t>Eurostat energy balance</t>
  </si>
  <si>
    <t>Solid fosil fuels</t>
  </si>
  <si>
    <t>Fossil gas</t>
  </si>
  <si>
    <t>Non-bio renewables</t>
  </si>
  <si>
    <t>Bioenergy</t>
  </si>
  <si>
    <t>Other</t>
  </si>
  <si>
    <t>benchmark total</t>
  </si>
  <si>
    <t>benchmark fossil gas</t>
  </si>
  <si>
    <t>benchmark oil products</t>
  </si>
  <si>
    <t>benchmark solid fossil fuels</t>
  </si>
  <si>
    <t>linear trajectory towards benchmark</t>
  </si>
  <si>
    <t>Average 2005-2021</t>
  </si>
  <si>
    <t>Average 2022-2030</t>
  </si>
  <si>
    <t>INDICATOR O3</t>
  </si>
  <si>
    <t>solid fossil fuels</t>
  </si>
  <si>
    <t>% of oil (non cummulative)</t>
  </si>
  <si>
    <t>oil products</t>
  </si>
  <si>
    <t>% of natural gas (non cummulative)</t>
  </si>
  <si>
    <t>natural gas</t>
  </si>
  <si>
    <t>benchmark solid fossils</t>
  </si>
  <si>
    <t>benchmark oil</t>
  </si>
  <si>
    <t>benchmark oil (non cummulative)</t>
  </si>
  <si>
    <t>benchmark natural gas</t>
  </si>
  <si>
    <t>benchmark natural gas (non cummulative)</t>
  </si>
  <si>
    <t>linear trajectory to benchmark</t>
  </si>
  <si>
    <t>linear trajectory 2</t>
  </si>
  <si>
    <t>linear trajectory 3</t>
  </si>
  <si>
    <t>2005-2021</t>
  </si>
  <si>
    <t>2022-2030</t>
  </si>
  <si>
    <t>2031-2050</t>
  </si>
  <si>
    <t>fossil gas</t>
  </si>
  <si>
    <t>Benchmark data</t>
  </si>
  <si>
    <t>2030 MIX</t>
  </si>
  <si>
    <t>CTP IA figure 36</t>
  </si>
  <si>
    <t>2050 MIX</t>
  </si>
  <si>
    <t>Historic data: Eurostat gross inland consumption (excl. bunkers, incl. non-energy use)</t>
  </si>
  <si>
    <t>Renewables - non-bio</t>
  </si>
  <si>
    <t>Hydro</t>
  </si>
  <si>
    <t>Wind</t>
  </si>
  <si>
    <t>Solar photovoltaic</t>
  </si>
  <si>
    <t>Tide, wave, ocean</t>
  </si>
  <si>
    <t>Renewables - bio</t>
  </si>
  <si>
    <t>Primary solid biofuels</t>
  </si>
  <si>
    <t>Charcoal</t>
  </si>
  <si>
    <t>Pure biogasoline</t>
  </si>
  <si>
    <t>Blended biogasoline</t>
  </si>
  <si>
    <t>Pure biodiesels</t>
  </si>
  <si>
    <t>Blended biodiesels</t>
  </si>
  <si>
    <t>Pure bio jet kerosene</t>
  </si>
  <si>
    <t>Blended bio jet kerosene</t>
  </si>
  <si>
    <t>Other liquid biofuels</t>
  </si>
  <si>
    <t>Biogases</t>
  </si>
  <si>
    <t>Renewable municipal waste</t>
  </si>
  <si>
    <t>Industrial waste (non-renewable)</t>
  </si>
  <si>
    <t>Non-renewable municipal waste</t>
  </si>
  <si>
    <t>Nuclear heat</t>
  </si>
  <si>
    <t>CountryCode</t>
  </si>
  <si>
    <t>Year</t>
  </si>
  <si>
    <t>SubmissionYear</t>
  </si>
  <si>
    <t>Category</t>
  </si>
  <si>
    <t>Scenario</t>
  </si>
  <si>
    <t>Gas</t>
  </si>
  <si>
    <t>Reported Value</t>
  </si>
  <si>
    <t>RY calibration</t>
  </si>
  <si>
    <t>Gapfilled</t>
  </si>
  <si>
    <t>WAM</t>
  </si>
  <si>
    <t>EU27</t>
  </si>
  <si>
    <t>1. Energy</t>
  </si>
  <si>
    <t>ESR</t>
  </si>
  <si>
    <t>ETS</t>
  </si>
  <si>
    <t>Sum of Gapfilled</t>
  </si>
  <si>
    <t>Column Labels</t>
  </si>
  <si>
    <t>WEM</t>
  </si>
  <si>
    <t>G+M5:AM14Row Labels</t>
  </si>
  <si>
    <t>Grand Total</t>
  </si>
  <si>
    <t>2. Industrial processes</t>
  </si>
  <si>
    <t>WOM</t>
  </si>
  <si>
    <t>3. Agriculture</t>
  </si>
  <si>
    <t>4. Land Use, Land-Use Change and Forestry (LULUCF, reported emissions and removals) (9)</t>
  </si>
  <si>
    <t>5. Waste</t>
  </si>
  <si>
    <t>1.A.1. Energy industries</t>
  </si>
  <si>
    <t>IB.Aviation</t>
  </si>
  <si>
    <t>IB.Navigation</t>
  </si>
  <si>
    <t>Indirect CO2 (if available) (10)</t>
  </si>
  <si>
    <t>Total excluding LULUCF</t>
  </si>
  <si>
    <t>Total including LULUCF</t>
  </si>
  <si>
    <t>1.A.2. Manufacturing industries and construction</t>
  </si>
  <si>
    <t>1.A.3. Transport</t>
  </si>
  <si>
    <t>1.A.3.a. Domestic aviation</t>
  </si>
  <si>
    <t>1.A.3.b. Road transportation</t>
  </si>
  <si>
    <t>ECL scope</t>
  </si>
  <si>
    <t>1.A.3.c. Railways</t>
  </si>
  <si>
    <t>1.A.3.d. Domestic navigation</t>
  </si>
  <si>
    <t>1.A.3.e. Other transportation</t>
  </si>
  <si>
    <t>1.A.4. Other sectors</t>
  </si>
  <si>
    <t>1.A.5. Other</t>
  </si>
  <si>
    <t>1.B. Fugitive emissions from fuels</t>
  </si>
  <si>
    <t>1.C. CO2 transport and storage</t>
  </si>
  <si>
    <t>4.A. Forest land</t>
  </si>
  <si>
    <t>4.B. Cropland</t>
  </si>
  <si>
    <t>4.C. Grassland</t>
  </si>
  <si>
    <t>4.D. Wetlands</t>
  </si>
  <si>
    <t>4.E. Settlements</t>
  </si>
  <si>
    <t>4.F. Other Land</t>
  </si>
  <si>
    <t>4.G. Harvested wood products</t>
  </si>
  <si>
    <t>4.H. Other</t>
  </si>
  <si>
    <t>industry</t>
  </si>
  <si>
    <t>transport</t>
  </si>
  <si>
    <t>buildings</t>
  </si>
  <si>
    <t>agriculture</t>
  </si>
  <si>
    <t>Required change 2023-2030</t>
  </si>
  <si>
    <t>Required change 2031-2050</t>
  </si>
  <si>
    <t>Historical reduction (Mt CO2e/year)</t>
  </si>
  <si>
    <t>2017-2021</t>
  </si>
  <si>
    <t>Buildings</t>
  </si>
  <si>
    <t>2018-2022</t>
  </si>
  <si>
    <t>Required (Mt CO2e/year)</t>
  </si>
  <si>
    <t>Agriculture</t>
  </si>
  <si>
    <t>required 2022-2030</t>
  </si>
  <si>
    <t>required 2023-2030</t>
  </si>
  <si>
    <t>required 2031-2050</t>
  </si>
  <si>
    <t>Required rate of change to 2030</t>
  </si>
  <si>
    <t>Option 1: compare 2005-2022 with 2023-2030</t>
  </si>
  <si>
    <t>Option 2: compare 2017-2021 with 2022-2030</t>
  </si>
  <si>
    <t>Option 3: compare 2018-2022 with 2023-2030</t>
  </si>
  <si>
    <t>Required rate of change to 2050</t>
  </si>
  <si>
    <t>Option 1: compare 2005-2022 with 2031-2050</t>
  </si>
  <si>
    <t>Option 2: compare 2017-2021 with 2031-2050</t>
  </si>
  <si>
    <t>Option 3: compare 2018-2022 with 2031-2050</t>
  </si>
  <si>
    <t>Legend</t>
  </si>
  <si>
    <t>Required rate of change</t>
  </si>
  <si>
    <t>Required 2023-2030</t>
  </si>
  <si>
    <t>Required 2031-2050</t>
  </si>
  <si>
    <t>On track</t>
  </si>
  <si>
    <t>&lt;1</t>
  </si>
  <si>
    <t>Almost on track</t>
  </si>
  <si>
    <t>1 - 1,5</t>
  </si>
  <si>
    <t>Somewhat off track</t>
  </si>
  <si>
    <t>1,5-2</t>
  </si>
  <si>
    <t>Considerably off track</t>
  </si>
  <si>
    <t>&gt;2</t>
  </si>
  <si>
    <t>Wrong direction</t>
  </si>
  <si>
    <t>&lt;0</t>
  </si>
  <si>
    <t>https://www.iea.org/data-and-statistics/data-tools/unit-converter</t>
  </si>
  <si>
    <t>Kwh</t>
  </si>
  <si>
    <t>Mwh</t>
  </si>
  <si>
    <t>Gwh</t>
  </si>
  <si>
    <t>Twh</t>
  </si>
  <si>
    <t>1 toe</t>
  </si>
  <si>
    <t>1 ktoe</t>
  </si>
  <si>
    <t>1 Mtoe</t>
  </si>
  <si>
    <t>Mtoe to TWh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</si>
</sst>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0.000"/>
  </numFmts>
  <fonts count="16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  <font>
      <sz val="9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608C95"/>
        <bgColor rgb="FF000000"/>
      </patternFill>
    </fill>
    <fill>
      <patternFill patternType="solid">
        <fgColor rgb="FF3D5584"/>
        <bgColor rgb="FF000000"/>
      </patternFill>
    </fill>
    <fill>
      <patternFill patternType="solid">
        <fgColor rgb="FF648ECA"/>
        <bgColor rgb="FF000000"/>
      </patternFill>
    </fill>
    <fill>
      <patternFill patternType="solid">
        <fgColor rgb="FF98C9EE"/>
        <bgColor rgb="FF000000"/>
      </patternFill>
    </fill>
    <fill>
      <patternFill patternType="solid">
        <fgColor rgb="FFA2C0B6"/>
        <bgColor rgb="FF000000"/>
      </patternFill>
    </fill>
    <fill>
      <patternFill patternType="solid">
        <fgColor rgb="FF64786A"/>
        <bgColor rgb="FF000000"/>
      </patternFill>
    </fill>
    <fill>
      <patternFill patternType="solid">
        <fgColor rgb="FF2E422F"/>
        <bgColor rgb="FF000000"/>
      </patternFill>
    </fill>
    <fill>
      <patternFill patternType="solid">
        <fgColor rgb="FFEFE973"/>
        <bgColor rgb="FF000000"/>
      </patternFill>
    </fill>
    <fill>
      <patternFill patternType="solid">
        <fgColor rgb="FFF59E2D"/>
        <bgColor rgb="FF000000"/>
      </patternFill>
    </fill>
    <fill>
      <patternFill patternType="solid">
        <fgColor rgb="FFF26119"/>
        <bgColor rgb="FF000000"/>
      </patternFill>
    </fill>
    <fill>
      <patternFill patternType="solid">
        <fgColor rgb="FFB04545"/>
        <bgColor rgb="FF000000"/>
      </patternFill>
    </fill>
    <fill>
      <patternFill patternType="solid">
        <fgColor rgb="FFF0CBD9"/>
        <bgColor rgb="FF000000"/>
      </patternFill>
    </fill>
    <fill>
      <patternFill patternType="solid">
        <fgColor rgb="FFB487C7"/>
        <bgColor rgb="FF000000"/>
      </patternFill>
    </fill>
    <fill>
      <patternFill patternType="solid">
        <fgColor rgb="FF4F3A66"/>
        <bgColor rgb="FF000000"/>
      </patternFill>
    </fill>
    <fill>
      <patternFill patternType="solid">
        <fgColor rgb="FF2C2D2D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3D5584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EFE973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6">
    <xf numFmtId="0" fontId="0" fillId="0" borderId="0"/>
    <xf numFmtId="0" fontId="2" fillId="0" borderId="0"/>
    <xf numFmtId="9" fontId="6" fillId="0" borderId="0" applyFont="0" applyFill="0" applyBorder="0" applyAlignment="0" applyProtection="0"/>
    <xf numFmtId="0" fontId="7" fillId="0" borderId="0"/>
    <xf numFmtId="0" fontId="13" fillId="0" borderId="0"/>
    <xf numFmtId="0" fontId="15" fillId="0" borderId="0" applyNumberFormat="0" applyFill="0" applyBorder="0" applyAlignment="0" applyProtection="0"/>
  </cellStyleXfs>
  <cellXfs count="86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3" fontId="3" fillId="0" borderId="0" xfId="1" applyNumberFormat="1" applyFont="1" applyAlignment="1">
      <alignment vertical="center"/>
    </xf>
    <xf numFmtId="3" fontId="0" fillId="0" borderId="0" xfId="0" applyNumberFormat="1"/>
    <xf numFmtId="1" fontId="0" fillId="0" borderId="0" xfId="0" applyNumberFormat="1"/>
    <xf numFmtId="0" fontId="3" fillId="0" borderId="0" xfId="1" applyFont="1" applyAlignment="1">
      <alignment horizontal="center"/>
    </xf>
    <xf numFmtId="0" fontId="3" fillId="0" borderId="0" xfId="1" applyFont="1" applyAlignment="1">
      <alignment horizontal="left" vertical="top"/>
    </xf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right"/>
    </xf>
    <xf numFmtId="9" fontId="4" fillId="0" borderId="0" xfId="0" applyNumberFormat="1" applyFont="1"/>
    <xf numFmtId="0" fontId="4" fillId="3" borderId="0" xfId="0" applyFont="1" applyFill="1"/>
    <xf numFmtId="0" fontId="4" fillId="4" borderId="0" xfId="0" applyFont="1" applyFill="1"/>
    <xf numFmtId="0" fontId="4" fillId="5" borderId="0" xfId="0" applyFont="1" applyFill="1"/>
    <xf numFmtId="0" fontId="4" fillId="6" borderId="0" xfId="0" applyFont="1" applyFill="1"/>
    <xf numFmtId="0" fontId="4" fillId="7" borderId="0" xfId="0" applyFont="1" applyFill="1"/>
    <xf numFmtId="0" fontId="4" fillId="8" borderId="0" xfId="0" applyFont="1" applyFill="1"/>
    <xf numFmtId="0" fontId="4" fillId="9" borderId="0" xfId="0" applyFont="1" applyFill="1"/>
    <xf numFmtId="0" fontId="4" fillId="10" borderId="0" xfId="0" applyFont="1" applyFill="1"/>
    <xf numFmtId="0" fontId="4" fillId="11" borderId="0" xfId="0" applyFont="1" applyFill="1"/>
    <xf numFmtId="0" fontId="4" fillId="12" borderId="0" xfId="0" applyFont="1" applyFill="1"/>
    <xf numFmtId="0" fontId="4" fillId="13" borderId="0" xfId="0" applyFont="1" applyFill="1"/>
    <xf numFmtId="0" fontId="4" fillId="14" borderId="0" xfId="0" applyFont="1" applyFill="1"/>
    <xf numFmtId="0" fontId="4" fillId="15" borderId="0" xfId="0" applyFont="1" applyFill="1"/>
    <xf numFmtId="0" fontId="4" fillId="16" borderId="0" xfId="0" applyFont="1" applyFill="1"/>
    <xf numFmtId="0" fontId="4" fillId="17" borderId="0" xfId="0" applyFont="1" applyFill="1"/>
    <xf numFmtId="0" fontId="4" fillId="18" borderId="0" xfId="0" applyFont="1" applyFill="1"/>
    <xf numFmtId="4" fontId="0" fillId="0" borderId="0" xfId="0" applyNumberFormat="1"/>
    <xf numFmtId="0" fontId="0" fillId="19" borderId="0" xfId="0" applyFill="1"/>
    <xf numFmtId="9" fontId="0" fillId="19" borderId="0" xfId="2" applyFont="1" applyFill="1"/>
    <xf numFmtId="1" fontId="0" fillId="19" borderId="0" xfId="0" applyNumberFormat="1" applyFill="1"/>
    <xf numFmtId="1" fontId="0" fillId="19" borderId="0" xfId="2" applyNumberFormat="1" applyFont="1" applyFill="1"/>
    <xf numFmtId="0" fontId="8" fillId="19" borderId="0" xfId="0" applyFont="1" applyFill="1"/>
    <xf numFmtId="9" fontId="0" fillId="0" borderId="0" xfId="0" applyNumberFormat="1"/>
    <xf numFmtId="10" fontId="0" fillId="0" borderId="0" xfId="0" applyNumberFormat="1"/>
    <xf numFmtId="0" fontId="1" fillId="20" borderId="0" xfId="0" applyFont="1" applyFill="1"/>
    <xf numFmtId="0" fontId="0" fillId="21" borderId="0" xfId="0" applyFill="1"/>
    <xf numFmtId="1" fontId="0" fillId="21" borderId="0" xfId="0" applyNumberFormat="1" applyFill="1"/>
    <xf numFmtId="9" fontId="0" fillId="0" borderId="0" xfId="2" applyFont="1"/>
    <xf numFmtId="0" fontId="11" fillId="0" borderId="0" xfId="0" applyFont="1"/>
    <xf numFmtId="0" fontId="12" fillId="0" borderId="0" xfId="0" applyFont="1"/>
    <xf numFmtId="0" fontId="8" fillId="0" borderId="0" xfId="0" applyFont="1"/>
    <xf numFmtId="0" fontId="0" fillId="22" borderId="0" xfId="0" applyFill="1"/>
    <xf numFmtId="1" fontId="0" fillId="22" borderId="0" xfId="0" applyNumberFormat="1" applyFill="1"/>
    <xf numFmtId="3" fontId="1" fillId="0" borderId="0" xfId="0" applyNumberFormat="1" applyFont="1"/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164" fontId="0" fillId="24" borderId="0" xfId="0" applyNumberFormat="1" applyFill="1" applyAlignment="1">
      <alignment horizontal="center"/>
    </xf>
    <xf numFmtId="164" fontId="0" fillId="21" borderId="0" xfId="0" applyNumberFormat="1" applyFill="1" applyAlignment="1">
      <alignment horizontal="center"/>
    </xf>
    <xf numFmtId="164" fontId="0" fillId="25" borderId="0" xfId="0" applyNumberFormat="1" applyFill="1" applyAlignment="1">
      <alignment horizontal="center"/>
    </xf>
    <xf numFmtId="164" fontId="0" fillId="26" borderId="0" xfId="0" applyNumberFormat="1" applyFill="1" applyAlignment="1">
      <alignment horizontal="center"/>
    </xf>
    <xf numFmtId="164" fontId="0" fillId="27" borderId="0" xfId="0" applyNumberFormat="1" applyFill="1" applyAlignment="1">
      <alignment horizontal="center"/>
    </xf>
    <xf numFmtId="0" fontId="0" fillId="27" borderId="0" xfId="0" applyFill="1"/>
    <xf numFmtId="0" fontId="0" fillId="24" borderId="0" xfId="0" applyFill="1"/>
    <xf numFmtId="0" fontId="0" fillId="25" borderId="0" xfId="0" applyFill="1"/>
    <xf numFmtId="0" fontId="0" fillId="26" borderId="0" xfId="0" applyFill="1"/>
    <xf numFmtId="0" fontId="1" fillId="28" borderId="0" xfId="0" applyFont="1" applyFill="1"/>
    <xf numFmtId="165" fontId="0" fillId="0" borderId="0" xfId="2" applyNumberFormat="1" applyFont="1"/>
    <xf numFmtId="165" fontId="0" fillId="0" borderId="0" xfId="0" applyNumberFormat="1"/>
    <xf numFmtId="0" fontId="0" fillId="0" borderId="0" xfId="0" quotePrefix="1"/>
    <xf numFmtId="0" fontId="14" fillId="29" borderId="1" xfId="0" applyFont="1" applyFill="1" applyBorder="1"/>
    <xf numFmtId="0" fontId="14" fillId="29" borderId="2" xfId="0" applyFont="1" applyFill="1" applyBorder="1"/>
    <xf numFmtId="0" fontId="14" fillId="29" borderId="3" xfId="0" applyFont="1" applyFill="1" applyBorder="1"/>
    <xf numFmtId="0" fontId="0" fillId="30" borderId="1" xfId="0" applyFill="1" applyBorder="1"/>
    <xf numFmtId="0" fontId="0" fillId="30" borderId="2" xfId="0" applyFill="1" applyBorder="1"/>
    <xf numFmtId="0" fontId="0" fillId="30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pivotButton="1"/>
    <xf numFmtId="0" fontId="0" fillId="0" borderId="0" xfId="0" applyAlignment="1">
      <alignment horizontal="left"/>
    </xf>
    <xf numFmtId="3" fontId="3" fillId="0" borderId="0" xfId="4" applyNumberFormat="1" applyFont="1" applyAlignment="1">
      <alignment vertical="center"/>
    </xf>
    <xf numFmtId="0" fontId="0" fillId="31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1" fillId="32" borderId="0" xfId="0" applyFont="1" applyFill="1"/>
    <xf numFmtId="0" fontId="0" fillId="32" borderId="0" xfId="0" applyFill="1"/>
    <xf numFmtId="0" fontId="8" fillId="32" borderId="0" xfId="0" applyFont="1" applyFill="1"/>
    <xf numFmtId="1" fontId="0" fillId="32" borderId="0" xfId="0" applyNumberFormat="1" applyFill="1"/>
    <xf numFmtId="1" fontId="0" fillId="32" borderId="0" xfId="2" applyNumberFormat="1" applyFont="1" applyFill="1"/>
    <xf numFmtId="3" fontId="0" fillId="21" borderId="0" xfId="0" applyNumberFormat="1" applyFill="1"/>
    <xf numFmtId="9" fontId="0" fillId="21" borderId="0" xfId="2" applyFont="1" applyFill="1"/>
    <xf numFmtId="3" fontId="11" fillId="21" borderId="0" xfId="0" applyNumberFormat="1" applyFont="1" applyFill="1"/>
    <xf numFmtId="0" fontId="11" fillId="21" borderId="0" xfId="0" applyFont="1" applyFill="1"/>
    <xf numFmtId="0" fontId="15" fillId="0" borderId="0" xfId="5"/>
    <xf numFmtId="0" fontId="11" fillId="23" borderId="0" xfId="0" applyFont="1" applyFill="1" applyAlignment="1">
      <alignment horizontal="left"/>
    </xf>
  </cellXfs>
  <cellStyles count="6">
    <cellStyle name="Hyperlink" xfId="5" builtinId="8"/>
    <cellStyle name="Normal" xfId="0" builtinId="0"/>
    <cellStyle name="Normal 2" xfId="1" xr:uid="{61C0823A-4AA6-45F9-B8EC-86D9B7FA0324}"/>
    <cellStyle name="Normal 3" xfId="3" xr:uid="{C98478B2-18B3-412B-B2F7-81C115590D15}"/>
    <cellStyle name="Normal 4" xfId="4" xr:uid="{110CB26C-E2D5-43AE-A534-456AD8C65158}"/>
    <cellStyle name="Percent" xfId="2" builtinId="5"/>
  </cellStyles>
  <dxfs count="0"/>
  <tableStyles count="0" defaultTableStyle="TableStyleMedium2" defaultPivotStyle="PivotStyleLight16"/>
  <colors>
    <mruColors>
      <color rgb="FFB487C7"/>
      <color rgb="FF4F3A66"/>
      <color rgb="FF608C95"/>
      <color rgb="FF2E422F"/>
      <color rgb="FF3D5584"/>
      <color rgb="FFEFE973"/>
      <color rgb="FFF26119"/>
      <color rgb="FFF0CBD9"/>
      <color rgb="FF648ECA"/>
      <color rgb="FFF59E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'4. FEC to PEC ratio'!$A$2</c:f>
              <c:strCache>
                <c:ptCount val="1"/>
                <c:pt idx="0">
                  <c:v>Total FEC to PEC ratio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'4. FEC to PEC ratio'!$D$1:$T$1</c:f>
              <c:numCache>
                <c:formatCode>General</c:formatCode>
                <c:ptCount val="17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</c:numCache>
            </c:numRef>
          </c:cat>
          <c:val>
            <c:numRef>
              <c:f>'4. FEC to PEC ratio'!$D$2:$T$2</c:f>
              <c:numCache>
                <c:formatCode>0%</c:formatCode>
                <c:ptCount val="17"/>
                <c:pt idx="0">
                  <c:v>0.69521017585858091</c:v>
                </c:pt>
                <c:pt idx="1">
                  <c:v>0.69214644218400867</c:v>
                </c:pt>
                <c:pt idx="2">
                  <c:v>0.69020326479718996</c:v>
                </c:pt>
                <c:pt idx="3">
                  <c:v>0.69635794697566333</c:v>
                </c:pt>
                <c:pt idx="4">
                  <c:v>0.69899125375740434</c:v>
                </c:pt>
                <c:pt idx="5">
                  <c:v>0.70289205680961353</c:v>
                </c:pt>
                <c:pt idx="6">
                  <c:v>0.69724589986529972</c:v>
                </c:pt>
                <c:pt idx="7">
                  <c:v>0.70374931953923336</c:v>
                </c:pt>
                <c:pt idx="8">
                  <c:v>0.70826787243342926</c:v>
                </c:pt>
                <c:pt idx="9">
                  <c:v>0.70561178684202708</c:v>
                </c:pt>
                <c:pt idx="10">
                  <c:v>0.70811449109408209</c:v>
                </c:pt>
                <c:pt idx="11">
                  <c:v>0.71615427115035679</c:v>
                </c:pt>
                <c:pt idx="12">
                  <c:v>0.71469982227985474</c:v>
                </c:pt>
                <c:pt idx="13">
                  <c:v>0.71991223890014044</c:v>
                </c:pt>
                <c:pt idx="14">
                  <c:v>0.72814818589316987</c:v>
                </c:pt>
                <c:pt idx="15">
                  <c:v>0.7333446768241012</c:v>
                </c:pt>
                <c:pt idx="16">
                  <c:v>0.73862901637596978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91-4ED9-A249-4A523229FB0C}"/>
            </c:ext>
          </c:extLst>
        </c:ser>
        <c:ser>
          <c:idx val="1"/>
          <c:order val="1"/>
          <c:tx>
            <c:strRef>
              <c:f>'4. FEC to PEC ratio'!$A$3</c:f>
              <c:strCache>
                <c:ptCount val="1"/>
                <c:pt idx="0">
                  <c:v>Input-output ratio for power and heat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'4. FEC to PEC ratio'!$D$1:$T$1</c:f>
              <c:numCache>
                <c:formatCode>General</c:formatCode>
                <c:ptCount val="17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</c:numCache>
            </c:numRef>
          </c:cat>
          <c:val>
            <c:numRef>
              <c:f>'4. FEC to PEC ratio'!$D$3:$T$3</c:f>
              <c:numCache>
                <c:formatCode>0%</c:formatCode>
                <c:ptCount val="17"/>
                <c:pt idx="0">
                  <c:v>0.47143998823060229</c:v>
                </c:pt>
                <c:pt idx="1">
                  <c:v>0.47030422897415136</c:v>
                </c:pt>
                <c:pt idx="2">
                  <c:v>0.47198021041386373</c:v>
                </c:pt>
                <c:pt idx="3">
                  <c:v>0.4783301499328067</c:v>
                </c:pt>
                <c:pt idx="4">
                  <c:v>0.4846353505049007</c:v>
                </c:pt>
                <c:pt idx="5">
                  <c:v>0.49364166768896128</c:v>
                </c:pt>
                <c:pt idx="6">
                  <c:v>0.48974153725715019</c:v>
                </c:pt>
                <c:pt idx="7">
                  <c:v>0.49330399600890157</c:v>
                </c:pt>
                <c:pt idx="8">
                  <c:v>0.50203317752919951</c:v>
                </c:pt>
                <c:pt idx="9">
                  <c:v>0.4981817671872743</c:v>
                </c:pt>
                <c:pt idx="10">
                  <c:v>0.50263070913366437</c:v>
                </c:pt>
                <c:pt idx="11">
                  <c:v>0.51336653506765217</c:v>
                </c:pt>
                <c:pt idx="12">
                  <c:v>0.51556110709474245</c:v>
                </c:pt>
                <c:pt idx="13">
                  <c:v>0.52139109531520067</c:v>
                </c:pt>
                <c:pt idx="14">
                  <c:v>0.53117645269317726</c:v>
                </c:pt>
                <c:pt idx="15">
                  <c:v>0.54890301768492222</c:v>
                </c:pt>
                <c:pt idx="16">
                  <c:v>0.54513901410280075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91-4ED9-A249-4A523229F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1683616"/>
        <c:axId val="1135927120"/>
      </c:lineChart>
      <c:catAx>
        <c:axId val="1241683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135927120"/>
        <c:crosses val="autoZero"/>
        <c:auto val="1"/>
        <c:lblAlgn val="ctr"/>
        <c:lblOffset val="100"/>
        <c:noMultiLvlLbl val="0"/>
      </c:catAx>
      <c:valAx>
        <c:axId val="113592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241683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636002215400874E-2"/>
          <c:y val="8.3920178576671833E-2"/>
          <c:w val="0.86050182218275628"/>
          <c:h val="0.64542536402625783"/>
        </c:manualLayout>
      </c:layout>
      <c:barChart>
        <c:barDir val="col"/>
        <c:grouping val="stacked"/>
        <c:varyColors val="0"/>
        <c:ser>
          <c:idx val="10"/>
          <c:order val="7"/>
          <c:tx>
            <c:strRef>
              <c:f>'O1 &amp; Fig 2. GHG emissions'!$A$17</c:f>
              <c:strCache>
                <c:ptCount val="1"/>
                <c:pt idx="0">
                  <c:v>2040 dummy</c:v>
                </c:pt>
              </c:strCache>
            </c:strRef>
          </c:tx>
          <c:spPr>
            <a:solidFill>
              <a:sysClr val="window" lastClr="FFFFFF"/>
            </a:solidFill>
            <a:ln>
              <a:noFill/>
            </a:ln>
            <a:effectLst/>
          </c:spPr>
          <c:invertIfNegative val="0"/>
          <c:cat>
            <c:strRef>
              <c:f>'O1 &amp; Fig 2. GHG emissions'!$S$2:$BL$2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'O1 &amp; Fig 2. GHG emissions'!$S$17:$BL$17</c:f>
              <c:numCache>
                <c:formatCode>General</c:formatCode>
                <c:ptCount val="46"/>
                <c:pt idx="35">
                  <c:v>238.86969076175697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61A-4842-B1BD-530A950A4052}"/>
            </c:ext>
          </c:extLst>
        </c:ser>
        <c:ser>
          <c:idx val="9"/>
          <c:order val="8"/>
          <c:tx>
            <c:strRef>
              <c:f>'O1 &amp; Fig 2. GHG emissions'!$A$16</c:f>
              <c:strCache>
                <c:ptCount val="1"/>
                <c:pt idx="0">
                  <c:v>2040 advice (-90 to -95%)</c:v>
                </c:pt>
              </c:strCache>
            </c:strRef>
          </c:tx>
          <c:spPr>
            <a:solidFill>
              <a:srgbClr val="608C95"/>
            </a:solidFill>
            <a:ln>
              <a:noFill/>
            </a:ln>
            <a:effectLst/>
          </c:spPr>
          <c:invertIfNegative val="0"/>
          <c:cat>
            <c:strRef>
              <c:f>'O1 &amp; Fig 2. GHG emissions'!$S$2:$BL$2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'O1 &amp; Fig 2. GHG emissions'!$S$16:$BL$16</c:f>
              <c:numCache>
                <c:formatCode>General</c:formatCode>
                <c:ptCount val="46"/>
                <c:pt idx="35">
                  <c:v>238.86969076175697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61A-4842-B1BD-530A950A4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964801823"/>
        <c:axId val="968169439"/>
        <c:extLst>
          <c:ext xmlns:c15="http://schemas.microsoft.com/office/drawing/2012/chart" uri="{02D57815-91ED-43cb-92C2-25804820EDAC}">
            <c15:filteredBar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'O1 &amp; Fig 2. GHG emissions'!$A$7</c15:sqref>
                        </c15:formulaRef>
                      </c:ext>
                    </c:extLst>
                    <c:strCache>
                      <c:ptCount val="1"/>
                      <c:pt idx="0">
                        <c:v>Energy supply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'O1 &amp; Fig 2. GHG emissions'!$S$2:$BL$2</c15:sqref>
                        </c15:formulaRef>
                      </c:ext>
                    </c:extLst>
                    <c:strCache>
                      <c:ptCount val="46"/>
                      <c:pt idx="0">
                        <c:v>2005</c:v>
                      </c:pt>
                      <c:pt idx="5">
                        <c:v>2010</c:v>
                      </c:pt>
                      <c:pt idx="10">
                        <c:v>2015</c:v>
                      </c:pt>
                      <c:pt idx="15">
                        <c:v>2020</c:v>
                      </c:pt>
                      <c:pt idx="20">
                        <c:v>2025</c:v>
                      </c:pt>
                      <c:pt idx="25">
                        <c:v>2030</c:v>
                      </c:pt>
                      <c:pt idx="30">
                        <c:v>2035</c:v>
                      </c:pt>
                      <c:pt idx="35">
                        <c:v>2040</c:v>
                      </c:pt>
                      <c:pt idx="40">
                        <c:v>2045</c:v>
                      </c:pt>
                      <c:pt idx="45">
                        <c:v>2050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'O1 &amp; Fig 2. GHG emissions'!$S$7:$BL$7</c15:sqref>
                        </c15:formulaRef>
                      </c:ext>
                    </c:extLst>
                    <c:numCache>
                      <c:formatCode>#,##0</c:formatCode>
                      <c:ptCount val="46"/>
                      <c:pt idx="0">
                        <c:v>1489.2308635829077</c:v>
                      </c:pt>
                      <c:pt idx="1">
                        <c:v>1494.1525158714342</c:v>
                      </c:pt>
                      <c:pt idx="2">
                        <c:v>1503.6684597010162</c:v>
                      </c:pt>
                      <c:pt idx="3">
                        <c:v>1433.2435942116344</c:v>
                      </c:pt>
                      <c:pt idx="4">
                        <c:v>1325.218058629576</c:v>
                      </c:pt>
                      <c:pt idx="5">
                        <c:v>1343.1400819540474</c:v>
                      </c:pt>
                      <c:pt idx="6">
                        <c:v>1333.8554743473871</c:v>
                      </c:pt>
                      <c:pt idx="7">
                        <c:v>1315.8795544927079</c:v>
                      </c:pt>
                      <c:pt idx="8">
                        <c:v>1254.011429032349</c:v>
                      </c:pt>
                      <c:pt idx="9">
                        <c:v>1189.727706691921</c:v>
                      </c:pt>
                      <c:pt idx="10">
                        <c:v>1196.6742152410509</c:v>
                      </c:pt>
                      <c:pt idx="11">
                        <c:v>1168.514883806718</c:v>
                      </c:pt>
                      <c:pt idx="12">
                        <c:v>1162.1379242862579</c:v>
                      </c:pt>
                      <c:pt idx="13">
                        <c:v>1098.7821738414586</c:v>
                      </c:pt>
                      <c:pt idx="14">
                        <c:v>973.80492187400193</c:v>
                      </c:pt>
                      <c:pt idx="15">
                        <c:v>841.51817867701368</c:v>
                      </c:pt>
                      <c:pt idx="16">
                        <c:v>901.62471439571993</c:v>
                      </c:pt>
                      <c:pt idx="17">
                        <c:v>924.33415739999998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361A-4842-B1BD-530A950A4052}"/>
                  </c:ext>
                </c:extLst>
              </c15:ser>
            </c15:filteredBarSeries>
            <c15:filteredBarSeries>
              <c15:ser>
                <c:idx val="2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'O1 &amp; Fig 2. GHG emissions'!$A$8</c15:sqref>
                        </c15:formulaRef>
                      </c:ext>
                    </c:extLst>
                    <c:strCache>
                      <c:ptCount val="1"/>
                      <c:pt idx="0">
                        <c:v>Industry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'O1 &amp; Fig 2. GHG emissions'!$S$2:$BL$2</c15:sqref>
                        </c15:formulaRef>
                      </c:ext>
                    </c:extLst>
                    <c:strCache>
                      <c:ptCount val="46"/>
                      <c:pt idx="0">
                        <c:v>2005</c:v>
                      </c:pt>
                      <c:pt idx="5">
                        <c:v>2010</c:v>
                      </c:pt>
                      <c:pt idx="10">
                        <c:v>2015</c:v>
                      </c:pt>
                      <c:pt idx="15">
                        <c:v>2020</c:v>
                      </c:pt>
                      <c:pt idx="20">
                        <c:v>2025</c:v>
                      </c:pt>
                      <c:pt idx="25">
                        <c:v>2030</c:v>
                      </c:pt>
                      <c:pt idx="30">
                        <c:v>2035</c:v>
                      </c:pt>
                      <c:pt idx="35">
                        <c:v>2040</c:v>
                      </c:pt>
                      <c:pt idx="40">
                        <c:v>2045</c:v>
                      </c:pt>
                      <c:pt idx="45">
                        <c:v>2050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'O1 &amp; Fig 2. GHG emissions'!$S$8:$BL$8</c15:sqref>
                        </c15:formulaRef>
                      </c:ext>
                    </c:extLst>
                    <c:numCache>
                      <c:formatCode>#,##0</c:formatCode>
                      <c:ptCount val="46"/>
                      <c:pt idx="0">
                        <c:v>981.27375675773783</c:v>
                      </c:pt>
                      <c:pt idx="1">
                        <c:v>973.78646434993243</c:v>
                      </c:pt>
                      <c:pt idx="2">
                        <c:v>995.61813454821174</c:v>
                      </c:pt>
                      <c:pt idx="3">
                        <c:v>952.33844686364966</c:v>
                      </c:pt>
                      <c:pt idx="4">
                        <c:v>789.42830625605859</c:v>
                      </c:pt>
                      <c:pt idx="5">
                        <c:v>838.81444269307735</c:v>
                      </c:pt>
                      <c:pt idx="6">
                        <c:v>826.15345441810177</c:v>
                      </c:pt>
                      <c:pt idx="7">
                        <c:v>795.67043454180543</c:v>
                      </c:pt>
                      <c:pt idx="8">
                        <c:v>775.53234103270825</c:v>
                      </c:pt>
                      <c:pt idx="9">
                        <c:v>769.1653962810484</c:v>
                      </c:pt>
                      <c:pt idx="10">
                        <c:v>768.8490453104929</c:v>
                      </c:pt>
                      <c:pt idx="11">
                        <c:v>776.21967063764043</c:v>
                      </c:pt>
                      <c:pt idx="12">
                        <c:v>791.03609964228258</c:v>
                      </c:pt>
                      <c:pt idx="13">
                        <c:v>785.27660783836836</c:v>
                      </c:pt>
                      <c:pt idx="14">
                        <c:v>760.12812941600464</c:v>
                      </c:pt>
                      <c:pt idx="15">
                        <c:v>719.60032901981651</c:v>
                      </c:pt>
                      <c:pt idx="16">
                        <c:v>757.47409379603994</c:v>
                      </c:pt>
                      <c:pt idx="17">
                        <c:v>691.32881325000005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61A-4842-B1BD-530A950A4052}"/>
                  </c:ext>
                </c:extLst>
              </c15:ser>
            </c15:filteredBarSeries>
            <c15:filteredBarSeries>
              <c15:ser>
                <c:idx val="3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'O1 &amp; Fig 2. GHG emissions'!$A$9</c15:sqref>
                        </c15:formulaRef>
                      </c:ext>
                    </c:extLst>
                    <c:strCache>
                      <c:ptCount val="1"/>
                      <c:pt idx="0">
                        <c:v>Transport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'O1 &amp; Fig 2. GHG emissions'!$S$2:$BL$2</c15:sqref>
                        </c15:formulaRef>
                      </c:ext>
                    </c:extLst>
                    <c:strCache>
                      <c:ptCount val="46"/>
                      <c:pt idx="0">
                        <c:v>2005</c:v>
                      </c:pt>
                      <c:pt idx="5">
                        <c:v>2010</c:v>
                      </c:pt>
                      <c:pt idx="10">
                        <c:v>2015</c:v>
                      </c:pt>
                      <c:pt idx="15">
                        <c:v>2020</c:v>
                      </c:pt>
                      <c:pt idx="20">
                        <c:v>2025</c:v>
                      </c:pt>
                      <c:pt idx="25">
                        <c:v>2030</c:v>
                      </c:pt>
                      <c:pt idx="30">
                        <c:v>2035</c:v>
                      </c:pt>
                      <c:pt idx="35">
                        <c:v>2040</c:v>
                      </c:pt>
                      <c:pt idx="40">
                        <c:v>2045</c:v>
                      </c:pt>
                      <c:pt idx="45">
                        <c:v>2050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'O1 &amp; Fig 2. GHG emissions'!$S$9:$BL$9</c15:sqref>
                        </c15:formulaRef>
                      </c:ext>
                    </c:extLst>
                    <c:numCache>
                      <c:formatCode>#,##0</c:formatCode>
                      <c:ptCount val="46"/>
                      <c:pt idx="0">
                        <c:v>847.38589506219387</c:v>
                      </c:pt>
                      <c:pt idx="1">
                        <c:v>855.49359858641128</c:v>
                      </c:pt>
                      <c:pt idx="2">
                        <c:v>863.98736247026557</c:v>
                      </c:pt>
                      <c:pt idx="3">
                        <c:v>844.92426046834919</c:v>
                      </c:pt>
                      <c:pt idx="4">
                        <c:v>823.12303064336811</c:v>
                      </c:pt>
                      <c:pt idx="5">
                        <c:v>817.63932841198755</c:v>
                      </c:pt>
                      <c:pt idx="6">
                        <c:v>808.24042555152369</c:v>
                      </c:pt>
                      <c:pt idx="7">
                        <c:v>778.70674967190905</c:v>
                      </c:pt>
                      <c:pt idx="8">
                        <c:v>772.7140098053934</c:v>
                      </c:pt>
                      <c:pt idx="9">
                        <c:v>778.07828003947941</c:v>
                      </c:pt>
                      <c:pt idx="10">
                        <c:v>793.2395374683889</c:v>
                      </c:pt>
                      <c:pt idx="11">
                        <c:v>810.74916662589044</c:v>
                      </c:pt>
                      <c:pt idx="12">
                        <c:v>824.98067098264062</c:v>
                      </c:pt>
                      <c:pt idx="13">
                        <c:v>826.48301609835585</c:v>
                      </c:pt>
                      <c:pt idx="14">
                        <c:v>832.73296278018051</c:v>
                      </c:pt>
                      <c:pt idx="15">
                        <c:v>720.18151797374617</c:v>
                      </c:pt>
                      <c:pt idx="16">
                        <c:v>782.10069271283805</c:v>
                      </c:pt>
                      <c:pt idx="17">
                        <c:v>803.30064017999996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61A-4842-B1BD-530A950A4052}"/>
                  </c:ext>
                </c:extLst>
              </c15:ser>
            </c15:filteredBarSeries>
            <c15:filteredBarSeries>
              <c15:ser>
                <c:idx val="4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'O1 &amp; Fig 2. GHG emissions'!$A$10</c15:sqref>
                        </c15:formulaRef>
                      </c:ext>
                    </c:extLst>
                    <c:strCache>
                      <c:ptCount val="1"/>
                      <c:pt idx="0">
                        <c:v>Buildings and agriculture energy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'O1 &amp; Fig 2. GHG emissions'!$S$2:$BL$2</c15:sqref>
                        </c15:formulaRef>
                      </c:ext>
                    </c:extLst>
                    <c:strCache>
                      <c:ptCount val="46"/>
                      <c:pt idx="0">
                        <c:v>2005</c:v>
                      </c:pt>
                      <c:pt idx="5">
                        <c:v>2010</c:v>
                      </c:pt>
                      <c:pt idx="10">
                        <c:v>2015</c:v>
                      </c:pt>
                      <c:pt idx="15">
                        <c:v>2020</c:v>
                      </c:pt>
                      <c:pt idx="20">
                        <c:v>2025</c:v>
                      </c:pt>
                      <c:pt idx="25">
                        <c:v>2030</c:v>
                      </c:pt>
                      <c:pt idx="30">
                        <c:v>2035</c:v>
                      </c:pt>
                      <c:pt idx="35">
                        <c:v>2040</c:v>
                      </c:pt>
                      <c:pt idx="40">
                        <c:v>2045</c:v>
                      </c:pt>
                      <c:pt idx="45">
                        <c:v>2050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'O1 &amp; Fig 2. GHG emissions'!$S$10:$BL$10</c15:sqref>
                        </c15:formulaRef>
                      </c:ext>
                    </c:extLst>
                    <c:numCache>
                      <c:formatCode>#,##0</c:formatCode>
                      <c:ptCount val="46"/>
                      <c:pt idx="0">
                        <c:v>665.03924099763537</c:v>
                      </c:pt>
                      <c:pt idx="1">
                        <c:v>663.44783267956882</c:v>
                      </c:pt>
                      <c:pt idx="2">
                        <c:v>589.49466125439164</c:v>
                      </c:pt>
                      <c:pt idx="3">
                        <c:v>635.07002126890563</c:v>
                      </c:pt>
                      <c:pt idx="4">
                        <c:v>621.38705256011417</c:v>
                      </c:pt>
                      <c:pt idx="5">
                        <c:v>656.09142672277392</c:v>
                      </c:pt>
                      <c:pt idx="6">
                        <c:v>581.49115915879895</c:v>
                      </c:pt>
                      <c:pt idx="7">
                        <c:v>589.57096243056048</c:v>
                      </c:pt>
                      <c:pt idx="8">
                        <c:v>593.89854786718786</c:v>
                      </c:pt>
                      <c:pt idx="9">
                        <c:v>517.77464816017448</c:v>
                      </c:pt>
                      <c:pt idx="10">
                        <c:v>541.00081909233813</c:v>
                      </c:pt>
                      <c:pt idx="11">
                        <c:v>547.73462145536769</c:v>
                      </c:pt>
                      <c:pt idx="12">
                        <c:v>545.7283094760611</c:v>
                      </c:pt>
                      <c:pt idx="13">
                        <c:v>532.93229571417453</c:v>
                      </c:pt>
                      <c:pt idx="14">
                        <c:v>522.82307824227337</c:v>
                      </c:pt>
                      <c:pt idx="15">
                        <c:v>519.71367361624789</c:v>
                      </c:pt>
                      <c:pt idx="16">
                        <c:v>532.5338870926787</c:v>
                      </c:pt>
                      <c:pt idx="17">
                        <c:v>481.83207028999999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61A-4842-B1BD-530A950A4052}"/>
                  </c:ext>
                </c:extLst>
              </c15:ser>
            </c15:filteredBarSeries>
            <c15:filteredBarSeries>
              <c15:ser>
                <c:idx val="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'O1 &amp; Fig 2. GHG emissions'!$A$11</c15:sqref>
                        </c15:formulaRef>
                      </c:ext>
                    </c:extLst>
                    <c:strCache>
                      <c:ptCount val="1"/>
                      <c:pt idx="0">
                        <c:v>Agriculture (non-energy)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'O1 &amp; Fig 2. GHG emissions'!$S$2:$BL$2</c15:sqref>
                        </c15:formulaRef>
                      </c:ext>
                    </c:extLst>
                    <c:strCache>
                      <c:ptCount val="46"/>
                      <c:pt idx="0">
                        <c:v>2005</c:v>
                      </c:pt>
                      <c:pt idx="5">
                        <c:v>2010</c:v>
                      </c:pt>
                      <c:pt idx="10">
                        <c:v>2015</c:v>
                      </c:pt>
                      <c:pt idx="15">
                        <c:v>2020</c:v>
                      </c:pt>
                      <c:pt idx="20">
                        <c:v>2025</c:v>
                      </c:pt>
                      <c:pt idx="25">
                        <c:v>2030</c:v>
                      </c:pt>
                      <c:pt idx="30">
                        <c:v>2035</c:v>
                      </c:pt>
                      <c:pt idx="35">
                        <c:v>2040</c:v>
                      </c:pt>
                      <c:pt idx="40">
                        <c:v>2045</c:v>
                      </c:pt>
                      <c:pt idx="45">
                        <c:v>2050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'O1 &amp; Fig 2. GHG emissions'!$S$11:$BL$11</c15:sqref>
                        </c15:formulaRef>
                      </c:ext>
                    </c:extLst>
                    <c:numCache>
                      <c:formatCode>#,##0</c:formatCode>
                      <c:ptCount val="46"/>
                      <c:pt idx="0">
                        <c:v>389.22393811242966</c:v>
                      </c:pt>
                      <c:pt idx="1">
                        <c:v>386.07974165155912</c:v>
                      </c:pt>
                      <c:pt idx="2">
                        <c:v>389.07720872211593</c:v>
                      </c:pt>
                      <c:pt idx="3">
                        <c:v>386.57500981647684</c:v>
                      </c:pt>
                      <c:pt idx="4">
                        <c:v>381.54065426293414</c:v>
                      </c:pt>
                      <c:pt idx="5">
                        <c:v>376.26183201603794</c:v>
                      </c:pt>
                      <c:pt idx="6">
                        <c:v>375.71068571010153</c:v>
                      </c:pt>
                      <c:pt idx="7">
                        <c:v>375.53512881602722</c:v>
                      </c:pt>
                      <c:pt idx="8">
                        <c:v>377.7110600038942</c:v>
                      </c:pt>
                      <c:pt idx="9">
                        <c:v>382.76323233658485</c:v>
                      </c:pt>
                      <c:pt idx="10">
                        <c:v>384.28024043367134</c:v>
                      </c:pt>
                      <c:pt idx="11">
                        <c:v>386.35086308623397</c:v>
                      </c:pt>
                      <c:pt idx="12">
                        <c:v>388.16274656214773</c:v>
                      </c:pt>
                      <c:pt idx="13">
                        <c:v>385.14407775116638</c:v>
                      </c:pt>
                      <c:pt idx="14">
                        <c:v>380.24796301831776</c:v>
                      </c:pt>
                      <c:pt idx="15">
                        <c:v>381.95683343695657</c:v>
                      </c:pt>
                      <c:pt idx="16">
                        <c:v>378.43047321885814</c:v>
                      </c:pt>
                      <c:pt idx="17">
                        <c:v>370.64949144999997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61A-4842-B1BD-530A950A4052}"/>
                  </c:ext>
                </c:extLst>
              </c15:ser>
            </c15:filteredBarSeries>
            <c15:filteredBarSeries>
              <c15:ser>
                <c:idx val="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'O1 &amp; Fig 2. GHG emissions'!$A$12</c15:sqref>
                        </c15:formulaRef>
                      </c:ext>
                    </c:extLst>
                    <c:strCache>
                      <c:ptCount val="1"/>
                      <c:pt idx="0">
                        <c:v>LULUCF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'O1 &amp; Fig 2. GHG emissions'!$S$2:$BL$2</c15:sqref>
                        </c15:formulaRef>
                      </c:ext>
                    </c:extLst>
                    <c:strCache>
                      <c:ptCount val="46"/>
                      <c:pt idx="0">
                        <c:v>2005</c:v>
                      </c:pt>
                      <c:pt idx="5">
                        <c:v>2010</c:v>
                      </c:pt>
                      <c:pt idx="10">
                        <c:v>2015</c:v>
                      </c:pt>
                      <c:pt idx="15">
                        <c:v>2020</c:v>
                      </c:pt>
                      <c:pt idx="20">
                        <c:v>2025</c:v>
                      </c:pt>
                      <c:pt idx="25">
                        <c:v>2030</c:v>
                      </c:pt>
                      <c:pt idx="30">
                        <c:v>2035</c:v>
                      </c:pt>
                      <c:pt idx="35">
                        <c:v>2040</c:v>
                      </c:pt>
                      <c:pt idx="40">
                        <c:v>2045</c:v>
                      </c:pt>
                      <c:pt idx="45">
                        <c:v>2050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'O1 &amp; Fig 2. GHG emissions'!$S$12:$BL$12</c15:sqref>
                        </c15:formulaRef>
                      </c:ext>
                    </c:extLst>
                    <c:numCache>
                      <c:formatCode>#,##0</c:formatCode>
                      <c:ptCount val="46"/>
                      <c:pt idx="0">
                        <c:v>-342.10947613129105</c:v>
                      </c:pt>
                      <c:pt idx="1">
                        <c:v>-351.29638360007004</c:v>
                      </c:pt>
                      <c:pt idx="2">
                        <c:v>-300.61728649736148</c:v>
                      </c:pt>
                      <c:pt idx="3">
                        <c:v>-344.26277168343694</c:v>
                      </c:pt>
                      <c:pt idx="4">
                        <c:v>-347.02232862364394</c:v>
                      </c:pt>
                      <c:pt idx="5">
                        <c:v>-352.59019094981733</c:v>
                      </c:pt>
                      <c:pt idx="6">
                        <c:v>-347.27380043837763</c:v>
                      </c:pt>
                      <c:pt idx="7">
                        <c:v>-342.63359898826837</c:v>
                      </c:pt>
                      <c:pt idx="8">
                        <c:v>-342.60490517123242</c:v>
                      </c:pt>
                      <c:pt idx="9">
                        <c:v>-327.80272088059951</c:v>
                      </c:pt>
                      <c:pt idx="10">
                        <c:v>-322.42383901204818</c:v>
                      </c:pt>
                      <c:pt idx="11">
                        <c:v>-318.48652483153614</c:v>
                      </c:pt>
                      <c:pt idx="12">
                        <c:v>-249.79589118034281</c:v>
                      </c:pt>
                      <c:pt idx="13">
                        <c:v>-257.78904072107576</c:v>
                      </c:pt>
                      <c:pt idx="14">
                        <c:v>-247.3176236412184</c:v>
                      </c:pt>
                      <c:pt idx="15">
                        <c:v>-241.03805792704637</c:v>
                      </c:pt>
                      <c:pt idx="16">
                        <c:v>-229.98466641727219</c:v>
                      </c:pt>
                      <c:pt idx="17">
                        <c:v>-243.76728937000001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61A-4842-B1BD-530A950A4052}"/>
                  </c:ext>
                </c:extLst>
              </c15:ser>
            </c15:filteredBarSeries>
            <c15:filteredBarSeries>
              <c15:ser>
                <c:idx val="7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'O1 &amp; Fig 2. GHG emissions'!$A$13</c15:sqref>
                        </c15:formulaRef>
                      </c:ext>
                    </c:extLst>
                    <c:strCache>
                      <c:ptCount val="1"/>
                      <c:pt idx="0">
                        <c:v>Waste and other sectors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'O1 &amp; Fig 2. GHG emissions'!$S$2:$BL$2</c15:sqref>
                        </c15:formulaRef>
                      </c:ext>
                    </c:extLst>
                    <c:strCache>
                      <c:ptCount val="46"/>
                      <c:pt idx="0">
                        <c:v>2005</c:v>
                      </c:pt>
                      <c:pt idx="5">
                        <c:v>2010</c:v>
                      </c:pt>
                      <c:pt idx="10">
                        <c:v>2015</c:v>
                      </c:pt>
                      <c:pt idx="15">
                        <c:v>2020</c:v>
                      </c:pt>
                      <c:pt idx="20">
                        <c:v>2025</c:v>
                      </c:pt>
                      <c:pt idx="25">
                        <c:v>2030</c:v>
                      </c:pt>
                      <c:pt idx="30">
                        <c:v>2035</c:v>
                      </c:pt>
                      <c:pt idx="35">
                        <c:v>2040</c:v>
                      </c:pt>
                      <c:pt idx="40">
                        <c:v>2045</c:v>
                      </c:pt>
                      <c:pt idx="45">
                        <c:v>2050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'O1 &amp; Fig 2. GHG emissions'!$S$13:$BL$13</c15:sqref>
                        </c15:formulaRef>
                      </c:ext>
                    </c:extLst>
                    <c:numCache>
                      <c:formatCode>#,##0</c:formatCode>
                      <c:ptCount val="46"/>
                      <c:pt idx="0">
                        <c:v>169.72820383495673</c:v>
                      </c:pt>
                      <c:pt idx="1">
                        <c:v>165.07888080560292</c:v>
                      </c:pt>
                      <c:pt idx="2">
                        <c:v>160.92182487346099</c:v>
                      </c:pt>
                      <c:pt idx="3">
                        <c:v>156.26092312467927</c:v>
                      </c:pt>
                      <c:pt idx="4">
                        <c:v>152.26218739604951</c:v>
                      </c:pt>
                      <c:pt idx="5">
                        <c:v>148.79456088393545</c:v>
                      </c:pt>
                      <c:pt idx="6">
                        <c:v>144.41493657978413</c:v>
                      </c:pt>
                      <c:pt idx="7">
                        <c:v>139.94722738270434</c:v>
                      </c:pt>
                      <c:pt idx="8">
                        <c:v>134.70936924287935</c:v>
                      </c:pt>
                      <c:pt idx="9">
                        <c:v>130.23006267327492</c:v>
                      </c:pt>
                      <c:pt idx="10">
                        <c:v>128.37176831057582</c:v>
                      </c:pt>
                      <c:pt idx="11">
                        <c:v>125.12436669127283</c:v>
                      </c:pt>
                      <c:pt idx="12">
                        <c:v>124.02069564713202</c:v>
                      </c:pt>
                      <c:pt idx="13">
                        <c:v>122.15263891490508</c:v>
                      </c:pt>
                      <c:pt idx="14">
                        <c:v>121.55657002231908</c:v>
                      </c:pt>
                      <c:pt idx="15">
                        <c:v>120.63001056849816</c:v>
                      </c:pt>
                      <c:pt idx="16">
                        <c:v>119.53645060086433</c:v>
                      </c:pt>
                      <c:pt idx="17">
                        <c:v>115.14677466000023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61A-4842-B1BD-530A950A4052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13"/>
          <c:order val="9"/>
          <c:tx>
            <c:strRef>
              <c:f>'O1 &amp; Fig 2. GHG emissions'!$A$14</c:f>
              <c:strCache>
                <c:ptCount val="1"/>
                <c:pt idx="0">
                  <c:v>2020 (-20%)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dPt>
            <c:idx val="15"/>
            <c:marker>
              <c:symbol val="circle"/>
              <c:size val="8"/>
              <c:spPr>
                <a:solidFill>
                  <a:srgbClr val="B487C7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AAC9-4241-8C0A-86DE49658278}"/>
              </c:ext>
            </c:extLst>
          </c:dPt>
          <c:val>
            <c:numRef>
              <c:f>'O1 &amp; Fig 2. GHG emissions'!$S$14:$BL$14</c:f>
              <c:numCache>
                <c:formatCode>#,##0</c:formatCode>
                <c:ptCount val="46"/>
                <c:pt idx="15">
                  <c:v>3936.8762552718126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4B-4DE4-91A3-1CE0802CEAFF}"/>
            </c:ext>
          </c:extLst>
        </c:ser>
        <c:ser>
          <c:idx val="0"/>
          <c:order val="10"/>
          <c:tx>
            <c:strRef>
              <c:f>'O1 &amp; Fig 2. GHG emissions'!$A$3</c:f>
              <c:strCache>
                <c:ptCount val="1"/>
                <c:pt idx="0">
                  <c:v>Total</c:v>
                </c:pt>
              </c:strCache>
            </c:strRef>
          </c:tx>
          <c:spPr>
            <a:ln w="44450" cap="rnd">
              <a:solidFill>
                <a:srgbClr val="4F3A66"/>
              </a:solidFill>
              <a:round/>
            </a:ln>
            <a:effectLst/>
          </c:spPr>
          <c:marker>
            <c:symbol val="none"/>
          </c:marker>
          <c:cat>
            <c:strRef>
              <c:f>'O1 &amp; Fig 2. GHG emissions'!$S$2:$BL$2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'O1 &amp; Fig 2. GHG emissions'!$S$3:$BL$3</c:f>
              <c:numCache>
                <c:formatCode>#,##0</c:formatCode>
                <c:ptCount val="46"/>
                <c:pt idx="0">
                  <c:v>4393.8544455997635</c:v>
                </c:pt>
                <c:pt idx="1">
                  <c:v>4392.7754675774831</c:v>
                </c:pt>
                <c:pt idx="2">
                  <c:v>4417.4072901451591</c:v>
                </c:pt>
                <c:pt idx="3">
                  <c:v>4279.5858402780241</c:v>
                </c:pt>
                <c:pt idx="4">
                  <c:v>3940.7241952743284</c:v>
                </c:pt>
                <c:pt idx="5">
                  <c:v>4025.1679359813015</c:v>
                </c:pt>
                <c:pt idx="6">
                  <c:v>3921.3273261800082</c:v>
                </c:pt>
                <c:pt idx="7">
                  <c:v>3843.6804107039684</c:v>
                </c:pt>
                <c:pt idx="8">
                  <c:v>3752.9156894502776</c:v>
                </c:pt>
                <c:pt idx="9">
                  <c:v>3626.522573504807</c:v>
                </c:pt>
                <c:pt idx="10">
                  <c:v>3680.8567617873755</c:v>
                </c:pt>
                <c:pt idx="11">
                  <c:v>3695.9852356910142</c:v>
                </c:pt>
                <c:pt idx="12">
                  <c:v>3796.2808470131636</c:v>
                </c:pt>
                <c:pt idx="13">
                  <c:v>3711.2042053823952</c:v>
                </c:pt>
                <c:pt idx="14">
                  <c:v>3564.0272825354205</c:v>
                </c:pt>
                <c:pt idx="15">
                  <c:v>3195.8242692285844</c:v>
                </c:pt>
                <c:pt idx="16">
                  <c:v>3393.7565782860261</c:v>
                </c:pt>
                <c:pt idx="17">
                  <c:v>3333.9117850521911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61A-4842-B1BD-530A950A4052}"/>
            </c:ext>
          </c:extLst>
        </c:ser>
        <c:ser>
          <c:idx val="8"/>
          <c:order val="11"/>
          <c:tx>
            <c:strRef>
              <c:f>'O1 &amp; Fig 2. GHG emissions'!$A$15</c:f>
              <c:strCache>
                <c:ptCount val="1"/>
                <c:pt idx="0">
                  <c:v>2030 (-55%)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F26119"/>
              </a:solidFill>
              <a:ln w="9525">
                <a:noFill/>
              </a:ln>
              <a:effectLst/>
            </c:spPr>
          </c:marker>
          <c:cat>
            <c:strRef>
              <c:f>'O1 &amp; Fig 2. GHG emissions'!$S$2:$BL$2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'O1 &amp; Fig 2. GHG emissions'!$S$15:$BL$15</c:f>
              <c:numCache>
                <c:formatCode>General</c:formatCode>
                <c:ptCount val="46"/>
                <c:pt idx="25" formatCode="0">
                  <c:v>2149.8272168558128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61A-4842-B1BD-530A950A4052}"/>
            </c:ext>
          </c:extLst>
        </c:ser>
        <c:ser>
          <c:idx val="12"/>
          <c:order val="12"/>
          <c:tx>
            <c:strRef>
              <c:f>'O1 &amp; Fig 2. GHG emissions'!$A$4</c:f>
              <c:strCache>
                <c:ptCount val="1"/>
                <c:pt idx="0">
                  <c:v>WAM projections</c:v>
                </c:pt>
              </c:strCache>
            </c:strRef>
          </c:tx>
          <c:spPr>
            <a:ln w="44450" cap="rnd">
              <a:solidFill>
                <a:srgbClr val="4F3A66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'O1 &amp; Fig 2. GHG emissions'!$S$4:$BL$4</c:f>
              <c:numCache>
                <c:formatCode>#,##0</c:formatCode>
                <c:ptCount val="46"/>
                <c:pt idx="16">
                  <c:v>3303.8424787601052</c:v>
                </c:pt>
                <c:pt idx="17">
                  <c:v>3207.1956225973922</c:v>
                </c:pt>
                <c:pt idx="18">
                  <c:v>3179.0117273847463</c:v>
                </c:pt>
                <c:pt idx="19">
                  <c:v>3075.5284281821</c:v>
                </c:pt>
                <c:pt idx="20">
                  <c:v>2986.8553973694543</c:v>
                </c:pt>
                <c:pt idx="21">
                  <c:v>2871.6228227177558</c:v>
                </c:pt>
                <c:pt idx="22">
                  <c:v>2752.3490041560567</c:v>
                </c:pt>
                <c:pt idx="23">
                  <c:v>2646.9268373843579</c:v>
                </c:pt>
                <c:pt idx="24">
                  <c:v>2531.2864924726591</c:v>
                </c:pt>
                <c:pt idx="25">
                  <c:v>2429.3307445209603</c:v>
                </c:pt>
                <c:pt idx="26">
                  <c:v>2358.8498433734917</c:v>
                </c:pt>
                <c:pt idx="27">
                  <c:v>2289.5961545690202</c:v>
                </c:pt>
                <c:pt idx="28">
                  <c:v>2223.7524490958594</c:v>
                </c:pt>
                <c:pt idx="29">
                  <c:v>2161.0975516143558</c:v>
                </c:pt>
                <c:pt idx="30">
                  <c:v>2094.7519302343412</c:v>
                </c:pt>
                <c:pt idx="31">
                  <c:v>2046.579525504387</c:v>
                </c:pt>
                <c:pt idx="32">
                  <c:v>2002.4233705674362</c:v>
                </c:pt>
                <c:pt idx="33">
                  <c:v>1962.4289654071579</c:v>
                </c:pt>
                <c:pt idx="34">
                  <c:v>1919.3868191966355</c:v>
                </c:pt>
                <c:pt idx="35">
                  <c:v>1878.1549592916861</c:v>
                </c:pt>
                <c:pt idx="36">
                  <c:v>1809.5708166214874</c:v>
                </c:pt>
                <c:pt idx="37">
                  <c:v>1795.0240741843538</c:v>
                </c:pt>
                <c:pt idx="38">
                  <c:v>1781.870107600866</c:v>
                </c:pt>
                <c:pt idx="39">
                  <c:v>1767.8582551728293</c:v>
                </c:pt>
                <c:pt idx="40">
                  <c:v>1770.4276415346585</c:v>
                </c:pt>
                <c:pt idx="41">
                  <c:v>1747.9908998799451</c:v>
                </c:pt>
                <c:pt idx="42">
                  <c:v>1741.232210726406</c:v>
                </c:pt>
                <c:pt idx="43">
                  <c:v>1734.5993706030101</c:v>
                </c:pt>
                <c:pt idx="44">
                  <c:v>1728.3092647396277</c:v>
                </c:pt>
                <c:pt idx="45">
                  <c:v>1716.6646863064434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E4-44CE-B1F8-282D15B15543}"/>
            </c:ext>
          </c:extLst>
        </c:ser>
        <c:ser>
          <c:idx val="11"/>
          <c:order val="13"/>
          <c:tx>
            <c:strRef>
              <c:f>'O1 &amp; Fig 2. GHG emissions'!$A$18</c:f>
              <c:strCache>
                <c:ptCount val="1"/>
                <c:pt idx="0">
                  <c:v>2050 (climate neutrality)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3D5584"/>
              </a:solidFill>
              <a:ln w="9525">
                <a:noFill/>
              </a:ln>
              <a:effectLst/>
            </c:spPr>
          </c:marker>
          <c:dPt>
            <c:idx val="45"/>
            <c:marker>
              <c:symbol val="circle"/>
              <c:size val="8"/>
              <c:spPr>
                <a:solidFill>
                  <a:srgbClr val="3D5584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AAC9-4241-8C0A-86DE49658278}"/>
              </c:ext>
            </c:extLst>
          </c:dPt>
          <c:cat>
            <c:strRef>
              <c:f>'O1 &amp; Fig 2. GHG emissions'!$S$2:$BL$2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'O1 &amp; Fig 2. GHG emissions'!$S$18:$BL$18</c:f>
              <c:numCache>
                <c:formatCode>General</c:formatCode>
                <c:ptCount val="46"/>
                <c:pt idx="4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61A-4842-B1BD-530A950A4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4801823"/>
        <c:axId val="968169439"/>
      </c:lineChart>
      <c:catAx>
        <c:axId val="964801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light" panose="020B0402040204020203" pitchFamily="34" charset="0"/>
                <a:ea typeface="+mn-ea"/>
                <a:cs typeface="Segoe UI Semilight" panose="020B0402040204020203" pitchFamily="34" charset="0"/>
              </a:defRPr>
            </a:pPr>
            <a:endParaRPr lang="en-DK"/>
          </a:p>
        </c:txPr>
        <c:crossAx val="968169439"/>
        <c:crosses val="autoZero"/>
        <c:auto val="1"/>
        <c:lblAlgn val="ctr"/>
        <c:lblOffset val="100"/>
        <c:noMultiLvlLbl val="0"/>
      </c:catAx>
      <c:valAx>
        <c:axId val="968169439"/>
        <c:scaling>
          <c:orientation val="minMax"/>
        </c:scaling>
        <c:delete val="0"/>
        <c:axPos val="l"/>
        <c:majorGridlines>
          <c:spPr>
            <a:ln w="22225" cap="rnd" cmpd="sng" algn="ctr">
              <a:solidFill>
                <a:schemeClr val="bg2">
                  <a:lumMod val="50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Mt CO2e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DK"/>
            </a:p>
          </c:txPr>
        </c:title>
        <c:numFmt formatCode="#\ 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light" panose="020B0402040204020203" pitchFamily="34" charset="0"/>
                <a:ea typeface="+mn-ea"/>
                <a:cs typeface="Segoe UI Semilight" panose="020B0402040204020203" pitchFamily="34" charset="0"/>
              </a:defRPr>
            </a:pPr>
            <a:endParaRPr lang="en-DK"/>
          </a:p>
        </c:txPr>
        <c:crossAx val="964801823"/>
        <c:crosses val="autoZero"/>
        <c:crossBetween val="between"/>
        <c:majorUnit val="1000"/>
      </c:valAx>
      <c:spPr>
        <a:noFill/>
        <a:ln w="25400">
          <a:noFill/>
        </a:ln>
        <a:effectLst/>
      </c:spPr>
    </c:plotArea>
    <c:legend>
      <c:legendPos val="b"/>
      <c:legendEntry>
        <c:idx val="0"/>
        <c:delete val="1"/>
      </c:legendEntry>
      <c:layout>
        <c:manualLayout>
          <c:xMode val="edge"/>
          <c:yMode val="edge"/>
          <c:x val="0.15283762702263498"/>
          <c:y val="0.82144163880826926"/>
          <c:w val="0.65895135233316526"/>
          <c:h val="0.14967857918719982"/>
        </c:manualLayout>
      </c:layout>
      <c:overlay val="0"/>
      <c:spPr>
        <a:noFill/>
        <a:ln>
          <a:noFill/>
        </a:ln>
        <a:effectLst>
          <a:outerShdw blurRad="25400" dist="12700" dir="16200000" rotWithShape="0">
            <a:schemeClr val="bg2">
              <a:lumMod val="75000"/>
              <a:alpha val="50000"/>
            </a:scheme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Segoe UI Semilight" panose="020B0402040204020203" pitchFamily="34" charset="0"/>
          <a:cs typeface="Segoe UI Semilight" panose="020B0402040204020203" pitchFamily="34" charset="0"/>
        </a:defRPr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8391123126140859E-2"/>
          <c:y val="3.1339027823874661E-2"/>
          <c:w val="0.57920569874331229"/>
          <c:h val="0.91381767348434473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'O1 &amp; Fig 2. GHG emissions'!$A$7</c:f>
              <c:strCache>
                <c:ptCount val="1"/>
                <c:pt idx="0">
                  <c:v>Energy supply</c:v>
                </c:pt>
              </c:strCache>
              <c:extLst xmlns:c15="http://schemas.microsoft.com/office/drawing/2012/chart"/>
            </c:strRef>
          </c:tx>
          <c:spPr>
            <a:solidFill>
              <a:srgbClr val="F26119"/>
            </a:solidFill>
            <a:ln>
              <a:noFill/>
            </a:ln>
            <a:effectLst/>
          </c:spPr>
          <c:invertIfNegative val="0"/>
          <c:cat>
            <c:strRef>
              <c:f>'O1 &amp; Fig 2. GHG emissions'!$S$2:$BL$2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  <c:extLst xmlns:c15="http://schemas.microsoft.com/office/drawing/2012/chart"/>
            </c:strRef>
          </c:cat>
          <c:val>
            <c:numRef>
              <c:f>'O1 &amp; Fig 2. GHG emissions'!$S$7:$BL$7</c:f>
              <c:numCache>
                <c:formatCode>#,##0</c:formatCode>
                <c:ptCount val="46"/>
                <c:pt idx="0">
                  <c:v>1489.2308635829077</c:v>
                </c:pt>
                <c:pt idx="1">
                  <c:v>1494.1525158714342</c:v>
                </c:pt>
                <c:pt idx="2">
                  <c:v>1503.6684597010162</c:v>
                </c:pt>
                <c:pt idx="3">
                  <c:v>1433.2435942116344</c:v>
                </c:pt>
                <c:pt idx="4">
                  <c:v>1325.218058629576</c:v>
                </c:pt>
                <c:pt idx="5">
                  <c:v>1343.1400819540474</c:v>
                </c:pt>
                <c:pt idx="6">
                  <c:v>1333.8554743473871</c:v>
                </c:pt>
                <c:pt idx="7">
                  <c:v>1315.8795544927079</c:v>
                </c:pt>
                <c:pt idx="8">
                  <c:v>1254.011429032349</c:v>
                </c:pt>
                <c:pt idx="9">
                  <c:v>1189.727706691921</c:v>
                </c:pt>
                <c:pt idx="10">
                  <c:v>1196.6742152410509</c:v>
                </c:pt>
                <c:pt idx="11">
                  <c:v>1168.514883806718</c:v>
                </c:pt>
                <c:pt idx="12">
                  <c:v>1162.1379242862579</c:v>
                </c:pt>
                <c:pt idx="13">
                  <c:v>1098.7821738414586</c:v>
                </c:pt>
                <c:pt idx="14">
                  <c:v>973.80492187400193</c:v>
                </c:pt>
                <c:pt idx="15">
                  <c:v>841.51817867701368</c:v>
                </c:pt>
                <c:pt idx="16">
                  <c:v>901.62471439571993</c:v>
                </c:pt>
                <c:pt idx="17">
                  <c:v>924.33415739999998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5E0A-4E0F-8F83-679AD484A578}"/>
            </c:ext>
          </c:extLst>
        </c:ser>
        <c:ser>
          <c:idx val="2"/>
          <c:order val="2"/>
          <c:tx>
            <c:strRef>
              <c:f>'O1 &amp; Fig 2. GHG emissions'!$A$8</c:f>
              <c:strCache>
                <c:ptCount val="1"/>
                <c:pt idx="0">
                  <c:v>Industry</c:v>
                </c:pt>
              </c:strCache>
              <c:extLst xmlns:c15="http://schemas.microsoft.com/office/drawing/2012/chart"/>
            </c:strRef>
          </c:tx>
          <c:spPr>
            <a:solidFill>
              <a:srgbClr val="2E422F"/>
            </a:solidFill>
            <a:ln>
              <a:noFill/>
            </a:ln>
            <a:effectLst/>
          </c:spPr>
          <c:invertIfNegative val="0"/>
          <c:cat>
            <c:strRef>
              <c:f>'O1 &amp; Fig 2. GHG emissions'!$S$2:$BL$2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  <c:extLst xmlns:c15="http://schemas.microsoft.com/office/drawing/2012/chart"/>
            </c:strRef>
          </c:cat>
          <c:val>
            <c:numRef>
              <c:f>'O1 &amp; Fig 2. GHG emissions'!$S$8:$BL$8</c:f>
              <c:numCache>
                <c:formatCode>#,##0</c:formatCode>
                <c:ptCount val="46"/>
                <c:pt idx="0">
                  <c:v>981.27375675773783</c:v>
                </c:pt>
                <c:pt idx="1">
                  <c:v>973.78646434993243</c:v>
                </c:pt>
                <c:pt idx="2">
                  <c:v>995.61813454821174</c:v>
                </c:pt>
                <c:pt idx="3">
                  <c:v>952.33844686364966</c:v>
                </c:pt>
                <c:pt idx="4">
                  <c:v>789.42830625605859</c:v>
                </c:pt>
                <c:pt idx="5">
                  <c:v>838.81444269307735</c:v>
                </c:pt>
                <c:pt idx="6">
                  <c:v>826.15345441810177</c:v>
                </c:pt>
                <c:pt idx="7">
                  <c:v>795.67043454180543</c:v>
                </c:pt>
                <c:pt idx="8">
                  <c:v>775.53234103270825</c:v>
                </c:pt>
                <c:pt idx="9">
                  <c:v>769.1653962810484</c:v>
                </c:pt>
                <c:pt idx="10">
                  <c:v>768.8490453104929</c:v>
                </c:pt>
                <c:pt idx="11">
                  <c:v>776.21967063764043</c:v>
                </c:pt>
                <c:pt idx="12">
                  <c:v>791.03609964228258</c:v>
                </c:pt>
                <c:pt idx="13">
                  <c:v>785.27660783836836</c:v>
                </c:pt>
                <c:pt idx="14">
                  <c:v>760.12812941600464</c:v>
                </c:pt>
                <c:pt idx="15">
                  <c:v>719.60032901981651</c:v>
                </c:pt>
                <c:pt idx="16">
                  <c:v>757.47409379603994</c:v>
                </c:pt>
                <c:pt idx="17">
                  <c:v>691.32881325000005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5E0A-4E0F-8F83-679AD484A578}"/>
            </c:ext>
          </c:extLst>
        </c:ser>
        <c:ser>
          <c:idx val="3"/>
          <c:order val="3"/>
          <c:tx>
            <c:strRef>
              <c:f>'O1 &amp; Fig 2. GHG emissions'!$A$9</c:f>
              <c:strCache>
                <c:ptCount val="1"/>
                <c:pt idx="0">
                  <c:v>Transport</c:v>
                </c:pt>
              </c:strCache>
              <c:extLst xmlns:c15="http://schemas.microsoft.com/office/drawing/2012/chart"/>
            </c:strRef>
          </c:tx>
          <c:spPr>
            <a:solidFill>
              <a:srgbClr val="EFE973"/>
            </a:solidFill>
            <a:ln>
              <a:noFill/>
            </a:ln>
            <a:effectLst/>
          </c:spPr>
          <c:invertIfNegative val="0"/>
          <c:cat>
            <c:strRef>
              <c:f>'O1 &amp; Fig 2. GHG emissions'!$S$2:$BL$2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  <c:extLst xmlns:c15="http://schemas.microsoft.com/office/drawing/2012/chart"/>
            </c:strRef>
          </c:cat>
          <c:val>
            <c:numRef>
              <c:f>'O1 &amp; Fig 2. GHG emissions'!$S$9:$BL$9</c:f>
              <c:numCache>
                <c:formatCode>#,##0</c:formatCode>
                <c:ptCount val="46"/>
                <c:pt idx="0">
                  <c:v>847.38589506219387</c:v>
                </c:pt>
                <c:pt idx="1">
                  <c:v>855.49359858641128</c:v>
                </c:pt>
                <c:pt idx="2">
                  <c:v>863.98736247026557</c:v>
                </c:pt>
                <c:pt idx="3">
                  <c:v>844.92426046834919</c:v>
                </c:pt>
                <c:pt idx="4">
                  <c:v>823.12303064336811</c:v>
                </c:pt>
                <c:pt idx="5">
                  <c:v>817.63932841198755</c:v>
                </c:pt>
                <c:pt idx="6">
                  <c:v>808.24042555152369</c:v>
                </c:pt>
                <c:pt idx="7">
                  <c:v>778.70674967190905</c:v>
                </c:pt>
                <c:pt idx="8">
                  <c:v>772.7140098053934</c:v>
                </c:pt>
                <c:pt idx="9">
                  <c:v>778.07828003947941</c:v>
                </c:pt>
                <c:pt idx="10">
                  <c:v>793.2395374683889</c:v>
                </c:pt>
                <c:pt idx="11">
                  <c:v>810.74916662589044</c:v>
                </c:pt>
                <c:pt idx="12">
                  <c:v>824.98067098264062</c:v>
                </c:pt>
                <c:pt idx="13">
                  <c:v>826.48301609835585</c:v>
                </c:pt>
                <c:pt idx="14">
                  <c:v>832.73296278018051</c:v>
                </c:pt>
                <c:pt idx="15">
                  <c:v>720.18151797374617</c:v>
                </c:pt>
                <c:pt idx="16">
                  <c:v>782.10069271283805</c:v>
                </c:pt>
                <c:pt idx="17">
                  <c:v>803.30064017999996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5E0A-4E0F-8F83-679AD484A578}"/>
            </c:ext>
          </c:extLst>
        </c:ser>
        <c:ser>
          <c:idx val="4"/>
          <c:order val="4"/>
          <c:tx>
            <c:strRef>
              <c:f>'O1 &amp; Fig 2. GHG emissions'!$A$10</c:f>
              <c:strCache>
                <c:ptCount val="1"/>
                <c:pt idx="0">
                  <c:v>Buildings and agriculture energy</c:v>
                </c:pt>
              </c:strCache>
              <c:extLst xmlns:c15="http://schemas.microsoft.com/office/drawing/2012/chart"/>
            </c:strRef>
          </c:tx>
          <c:spPr>
            <a:solidFill>
              <a:srgbClr val="4F3A66"/>
            </a:solidFill>
            <a:ln>
              <a:noFill/>
            </a:ln>
            <a:effectLst/>
          </c:spPr>
          <c:invertIfNegative val="0"/>
          <c:cat>
            <c:strRef>
              <c:f>'O1 &amp; Fig 2. GHG emissions'!$S$2:$BL$2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  <c:extLst xmlns:c15="http://schemas.microsoft.com/office/drawing/2012/chart"/>
            </c:strRef>
          </c:cat>
          <c:val>
            <c:numRef>
              <c:f>'O1 &amp; Fig 2. GHG emissions'!$S$10:$BL$10</c:f>
              <c:numCache>
                <c:formatCode>#,##0</c:formatCode>
                <c:ptCount val="46"/>
                <c:pt idx="0">
                  <c:v>665.03924099763537</c:v>
                </c:pt>
                <c:pt idx="1">
                  <c:v>663.44783267956882</c:v>
                </c:pt>
                <c:pt idx="2">
                  <c:v>589.49466125439164</c:v>
                </c:pt>
                <c:pt idx="3">
                  <c:v>635.07002126890563</c:v>
                </c:pt>
                <c:pt idx="4">
                  <c:v>621.38705256011417</c:v>
                </c:pt>
                <c:pt idx="5">
                  <c:v>656.09142672277392</c:v>
                </c:pt>
                <c:pt idx="6">
                  <c:v>581.49115915879895</c:v>
                </c:pt>
                <c:pt idx="7">
                  <c:v>589.57096243056048</c:v>
                </c:pt>
                <c:pt idx="8">
                  <c:v>593.89854786718786</c:v>
                </c:pt>
                <c:pt idx="9">
                  <c:v>517.77464816017448</c:v>
                </c:pt>
                <c:pt idx="10">
                  <c:v>541.00081909233813</c:v>
                </c:pt>
                <c:pt idx="11">
                  <c:v>547.73462145536769</c:v>
                </c:pt>
                <c:pt idx="12">
                  <c:v>545.7283094760611</c:v>
                </c:pt>
                <c:pt idx="13">
                  <c:v>532.93229571417453</c:v>
                </c:pt>
                <c:pt idx="14">
                  <c:v>522.82307824227337</c:v>
                </c:pt>
                <c:pt idx="15">
                  <c:v>519.71367361624789</c:v>
                </c:pt>
                <c:pt idx="16">
                  <c:v>532.5338870926787</c:v>
                </c:pt>
                <c:pt idx="17">
                  <c:v>481.83207028999999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5E0A-4E0F-8F83-679AD484A578}"/>
            </c:ext>
          </c:extLst>
        </c:ser>
        <c:ser>
          <c:idx val="5"/>
          <c:order val="5"/>
          <c:tx>
            <c:strRef>
              <c:f>'O1 &amp; Fig 2. GHG emissions'!$A$11</c:f>
              <c:strCache>
                <c:ptCount val="1"/>
                <c:pt idx="0">
                  <c:v>Agriculture (non-energy)</c:v>
                </c:pt>
              </c:strCache>
              <c:extLst xmlns:c15="http://schemas.microsoft.com/office/drawing/2012/chart"/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'O1 &amp; Fig 2. GHG emissions'!$S$2:$BL$2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  <c:extLst xmlns:c15="http://schemas.microsoft.com/office/drawing/2012/chart"/>
            </c:strRef>
          </c:cat>
          <c:val>
            <c:numRef>
              <c:f>'O1 &amp; Fig 2. GHG emissions'!$S$11:$BL$11</c:f>
              <c:numCache>
                <c:formatCode>#,##0</c:formatCode>
                <c:ptCount val="46"/>
                <c:pt idx="0">
                  <c:v>389.22393811242966</c:v>
                </c:pt>
                <c:pt idx="1">
                  <c:v>386.07974165155912</c:v>
                </c:pt>
                <c:pt idx="2">
                  <c:v>389.07720872211593</c:v>
                </c:pt>
                <c:pt idx="3">
                  <c:v>386.57500981647684</c:v>
                </c:pt>
                <c:pt idx="4">
                  <c:v>381.54065426293414</c:v>
                </c:pt>
                <c:pt idx="5">
                  <c:v>376.26183201603794</c:v>
                </c:pt>
                <c:pt idx="6">
                  <c:v>375.71068571010153</c:v>
                </c:pt>
                <c:pt idx="7">
                  <c:v>375.53512881602722</c:v>
                </c:pt>
                <c:pt idx="8">
                  <c:v>377.7110600038942</c:v>
                </c:pt>
                <c:pt idx="9">
                  <c:v>382.76323233658485</c:v>
                </c:pt>
                <c:pt idx="10">
                  <c:v>384.28024043367134</c:v>
                </c:pt>
                <c:pt idx="11">
                  <c:v>386.35086308623397</c:v>
                </c:pt>
                <c:pt idx="12">
                  <c:v>388.16274656214773</c:v>
                </c:pt>
                <c:pt idx="13">
                  <c:v>385.14407775116638</c:v>
                </c:pt>
                <c:pt idx="14">
                  <c:v>380.24796301831776</c:v>
                </c:pt>
                <c:pt idx="15">
                  <c:v>381.95683343695657</c:v>
                </c:pt>
                <c:pt idx="16">
                  <c:v>378.43047321885814</c:v>
                </c:pt>
                <c:pt idx="17">
                  <c:v>370.64949144999997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5E0A-4E0F-8F83-679AD484A578}"/>
            </c:ext>
          </c:extLst>
        </c:ser>
        <c:ser>
          <c:idx val="6"/>
          <c:order val="6"/>
          <c:tx>
            <c:strRef>
              <c:f>'O1 &amp; Fig 2. GHG emissions'!$A$12</c:f>
              <c:strCache>
                <c:ptCount val="1"/>
                <c:pt idx="0">
                  <c:v>LULUCF</c:v>
                </c:pt>
              </c:strCache>
              <c:extLst xmlns:c15="http://schemas.microsoft.com/office/drawing/2012/chart"/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'O1 &amp; Fig 2. GHG emissions'!$S$2:$BL$2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  <c:extLst xmlns:c15="http://schemas.microsoft.com/office/drawing/2012/chart"/>
            </c:strRef>
          </c:cat>
          <c:val>
            <c:numRef>
              <c:f>'O1 &amp; Fig 2. GHG emissions'!$S$12:$BL$12</c:f>
              <c:numCache>
                <c:formatCode>#,##0</c:formatCode>
                <c:ptCount val="46"/>
                <c:pt idx="0">
                  <c:v>-342.10947613129105</c:v>
                </c:pt>
                <c:pt idx="1">
                  <c:v>-351.29638360007004</c:v>
                </c:pt>
                <c:pt idx="2">
                  <c:v>-300.61728649736148</c:v>
                </c:pt>
                <c:pt idx="3">
                  <c:v>-344.26277168343694</c:v>
                </c:pt>
                <c:pt idx="4">
                  <c:v>-347.02232862364394</c:v>
                </c:pt>
                <c:pt idx="5">
                  <c:v>-352.59019094981733</c:v>
                </c:pt>
                <c:pt idx="6">
                  <c:v>-347.27380043837763</c:v>
                </c:pt>
                <c:pt idx="7">
                  <c:v>-342.63359898826837</c:v>
                </c:pt>
                <c:pt idx="8">
                  <c:v>-342.60490517123242</c:v>
                </c:pt>
                <c:pt idx="9">
                  <c:v>-327.80272088059951</c:v>
                </c:pt>
                <c:pt idx="10">
                  <c:v>-322.42383901204818</c:v>
                </c:pt>
                <c:pt idx="11">
                  <c:v>-318.48652483153614</c:v>
                </c:pt>
                <c:pt idx="12">
                  <c:v>-249.79589118034281</c:v>
                </c:pt>
                <c:pt idx="13">
                  <c:v>-257.78904072107576</c:v>
                </c:pt>
                <c:pt idx="14">
                  <c:v>-247.3176236412184</c:v>
                </c:pt>
                <c:pt idx="15">
                  <c:v>-241.03805792704637</c:v>
                </c:pt>
                <c:pt idx="16">
                  <c:v>-229.98466641727219</c:v>
                </c:pt>
                <c:pt idx="17">
                  <c:v>-243.76728937000001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6-5E0A-4E0F-8F83-679AD484A578}"/>
            </c:ext>
          </c:extLst>
        </c:ser>
        <c:ser>
          <c:idx val="7"/>
          <c:order val="7"/>
          <c:tx>
            <c:strRef>
              <c:f>'O1 &amp; Fig 2. GHG emissions'!$A$13</c:f>
              <c:strCache>
                <c:ptCount val="1"/>
                <c:pt idx="0">
                  <c:v>Waste and other sectors</c:v>
                </c:pt>
              </c:strCache>
              <c:extLst xmlns:c15="http://schemas.microsoft.com/office/drawing/2012/chart"/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'O1 &amp; Fig 2. GHG emissions'!$S$2:$BL$2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  <c:extLst xmlns:c15="http://schemas.microsoft.com/office/drawing/2012/chart"/>
            </c:strRef>
          </c:cat>
          <c:val>
            <c:numRef>
              <c:f>'O1 &amp; Fig 2. GHG emissions'!$S$13:$BL$13</c:f>
              <c:numCache>
                <c:formatCode>#,##0</c:formatCode>
                <c:ptCount val="46"/>
                <c:pt idx="0">
                  <c:v>169.72820383495673</c:v>
                </c:pt>
                <c:pt idx="1">
                  <c:v>165.07888080560292</c:v>
                </c:pt>
                <c:pt idx="2">
                  <c:v>160.92182487346099</c:v>
                </c:pt>
                <c:pt idx="3">
                  <c:v>156.26092312467927</c:v>
                </c:pt>
                <c:pt idx="4">
                  <c:v>152.26218739604951</c:v>
                </c:pt>
                <c:pt idx="5">
                  <c:v>148.79456088393545</c:v>
                </c:pt>
                <c:pt idx="6">
                  <c:v>144.41493657978413</c:v>
                </c:pt>
                <c:pt idx="7">
                  <c:v>139.94722738270434</c:v>
                </c:pt>
                <c:pt idx="8">
                  <c:v>134.70936924287935</c:v>
                </c:pt>
                <c:pt idx="9">
                  <c:v>130.23006267327492</c:v>
                </c:pt>
                <c:pt idx="10">
                  <c:v>128.37176831057582</c:v>
                </c:pt>
                <c:pt idx="11">
                  <c:v>125.12436669127283</c:v>
                </c:pt>
                <c:pt idx="12">
                  <c:v>124.02069564713202</c:v>
                </c:pt>
                <c:pt idx="13">
                  <c:v>122.15263891490508</c:v>
                </c:pt>
                <c:pt idx="14">
                  <c:v>121.55657002231908</c:v>
                </c:pt>
                <c:pt idx="15">
                  <c:v>120.63001056849816</c:v>
                </c:pt>
                <c:pt idx="16">
                  <c:v>119.53645060086433</c:v>
                </c:pt>
                <c:pt idx="17">
                  <c:v>115.14677466000023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7-5E0A-4E0F-8F83-679AD484A578}"/>
            </c:ext>
          </c:extLst>
        </c:ser>
        <c:ser>
          <c:idx val="12"/>
          <c:order val="8"/>
          <c:tx>
            <c:strRef>
              <c:f>'O1 &amp; Fig 2. GHG emissions'!$A$6</c:f>
              <c:strCache>
                <c:ptCount val="1"/>
                <c:pt idx="0">
                  <c:v>International aviation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'O1 &amp; Fig 2. GHG emissions'!$S$6:$BL$6</c:f>
              <c:numCache>
                <c:formatCode>#,##0</c:formatCode>
                <c:ptCount val="46"/>
                <c:pt idx="0">
                  <c:v>96.093546786755809</c:v>
                </c:pt>
                <c:pt idx="1">
                  <c:v>101.16153164168031</c:v>
                </c:pt>
                <c:pt idx="2">
                  <c:v>105.83006652528978</c:v>
                </c:pt>
                <c:pt idx="3">
                  <c:v>107.39422934415084</c:v>
                </c:pt>
                <c:pt idx="4">
                  <c:v>98.727741362482647</c:v>
                </c:pt>
                <c:pt idx="5">
                  <c:v>100.36770316810103</c:v>
                </c:pt>
                <c:pt idx="6">
                  <c:v>102.83706419913365</c:v>
                </c:pt>
                <c:pt idx="7">
                  <c:v>101.71127123502156</c:v>
                </c:pt>
                <c:pt idx="8">
                  <c:v>102.66152771785798</c:v>
                </c:pt>
                <c:pt idx="9">
                  <c:v>104.67025158665994</c:v>
                </c:pt>
                <c:pt idx="10">
                  <c:v>108.53022557563203</c:v>
                </c:pt>
                <c:pt idx="11">
                  <c:v>115.07396257317444</c:v>
                </c:pt>
                <c:pt idx="12">
                  <c:v>124.16225316137847</c:v>
                </c:pt>
                <c:pt idx="13">
                  <c:v>130.35831223435034</c:v>
                </c:pt>
                <c:pt idx="14">
                  <c:v>132.97668995994991</c:v>
                </c:pt>
                <c:pt idx="15">
                  <c:v>56.110153869940774</c:v>
                </c:pt>
                <c:pt idx="16">
                  <c:v>69.754332886299295</c:v>
                </c:pt>
                <c:pt idx="17">
                  <c:v>103.28233849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2A-41C3-8BB5-5F4845A45A56}"/>
            </c:ext>
          </c:extLst>
        </c:ser>
        <c:ser>
          <c:idx val="15"/>
          <c:order val="9"/>
          <c:tx>
            <c:strRef>
              <c:f>'O1 &amp; Fig 2. GHG emissions'!$A$5</c:f>
              <c:strCache>
                <c:ptCount val="1"/>
                <c:pt idx="0">
                  <c:v>International maritime</c:v>
                </c:pt>
              </c:strCache>
            </c:strRef>
          </c:tx>
          <c:spPr>
            <a:solidFill>
              <a:srgbClr val="F0CBD9"/>
            </a:solidFill>
            <a:ln>
              <a:noFill/>
            </a:ln>
            <a:effectLst/>
          </c:spPr>
          <c:invertIfNegative val="0"/>
          <c:val>
            <c:numRef>
              <c:f>'O1 &amp; Fig 2. GHG emissions'!$S$5:$BL$5</c:f>
              <c:numCache>
                <c:formatCode>#,##0</c:formatCode>
                <c:ptCount val="46"/>
                <c:pt idx="0">
                  <c:v>153.71821672425949</c:v>
                </c:pt>
                <c:pt idx="1">
                  <c:v>164.5155386288674</c:v>
                </c:pt>
                <c:pt idx="2">
                  <c:v>171.66203763915254</c:v>
                </c:pt>
                <c:pt idx="3">
                  <c:v>169.48975685141957</c:v>
                </c:pt>
                <c:pt idx="4">
                  <c:v>150.69214711366692</c:v>
                </c:pt>
                <c:pt idx="5">
                  <c:v>151.61653881006123</c:v>
                </c:pt>
                <c:pt idx="6">
                  <c:v>150.43869222959532</c:v>
                </c:pt>
                <c:pt idx="7">
                  <c:v>140.07679459141761</c:v>
                </c:pt>
                <c:pt idx="8">
                  <c:v>132.21683643011187</c:v>
                </c:pt>
                <c:pt idx="9">
                  <c:v>128.5042723115443</c:v>
                </c:pt>
                <c:pt idx="10">
                  <c:v>129.16162478268836</c:v>
                </c:pt>
                <c:pt idx="11">
                  <c:v>132.87871153438044</c:v>
                </c:pt>
                <c:pt idx="12">
                  <c:v>134.67305377086453</c:v>
                </c:pt>
                <c:pt idx="13">
                  <c:v>137.83576273435258</c:v>
                </c:pt>
                <c:pt idx="14">
                  <c:v>136.59719279718294</c:v>
                </c:pt>
                <c:pt idx="15">
                  <c:v>121.0306700531797</c:v>
                </c:pt>
                <c:pt idx="16">
                  <c:v>129.0860910553474</c:v>
                </c:pt>
                <c:pt idx="17">
                  <c:v>137.74268167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D8-4D21-82A9-E3BE5B464FD0}"/>
            </c:ext>
          </c:extLst>
        </c:ser>
        <c:ser>
          <c:idx val="10"/>
          <c:order val="11"/>
          <c:tx>
            <c:strRef>
              <c:f>'O1 &amp; Fig 2. GHG emissions'!$A$17</c:f>
              <c:strCache>
                <c:ptCount val="1"/>
                <c:pt idx="0">
                  <c:v>2040 dummy</c:v>
                </c:pt>
              </c:strCache>
            </c:strRef>
          </c:tx>
          <c:spPr>
            <a:solidFill>
              <a:sysClr val="window" lastClr="FFFFFF"/>
            </a:solidFill>
            <a:ln>
              <a:noFill/>
            </a:ln>
            <a:effectLst/>
          </c:spPr>
          <c:invertIfNegative val="0"/>
          <c:cat>
            <c:strRef>
              <c:f>'O1 &amp; Fig 2. GHG emissions'!$S$2:$BL$2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'O1 &amp; Fig 2. GHG emissions'!$S$17:$BL$17</c:f>
              <c:numCache>
                <c:formatCode>General</c:formatCode>
                <c:ptCount val="46"/>
                <c:pt idx="35">
                  <c:v>238.86969076175697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E0A-4E0F-8F83-679AD484A578}"/>
            </c:ext>
          </c:extLst>
        </c:ser>
        <c:ser>
          <c:idx val="9"/>
          <c:order val="12"/>
          <c:tx>
            <c:strRef>
              <c:f>'O1 &amp; Fig 2. GHG emissions'!$A$16</c:f>
              <c:strCache>
                <c:ptCount val="1"/>
                <c:pt idx="0">
                  <c:v>2040 advice (-90 to -95%)</c:v>
                </c:pt>
              </c:strCache>
            </c:strRef>
          </c:tx>
          <c:spPr>
            <a:solidFill>
              <a:srgbClr val="608C95"/>
            </a:solidFill>
            <a:ln>
              <a:noFill/>
            </a:ln>
            <a:effectLst/>
          </c:spPr>
          <c:invertIfNegative val="0"/>
          <c:cat>
            <c:strRef>
              <c:f>'O1 &amp; Fig 2. GHG emissions'!$S$2:$BL$2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'O1 &amp; Fig 2. GHG emissions'!$S$16:$BL$16</c:f>
              <c:numCache>
                <c:formatCode>General</c:formatCode>
                <c:ptCount val="46"/>
                <c:pt idx="35">
                  <c:v>238.86969076175697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E0A-4E0F-8F83-679AD484A5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4801823"/>
        <c:axId val="968169439"/>
      </c:barChart>
      <c:lineChart>
        <c:grouping val="standard"/>
        <c:varyColors val="0"/>
        <c:ser>
          <c:idx val="0"/>
          <c:order val="0"/>
          <c:tx>
            <c:strRef>
              <c:f>'O1 &amp; Fig 2. GHG emissions'!$A$3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strRef>
              <c:f>'O1 &amp; Fig 2. GHG emissions'!$S$2:$BL$2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'O1 &amp; Fig 2. GHG emissions'!$S$3:$BL$3</c:f>
              <c:numCache>
                <c:formatCode>#,##0</c:formatCode>
                <c:ptCount val="46"/>
                <c:pt idx="0">
                  <c:v>4393.8544455997635</c:v>
                </c:pt>
                <c:pt idx="1">
                  <c:v>4392.7754675774831</c:v>
                </c:pt>
                <c:pt idx="2">
                  <c:v>4417.4072901451591</c:v>
                </c:pt>
                <c:pt idx="3">
                  <c:v>4279.5858402780241</c:v>
                </c:pt>
                <c:pt idx="4">
                  <c:v>3940.7241952743284</c:v>
                </c:pt>
                <c:pt idx="5">
                  <c:v>4025.1679359813015</c:v>
                </c:pt>
                <c:pt idx="6">
                  <c:v>3921.3273261800082</c:v>
                </c:pt>
                <c:pt idx="7">
                  <c:v>3843.6804107039684</c:v>
                </c:pt>
                <c:pt idx="8">
                  <c:v>3752.9156894502776</c:v>
                </c:pt>
                <c:pt idx="9">
                  <c:v>3626.522573504807</c:v>
                </c:pt>
                <c:pt idx="10">
                  <c:v>3680.8567617873755</c:v>
                </c:pt>
                <c:pt idx="11">
                  <c:v>3695.9852356910142</c:v>
                </c:pt>
                <c:pt idx="12">
                  <c:v>3796.2808470131636</c:v>
                </c:pt>
                <c:pt idx="13">
                  <c:v>3711.2042053823952</c:v>
                </c:pt>
                <c:pt idx="14">
                  <c:v>3564.0272825354205</c:v>
                </c:pt>
                <c:pt idx="15">
                  <c:v>3195.8242692285844</c:v>
                </c:pt>
                <c:pt idx="16">
                  <c:v>3393.7565782860261</c:v>
                </c:pt>
                <c:pt idx="17">
                  <c:v>3333.9117850521911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0A-4E0F-8F83-679AD484A578}"/>
            </c:ext>
          </c:extLst>
        </c:ser>
        <c:ser>
          <c:idx val="8"/>
          <c:order val="10"/>
          <c:tx>
            <c:strRef>
              <c:f>'O1 &amp; Fig 2. GHG emissions'!$A$15</c:f>
              <c:strCache>
                <c:ptCount val="1"/>
                <c:pt idx="0">
                  <c:v>2030 (-55%)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26119"/>
              </a:solidFill>
              <a:ln w="9525">
                <a:noFill/>
              </a:ln>
              <a:effectLst/>
            </c:spPr>
          </c:marker>
          <c:cat>
            <c:strRef>
              <c:f>'O1 &amp; Fig 2. GHG emissions'!$S$2:$BL$2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'O1 &amp; Fig 2. GHG emissions'!$S$15:$BL$15</c:f>
              <c:numCache>
                <c:formatCode>General</c:formatCode>
                <c:ptCount val="46"/>
                <c:pt idx="25" formatCode="0">
                  <c:v>2149.8272168558128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E0A-4E0F-8F83-679AD484A578}"/>
            </c:ext>
          </c:extLst>
        </c:ser>
        <c:ser>
          <c:idx val="11"/>
          <c:order val="13"/>
          <c:tx>
            <c:strRef>
              <c:f>'O1 &amp; Fig 2. GHG emissions'!$A$18</c:f>
              <c:strCache>
                <c:ptCount val="1"/>
                <c:pt idx="0">
                  <c:v>2050 (climate neutrality)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3D5584"/>
              </a:solidFill>
              <a:ln w="9525">
                <a:noFill/>
              </a:ln>
              <a:effectLst/>
            </c:spPr>
          </c:marker>
          <c:cat>
            <c:strRef>
              <c:f>'O1 &amp; Fig 2. GHG emissions'!$S$2:$BL$2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'O1 &amp; Fig 2. GHG emissions'!$S$18:$BL$18</c:f>
              <c:numCache>
                <c:formatCode>General</c:formatCode>
                <c:ptCount val="46"/>
                <c:pt idx="4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E0A-4E0F-8F83-679AD484A5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4801823"/>
        <c:axId val="968169439"/>
      </c:lineChart>
      <c:catAx>
        <c:axId val="964801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DK"/>
          </a:p>
        </c:txPr>
        <c:crossAx val="968169439"/>
        <c:crosses val="autoZero"/>
        <c:auto val="1"/>
        <c:lblAlgn val="ctr"/>
        <c:lblOffset val="100"/>
        <c:noMultiLvlLbl val="0"/>
      </c:catAx>
      <c:valAx>
        <c:axId val="968169439"/>
        <c:scaling>
          <c:orientation val="minMax"/>
          <c:max val="5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r>
                  <a:rPr lang="en-US"/>
                  <a:t>Mt CO2e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DK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DK"/>
          </a:p>
        </c:txPr>
        <c:crossAx val="964801823"/>
        <c:crosses val="autoZero"/>
        <c:crossBetween val="between"/>
        <c:majorUnit val="1000"/>
      </c:valAx>
      <c:spPr>
        <a:noFill/>
        <a:ln>
          <a:noFill/>
        </a:ln>
        <a:effectLst/>
      </c:spPr>
    </c:plotArea>
    <c:legend>
      <c:legendPos val="r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Segoe UI" panose="020B0502040204020203" pitchFamily="34" charset="0"/>
          <a:cs typeface="Segoe UI" panose="020B0502040204020203" pitchFamily="34" charset="0"/>
        </a:defRPr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'O1 &amp; Fig 2. GHG emissions'!$S$38</c:f>
              <c:strCache>
                <c:ptCount val="1"/>
                <c:pt idx="0">
                  <c:v>2005</c:v>
                </c:pt>
              </c:strCache>
            </c:strRef>
          </c:tx>
          <c:spPr>
            <a:solidFill>
              <a:srgbClr val="3D5584"/>
            </a:solidFill>
            <a:ln>
              <a:noFill/>
            </a:ln>
            <a:effectLst/>
          </c:spPr>
          <c:invertIfNegative val="0"/>
          <c:cat>
            <c:strRef>
              <c:f>'O1 &amp; Fig 2. GHG emissions'!$A$39:$A$45</c:f>
              <c:strCache>
                <c:ptCount val="7"/>
                <c:pt idx="0">
                  <c:v>Energy supply</c:v>
                </c:pt>
                <c:pt idx="1">
                  <c:v>Industry</c:v>
                </c:pt>
                <c:pt idx="2">
                  <c:v>Transport (incl. int. bunkers)</c:v>
                </c:pt>
                <c:pt idx="3">
                  <c:v>Buildings and agriculture energy</c:v>
                </c:pt>
                <c:pt idx="4">
                  <c:v>Agriculture (non-energy)</c:v>
                </c:pt>
                <c:pt idx="5">
                  <c:v>Waste and other sectors</c:v>
                </c:pt>
                <c:pt idx="6">
                  <c:v>LULUCF</c:v>
                </c:pt>
              </c:strCache>
            </c:strRef>
          </c:cat>
          <c:val>
            <c:numRef>
              <c:f>'O1 &amp; Fig 2. GHG emissions'!$S$39:$S$45</c:f>
              <c:numCache>
                <c:formatCode>#,##0</c:formatCode>
                <c:ptCount val="7"/>
                <c:pt idx="0">
                  <c:v>1489.2308635829077</c:v>
                </c:pt>
                <c:pt idx="1">
                  <c:v>981.27375675773783</c:v>
                </c:pt>
                <c:pt idx="2">
                  <c:v>1041.4679184453867</c:v>
                </c:pt>
                <c:pt idx="3">
                  <c:v>665.03924099763537</c:v>
                </c:pt>
                <c:pt idx="4">
                  <c:v>389.22393811242966</c:v>
                </c:pt>
                <c:pt idx="5">
                  <c:v>169.72820383495673</c:v>
                </c:pt>
                <c:pt idx="6">
                  <c:v>-342.10947613129105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33-4BBD-BE00-5D5425292CDB}"/>
            </c:ext>
          </c:extLst>
        </c:ser>
        <c:ser>
          <c:idx val="1"/>
          <c:order val="1"/>
          <c:tx>
            <c:strRef>
              <c:f>'O1 &amp; Fig 2. GHG emissions'!$T$38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F26119"/>
            </a:solidFill>
            <a:ln>
              <a:noFill/>
            </a:ln>
            <a:effectLst/>
          </c:spPr>
          <c:invertIfNegative val="0"/>
          <c:cat>
            <c:strRef>
              <c:f>'O1 &amp; Fig 2. GHG emissions'!$A$39:$A$45</c:f>
              <c:strCache>
                <c:ptCount val="7"/>
                <c:pt idx="0">
                  <c:v>Energy supply</c:v>
                </c:pt>
                <c:pt idx="1">
                  <c:v>Industry</c:v>
                </c:pt>
                <c:pt idx="2">
                  <c:v>Transport (incl. int. bunkers)</c:v>
                </c:pt>
                <c:pt idx="3">
                  <c:v>Buildings and agriculture energy</c:v>
                </c:pt>
                <c:pt idx="4">
                  <c:v>Agriculture (non-energy)</c:v>
                </c:pt>
                <c:pt idx="5">
                  <c:v>Waste and other sectors</c:v>
                </c:pt>
                <c:pt idx="6">
                  <c:v>LULUCF</c:v>
                </c:pt>
              </c:strCache>
            </c:strRef>
          </c:cat>
          <c:val>
            <c:numRef>
              <c:f>'O1 &amp; Fig 2. GHG emissions'!$T$39:$T$45</c:f>
              <c:numCache>
                <c:formatCode>#,##0</c:formatCode>
                <c:ptCount val="7"/>
                <c:pt idx="0">
                  <c:v>924.33415739999998</c:v>
                </c:pt>
                <c:pt idx="1">
                  <c:v>691.32881325000005</c:v>
                </c:pt>
                <c:pt idx="2">
                  <c:v>994.38776737219143</c:v>
                </c:pt>
                <c:pt idx="3">
                  <c:v>481.83207028999999</c:v>
                </c:pt>
                <c:pt idx="4">
                  <c:v>370.64949144999997</c:v>
                </c:pt>
                <c:pt idx="5">
                  <c:v>115.14677466000023</c:v>
                </c:pt>
                <c:pt idx="6">
                  <c:v>-243.76728937000001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33-4BBD-BE00-5D5425292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4466144"/>
        <c:axId val="817705936"/>
      </c:barChart>
      <c:catAx>
        <c:axId val="1214466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DK"/>
          </a:p>
        </c:txPr>
        <c:crossAx val="817705936"/>
        <c:crosses val="autoZero"/>
        <c:auto val="1"/>
        <c:lblAlgn val="ctr"/>
        <c:lblOffset val="100"/>
        <c:noMultiLvlLbl val="0"/>
      </c:catAx>
      <c:valAx>
        <c:axId val="8177059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r>
                  <a:rPr lang="en-US" b="1"/>
                  <a:t>Mt CO2e</a:t>
                </a:r>
                <a:endParaRPr lang="en-DK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DK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DK"/>
          </a:p>
        </c:txPr>
        <c:crossAx val="1214466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Segoe UI" panose="020B0502040204020203" pitchFamily="34" charset="0"/>
          <a:cs typeface="Segoe UI" panose="020B0502040204020203" pitchFamily="34" charset="0"/>
        </a:defRPr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8"/>
          <c:order val="8"/>
          <c:tx>
            <c:strRef>
              <c:f>'O2. Primary &amp; final energy use'!$A$8</c:f>
              <c:strCache>
                <c:ptCount val="1"/>
                <c:pt idx="0">
                  <c:v>Solid fossil fuels</c:v>
                </c:pt>
              </c:strCache>
            </c:strRef>
          </c:tx>
          <c:spPr>
            <a:solidFill>
              <a:srgbClr val="2C2D2D"/>
            </a:solidFill>
            <a:ln>
              <a:noFill/>
            </a:ln>
            <a:effectLst/>
          </c:spPr>
          <c:invertIfNegative val="0"/>
          <c:val>
            <c:numRef>
              <c:f>'O2. Primary &amp; final energy use'!$E$8:$AX$8</c:f>
              <c:numCache>
                <c:formatCode>#,##0</c:formatCode>
                <c:ptCount val="46"/>
                <c:pt idx="0">
                  <c:v>338.53714665000001</c:v>
                </c:pt>
                <c:pt idx="1">
                  <c:v>354.50830001000003</c:v>
                </c:pt>
                <c:pt idx="2">
                  <c:v>346.73655251000008</c:v>
                </c:pt>
                <c:pt idx="3">
                  <c:v>339.56691337000007</c:v>
                </c:pt>
                <c:pt idx="4">
                  <c:v>303.42754899000005</c:v>
                </c:pt>
                <c:pt idx="5">
                  <c:v>323.55035649000007</c:v>
                </c:pt>
                <c:pt idx="6">
                  <c:v>319.69757009</c:v>
                </c:pt>
                <c:pt idx="7">
                  <c:v>307.91276316000005</c:v>
                </c:pt>
                <c:pt idx="8">
                  <c:v>294.22443924000004</c:v>
                </c:pt>
                <c:pt idx="9">
                  <c:v>275.89654779000006</c:v>
                </c:pt>
                <c:pt idx="10">
                  <c:v>278.68593351000004</c:v>
                </c:pt>
                <c:pt idx="11">
                  <c:v>281.33301455000003</c:v>
                </c:pt>
                <c:pt idx="12">
                  <c:v>283.24449809000004</c:v>
                </c:pt>
                <c:pt idx="13">
                  <c:v>268.59736208000004</c:v>
                </c:pt>
                <c:pt idx="14">
                  <c:v>235.48334449000001</c:v>
                </c:pt>
                <c:pt idx="15">
                  <c:v>227.07813415000004</c:v>
                </c:pt>
                <c:pt idx="16">
                  <c:v>225.52955313000001</c:v>
                </c:pt>
                <c:pt idx="45" formatCode="0">
                  <c:v>6.839900184756436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D2-4946-B00F-D645A55BC362}"/>
            </c:ext>
          </c:extLst>
        </c:ser>
        <c:ser>
          <c:idx val="9"/>
          <c:order val="9"/>
          <c:tx>
            <c:strRef>
              <c:f>'O2. Primary &amp; final energy use'!$A$9</c:f>
              <c:strCache>
                <c:ptCount val="1"/>
                <c:pt idx="0">
                  <c:v>Oil products</c:v>
                </c:pt>
              </c:strCache>
            </c:strRef>
          </c:tx>
          <c:spPr>
            <a:solidFill>
              <a:srgbClr val="3D5584"/>
            </a:solidFill>
            <a:ln>
              <a:noFill/>
            </a:ln>
            <a:effectLst/>
          </c:spPr>
          <c:invertIfNegative val="0"/>
          <c:val>
            <c:numRef>
              <c:f>'O2. Primary &amp; final energy use'!$E$9:$AX$9</c:f>
              <c:numCache>
                <c:formatCode>#,##0</c:formatCode>
                <c:ptCount val="46"/>
                <c:pt idx="0">
                  <c:v>5078.9422427500003</c:v>
                </c:pt>
                <c:pt idx="1">
                  <c:v>5080.4668543400003</c:v>
                </c:pt>
                <c:pt idx="2">
                  <c:v>4942.03358037</c:v>
                </c:pt>
                <c:pt idx="3">
                  <c:v>4945.2475192400007</c:v>
                </c:pt>
                <c:pt idx="4">
                  <c:v>4686.3010568</c:v>
                </c:pt>
                <c:pt idx="5">
                  <c:v>4636.9408828700007</c:v>
                </c:pt>
                <c:pt idx="6">
                  <c:v>4516.7296673500005</c:v>
                </c:pt>
                <c:pt idx="7">
                  <c:v>4359.8925464000004</c:v>
                </c:pt>
                <c:pt idx="8">
                  <c:v>4314.5465367500001</c:v>
                </c:pt>
                <c:pt idx="9">
                  <c:v>4262.8127612300004</c:v>
                </c:pt>
                <c:pt idx="10">
                  <c:v>4340.1133356200007</c:v>
                </c:pt>
                <c:pt idx="11">
                  <c:v>4408.8094545100003</c:v>
                </c:pt>
                <c:pt idx="12">
                  <c:v>4471.668127500001</c:v>
                </c:pt>
                <c:pt idx="13">
                  <c:v>4478.7676377400012</c:v>
                </c:pt>
                <c:pt idx="14">
                  <c:v>4506.1918988000007</c:v>
                </c:pt>
                <c:pt idx="15">
                  <c:v>3813.3298339799999</c:v>
                </c:pt>
                <c:pt idx="16">
                  <c:v>4058.8654177800004</c:v>
                </c:pt>
                <c:pt idx="45" formatCode="0">
                  <c:v>162.63783873057804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D2-4946-B00F-D645A55BC362}"/>
            </c:ext>
          </c:extLst>
        </c:ser>
        <c:ser>
          <c:idx val="10"/>
          <c:order val="10"/>
          <c:tx>
            <c:strRef>
              <c:f>'O2. Primary &amp; final energy use'!$A$10</c:f>
              <c:strCache>
                <c:ptCount val="1"/>
                <c:pt idx="0">
                  <c:v>Fossil gases</c:v>
                </c:pt>
              </c:strCache>
            </c:strRef>
          </c:tx>
          <c:spPr>
            <a:solidFill>
              <a:srgbClr val="648ECA"/>
            </a:solidFill>
            <a:ln>
              <a:noFill/>
            </a:ln>
            <a:effectLst/>
          </c:spPr>
          <c:invertIfNegative val="0"/>
          <c:val>
            <c:numRef>
              <c:f>'O2. Primary &amp; final energy use'!$E$10:$AX$10</c:f>
              <c:numCache>
                <c:formatCode>#,##0</c:formatCode>
                <c:ptCount val="46"/>
                <c:pt idx="0">
                  <c:v>2665.7096832500001</c:v>
                </c:pt>
                <c:pt idx="1">
                  <c:v>2609.3760450200002</c:v>
                </c:pt>
                <c:pt idx="2">
                  <c:v>2489.0672421700006</c:v>
                </c:pt>
                <c:pt idx="3">
                  <c:v>2528.8634390800003</c:v>
                </c:pt>
                <c:pt idx="4">
                  <c:v>2366.0323324300002</c:v>
                </c:pt>
                <c:pt idx="5">
                  <c:v>2591.6297931300001</c:v>
                </c:pt>
                <c:pt idx="6">
                  <c:v>2385.6285567900004</c:v>
                </c:pt>
                <c:pt idx="7">
                  <c:v>2444.1025802200002</c:v>
                </c:pt>
                <c:pt idx="8">
                  <c:v>2496.3840938500007</c:v>
                </c:pt>
                <c:pt idx="9">
                  <c:v>2224.7788765</c:v>
                </c:pt>
                <c:pt idx="10">
                  <c:v>2294.9582855900003</c:v>
                </c:pt>
                <c:pt idx="11">
                  <c:v>2383.5705119900003</c:v>
                </c:pt>
                <c:pt idx="12">
                  <c:v>2400.6943146500003</c:v>
                </c:pt>
                <c:pt idx="13">
                  <c:v>2405.51997381</c:v>
                </c:pt>
                <c:pt idx="14">
                  <c:v>2368.8223345400006</c:v>
                </c:pt>
                <c:pt idx="15">
                  <c:v>2305.4849358600004</c:v>
                </c:pt>
                <c:pt idx="16">
                  <c:v>2517.5241890800003</c:v>
                </c:pt>
                <c:pt idx="45" formatCode="0">
                  <c:v>88.767532694491194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D2-4946-B00F-D645A55BC362}"/>
            </c:ext>
          </c:extLst>
        </c:ser>
        <c:ser>
          <c:idx val="11"/>
          <c:order val="11"/>
          <c:tx>
            <c:strRef>
              <c:f>'O2. Primary &amp; final energy use'!$A$11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0CBD9"/>
            </a:solidFill>
            <a:ln>
              <a:noFill/>
            </a:ln>
            <a:effectLst/>
          </c:spPr>
          <c:invertIfNegative val="0"/>
          <c:val>
            <c:numRef>
              <c:f>'O2. Primary &amp; final energy use'!$E$11:$AX$11</c:f>
              <c:numCache>
                <c:formatCode>#,##0</c:formatCode>
                <c:ptCount val="46"/>
                <c:pt idx="0">
                  <c:v>2435.6736912000001</c:v>
                </c:pt>
                <c:pt idx="1">
                  <c:v>2487.9652764100006</c:v>
                </c:pt>
                <c:pt idx="2">
                  <c:v>2507.6015544900006</c:v>
                </c:pt>
                <c:pt idx="3">
                  <c:v>2521.0476604</c:v>
                </c:pt>
                <c:pt idx="4">
                  <c:v>2392.8325858400003</c:v>
                </c:pt>
                <c:pt idx="5">
                  <c:v>2510.6553482600002</c:v>
                </c:pt>
                <c:pt idx="6">
                  <c:v>2475.4540247900004</c:v>
                </c:pt>
                <c:pt idx="7">
                  <c:v>2484.0506765600003</c:v>
                </c:pt>
                <c:pt idx="8">
                  <c:v>2461.2761476500004</c:v>
                </c:pt>
                <c:pt idx="9">
                  <c:v>2409.2160808500003</c:v>
                </c:pt>
                <c:pt idx="10">
                  <c:v>2449.9644607500004</c:v>
                </c:pt>
                <c:pt idx="11">
                  <c:v>2481.1839746000005</c:v>
                </c:pt>
                <c:pt idx="12">
                  <c:v>2505.5827376800003</c:v>
                </c:pt>
                <c:pt idx="13">
                  <c:v>2505.7210183800003</c:v>
                </c:pt>
                <c:pt idx="14">
                  <c:v>2478.8455421300005</c:v>
                </c:pt>
                <c:pt idx="15">
                  <c:v>2384.3261712400003</c:v>
                </c:pt>
                <c:pt idx="16">
                  <c:v>2487.2038137900004</c:v>
                </c:pt>
                <c:pt idx="45" formatCode="0">
                  <c:v>3439.0983551895224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7D2-4946-B00F-D645A55BC362}"/>
            </c:ext>
          </c:extLst>
        </c:ser>
        <c:ser>
          <c:idx val="12"/>
          <c:order val="12"/>
          <c:tx>
            <c:strRef>
              <c:f>'O2. Primary &amp; final energy use'!$A$12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2E422F"/>
            </a:solidFill>
            <a:ln>
              <a:noFill/>
            </a:ln>
            <a:effectLst/>
          </c:spPr>
          <c:invertIfNegative val="0"/>
          <c:val>
            <c:numRef>
              <c:f>'O2. Primary &amp; final energy use'!$E$12:$AX$12</c:f>
              <c:numCache>
                <c:formatCode>0</c:formatCode>
                <c:ptCount val="46"/>
                <c:pt idx="0">
                  <c:v>692.08621589000006</c:v>
                </c:pt>
                <c:pt idx="1">
                  <c:v>744.19388428000013</c:v>
                </c:pt>
                <c:pt idx="2">
                  <c:v>815.54688829999998</c:v>
                </c:pt>
                <c:pt idx="3">
                  <c:v>870.34010977000003</c:v>
                </c:pt>
                <c:pt idx="4">
                  <c:v>898.78376359000015</c:v>
                </c:pt>
                <c:pt idx="5">
                  <c:v>975.02217008000002</c:v>
                </c:pt>
                <c:pt idx="6">
                  <c:v>937.10441588000003</c:v>
                </c:pt>
                <c:pt idx="7">
                  <c:v>1011.0632028100001</c:v>
                </c:pt>
                <c:pt idx="8">
                  <c:v>1016.88608795</c:v>
                </c:pt>
                <c:pt idx="9">
                  <c:v>976.11270355000022</c:v>
                </c:pt>
                <c:pt idx="10">
                  <c:v>1013.1034537100002</c:v>
                </c:pt>
                <c:pt idx="11">
                  <c:v>1026.7285918400003</c:v>
                </c:pt>
                <c:pt idx="12">
                  <c:v>1098.1946743500002</c:v>
                </c:pt>
                <c:pt idx="13">
                  <c:v>1153.5869454900001</c:v>
                </c:pt>
                <c:pt idx="14">
                  <c:v>1176.4413027200001</c:v>
                </c:pt>
                <c:pt idx="15">
                  <c:v>1170.5314019200002</c:v>
                </c:pt>
                <c:pt idx="16">
                  <c:v>1249.14948086</c:v>
                </c:pt>
                <c:pt idx="45">
                  <c:v>947.1018252335906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7D2-4946-B00F-D645A55BC362}"/>
            </c:ext>
          </c:extLst>
        </c:ser>
        <c:ser>
          <c:idx val="15"/>
          <c:order val="13"/>
          <c:tx>
            <c:strRef>
              <c:f>'O2. Primary &amp; final energy use'!$A$13</c:f>
              <c:strCache>
                <c:ptCount val="1"/>
                <c:pt idx="0">
                  <c:v>Other renewables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'O2. Primary &amp; final energy use'!$E$13:$AX$13</c:f>
              <c:numCache>
                <c:formatCode>0</c:formatCode>
                <c:ptCount val="46"/>
                <c:pt idx="0">
                  <c:v>13.659679230000002</c:v>
                </c:pt>
                <c:pt idx="1">
                  <c:v>14.800244960000002</c:v>
                </c:pt>
                <c:pt idx="2">
                  <c:v>16.198182590000002</c:v>
                </c:pt>
                <c:pt idx="3">
                  <c:v>18.330043</c:v>
                </c:pt>
                <c:pt idx="4">
                  <c:v>20.595287880000001</c:v>
                </c:pt>
                <c:pt idx="5">
                  <c:v>22.251469660000005</c:v>
                </c:pt>
                <c:pt idx="6">
                  <c:v>24.464984300000005</c:v>
                </c:pt>
                <c:pt idx="7">
                  <c:v>25.730491120000003</c:v>
                </c:pt>
                <c:pt idx="8">
                  <c:v>26.927008780000005</c:v>
                </c:pt>
                <c:pt idx="9">
                  <c:v>28.010017640000001</c:v>
                </c:pt>
                <c:pt idx="10">
                  <c:v>29.320148770000007</c:v>
                </c:pt>
                <c:pt idx="11">
                  <c:v>30.350624920000005</c:v>
                </c:pt>
                <c:pt idx="12">
                  <c:v>31.486794510000003</c:v>
                </c:pt>
                <c:pt idx="13">
                  <c:v>33.354712069999998</c:v>
                </c:pt>
                <c:pt idx="14">
                  <c:v>34.206656090000003</c:v>
                </c:pt>
                <c:pt idx="15">
                  <c:v>34.982470130000003</c:v>
                </c:pt>
                <c:pt idx="16">
                  <c:v>35.294630960000006</c:v>
                </c:pt>
                <c:pt idx="45">
                  <c:v>644.42359653137999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7D2-4946-B00F-D645A55BC362}"/>
            </c:ext>
          </c:extLst>
        </c:ser>
        <c:ser>
          <c:idx val="14"/>
          <c:order val="14"/>
          <c:tx>
            <c:strRef>
              <c:f>'O2. Primary &amp; final energy use'!$A$15</c:f>
              <c:strCache>
                <c:ptCount val="1"/>
                <c:pt idx="0">
                  <c:v>H2 and derivates</c:v>
                </c:pt>
              </c:strCache>
            </c:strRef>
          </c:tx>
          <c:spPr>
            <a:solidFill>
              <a:srgbClr val="F26119"/>
            </a:solidFill>
            <a:ln>
              <a:noFill/>
            </a:ln>
            <a:effectLst/>
          </c:spPr>
          <c:invertIfNegative val="0"/>
          <c:val>
            <c:numRef>
              <c:f>'O2. Primary &amp; final energy use'!$E$15:$AX$15</c:f>
              <c:numCache>
                <c:formatCode>0</c:formatCode>
                <c:ptCount val="46"/>
                <c:pt idx="45">
                  <c:v>1329.8161603892668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7D2-4946-B00F-D645A55BC362}"/>
            </c:ext>
          </c:extLst>
        </c:ser>
        <c:ser>
          <c:idx val="13"/>
          <c:order val="15"/>
          <c:tx>
            <c:strRef>
              <c:f>'O2. Primary &amp; final energy use'!$A$14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rgbClr val="EFE973"/>
            </a:solidFill>
            <a:ln>
              <a:noFill/>
            </a:ln>
            <a:effectLst/>
          </c:spPr>
          <c:invertIfNegative val="0"/>
          <c:val>
            <c:numRef>
              <c:f>'O2. Primary &amp; final energy use'!$E$14:$AX$14</c:f>
              <c:numCache>
                <c:formatCode>0</c:formatCode>
                <c:ptCount val="46"/>
                <c:pt idx="0">
                  <c:v>612.3150806000001</c:v>
                </c:pt>
                <c:pt idx="1">
                  <c:v>602.4865210800001</c:v>
                </c:pt>
                <c:pt idx="2">
                  <c:v>576.15863175000004</c:v>
                </c:pt>
                <c:pt idx="3">
                  <c:v>586.07904501000007</c:v>
                </c:pt>
                <c:pt idx="4">
                  <c:v>578.98280280000017</c:v>
                </c:pt>
                <c:pt idx="5">
                  <c:v>632.29160596000008</c:v>
                </c:pt>
                <c:pt idx="6">
                  <c:v>585.54846114999998</c:v>
                </c:pt>
                <c:pt idx="7">
                  <c:v>599.34930531999998</c:v>
                </c:pt>
                <c:pt idx="8">
                  <c:v>602.9144004100001</c:v>
                </c:pt>
                <c:pt idx="9">
                  <c:v>560.07907516</c:v>
                </c:pt>
                <c:pt idx="10">
                  <c:v>567.72878907000006</c:v>
                </c:pt>
                <c:pt idx="11">
                  <c:v>593.87834398000018</c:v>
                </c:pt>
                <c:pt idx="12">
                  <c:v>596.65771627000004</c:v>
                </c:pt>
                <c:pt idx="13">
                  <c:v>589.27567844000009</c:v>
                </c:pt>
                <c:pt idx="14">
                  <c:v>589.55251896000004</c:v>
                </c:pt>
                <c:pt idx="15">
                  <c:v>568.15734294000015</c:v>
                </c:pt>
                <c:pt idx="16">
                  <c:v>607.85182387000009</c:v>
                </c:pt>
                <c:pt idx="45">
                  <c:v>539.42217443376046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7D2-4946-B00F-D645A55BC3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01362720"/>
        <c:axId val="751604736"/>
      </c:barChart>
      <c:lineChart>
        <c:grouping val="standard"/>
        <c:varyColors val="0"/>
        <c:ser>
          <c:idx val="0"/>
          <c:order val="0"/>
          <c:tx>
            <c:strRef>
              <c:f>'O2. Primary &amp; final energy use'!$A$7</c:f>
              <c:strCache>
                <c:ptCount val="1"/>
                <c:pt idx="0">
                  <c:v>FEC</c:v>
                </c:pt>
              </c:strCache>
            </c:strRef>
          </c:tx>
          <c:spPr>
            <a:ln w="19050" cap="rnd">
              <a:solidFill>
                <a:srgbClr val="4F3A66"/>
              </a:solidFill>
              <a:round/>
            </a:ln>
            <a:effectLst/>
          </c:spPr>
          <c:marker>
            <c:symbol val="none"/>
          </c:marker>
          <c:cat>
            <c:strRef>
              <c:f>'O2. Primary &amp; final energy use'!$E$2:$AX$2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'O2. Primary &amp; final energy use'!$E$7:$AX$7</c:f>
              <c:numCache>
                <c:formatCode>#,##0</c:formatCode>
                <c:ptCount val="46"/>
                <c:pt idx="0">
                  <c:v>12109.823189840003</c:v>
                </c:pt>
                <c:pt idx="1">
                  <c:v>12163.190049960003</c:v>
                </c:pt>
                <c:pt idx="2">
                  <c:v>11961.649523380003</c:v>
                </c:pt>
                <c:pt idx="3">
                  <c:v>12056.965967950004</c:v>
                </c:pt>
                <c:pt idx="4">
                  <c:v>11407.051888190001</c:v>
                </c:pt>
                <c:pt idx="5">
                  <c:v>11914.971471680003</c:v>
                </c:pt>
                <c:pt idx="6">
                  <c:v>11450.914177330002</c:v>
                </c:pt>
                <c:pt idx="7">
                  <c:v>11427.202723990002</c:v>
                </c:pt>
                <c:pt idx="8">
                  <c:v>11401.459056080001</c:v>
                </c:pt>
                <c:pt idx="9">
                  <c:v>10918.078307390002</c:v>
                </c:pt>
                <c:pt idx="10">
                  <c:v>11140.028576830002</c:v>
                </c:pt>
                <c:pt idx="11">
                  <c:v>11361.160047750003</c:v>
                </c:pt>
                <c:pt idx="12">
                  <c:v>11502.073012170002</c:v>
                </c:pt>
                <c:pt idx="13">
                  <c:v>11531.881434860003</c:v>
                </c:pt>
                <c:pt idx="14">
                  <c:v>11466.808014450004</c:v>
                </c:pt>
                <c:pt idx="15">
                  <c:v>10539.724471770003</c:v>
                </c:pt>
                <c:pt idx="16">
                  <c:v>11262.798287680002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9F-40D5-892C-BA2AB52D01BA}"/>
            </c:ext>
          </c:extLst>
        </c:ser>
        <c:ser>
          <c:idx val="1"/>
          <c:order val="1"/>
          <c:tx>
            <c:strRef>
              <c:f>'O2. Primary &amp; final energy use'!$A$6</c:f>
              <c:strCache>
                <c:ptCount val="1"/>
                <c:pt idx="0">
                  <c:v>PEC</c:v>
                </c:pt>
              </c:strCache>
            </c:strRef>
          </c:tx>
          <c:spPr>
            <a:ln w="19050" cap="rnd">
              <a:solidFill>
                <a:srgbClr val="F59E2D"/>
              </a:solidFill>
              <a:round/>
            </a:ln>
            <a:effectLst/>
          </c:spPr>
          <c:marker>
            <c:symbol val="none"/>
          </c:marker>
          <c:cat>
            <c:strRef>
              <c:f>'O2. Primary &amp; final energy use'!$E$2:$AX$2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'O2. Primary &amp; final energy use'!$E$6:$AX$6</c:f>
              <c:numCache>
                <c:formatCode>#,##0</c:formatCode>
                <c:ptCount val="46"/>
                <c:pt idx="0">
                  <c:v>17418.938344630005</c:v>
                </c:pt>
                <c:pt idx="1">
                  <c:v>17573.145375970005</c:v>
                </c:pt>
                <c:pt idx="2">
                  <c:v>17330.618577840003</c:v>
                </c:pt>
                <c:pt idx="3">
                  <c:v>17314.322354350006</c:v>
                </c:pt>
                <c:pt idx="4">
                  <c:v>16319.305609150004</c:v>
                </c:pt>
                <c:pt idx="5">
                  <c:v>16951.353136300004</c:v>
                </c:pt>
                <c:pt idx="6">
                  <c:v>16423.064200940004</c:v>
                </c:pt>
                <c:pt idx="7">
                  <c:v>16237.603940380004</c:v>
                </c:pt>
                <c:pt idx="8">
                  <c:v>16097.665162910003</c:v>
                </c:pt>
                <c:pt idx="9">
                  <c:v>15473.208513500002</c:v>
                </c:pt>
                <c:pt idx="10">
                  <c:v>15731.959615200005</c:v>
                </c:pt>
                <c:pt idx="11">
                  <c:v>15864.123842340005</c:v>
                </c:pt>
                <c:pt idx="12">
                  <c:v>16093.571949520003</c:v>
                </c:pt>
                <c:pt idx="13">
                  <c:v>16018.454488950005</c:v>
                </c:pt>
                <c:pt idx="14">
                  <c:v>15747.904391720003</c:v>
                </c:pt>
                <c:pt idx="15">
                  <c:v>14372.129238620004</c:v>
                </c:pt>
                <c:pt idx="16">
                  <c:v>15248.247818560003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9F-40D5-892C-BA2AB52D01BA}"/>
            </c:ext>
          </c:extLst>
        </c:ser>
        <c:ser>
          <c:idx val="2"/>
          <c:order val="2"/>
          <c:tx>
            <c:strRef>
              <c:f>'O2. Primary &amp; final energy use'!$A$16</c:f>
              <c:strCache>
                <c:ptCount val="1"/>
                <c:pt idx="0">
                  <c:v>FEC benchmark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4F3A66"/>
              </a:solidFill>
              <a:ln w="9525">
                <a:noFill/>
              </a:ln>
              <a:effectLst/>
            </c:spPr>
          </c:marker>
          <c:cat>
            <c:strRef>
              <c:f>'O2. Primary &amp; final energy use'!$E$2:$AX$2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'O2. Primary &amp; final energy use'!$E$16:$AX$16</c:f>
              <c:numCache>
                <c:formatCode>#,##0</c:formatCode>
                <c:ptCount val="46"/>
                <c:pt idx="25" formatCode="General">
                  <c:v>8873.6900000000023</c:v>
                </c:pt>
                <c:pt idx="45" formatCode="0">
                  <c:v>7158.1073833873461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9F-40D5-892C-BA2AB52D01BA}"/>
            </c:ext>
          </c:extLst>
        </c:ser>
        <c:ser>
          <c:idx val="3"/>
          <c:order val="3"/>
          <c:tx>
            <c:strRef>
              <c:f>'O2. Primary &amp; final energy use'!$A$17</c:f>
              <c:strCache>
                <c:ptCount val="1"/>
                <c:pt idx="0">
                  <c:v>PEC benchmark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59E2D"/>
              </a:solidFill>
              <a:ln w="9525">
                <a:noFill/>
              </a:ln>
              <a:effectLst/>
            </c:spPr>
          </c:marker>
          <c:cat>
            <c:strRef>
              <c:f>'O2. Primary &amp; final energy use'!$E$2:$AX$2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'O2. Primary &amp; final energy use'!$E$17:$AX$17</c:f>
              <c:numCache>
                <c:formatCode>#,##0</c:formatCode>
                <c:ptCount val="46"/>
                <c:pt idx="25" formatCode="General">
                  <c:v>11542.775000000003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A9F-40D5-892C-BA2AB52D01BA}"/>
            </c:ext>
          </c:extLst>
        </c:ser>
        <c:ser>
          <c:idx val="6"/>
          <c:order val="6"/>
          <c:tx>
            <c:strRef>
              <c:f>'O2. Primary &amp; final energy use'!$A$20</c:f>
              <c:strCache>
                <c:ptCount val="1"/>
                <c:pt idx="0">
                  <c:v>FEC - 2040 advice scenarios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rgbClr val="4F3A66"/>
              </a:solidFill>
              <a:ln w="9525">
                <a:noFill/>
              </a:ln>
              <a:effectLst/>
            </c:spPr>
          </c:marker>
          <c:val>
            <c:numRef>
              <c:f>'O2. Primary &amp; final energy use'!$E$20:$AX$20</c:f>
              <c:numCache>
                <c:formatCode>#,##0</c:formatCode>
                <c:ptCount val="46"/>
                <c:pt idx="25" formatCode="0">
                  <c:v>9428.6201407865174</c:v>
                </c:pt>
                <c:pt idx="35">
                  <c:v>6817.3605723745241</c:v>
                </c:pt>
                <c:pt idx="45">
                  <c:v>6115.2301764271378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F0-406E-AF13-2DDA059416E2}"/>
            </c:ext>
          </c:extLst>
        </c:ser>
        <c:ser>
          <c:idx val="7"/>
          <c:order val="7"/>
          <c:tx>
            <c:strRef>
              <c:f>'O2. Primary &amp; final energy use'!$A$21</c:f>
              <c:strCache>
                <c:ptCount val="1"/>
                <c:pt idx="0">
                  <c:v>PEC - 2040 advice scenarios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rgbClr val="F59E2D"/>
              </a:solidFill>
              <a:ln w="9525">
                <a:noFill/>
              </a:ln>
              <a:effectLst/>
            </c:spPr>
          </c:marker>
          <c:val>
            <c:numRef>
              <c:f>'O2. Primary &amp; final energy use'!$E$21:$AX$21</c:f>
              <c:numCache>
                <c:formatCode>#,##0</c:formatCode>
                <c:ptCount val="46"/>
                <c:pt idx="25">
                  <c:v>12768.988817928055</c:v>
                </c:pt>
                <c:pt idx="35">
                  <c:v>9580.9355230800466</c:v>
                </c:pt>
                <c:pt idx="45">
                  <c:v>8926.0799204685445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F0-406E-AF13-2DDA059416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1362720"/>
        <c:axId val="751604736"/>
        <c:extLst>
          <c:ext xmlns:c15="http://schemas.microsoft.com/office/drawing/2012/chart" uri="{02D57815-91ED-43cb-92C2-25804820EDAC}">
            <c15:filteredLin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'O2. Primary &amp; final energy use'!$A$18</c15:sqref>
                        </c15:formulaRef>
                      </c:ext>
                    </c:extLst>
                    <c:strCache>
                      <c:ptCount val="1"/>
                      <c:pt idx="0">
                        <c:v>linear trajectory - FEC</c:v>
                      </c:pt>
                    </c:strCache>
                  </c:strRef>
                </c:tx>
                <c:spPr>
                  <a:ln w="12700" cap="rnd">
                    <a:solidFill>
                      <a:sysClr val="windowText" lastClr="000000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'O2. Primary &amp; final energy use'!$E$2:$AX$2</c15:sqref>
                        </c15:formulaRef>
                      </c:ext>
                    </c:extLst>
                    <c:strCache>
                      <c:ptCount val="46"/>
                      <c:pt idx="0">
                        <c:v>2005</c:v>
                      </c:pt>
                      <c:pt idx="5">
                        <c:v>2010</c:v>
                      </c:pt>
                      <c:pt idx="10">
                        <c:v>2015</c:v>
                      </c:pt>
                      <c:pt idx="15">
                        <c:v>2020</c:v>
                      </c:pt>
                      <c:pt idx="20">
                        <c:v>2025</c:v>
                      </c:pt>
                      <c:pt idx="25">
                        <c:v>2030</c:v>
                      </c:pt>
                      <c:pt idx="30">
                        <c:v>2035</c:v>
                      </c:pt>
                      <c:pt idx="35">
                        <c:v>2040</c:v>
                      </c:pt>
                      <c:pt idx="40">
                        <c:v>2045</c:v>
                      </c:pt>
                      <c:pt idx="45">
                        <c:v>2050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'O2. Primary &amp; final energy use'!$E$18:$AX$18</c15:sqref>
                        </c15:formulaRef>
                      </c:ext>
                    </c:extLst>
                    <c:numCache>
                      <c:formatCode>#,##0</c:formatCode>
                      <c:ptCount val="46"/>
                      <c:pt idx="16">
                        <c:v>11262.798287680002</c:v>
                      </c:pt>
                      <c:pt idx="17">
                        <c:v>10997.341811271113</c:v>
                      </c:pt>
                      <c:pt idx="18">
                        <c:v>10731.885334862225</c:v>
                      </c:pt>
                      <c:pt idx="19">
                        <c:v>10466.428858453337</c:v>
                      </c:pt>
                      <c:pt idx="20">
                        <c:v>10200.972382044449</c:v>
                      </c:pt>
                      <c:pt idx="21">
                        <c:v>9935.5159056355606</c:v>
                      </c:pt>
                      <c:pt idx="22">
                        <c:v>9670.0594292266724</c:v>
                      </c:pt>
                      <c:pt idx="23">
                        <c:v>9404.6029528177842</c:v>
                      </c:pt>
                      <c:pt idx="24">
                        <c:v>9139.146476408896</c:v>
                      </c:pt>
                      <c:pt idx="25">
                        <c:v>8873.6900000000078</c:v>
                      </c:pt>
                      <c:pt idx="26">
                        <c:v>8735.7670088213636</c:v>
                      </c:pt>
                      <c:pt idx="27">
                        <c:v>8597.8440176427193</c:v>
                      </c:pt>
                      <c:pt idx="28">
                        <c:v>8459.9210264640751</c:v>
                      </c:pt>
                      <c:pt idx="29">
                        <c:v>8321.9980352854309</c:v>
                      </c:pt>
                      <c:pt idx="30">
                        <c:v>8184.0750441067876</c:v>
                      </c:pt>
                      <c:pt idx="31">
                        <c:v>8046.1520529281443</c:v>
                      </c:pt>
                      <c:pt idx="32">
                        <c:v>7908.2290617495009</c:v>
                      </c:pt>
                      <c:pt idx="33">
                        <c:v>7770.3060705708576</c:v>
                      </c:pt>
                      <c:pt idx="34">
                        <c:v>7632.3830793922143</c:v>
                      </c:pt>
                      <c:pt idx="35">
                        <c:v>7494.460088213571</c:v>
                      </c:pt>
                      <c:pt idx="36">
                        <c:v>7356.5370970349277</c:v>
                      </c:pt>
                      <c:pt idx="37">
                        <c:v>7218.6141058562844</c:v>
                      </c:pt>
                      <c:pt idx="38">
                        <c:v>7080.6911146776411</c:v>
                      </c:pt>
                      <c:pt idx="39">
                        <c:v>6942.7681234989977</c:v>
                      </c:pt>
                      <c:pt idx="40">
                        <c:v>6804.8451323203544</c:v>
                      </c:pt>
                      <c:pt idx="41">
                        <c:v>6666.9221411417111</c:v>
                      </c:pt>
                      <c:pt idx="42">
                        <c:v>6528.9991499630678</c:v>
                      </c:pt>
                      <c:pt idx="43">
                        <c:v>6391.0761587844245</c:v>
                      </c:pt>
                      <c:pt idx="44">
                        <c:v>6253.1531676057812</c:v>
                      </c:pt>
                      <c:pt idx="45">
                        <c:v>6115.2301764271378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2A9F-40D5-892C-BA2AB52D01BA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'O2. Primary &amp; final energy use'!$A$19</c15:sqref>
                        </c15:formulaRef>
                      </c:ext>
                    </c:extLst>
                    <c:strCache>
                      <c:ptCount val="1"/>
                      <c:pt idx="0">
                        <c:v>linear trajectory - PEC</c:v>
                      </c:pt>
                    </c:strCache>
                  </c:strRef>
                </c:tx>
                <c:spPr>
                  <a:ln w="12700" cap="rnd">
                    <a:solidFill>
                      <a:sysClr val="windowText" lastClr="000000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'O2. Primary &amp; final energy use'!$E$2:$AX$2</c15:sqref>
                        </c15:formulaRef>
                      </c:ext>
                    </c:extLst>
                    <c:strCache>
                      <c:ptCount val="46"/>
                      <c:pt idx="0">
                        <c:v>2005</c:v>
                      </c:pt>
                      <c:pt idx="5">
                        <c:v>2010</c:v>
                      </c:pt>
                      <c:pt idx="10">
                        <c:v>2015</c:v>
                      </c:pt>
                      <c:pt idx="15">
                        <c:v>2020</c:v>
                      </c:pt>
                      <c:pt idx="20">
                        <c:v>2025</c:v>
                      </c:pt>
                      <c:pt idx="25">
                        <c:v>2030</c:v>
                      </c:pt>
                      <c:pt idx="30">
                        <c:v>2035</c:v>
                      </c:pt>
                      <c:pt idx="35">
                        <c:v>2040</c:v>
                      </c:pt>
                      <c:pt idx="40">
                        <c:v>2045</c:v>
                      </c:pt>
                      <c:pt idx="45">
                        <c:v>2050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'O2. Primary &amp; final energy use'!$E$19:$AX$19</c15:sqref>
                        </c15:formulaRef>
                      </c:ext>
                    </c:extLst>
                    <c:numCache>
                      <c:formatCode>#,##0</c:formatCode>
                      <c:ptCount val="46"/>
                      <c:pt idx="16">
                        <c:v>15248.247818560003</c:v>
                      </c:pt>
                      <c:pt idx="17">
                        <c:v>14836.528616497781</c:v>
                      </c:pt>
                      <c:pt idx="18">
                        <c:v>14424.809414435558</c:v>
                      </c:pt>
                      <c:pt idx="19">
                        <c:v>14013.090212373336</c:v>
                      </c:pt>
                      <c:pt idx="20">
                        <c:v>13601.371010311113</c:v>
                      </c:pt>
                      <c:pt idx="21">
                        <c:v>13189.651808248891</c:v>
                      </c:pt>
                      <c:pt idx="22">
                        <c:v>12777.932606186669</c:v>
                      </c:pt>
                      <c:pt idx="23">
                        <c:v>12366.213404124446</c:v>
                      </c:pt>
                      <c:pt idx="24">
                        <c:v>11954.494202062224</c:v>
                      </c:pt>
                      <c:pt idx="25">
                        <c:v>11542.775000000001</c:v>
                      </c:pt>
                      <c:pt idx="26">
                        <c:v>11411.940246023429</c:v>
                      </c:pt>
                      <c:pt idx="27">
                        <c:v>11281.105492046856</c:v>
                      </c:pt>
                      <c:pt idx="28">
                        <c:v>11150.270738070283</c:v>
                      </c:pt>
                      <c:pt idx="29">
                        <c:v>11019.43598409371</c:v>
                      </c:pt>
                      <c:pt idx="30">
                        <c:v>10888.601230117138</c:v>
                      </c:pt>
                      <c:pt idx="31">
                        <c:v>10757.766476140565</c:v>
                      </c:pt>
                      <c:pt idx="32">
                        <c:v>10626.931722163992</c:v>
                      </c:pt>
                      <c:pt idx="33">
                        <c:v>10496.096968187419</c:v>
                      </c:pt>
                      <c:pt idx="34">
                        <c:v>10365.262214210847</c:v>
                      </c:pt>
                      <c:pt idx="35">
                        <c:v>10234.427460234274</c:v>
                      </c:pt>
                      <c:pt idx="36">
                        <c:v>10103.592706257701</c:v>
                      </c:pt>
                      <c:pt idx="37">
                        <c:v>9972.7579522811284</c:v>
                      </c:pt>
                      <c:pt idx="38">
                        <c:v>9841.9231983045556</c:v>
                      </c:pt>
                      <c:pt idx="39">
                        <c:v>9711.0884443279829</c:v>
                      </c:pt>
                      <c:pt idx="40">
                        <c:v>9580.2536903514101</c:v>
                      </c:pt>
                      <c:pt idx="41">
                        <c:v>9449.4189363748374</c:v>
                      </c:pt>
                      <c:pt idx="42">
                        <c:v>9318.5841823982646</c:v>
                      </c:pt>
                      <c:pt idx="43">
                        <c:v>9187.7494284216918</c:v>
                      </c:pt>
                      <c:pt idx="44">
                        <c:v>9056.9146744451191</c:v>
                      </c:pt>
                      <c:pt idx="45">
                        <c:v>8926.0799204685463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A9F-40D5-892C-BA2AB52D01BA}"/>
                  </c:ext>
                </c:extLst>
              </c15:ser>
            </c15:filteredLineSeries>
          </c:ext>
        </c:extLst>
      </c:lineChart>
      <c:catAx>
        <c:axId val="801362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DK"/>
          </a:p>
        </c:txPr>
        <c:crossAx val="751604736"/>
        <c:crosses val="autoZero"/>
        <c:auto val="1"/>
        <c:lblAlgn val="ctr"/>
        <c:lblOffset val="100"/>
        <c:noMultiLvlLbl val="0"/>
      </c:catAx>
      <c:valAx>
        <c:axId val="75160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r>
                  <a:rPr lang="en-US" b="1"/>
                  <a:t>TWh</a:t>
                </a:r>
                <a:endParaRPr lang="en-DK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DK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DK"/>
          </a:p>
        </c:txPr>
        <c:crossAx val="801362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Segoe UI" panose="020B0502040204020203" pitchFamily="34" charset="0"/>
          <a:cs typeface="Segoe UI" panose="020B0502040204020203" pitchFamily="34" charset="0"/>
        </a:defRPr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'O3. gross inland consumption'!$A$4</c:f>
              <c:strCache>
                <c:ptCount val="1"/>
                <c:pt idx="0">
                  <c:v>Solid fosil fuels</c:v>
                </c:pt>
              </c:strCache>
            </c:strRef>
          </c:tx>
          <c:spPr>
            <a:solidFill>
              <a:srgbClr val="2C2D2D"/>
            </a:solidFill>
            <a:ln>
              <a:noFill/>
            </a:ln>
            <a:effectLst/>
          </c:spPr>
          <c:invertIfNegative val="0"/>
          <c:cat>
            <c:strRef>
              <c:f>'O3. gross inland consumption'!$E$2:$AX$2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'O3. gross inland consumption'!$E$4:$AX$4</c:f>
              <c:numCache>
                <c:formatCode>#,##0</c:formatCode>
                <c:ptCount val="46"/>
                <c:pt idx="0">
                  <c:v>3222.0600059600001</c:v>
                </c:pt>
                <c:pt idx="1">
                  <c:v>3316.0546196200007</c:v>
                </c:pt>
                <c:pt idx="2">
                  <c:v>3330.4900663700005</c:v>
                </c:pt>
                <c:pt idx="3">
                  <c:v>3081.4577602500003</c:v>
                </c:pt>
                <c:pt idx="4">
                  <c:v>2732.4019880300002</c:v>
                </c:pt>
                <c:pt idx="5">
                  <c:v>2889.2147208700003</c:v>
                </c:pt>
                <c:pt idx="6">
                  <c:v>2950.0303866500008</c:v>
                </c:pt>
                <c:pt idx="7">
                  <c:v>2928.1207110600003</c:v>
                </c:pt>
                <c:pt idx="8">
                  <c:v>2872.4379108900002</c:v>
                </c:pt>
                <c:pt idx="9">
                  <c:v>2734.3176932599999</c:v>
                </c:pt>
                <c:pt idx="10">
                  <c:v>2749.5958847000002</c:v>
                </c:pt>
                <c:pt idx="11">
                  <c:v>2639.0448146700005</c:v>
                </c:pt>
                <c:pt idx="12">
                  <c:v>2569.6964621200004</c:v>
                </c:pt>
                <c:pt idx="13">
                  <c:v>2474.7085650500003</c:v>
                </c:pt>
                <c:pt idx="14">
                  <c:v>2027.0951021500002</c:v>
                </c:pt>
                <c:pt idx="15">
                  <c:v>1655.7807427100004</c:v>
                </c:pt>
                <c:pt idx="16">
                  <c:v>1908.7875897000004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A4-4AD8-9EB6-7A577A155017}"/>
            </c:ext>
          </c:extLst>
        </c:ser>
        <c:ser>
          <c:idx val="2"/>
          <c:order val="2"/>
          <c:tx>
            <c:strRef>
              <c:f>'O3. gross inland consumption'!$A$5</c:f>
              <c:strCache>
                <c:ptCount val="1"/>
                <c:pt idx="0">
                  <c:v>Oil products</c:v>
                </c:pt>
              </c:strCache>
            </c:strRef>
          </c:tx>
          <c:spPr>
            <a:solidFill>
              <a:srgbClr val="3D5584"/>
            </a:solidFill>
            <a:ln>
              <a:noFill/>
            </a:ln>
            <a:effectLst/>
          </c:spPr>
          <c:invertIfNegative val="0"/>
          <c:cat>
            <c:strRef>
              <c:f>'O3. gross inland consumption'!$E$2:$AX$2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'O3. gross inland consumption'!$E$5:$AX$5</c:f>
              <c:numCache>
                <c:formatCode>#,##0</c:formatCode>
                <c:ptCount val="46"/>
                <c:pt idx="0">
                  <c:v>7001.1600634100014</c:v>
                </c:pt>
                <c:pt idx="1">
                  <c:v>6980.1738098200003</c:v>
                </c:pt>
                <c:pt idx="2">
                  <c:v>6791.7356296100006</c:v>
                </c:pt>
                <c:pt idx="3">
                  <c:v>6750.0318801000012</c:v>
                </c:pt>
                <c:pt idx="4">
                  <c:v>6346.743591970001</c:v>
                </c:pt>
                <c:pt idx="5">
                  <c:v>6314.7193751600007</c:v>
                </c:pt>
                <c:pt idx="6">
                  <c:v>6139.4172101699996</c:v>
                </c:pt>
                <c:pt idx="7">
                  <c:v>5871.4039415800007</c:v>
                </c:pt>
                <c:pt idx="8">
                  <c:v>5739.4179441900005</c:v>
                </c:pt>
                <c:pt idx="9">
                  <c:v>5692.219577920001</c:v>
                </c:pt>
                <c:pt idx="10">
                  <c:v>5753.7252516000008</c:v>
                </c:pt>
                <c:pt idx="11">
                  <c:v>5822.9849719200001</c:v>
                </c:pt>
                <c:pt idx="12">
                  <c:v>5981.1780694600002</c:v>
                </c:pt>
                <c:pt idx="13">
                  <c:v>5907.4733747700002</c:v>
                </c:pt>
                <c:pt idx="14">
                  <c:v>5876.162646830001</c:v>
                </c:pt>
                <c:pt idx="15">
                  <c:v>5113.4226225200009</c:v>
                </c:pt>
                <c:pt idx="16">
                  <c:v>5386.3396224600001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A4-4AD8-9EB6-7A577A155017}"/>
            </c:ext>
          </c:extLst>
        </c:ser>
        <c:ser>
          <c:idx val="3"/>
          <c:order val="3"/>
          <c:tx>
            <c:strRef>
              <c:f>'O3. gross inland consumption'!$A$6</c:f>
              <c:strCache>
                <c:ptCount val="1"/>
                <c:pt idx="0">
                  <c:v>Fossil gas</c:v>
                </c:pt>
              </c:strCache>
            </c:strRef>
          </c:tx>
          <c:spPr>
            <a:solidFill>
              <a:srgbClr val="B487C7"/>
            </a:solidFill>
            <a:ln>
              <a:noFill/>
            </a:ln>
            <a:effectLst/>
          </c:spPr>
          <c:invertIfNegative val="0"/>
          <c:cat>
            <c:strRef>
              <c:f>'O3. gross inland consumption'!$E$2:$AX$2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'O3. gross inland consumption'!$E$6:$AX$6</c:f>
              <c:numCache>
                <c:formatCode>#,##0</c:formatCode>
                <c:ptCount val="46"/>
                <c:pt idx="0">
                  <c:v>4183.4400581100008</c:v>
                </c:pt>
                <c:pt idx="1">
                  <c:v>4177.1829204000005</c:v>
                </c:pt>
                <c:pt idx="2">
                  <c:v>4105.8248805900002</c:v>
                </c:pt>
                <c:pt idx="3">
                  <c:v>4178.4546841600004</c:v>
                </c:pt>
                <c:pt idx="4">
                  <c:v>3927.3548780500005</c:v>
                </c:pt>
                <c:pt idx="5">
                  <c:v>4219.8552977200006</c:v>
                </c:pt>
                <c:pt idx="6">
                  <c:v>3878.8056523900009</c:v>
                </c:pt>
                <c:pt idx="7">
                  <c:v>3807.8706073100002</c:v>
                </c:pt>
                <c:pt idx="8">
                  <c:v>3737.6928380500003</c:v>
                </c:pt>
                <c:pt idx="9">
                  <c:v>3297.3408215100003</c:v>
                </c:pt>
                <c:pt idx="10">
                  <c:v>3443.3713580900003</c:v>
                </c:pt>
                <c:pt idx="11">
                  <c:v>3644.2988790000004</c:v>
                </c:pt>
                <c:pt idx="12">
                  <c:v>3849.4811540000005</c:v>
                </c:pt>
                <c:pt idx="13">
                  <c:v>3777.7905078200006</c:v>
                </c:pt>
                <c:pt idx="14">
                  <c:v>3896.7203997199999</c:v>
                </c:pt>
                <c:pt idx="15">
                  <c:v>3802.9390221100002</c:v>
                </c:pt>
                <c:pt idx="16">
                  <c:v>3954.52573304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4A4-4AD8-9EB6-7A577A155017}"/>
            </c:ext>
          </c:extLst>
        </c:ser>
        <c:ser>
          <c:idx val="6"/>
          <c:order val="4"/>
          <c:tx>
            <c:strRef>
              <c:f>'O3. gross inland consumption'!$A$9</c:f>
              <c:strCache>
                <c:ptCount val="1"/>
                <c:pt idx="0">
                  <c:v>Nuclear</c:v>
                </c:pt>
              </c:strCache>
            </c:strRef>
          </c:tx>
          <c:spPr>
            <a:solidFill>
              <a:srgbClr val="B04545"/>
            </a:solidFill>
            <a:ln>
              <a:noFill/>
            </a:ln>
            <a:effectLst/>
          </c:spPr>
          <c:invertIfNegative val="0"/>
          <c:cat>
            <c:strRef>
              <c:f>'O3. gross inland consumption'!$E$2:$AX$2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'O3. gross inland consumption'!$E$9:$AX$9</c:f>
              <c:numCache>
                <c:formatCode>#,##0</c:formatCode>
                <c:ptCount val="46"/>
                <c:pt idx="0">
                  <c:v>2753.6846438000002</c:v>
                </c:pt>
                <c:pt idx="1">
                  <c:v>2748.7437894900004</c:v>
                </c:pt>
                <c:pt idx="2">
                  <c:v>2622.0461740700002</c:v>
                </c:pt>
                <c:pt idx="3">
                  <c:v>2659.4461723000004</c:v>
                </c:pt>
                <c:pt idx="4">
                  <c:v>2471.8813004200006</c:v>
                </c:pt>
                <c:pt idx="5">
                  <c:v>2554.1889503400002</c:v>
                </c:pt>
                <c:pt idx="6">
                  <c:v>2504.4729681900003</c:v>
                </c:pt>
                <c:pt idx="7">
                  <c:v>2423.3709538500002</c:v>
                </c:pt>
                <c:pt idx="8">
                  <c:v>2401.7583666100004</c:v>
                </c:pt>
                <c:pt idx="9">
                  <c:v>2430.2762779800005</c:v>
                </c:pt>
                <c:pt idx="10">
                  <c:v>2369.9806011300007</c:v>
                </c:pt>
                <c:pt idx="11">
                  <c:v>2291.7239709600003</c:v>
                </c:pt>
                <c:pt idx="12">
                  <c:v>2266.67370691</c:v>
                </c:pt>
                <c:pt idx="13">
                  <c:v>2270.7297275600004</c:v>
                </c:pt>
                <c:pt idx="14">
                  <c:v>2281.5841112300004</c:v>
                </c:pt>
                <c:pt idx="15">
                  <c:v>2037.2983802700001</c:v>
                </c:pt>
                <c:pt idx="16">
                  <c:v>2170.8849564100005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4A4-4AD8-9EB6-7A577A155017}"/>
            </c:ext>
          </c:extLst>
        </c:ser>
        <c:ser>
          <c:idx val="5"/>
          <c:order val="5"/>
          <c:tx>
            <c:strRef>
              <c:f>'O3. gross inland consumption'!$A$8</c:f>
              <c:strCache>
                <c:ptCount val="1"/>
                <c:pt idx="0">
                  <c:v>Bioenergy</c:v>
                </c:pt>
              </c:strCache>
            </c:strRef>
          </c:tx>
          <c:spPr>
            <a:solidFill>
              <a:srgbClr val="F26119"/>
            </a:solidFill>
            <a:ln>
              <a:noFill/>
            </a:ln>
            <a:effectLst/>
          </c:spPr>
          <c:invertIfNegative val="0"/>
          <c:cat>
            <c:strRef>
              <c:f>'O3. gross inland consumption'!$E$2:$AX$2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'O3. gross inland consumption'!$E$8:$AX$8</c:f>
              <c:numCache>
                <c:formatCode>#,##0</c:formatCode>
                <c:ptCount val="46"/>
                <c:pt idx="0">
                  <c:v>940.04334013999983</c:v>
                </c:pt>
                <c:pt idx="1">
                  <c:v>1012.7141045700004</c:v>
                </c:pt>
                <c:pt idx="2">
                  <c:v>1103.2825086000003</c:v>
                </c:pt>
                <c:pt idx="3">
                  <c:v>1186.1146017400001</c:v>
                </c:pt>
                <c:pt idx="4">
                  <c:v>1242.1122027500003</c:v>
                </c:pt>
                <c:pt idx="5">
                  <c:v>1368.2556137800002</c:v>
                </c:pt>
                <c:pt idx="6">
                  <c:v>1328.54124555</c:v>
                </c:pt>
                <c:pt idx="7">
                  <c:v>1452.5651007100003</c:v>
                </c:pt>
                <c:pt idx="8">
                  <c:v>1478.0814835300002</c:v>
                </c:pt>
                <c:pt idx="9">
                  <c:v>1439.1409871300002</c:v>
                </c:pt>
                <c:pt idx="10">
                  <c:v>1480.1955151500001</c:v>
                </c:pt>
                <c:pt idx="11">
                  <c:v>1492.8027607900003</c:v>
                </c:pt>
                <c:pt idx="12">
                  <c:v>1534.1494227800001</c:v>
                </c:pt>
                <c:pt idx="13">
                  <c:v>1576.8534685900004</c:v>
                </c:pt>
                <c:pt idx="14">
                  <c:v>1613.2495652200002</c:v>
                </c:pt>
                <c:pt idx="15">
                  <c:v>1610.3354128600004</c:v>
                </c:pt>
                <c:pt idx="16">
                  <c:v>1723.2147972600001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4A4-4AD8-9EB6-7A577A155017}"/>
            </c:ext>
          </c:extLst>
        </c:ser>
        <c:ser>
          <c:idx val="4"/>
          <c:order val="6"/>
          <c:tx>
            <c:strRef>
              <c:f>'O3. gross inland consumption'!$A$7</c:f>
              <c:strCache>
                <c:ptCount val="1"/>
                <c:pt idx="0">
                  <c:v>Non-bio renewables</c:v>
                </c:pt>
              </c:strCache>
            </c:strRef>
          </c:tx>
          <c:spPr>
            <a:solidFill>
              <a:srgbClr val="F59E2D"/>
            </a:solidFill>
            <a:ln>
              <a:noFill/>
            </a:ln>
            <a:effectLst/>
          </c:spPr>
          <c:invertIfNegative val="0"/>
          <c:cat>
            <c:strRef>
              <c:f>'O3. gross inland consumption'!$E$2:$AX$2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'O3. gross inland consumption'!$E$7:$AX$7</c:f>
              <c:numCache>
                <c:formatCode>#,##0</c:formatCode>
                <c:ptCount val="46"/>
                <c:pt idx="0">
                  <c:v>454.62848119000006</c:v>
                </c:pt>
                <c:pt idx="1">
                  <c:v>475.07978966999997</c:v>
                </c:pt>
                <c:pt idx="2">
                  <c:v>501.45186137000007</c:v>
                </c:pt>
                <c:pt idx="3">
                  <c:v>542.64249528000016</c:v>
                </c:pt>
                <c:pt idx="4">
                  <c:v>569.23319935000006</c:v>
                </c:pt>
                <c:pt idx="5">
                  <c:v>647.05724004000001</c:v>
                </c:pt>
                <c:pt idx="6">
                  <c:v>654.62482289000013</c:v>
                </c:pt>
                <c:pt idx="7">
                  <c:v>739.88781862999986</c:v>
                </c:pt>
                <c:pt idx="8">
                  <c:v>824.20872622000013</c:v>
                </c:pt>
                <c:pt idx="9">
                  <c:v>866.32403817000011</c:v>
                </c:pt>
                <c:pt idx="10">
                  <c:v>892.02767562000008</c:v>
                </c:pt>
                <c:pt idx="11">
                  <c:v>917.61559456999998</c:v>
                </c:pt>
                <c:pt idx="12">
                  <c:v>967.50245631000018</c:v>
                </c:pt>
                <c:pt idx="13">
                  <c:v>1037.1708780900003</c:v>
                </c:pt>
                <c:pt idx="14">
                  <c:v>1085.0226875400001</c:v>
                </c:pt>
                <c:pt idx="15">
                  <c:v>1171.6118405499999</c:v>
                </c:pt>
                <c:pt idx="16">
                  <c:v>1201.3424585400001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4A4-4AD8-9EB6-7A577A155017}"/>
            </c:ext>
          </c:extLst>
        </c:ser>
        <c:ser>
          <c:idx val="7"/>
          <c:order val="7"/>
          <c:tx>
            <c:strRef>
              <c:f>'O3. gross inland consumption'!$A$10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EFE973"/>
            </a:solidFill>
            <a:ln>
              <a:noFill/>
            </a:ln>
            <a:effectLst/>
          </c:spPr>
          <c:invertIfNegative val="0"/>
          <c:cat>
            <c:strRef>
              <c:f>'O3. gross inland consumption'!$E$2:$AX$2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'O3. gross inland consumption'!$E$10:$AX$10</c:f>
              <c:numCache>
                <c:formatCode>#,##0</c:formatCode>
                <c:ptCount val="46"/>
                <c:pt idx="0">
                  <c:v>97.079610720000019</c:v>
                </c:pt>
                <c:pt idx="1">
                  <c:v>98.839985670000004</c:v>
                </c:pt>
                <c:pt idx="2">
                  <c:v>115.07052292000002</c:v>
                </c:pt>
                <c:pt idx="3">
                  <c:v>126.09404168</c:v>
                </c:pt>
                <c:pt idx="4">
                  <c:v>140.56561121000001</c:v>
                </c:pt>
                <c:pt idx="5">
                  <c:v>137.47802066000003</c:v>
                </c:pt>
                <c:pt idx="6">
                  <c:v>141.43437221000002</c:v>
                </c:pt>
                <c:pt idx="7">
                  <c:v>149.01401537000004</c:v>
                </c:pt>
                <c:pt idx="8">
                  <c:v>146.65015972</c:v>
                </c:pt>
                <c:pt idx="9">
                  <c:v>150.52354285000001</c:v>
                </c:pt>
                <c:pt idx="10">
                  <c:v>153.31986004999999</c:v>
                </c:pt>
                <c:pt idx="11">
                  <c:v>173.30588712000002</c:v>
                </c:pt>
                <c:pt idx="12">
                  <c:v>169.42302554000003</c:v>
                </c:pt>
                <c:pt idx="13">
                  <c:v>183.15267084999999</c:v>
                </c:pt>
                <c:pt idx="14">
                  <c:v>180.16466799000003</c:v>
                </c:pt>
                <c:pt idx="15">
                  <c:v>193.92392328</c:v>
                </c:pt>
                <c:pt idx="16">
                  <c:v>188.88108550000004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4A4-4AD8-9EB6-7A577A1550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07091663"/>
        <c:axId val="1257302831"/>
      </c:barChart>
      <c:lineChart>
        <c:grouping val="standard"/>
        <c:varyColors val="0"/>
        <c:ser>
          <c:idx val="0"/>
          <c:order val="0"/>
          <c:tx>
            <c:strRef>
              <c:f>'O3. gross inland consumption'!$A$3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strRef>
              <c:f>'O3. gross inland consumption'!$E$2:$AX$2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'O3. gross inland consumption'!$E$3:$AX$3</c:f>
              <c:numCache>
                <c:formatCode>#,##0</c:formatCode>
                <c:ptCount val="46"/>
                <c:pt idx="0">
                  <c:v>18652.096214960002</c:v>
                </c:pt>
                <c:pt idx="1">
                  <c:v>18808.789030870004</c:v>
                </c:pt>
                <c:pt idx="2">
                  <c:v>18569.901759830002</c:v>
                </c:pt>
                <c:pt idx="3">
                  <c:v>18524.24162388</c:v>
                </c:pt>
                <c:pt idx="4">
                  <c:v>17430.292795040004</c:v>
                </c:pt>
                <c:pt idx="5">
                  <c:v>18130.769311610002</c:v>
                </c:pt>
                <c:pt idx="6">
                  <c:v>17597.326530120001</c:v>
                </c:pt>
                <c:pt idx="7">
                  <c:v>17372.233136880001</c:v>
                </c:pt>
                <c:pt idx="8">
                  <c:v>17200.247429210001</c:v>
                </c:pt>
                <c:pt idx="9">
                  <c:v>16610.142880670002</c:v>
                </c:pt>
                <c:pt idx="10">
                  <c:v>16842.216204490003</c:v>
                </c:pt>
                <c:pt idx="11">
                  <c:v>16981.776820880001</c:v>
                </c:pt>
                <c:pt idx="12">
                  <c:v>17338.104250600005</c:v>
                </c:pt>
                <c:pt idx="13">
                  <c:v>17227.879274139999</c:v>
                </c:pt>
                <c:pt idx="14">
                  <c:v>16959.999180680003</c:v>
                </c:pt>
                <c:pt idx="15">
                  <c:v>15585.311932670002</c:v>
                </c:pt>
                <c:pt idx="16">
                  <c:v>16533.976394100002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A4-4AD8-9EB6-7A577A155017}"/>
            </c:ext>
          </c:extLst>
        </c:ser>
        <c:ser>
          <c:idx val="8"/>
          <c:order val="8"/>
          <c:tx>
            <c:strRef>
              <c:f>'O3. gross inland consumption'!$A$11</c:f>
              <c:strCache>
                <c:ptCount val="1"/>
                <c:pt idx="0">
                  <c:v>benchmark total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59E2D"/>
              </a:solidFill>
              <a:ln w="9525">
                <a:noFill/>
              </a:ln>
              <a:effectLst/>
            </c:spPr>
          </c:marker>
          <c:cat>
            <c:strRef>
              <c:f>'O3. gross inland consumption'!$E$2:$AX$2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'O3. gross inland consumption'!$E$11:$AX$11</c:f>
              <c:numCache>
                <c:formatCode>General</c:formatCode>
                <c:ptCount val="46"/>
                <c:pt idx="25" formatCode="0">
                  <c:v>13310.693187655417</c:v>
                </c:pt>
                <c:pt idx="45" formatCode="0">
                  <c:v>14071.434755617216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94-49EE-AEE8-E3C34DF26109}"/>
            </c:ext>
          </c:extLst>
        </c:ser>
        <c:ser>
          <c:idx val="9"/>
          <c:order val="9"/>
          <c:tx>
            <c:strRef>
              <c:f>'O3. gross inland consumption'!$A$12</c:f>
              <c:strCache>
                <c:ptCount val="1"/>
                <c:pt idx="0">
                  <c:v>benchmark fossil gas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648ECA"/>
              </a:solidFill>
              <a:ln w="9525">
                <a:noFill/>
              </a:ln>
              <a:effectLst/>
            </c:spPr>
          </c:marker>
          <c:cat>
            <c:strRef>
              <c:f>'O3. gross inland consumption'!$E$2:$AX$2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'O3. gross inland consumption'!$E$12:$AX$12</c:f>
              <c:numCache>
                <c:formatCode>General</c:formatCode>
                <c:ptCount val="46"/>
                <c:pt idx="25">
                  <c:v>7639.8236629925213</c:v>
                </c:pt>
                <c:pt idx="45">
                  <c:v>2456.6045379174061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94-49EE-AEE8-E3C34DF26109}"/>
            </c:ext>
          </c:extLst>
        </c:ser>
        <c:ser>
          <c:idx val="11"/>
          <c:order val="10"/>
          <c:tx>
            <c:strRef>
              <c:f>'O3. gross inland consumption'!$A$13</c:f>
              <c:strCache>
                <c:ptCount val="1"/>
                <c:pt idx="0">
                  <c:v>benchmark oil products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4F3A66"/>
              </a:solidFill>
              <a:ln w="9525">
                <a:noFill/>
              </a:ln>
              <a:effectLst/>
            </c:spPr>
          </c:marker>
          <c:cat>
            <c:strRef>
              <c:f>'O3. gross inland consumption'!$E$2:$AX$2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'O3. gross inland consumption'!$E$13:$AX$13</c:f>
              <c:numCache>
                <c:formatCode>General</c:formatCode>
                <c:ptCount val="46"/>
                <c:pt idx="25">
                  <c:v>5080.7325087183835</c:v>
                </c:pt>
                <c:pt idx="45">
                  <c:v>1374.3705405363953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7D-46C1-8274-160B099A5F3D}"/>
            </c:ext>
          </c:extLst>
        </c:ser>
        <c:ser>
          <c:idx val="12"/>
          <c:order val="11"/>
          <c:tx>
            <c:strRef>
              <c:f>'O3. gross inland consumption'!$A$14</c:f>
              <c:strCache>
                <c:ptCount val="1"/>
                <c:pt idx="0">
                  <c:v>benchmark solid fossil fuels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2C2D2D"/>
              </a:solidFill>
              <a:ln w="9525">
                <a:noFill/>
              </a:ln>
              <a:effectLst/>
            </c:spPr>
          </c:marker>
          <c:cat>
            <c:strRef>
              <c:f>'O3. gross inland consumption'!$E$2:$AX$2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'O3. gross inland consumption'!$E$14:$AX$14</c:f>
              <c:numCache>
                <c:formatCode>General</c:formatCode>
                <c:ptCount val="46"/>
                <c:pt idx="25">
                  <c:v>707.77209986371338</c:v>
                </c:pt>
                <c:pt idx="45">
                  <c:v>88.088892957773126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7D-46C1-8274-160B099A5F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7091663"/>
        <c:axId val="1257302831"/>
        <c:extLst>
          <c:ext xmlns:c15="http://schemas.microsoft.com/office/drawing/2012/chart" uri="{02D57815-91ED-43cb-92C2-25804820EDAC}">
            <c15:filteredLineSeries>
              <c15:ser>
                <c:idx val="10"/>
                <c:order val="12"/>
                <c:tx>
                  <c:strRef>
                    <c:extLst>
                      <c:ext uri="{02D57815-91ED-43cb-92C2-25804820EDAC}">
                        <c15:formulaRef>
                          <c15:sqref>'O3. gross inland consumption'!$A$15</c15:sqref>
                        </c15:formulaRef>
                      </c:ext>
                    </c:extLst>
                    <c:strCache>
                      <c:ptCount val="1"/>
                      <c:pt idx="0">
                        <c:v>linear trajectory towards benchmark</c:v>
                      </c:pt>
                    </c:strCache>
                  </c:strRef>
                </c:tx>
                <c:spPr>
                  <a:ln w="9525" cap="rnd">
                    <a:solidFill>
                      <a:sysClr val="windowText" lastClr="000000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'O3. gross inland consumption'!$E$2:$AX$2</c15:sqref>
                        </c15:formulaRef>
                      </c:ext>
                    </c:extLst>
                    <c:strCache>
                      <c:ptCount val="46"/>
                      <c:pt idx="0">
                        <c:v>2005</c:v>
                      </c:pt>
                      <c:pt idx="5">
                        <c:v>2010</c:v>
                      </c:pt>
                      <c:pt idx="10">
                        <c:v>2015</c:v>
                      </c:pt>
                      <c:pt idx="15">
                        <c:v>2020</c:v>
                      </c:pt>
                      <c:pt idx="20">
                        <c:v>2025</c:v>
                      </c:pt>
                      <c:pt idx="25">
                        <c:v>2030</c:v>
                      </c:pt>
                      <c:pt idx="30">
                        <c:v>2035</c:v>
                      </c:pt>
                      <c:pt idx="35">
                        <c:v>2040</c:v>
                      </c:pt>
                      <c:pt idx="40">
                        <c:v>2045</c:v>
                      </c:pt>
                      <c:pt idx="45">
                        <c:v>2050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'O3. gross inland consumption'!$E$15:$AX$15</c15:sqref>
                        </c15:formulaRef>
                      </c:ext>
                    </c:extLst>
                    <c:numCache>
                      <c:formatCode>General</c:formatCode>
                      <c:ptCount val="46"/>
                      <c:pt idx="16" formatCode="#,##0">
                        <c:v>1421.66607</c:v>
                      </c:pt>
                      <c:pt idx="17" formatCode="#,##0">
                        <c:v>1390.8713512988959</c:v>
                      </c:pt>
                      <c:pt idx="18" formatCode="#,##0">
                        <c:v>1360.0766325977916</c:v>
                      </c:pt>
                      <c:pt idx="19" formatCode="#,##0">
                        <c:v>1329.2819138966872</c:v>
                      </c:pt>
                      <c:pt idx="20" formatCode="#,##0">
                        <c:v>1298.4871951955829</c:v>
                      </c:pt>
                      <c:pt idx="21" formatCode="#,##0">
                        <c:v>1267.6924764944788</c:v>
                      </c:pt>
                      <c:pt idx="22" formatCode="#,##0">
                        <c:v>1236.8977577933745</c:v>
                      </c:pt>
                      <c:pt idx="23" formatCode="#,##0">
                        <c:v>1206.1030390922701</c:v>
                      </c:pt>
                      <c:pt idx="24" formatCode="#,##0">
                        <c:v>1175.308320391166</c:v>
                      </c:pt>
                      <c:pt idx="25" formatCode="#,##0">
                        <c:v>1144.5136016900617</c:v>
                      </c:pt>
                      <c:pt idx="26" formatCode="#,##0">
                        <c:v>1147.7842017242913</c:v>
                      </c:pt>
                      <c:pt idx="27" formatCode="#,##0">
                        <c:v>1151.0548017585209</c:v>
                      </c:pt>
                      <c:pt idx="28" formatCode="#,##0">
                        <c:v>1154.3254017927504</c:v>
                      </c:pt>
                      <c:pt idx="29" formatCode="#,##0">
                        <c:v>1157.59600182698</c:v>
                      </c:pt>
                      <c:pt idx="30" formatCode="#,##0">
                        <c:v>1160.8666018612096</c:v>
                      </c:pt>
                      <c:pt idx="31" formatCode="#,##0">
                        <c:v>1164.1372018954391</c:v>
                      </c:pt>
                      <c:pt idx="32" formatCode="#,##0">
                        <c:v>1167.4078019296687</c:v>
                      </c:pt>
                      <c:pt idx="33" formatCode="#,##0">
                        <c:v>1170.6784019638981</c:v>
                      </c:pt>
                      <c:pt idx="34" formatCode="#,##0">
                        <c:v>1173.9490019981276</c:v>
                      </c:pt>
                      <c:pt idx="35" formatCode="#,##0">
                        <c:v>1177.2196020323572</c:v>
                      </c:pt>
                      <c:pt idx="36" formatCode="#,##0">
                        <c:v>1180.4902020665868</c:v>
                      </c:pt>
                      <c:pt idx="37" formatCode="#,##0">
                        <c:v>1183.7608021008164</c:v>
                      </c:pt>
                      <c:pt idx="38" formatCode="#,##0">
                        <c:v>1187.0314021350459</c:v>
                      </c:pt>
                      <c:pt idx="39" formatCode="#,##0">
                        <c:v>1190.3020021692755</c:v>
                      </c:pt>
                      <c:pt idx="40" formatCode="#,##0">
                        <c:v>1193.5726022035051</c:v>
                      </c:pt>
                      <c:pt idx="41" formatCode="#,##0">
                        <c:v>1196.8432022377347</c:v>
                      </c:pt>
                      <c:pt idx="42" formatCode="#,##0">
                        <c:v>1200.1138022719642</c:v>
                      </c:pt>
                      <c:pt idx="43" formatCode="#,##0">
                        <c:v>1203.3844023061938</c:v>
                      </c:pt>
                      <c:pt idx="44" formatCode="#,##0">
                        <c:v>1206.6550023404234</c:v>
                      </c:pt>
                      <c:pt idx="45" formatCode="#,##0">
                        <c:v>1209.925602374653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5694-49EE-AEE8-E3C34DF26109}"/>
                  </c:ext>
                </c:extLst>
              </c15:ser>
            </c15:filteredLineSeries>
          </c:ext>
        </c:extLst>
      </c:lineChart>
      <c:catAx>
        <c:axId val="1807091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DK"/>
          </a:p>
        </c:txPr>
        <c:crossAx val="1257302831"/>
        <c:crosses val="autoZero"/>
        <c:auto val="1"/>
        <c:lblAlgn val="ctr"/>
        <c:lblOffset val="100"/>
        <c:noMultiLvlLbl val="0"/>
      </c:catAx>
      <c:valAx>
        <c:axId val="1257302831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r>
                  <a:rPr lang="en-IE"/>
                  <a:t>TWh</a:t>
                </a:r>
                <a:endParaRPr lang="en-D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DK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DK"/>
          </a:p>
        </c:txPr>
        <c:crossAx val="1807091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059466719308086"/>
          <c:y val="0.11706594595922203"/>
          <c:w val="0.26756532482619999"/>
          <c:h val="0.8254749231583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Segoe UI" panose="020B0502040204020203" pitchFamily="34" charset="0"/>
          <a:cs typeface="Segoe UI" panose="020B0502040204020203" pitchFamily="34" charset="0"/>
        </a:defRPr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'O3. gross inland consumption'!$A$37</c:f>
              <c:strCache>
                <c:ptCount val="1"/>
                <c:pt idx="0">
                  <c:v>solid fossil fuels</c:v>
                </c:pt>
              </c:strCache>
            </c:strRef>
          </c:tx>
          <c:spPr>
            <a:ln w="28575" cap="rnd">
              <a:solidFill>
                <a:srgbClr val="2C2D2D"/>
              </a:solidFill>
              <a:round/>
            </a:ln>
            <a:effectLst/>
          </c:spPr>
          <c:marker>
            <c:symbol val="none"/>
          </c:marker>
          <c:cat>
            <c:strRef>
              <c:f>'O3. gross inland consumption'!$E$36:$AX$36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'O3. gross inland consumption'!$B$37:$AX$37</c:f>
              <c:numCache>
                <c:formatCode>General</c:formatCode>
                <c:ptCount val="49"/>
                <c:pt idx="0">
                  <c:v>0</c:v>
                </c:pt>
                <c:pt idx="1">
                  <c:v>0</c:v>
                </c:pt>
                <c:pt idx="3" formatCode="0%">
                  <c:v>0.17274519543683953</c:v>
                </c:pt>
                <c:pt idx="4" formatCode="0%">
                  <c:v>0.17630346186442478</c:v>
                </c:pt>
                <c:pt idx="5" formatCode="0%">
                  <c:v>0.17934882528966536</c:v>
                </c:pt>
                <c:pt idx="6" formatCode="0%">
                  <c:v>0.16634730980174792</c:v>
                </c:pt>
                <c:pt idx="7" formatCode="0%">
                  <c:v>0.15676168037794164</c:v>
                </c:pt>
                <c:pt idx="8" formatCode="0%">
                  <c:v>0.15935422657547671</c:v>
                </c:pt>
                <c:pt idx="9" formatCode="0%">
                  <c:v>0.16764082780419282</c:v>
                </c:pt>
                <c:pt idx="10" formatCode="0%">
                  <c:v>0.16855177385593628</c:v>
                </c:pt>
                <c:pt idx="11" formatCode="0%">
                  <c:v>0.16699980175935933</c:v>
                </c:pt>
                <c:pt idx="12" formatCode="0%">
                  <c:v>0.16461734934514338</c:v>
                </c:pt>
                <c:pt idx="13" formatCode="0%">
                  <c:v>0.16325618026248703</c:v>
                </c:pt>
                <c:pt idx="14" formatCode="0%">
                  <c:v>0.15540451641227285</c:v>
                </c:pt>
                <c:pt idx="15" formatCode="0%">
                  <c:v>0.14821092461888233</c:v>
                </c:pt>
                <c:pt idx="16" formatCode="0%">
                  <c:v>0.14364557155706767</c:v>
                </c:pt>
                <c:pt idx="17" formatCode="0%">
                  <c:v>0.11952212264604159</c:v>
                </c:pt>
                <c:pt idx="18" formatCode="0%">
                  <c:v>0.1062398205350735</c:v>
                </c:pt>
                <c:pt idx="19" formatCode="0%">
                  <c:v>0.11544637201617959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70-4A7A-9C35-7B48F2677F4B}"/>
            </c:ext>
          </c:extLst>
        </c:ser>
        <c:ser>
          <c:idx val="1"/>
          <c:order val="1"/>
          <c:tx>
            <c:strRef>
              <c:f>'O3. gross inland consumption'!$A$39</c:f>
              <c:strCache>
                <c:ptCount val="1"/>
                <c:pt idx="0">
                  <c:v>oil products</c:v>
                </c:pt>
              </c:strCache>
            </c:strRef>
          </c:tx>
          <c:spPr>
            <a:ln w="28575" cap="rnd">
              <a:solidFill>
                <a:srgbClr val="4F3A66"/>
              </a:solidFill>
              <a:round/>
            </a:ln>
            <a:effectLst/>
          </c:spPr>
          <c:marker>
            <c:symbol val="none"/>
          </c:marker>
          <c:cat>
            <c:strRef>
              <c:f>'O3. gross inland consumption'!$E$36:$AX$36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'O3. gross inland consumption'!$B$39:$AX$39</c:f>
              <c:numCache>
                <c:formatCode>General</c:formatCode>
                <c:ptCount val="49"/>
                <c:pt idx="0">
                  <c:v>0</c:v>
                </c:pt>
                <c:pt idx="1">
                  <c:v>0</c:v>
                </c:pt>
                <c:pt idx="3" formatCode="0%">
                  <c:v>0.54810032886118287</c:v>
                </c:pt>
                <c:pt idx="4" formatCode="0%">
                  <c:v>0.54741580718148697</c:v>
                </c:pt>
                <c:pt idx="5" formatCode="0%">
                  <c:v>0.54508773535227717</c:v>
                </c:pt>
                <c:pt idx="6" formatCode="0%">
                  <c:v>0.53073641771526103</c:v>
                </c:pt>
                <c:pt idx="7" formatCode="0%">
                  <c:v>0.52088313643151074</c:v>
                </c:pt>
                <c:pt idx="8" formatCode="0%">
                  <c:v>0.50764167464952958</c:v>
                </c:pt>
                <c:pt idx="9" formatCode="0%">
                  <c:v>0.51652434710819772</c:v>
                </c:pt>
                <c:pt idx="10" formatCode="0%">
                  <c:v>0.50652812354672139</c:v>
                </c:pt>
                <c:pt idx="11" formatCode="0%">
                  <c:v>0.5006820913782366</c:v>
                </c:pt>
                <c:pt idx="12" formatCode="0%">
                  <c:v>0.50731275051139724</c:v>
                </c:pt>
                <c:pt idx="13" formatCode="0%">
                  <c:v>0.50488136674276163</c:v>
                </c:pt>
                <c:pt idx="14" formatCode="0%">
                  <c:v>0.49830061222954503</c:v>
                </c:pt>
                <c:pt idx="15" formatCode="0%">
                  <c:v>0.49318393798930404</c:v>
                </c:pt>
                <c:pt idx="16" formatCode="0%">
                  <c:v>0.48654752023959902</c:v>
                </c:pt>
                <c:pt idx="17" formatCode="0%">
                  <c:v>0.46599399356003535</c:v>
                </c:pt>
                <c:pt idx="18" formatCode="0%">
                  <c:v>0.43433223502189688</c:v>
                </c:pt>
                <c:pt idx="19" formatCode="0%">
                  <c:v>0.44122037181347373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70-4A7A-9C35-7B48F2677F4B}"/>
            </c:ext>
          </c:extLst>
        </c:ser>
        <c:ser>
          <c:idx val="2"/>
          <c:order val="2"/>
          <c:tx>
            <c:strRef>
              <c:f>'O3. gross inland consumption'!$A$41</c:f>
              <c:strCache>
                <c:ptCount val="1"/>
                <c:pt idx="0">
                  <c:v>natural gas</c:v>
                </c:pt>
              </c:strCache>
            </c:strRef>
          </c:tx>
          <c:spPr>
            <a:ln w="28575" cap="rnd">
              <a:solidFill>
                <a:srgbClr val="B487C7"/>
              </a:solidFill>
              <a:round/>
            </a:ln>
            <a:effectLst/>
          </c:spPr>
          <c:marker>
            <c:symbol val="none"/>
          </c:marker>
          <c:cat>
            <c:strRef>
              <c:f>'O3. gross inland consumption'!$E$36:$AX$36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'O3. gross inland consumption'!$B$41:$AX$41</c:f>
              <c:numCache>
                <c:formatCode>General</c:formatCode>
                <c:ptCount val="49"/>
                <c:pt idx="0">
                  <c:v>0</c:v>
                </c:pt>
                <c:pt idx="1">
                  <c:v>0</c:v>
                </c:pt>
                <c:pt idx="3" formatCode="0%">
                  <c:v>0.77238825928450194</c:v>
                </c:pt>
                <c:pt idx="4" formatCode="0%">
                  <c:v>0.76950256213121726</c:v>
                </c:pt>
                <c:pt idx="5" formatCode="0%">
                  <c:v>0.76618879090398884</c:v>
                </c:pt>
                <c:pt idx="6" formatCode="0%">
                  <c:v>0.7563032597485384</c:v>
                </c:pt>
                <c:pt idx="7" formatCode="0%">
                  <c:v>0.74620091647290943</c:v>
                </c:pt>
                <c:pt idx="8" formatCode="0%">
                  <c:v>0.74038719279022014</c:v>
                </c:pt>
                <c:pt idx="9" formatCode="0%">
                  <c:v>0.73694451410066364</c:v>
                </c:pt>
                <c:pt idx="10" formatCode="0%">
                  <c:v>0.72572104925217751</c:v>
                </c:pt>
                <c:pt idx="11" formatCode="0%">
                  <c:v>0.71798668850295777</c:v>
                </c:pt>
                <c:pt idx="12" formatCode="0%">
                  <c:v>0.70582644453550281</c:v>
                </c:pt>
                <c:pt idx="13" formatCode="0%">
                  <c:v>0.70933019439597889</c:v>
                </c:pt>
                <c:pt idx="14" formatCode="0%">
                  <c:v>0.71290117596555769</c:v>
                </c:pt>
                <c:pt idx="15" formatCode="0%">
                  <c:v>0.71520827804175147</c:v>
                </c:pt>
                <c:pt idx="16" formatCode="0%">
                  <c:v>0.70583106917244265</c:v>
                </c:pt>
                <c:pt idx="17" formatCode="0%">
                  <c:v>0.69575346219013712</c:v>
                </c:pt>
                <c:pt idx="18" formatCode="0%">
                  <c:v>0.6783401213278657</c:v>
                </c:pt>
                <c:pt idx="19" formatCode="0%">
                  <c:v>0.6803960932963673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70-4A7A-9C35-7B48F2677F4B}"/>
            </c:ext>
          </c:extLst>
        </c:ser>
        <c:ser>
          <c:idx val="3"/>
          <c:order val="3"/>
          <c:tx>
            <c:strRef>
              <c:f>'O3. gross inland consumption'!$A$42</c:f>
              <c:strCache>
                <c:ptCount val="1"/>
                <c:pt idx="0">
                  <c:v>benchmark solid fossils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2C2D2D"/>
              </a:solidFill>
              <a:ln w="9525">
                <a:noFill/>
              </a:ln>
              <a:effectLst/>
            </c:spPr>
          </c:marker>
          <c:cat>
            <c:strRef>
              <c:f>'O3. gross inland consumption'!$E$36:$AX$36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'O3. gross inland consumption'!$E$42:$AX$42</c:f>
              <c:numCache>
                <c:formatCode>#,##0</c:formatCode>
                <c:ptCount val="46"/>
                <c:pt idx="25" formatCode="0%">
                  <c:v>5.3173196157816509E-2</c:v>
                </c:pt>
                <c:pt idx="45" formatCode="0%">
                  <c:v>6.2601216214010214E-3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DE-476A-B636-3820E9E0F2C5}"/>
            </c:ext>
          </c:extLst>
        </c:ser>
        <c:ser>
          <c:idx val="4"/>
          <c:order val="4"/>
          <c:tx>
            <c:strRef>
              <c:f>'O3. gross inland consumption'!$A$43</c:f>
              <c:strCache>
                <c:ptCount val="1"/>
                <c:pt idx="0">
                  <c:v>benchmark oil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4F3A66"/>
              </a:solidFill>
              <a:ln w="9525">
                <a:noFill/>
              </a:ln>
              <a:effectLst/>
            </c:spPr>
          </c:marker>
          <c:cat>
            <c:strRef>
              <c:f>'O3. gross inland consumption'!$E$36:$AX$36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'O3. gross inland consumption'!$E$43:$AX$43</c:f>
              <c:numCache>
                <c:formatCode>#,##0</c:formatCode>
                <c:ptCount val="46"/>
                <c:pt idx="25" formatCode="0%">
                  <c:v>0.38170307414420374</c:v>
                </c:pt>
                <c:pt idx="45" formatCode="0%">
                  <c:v>9.7670959955789616E-2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DE-476A-B636-3820E9E0F2C5}"/>
            </c:ext>
          </c:extLst>
        </c:ser>
        <c:ser>
          <c:idx val="5"/>
          <c:order val="5"/>
          <c:tx>
            <c:strRef>
              <c:f>'O3. gross inland consumption'!$A$45</c:f>
              <c:strCache>
                <c:ptCount val="1"/>
                <c:pt idx="0">
                  <c:v>benchmark natural gas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B487C7"/>
              </a:solidFill>
              <a:ln w="9525">
                <a:noFill/>
              </a:ln>
              <a:effectLst/>
            </c:spPr>
          </c:marker>
          <c:cat>
            <c:strRef>
              <c:f>'O3. gross inland consumption'!$E$36:$AX$36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'O3. gross inland consumption'!$E$45:$AX$45</c:f>
              <c:numCache>
                <c:formatCode>#,##0</c:formatCode>
                <c:ptCount val="46"/>
                <c:pt idx="25" formatCode="0%">
                  <c:v>0.57396136739729187</c:v>
                </c:pt>
                <c:pt idx="45" formatCode="0%">
                  <c:v>0.17458095642569407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DE-476A-B636-3820E9E0F2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7574143"/>
        <c:axId val="1851460607"/>
      </c:lineChart>
      <c:catAx>
        <c:axId val="1257574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851460607"/>
        <c:crosses val="autoZero"/>
        <c:auto val="1"/>
        <c:lblAlgn val="ctr"/>
        <c:lblOffset val="100"/>
        <c:noMultiLvlLbl val="0"/>
      </c:catAx>
      <c:valAx>
        <c:axId val="1851460607"/>
        <c:scaling>
          <c:orientation val="minMax"/>
          <c:max val="0.8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 % </a:t>
                </a:r>
                <a:endParaRPr lang="en-D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257574143"/>
        <c:crosses val="autoZero"/>
        <c:crossBetween val="between"/>
        <c:majorUnit val="0.2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477131793441472"/>
          <c:y val="0.21615760874872944"/>
          <c:w val="0.28200163723735983"/>
          <c:h val="0.563510099397574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'2. sectoral progress GHG emissi'!$M$1</c:f>
              <c:strCache>
                <c:ptCount val="1"/>
                <c:pt idx="0">
                  <c:v>2005-2022</c:v>
                </c:pt>
              </c:strCache>
            </c:strRef>
          </c:tx>
          <c:spPr>
            <a:solidFill>
              <a:srgbClr val="F26119"/>
            </a:solidFill>
            <a:ln>
              <a:noFill/>
            </a:ln>
            <a:effectLst/>
          </c:spPr>
          <c:invertIfNegative val="0"/>
          <c:cat>
            <c:strRef>
              <c:f>'2. sectoral progress GHG emissi'!$L$2:$L$7</c:f>
              <c:strCache>
                <c:ptCount val="6"/>
                <c:pt idx="0">
                  <c:v>Energy supply</c:v>
                </c:pt>
                <c:pt idx="1">
                  <c:v>Industry</c:v>
                </c:pt>
                <c:pt idx="2">
                  <c:v>Buildings</c:v>
                </c:pt>
                <c:pt idx="3">
                  <c:v>Transport</c:v>
                </c:pt>
                <c:pt idx="4">
                  <c:v>Agriculture</c:v>
                </c:pt>
                <c:pt idx="5">
                  <c:v>LULUCF</c:v>
                </c:pt>
              </c:strCache>
            </c:strRef>
          </c:cat>
          <c:val>
            <c:numRef>
              <c:f>'2. sectoral progress GHG emissi'!$M$2:$M$7</c:f>
              <c:numCache>
                <c:formatCode>0</c:formatCode>
                <c:ptCount val="6"/>
                <c:pt idx="0">
                  <c:v>-33.229218008661348</c:v>
                </c:pt>
                <c:pt idx="1">
                  <c:v>-17.055584912219842</c:v>
                </c:pt>
                <c:pt idx="2">
                  <c:v>-10.776892394566794</c:v>
                </c:pt>
                <c:pt idx="3">
                  <c:v>-2.170380186997042</c:v>
                </c:pt>
                <c:pt idx="4">
                  <c:v>-1.1285142231164835</c:v>
                </c:pt>
                <c:pt idx="5">
                  <c:v>5.7848345153700604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28-46F1-8691-406EC0619659}"/>
            </c:ext>
          </c:extLst>
        </c:ser>
        <c:ser>
          <c:idx val="1"/>
          <c:order val="1"/>
          <c:tx>
            <c:strRef>
              <c:f>'2. sectoral progress GHG emissi'!$N$1</c:f>
              <c:strCache>
                <c:ptCount val="1"/>
                <c:pt idx="0">
                  <c:v>Required change 2023-2030</c:v>
                </c:pt>
              </c:strCache>
            </c:strRef>
          </c:tx>
          <c:spPr>
            <a:solidFill>
              <a:srgbClr val="648ECA"/>
            </a:solidFill>
            <a:ln>
              <a:noFill/>
            </a:ln>
            <a:effectLst/>
          </c:spPr>
          <c:invertIfNegative val="0"/>
          <c:cat>
            <c:strRef>
              <c:f>'2. sectoral progress GHG emissi'!$L$2:$L$7</c:f>
              <c:strCache>
                <c:ptCount val="6"/>
                <c:pt idx="0">
                  <c:v>Energy supply</c:v>
                </c:pt>
                <c:pt idx="1">
                  <c:v>Industry</c:v>
                </c:pt>
                <c:pt idx="2">
                  <c:v>Buildings</c:v>
                </c:pt>
                <c:pt idx="3">
                  <c:v>Transport</c:v>
                </c:pt>
                <c:pt idx="4">
                  <c:v>Agriculture</c:v>
                </c:pt>
                <c:pt idx="5">
                  <c:v>LULUCF</c:v>
                </c:pt>
              </c:strCache>
            </c:strRef>
          </c:cat>
          <c:val>
            <c:numRef>
              <c:f>'2. sectoral progress GHG emissi'!$N$2:$N$7</c:f>
              <c:numCache>
                <c:formatCode>0</c:formatCode>
                <c:ptCount val="6"/>
                <c:pt idx="0">
                  <c:v>-54.373290260856976</c:v>
                </c:pt>
                <c:pt idx="1">
                  <c:v>-24.364113884733953</c:v>
                </c:pt>
                <c:pt idx="2">
                  <c:v>-28.935548192598603</c:v>
                </c:pt>
                <c:pt idx="3">
                  <c:v>-26.160372333750047</c:v>
                </c:pt>
                <c:pt idx="4">
                  <c:v>-3.4585959610948009</c:v>
                </c:pt>
                <c:pt idx="5">
                  <c:v>-8.2790888287499982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28-46F1-8691-406EC0619659}"/>
            </c:ext>
          </c:extLst>
        </c:ser>
        <c:ser>
          <c:idx val="2"/>
          <c:order val="2"/>
          <c:tx>
            <c:strRef>
              <c:f>'2. sectoral progress GHG emissi'!$O$1</c:f>
              <c:strCache>
                <c:ptCount val="1"/>
                <c:pt idx="0">
                  <c:v>Required change 2031-2050</c:v>
                </c:pt>
              </c:strCache>
            </c:strRef>
          </c:tx>
          <c:spPr>
            <a:solidFill>
              <a:srgbClr val="3D5584"/>
            </a:solidFill>
            <a:ln>
              <a:noFill/>
            </a:ln>
            <a:effectLst/>
          </c:spPr>
          <c:invertIfNegative val="0"/>
          <c:cat>
            <c:strRef>
              <c:f>'2. sectoral progress GHG emissi'!$L$2:$L$7</c:f>
              <c:strCache>
                <c:ptCount val="6"/>
                <c:pt idx="0">
                  <c:v>Energy supply</c:v>
                </c:pt>
                <c:pt idx="1">
                  <c:v>Industry</c:v>
                </c:pt>
                <c:pt idx="2">
                  <c:v>Buildings</c:v>
                </c:pt>
                <c:pt idx="3">
                  <c:v>Transport</c:v>
                </c:pt>
                <c:pt idx="4">
                  <c:v>Agriculture</c:v>
                </c:pt>
                <c:pt idx="5">
                  <c:v>LULUCF</c:v>
                </c:pt>
              </c:strCache>
            </c:strRef>
          </c:cat>
          <c:val>
            <c:numRef>
              <c:f>'2. sectoral progress GHG emissi'!$O$2:$O$7</c:f>
              <c:numCache>
                <c:formatCode>0</c:formatCode>
                <c:ptCount val="6"/>
                <c:pt idx="0">
                  <c:v>-23.602544648478965</c:v>
                </c:pt>
                <c:pt idx="1">
                  <c:v>-18.944651000444992</c:v>
                </c:pt>
                <c:pt idx="2">
                  <c:v>-11.196687799858694</c:v>
                </c:pt>
                <c:pt idx="3">
                  <c:v>-31.229046645539871</c:v>
                </c:pt>
                <c:pt idx="4">
                  <c:v>-4.6891154725630599</c:v>
                </c:pt>
                <c:pt idx="5">
                  <c:v>-4.5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28-46F1-8691-406EC06196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8702064"/>
        <c:axId val="662485024"/>
      </c:barChart>
      <c:catAx>
        <c:axId val="768702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662485024"/>
        <c:crosses val="autoZero"/>
        <c:auto val="1"/>
        <c:lblAlgn val="ctr"/>
        <c:lblOffset val="100"/>
        <c:noMultiLvlLbl val="0"/>
      </c:catAx>
      <c:valAx>
        <c:axId val="6624850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Mt CO2e</a:t>
                </a:r>
                <a:endParaRPr lang="en-D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768702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C0065459-2E73-481E-977D-4E1CE80FAAB7}" type="doc">
      <dgm:prSet loTypeId="urn:microsoft.com/office/officeart/2005/8/layout/hChevron3" loCatId="process" qsTypeId="urn:microsoft.com/office/officeart/2005/8/quickstyle/simple1" qsCatId="simple" csTypeId="urn:microsoft.com/office/officeart/2005/8/colors/accent1_2" csCatId="accent1" phldr="1"/>
      <dgm:spPr/>
    </dgm:pt>
    <dgm:pt modelId="{DC21F58D-0E56-4168-A672-1943B4702A23}">
      <dgm:prSet phldrT="[Text]" custT="1"/>
      <dgm:spPr/>
      <dgm:t>
        <a:bodyPr/>
        <a:lstStyle/>
        <a:p>
          <a:r>
            <a:rPr lang="en-DK" sz="1200"/>
            <a:t>-62 Mt </a:t>
          </a:r>
          <a:r>
            <a:rPr lang="en-BE" sz="1200"/>
            <a:t>CO</a:t>
          </a:r>
          <a:r>
            <a:rPr lang="en-BE" sz="1200" baseline="-25000"/>
            <a:t>2</a:t>
          </a:r>
          <a:r>
            <a:rPr lang="en-BE" sz="1200"/>
            <a:t>e</a:t>
          </a:r>
          <a:r>
            <a:rPr lang="en-DK" sz="1200"/>
            <a:t> y</a:t>
          </a:r>
          <a:r>
            <a:rPr lang="en-DK" sz="1200" baseline="30000"/>
            <a:t>-1</a:t>
          </a:r>
        </a:p>
      </dgm:t>
    </dgm:pt>
    <dgm:pt modelId="{95897635-B368-4243-A2E8-0758D3025D88}" type="parTrans" cxnId="{2876AF01-60B0-40A3-88B8-A0A85129678D}">
      <dgm:prSet/>
      <dgm:spPr/>
      <dgm:t>
        <a:bodyPr/>
        <a:lstStyle/>
        <a:p>
          <a:endParaRPr lang="en-DK"/>
        </a:p>
      </dgm:t>
    </dgm:pt>
    <dgm:pt modelId="{028EFFD5-BC7D-43DB-A588-2C652475A318}" type="sibTrans" cxnId="{2876AF01-60B0-40A3-88B8-A0A85129678D}">
      <dgm:prSet/>
      <dgm:spPr/>
      <dgm:t>
        <a:bodyPr/>
        <a:lstStyle/>
        <a:p>
          <a:endParaRPr lang="en-DK"/>
        </a:p>
      </dgm:t>
    </dgm:pt>
    <dgm:pt modelId="{14E9135B-228E-45C0-B896-7BC081E9C83A}">
      <dgm:prSet phldrT="[Text]" custT="1"/>
      <dgm:spPr/>
      <dgm:t>
        <a:bodyPr/>
        <a:lstStyle/>
        <a:p>
          <a:r>
            <a:rPr lang="en-DK" sz="1200"/>
            <a:t>-141 Mt </a:t>
          </a:r>
          <a:r>
            <a:rPr lang="en-BE" sz="1200"/>
            <a:t>CO</a:t>
          </a:r>
          <a:r>
            <a:rPr lang="en-BE" sz="1200" baseline="-25000"/>
            <a:t>2</a:t>
          </a:r>
          <a:r>
            <a:rPr lang="en-BE" sz="1200"/>
            <a:t>e</a:t>
          </a:r>
          <a:r>
            <a:rPr lang="en-DK" sz="1200"/>
            <a:t> y</a:t>
          </a:r>
          <a:r>
            <a:rPr lang="en-DK" sz="1200" baseline="30000"/>
            <a:t>-1</a:t>
          </a:r>
        </a:p>
      </dgm:t>
    </dgm:pt>
    <dgm:pt modelId="{404544DA-5E3D-4912-AF9D-69EC3F5D4BCE}" type="parTrans" cxnId="{4A522986-7342-4FCD-9A8C-D3EF4FC35AC0}">
      <dgm:prSet/>
      <dgm:spPr/>
      <dgm:t>
        <a:bodyPr/>
        <a:lstStyle/>
        <a:p>
          <a:endParaRPr lang="en-DK"/>
        </a:p>
      </dgm:t>
    </dgm:pt>
    <dgm:pt modelId="{FE1CFDD6-5353-457B-A7D9-67ED8DD3361E}" type="sibTrans" cxnId="{4A522986-7342-4FCD-9A8C-D3EF4FC35AC0}">
      <dgm:prSet/>
      <dgm:spPr/>
      <dgm:t>
        <a:bodyPr/>
        <a:lstStyle/>
        <a:p>
          <a:endParaRPr lang="en-DK"/>
        </a:p>
      </dgm:t>
    </dgm:pt>
    <dgm:pt modelId="{AD8C2AAD-B2B6-4F92-AA81-D672F15474A1}">
      <dgm:prSet phldrT="[Text]" custT="1"/>
      <dgm:spPr/>
      <dgm:t>
        <a:bodyPr/>
        <a:lstStyle/>
        <a:p>
          <a:r>
            <a:rPr lang="en-BE" sz="1200"/>
            <a:t>-171 to -191 CO</a:t>
          </a:r>
          <a:r>
            <a:rPr lang="en-BE" sz="1200" baseline="-25000"/>
            <a:t>2</a:t>
          </a:r>
          <a:r>
            <a:rPr lang="en-BE" sz="1200"/>
            <a:t>e</a:t>
          </a:r>
          <a:endParaRPr lang="en-DK" sz="1200">
            <a:latin typeface="Segoe UI" panose="020B0502040204020203" pitchFamily="34" charset="0"/>
            <a:cs typeface="Segoe UI" panose="020B0502040204020203" pitchFamily="34" charset="0"/>
          </a:endParaRPr>
        </a:p>
      </dgm:t>
    </dgm:pt>
    <dgm:pt modelId="{C148BE51-5FFB-4C44-881C-4F03B97C888F}" type="parTrans" cxnId="{E5560527-6AE9-496D-8577-A8B3C6ED7369}">
      <dgm:prSet/>
      <dgm:spPr/>
      <dgm:t>
        <a:bodyPr/>
        <a:lstStyle/>
        <a:p>
          <a:endParaRPr lang="en-DK"/>
        </a:p>
      </dgm:t>
    </dgm:pt>
    <dgm:pt modelId="{7598A89E-FEDD-4979-91EA-15E2EE826630}" type="sibTrans" cxnId="{E5560527-6AE9-496D-8577-A8B3C6ED7369}">
      <dgm:prSet/>
      <dgm:spPr/>
      <dgm:t>
        <a:bodyPr/>
        <a:lstStyle/>
        <a:p>
          <a:endParaRPr lang="en-DK"/>
        </a:p>
      </dgm:t>
    </dgm:pt>
    <dgm:pt modelId="{B4D067C4-A385-4774-AD82-308376D9BD29}" type="pres">
      <dgm:prSet presAssocID="{C0065459-2E73-481E-977D-4E1CE80FAAB7}" presName="Name0" presStyleCnt="0">
        <dgm:presLayoutVars>
          <dgm:dir/>
          <dgm:resizeHandles val="exact"/>
        </dgm:presLayoutVars>
      </dgm:prSet>
      <dgm:spPr/>
    </dgm:pt>
    <dgm:pt modelId="{57970851-7069-46C7-9B5A-249433CC0CC8}" type="pres">
      <dgm:prSet presAssocID="{DC21F58D-0E56-4168-A672-1943B4702A23}" presName="parTxOnly" presStyleLbl="node1" presStyleIdx="0" presStyleCnt="3" custScaleX="36999">
        <dgm:presLayoutVars>
          <dgm:bulletEnabled val="1"/>
        </dgm:presLayoutVars>
      </dgm:prSet>
      <dgm:spPr/>
    </dgm:pt>
    <dgm:pt modelId="{FC845633-BC26-4F3B-BFB6-822CC024A570}" type="pres">
      <dgm:prSet presAssocID="{028EFFD5-BC7D-43DB-A588-2C652475A318}" presName="parSpace" presStyleCnt="0"/>
      <dgm:spPr/>
    </dgm:pt>
    <dgm:pt modelId="{5226BC35-9A8D-4DA5-848E-01C4B0097F9A}" type="pres">
      <dgm:prSet presAssocID="{14E9135B-228E-45C0-B896-7BC081E9C83A}" presName="parTxOnly" presStyleLbl="node1" presStyleIdx="1" presStyleCnt="3" custScaleX="62164">
        <dgm:presLayoutVars>
          <dgm:bulletEnabled val="1"/>
        </dgm:presLayoutVars>
      </dgm:prSet>
      <dgm:spPr/>
    </dgm:pt>
    <dgm:pt modelId="{8E144696-7403-4DAD-A123-8C6AD7B7B869}" type="pres">
      <dgm:prSet presAssocID="{FE1CFDD6-5353-457B-A7D9-67ED8DD3361E}" presName="parSpace" presStyleCnt="0"/>
      <dgm:spPr/>
    </dgm:pt>
    <dgm:pt modelId="{5715067B-68B9-4E19-820C-997C44070434}" type="pres">
      <dgm:prSet presAssocID="{AD8C2AAD-B2B6-4F92-AA81-D672F15474A1}" presName="parTxOnly" presStyleLbl="node1" presStyleIdx="2" presStyleCnt="3">
        <dgm:presLayoutVars>
          <dgm:bulletEnabled val="1"/>
        </dgm:presLayoutVars>
      </dgm:prSet>
      <dgm:spPr/>
    </dgm:pt>
  </dgm:ptLst>
  <dgm:cxnLst>
    <dgm:cxn modelId="{2876AF01-60B0-40A3-88B8-A0A85129678D}" srcId="{C0065459-2E73-481E-977D-4E1CE80FAAB7}" destId="{DC21F58D-0E56-4168-A672-1943B4702A23}" srcOrd="0" destOrd="0" parTransId="{95897635-B368-4243-A2E8-0758D3025D88}" sibTransId="{028EFFD5-BC7D-43DB-A588-2C652475A318}"/>
    <dgm:cxn modelId="{D311C415-104B-4F0D-B716-1FD4B9106A23}" type="presOf" srcId="{DC21F58D-0E56-4168-A672-1943B4702A23}" destId="{57970851-7069-46C7-9B5A-249433CC0CC8}" srcOrd="0" destOrd="0" presId="urn:microsoft.com/office/officeart/2005/8/layout/hChevron3"/>
    <dgm:cxn modelId="{E5560527-6AE9-496D-8577-A8B3C6ED7369}" srcId="{C0065459-2E73-481E-977D-4E1CE80FAAB7}" destId="{AD8C2AAD-B2B6-4F92-AA81-D672F15474A1}" srcOrd="2" destOrd="0" parTransId="{C148BE51-5FFB-4C44-881C-4F03B97C888F}" sibTransId="{7598A89E-FEDD-4979-91EA-15E2EE826630}"/>
    <dgm:cxn modelId="{C70AB578-06A2-489F-A190-762544AA795E}" type="presOf" srcId="{14E9135B-228E-45C0-B896-7BC081E9C83A}" destId="{5226BC35-9A8D-4DA5-848E-01C4B0097F9A}" srcOrd="0" destOrd="0" presId="urn:microsoft.com/office/officeart/2005/8/layout/hChevron3"/>
    <dgm:cxn modelId="{4A522986-7342-4FCD-9A8C-D3EF4FC35AC0}" srcId="{C0065459-2E73-481E-977D-4E1CE80FAAB7}" destId="{14E9135B-228E-45C0-B896-7BC081E9C83A}" srcOrd="1" destOrd="0" parTransId="{404544DA-5E3D-4912-AF9D-69EC3F5D4BCE}" sibTransId="{FE1CFDD6-5353-457B-A7D9-67ED8DD3361E}"/>
    <dgm:cxn modelId="{CE427792-5D92-463C-BBC6-3773A37913B9}" type="presOf" srcId="{AD8C2AAD-B2B6-4F92-AA81-D672F15474A1}" destId="{5715067B-68B9-4E19-820C-997C44070434}" srcOrd="0" destOrd="0" presId="urn:microsoft.com/office/officeart/2005/8/layout/hChevron3"/>
    <dgm:cxn modelId="{1B5288E0-2408-43B7-8C29-5817E649385A}" type="presOf" srcId="{C0065459-2E73-481E-977D-4E1CE80FAAB7}" destId="{B4D067C4-A385-4774-AD82-308376D9BD29}" srcOrd="0" destOrd="0" presId="urn:microsoft.com/office/officeart/2005/8/layout/hChevron3"/>
    <dgm:cxn modelId="{17D39034-E664-4779-B928-F57B83D45CD9}" type="presParOf" srcId="{B4D067C4-A385-4774-AD82-308376D9BD29}" destId="{57970851-7069-46C7-9B5A-249433CC0CC8}" srcOrd="0" destOrd="0" presId="urn:microsoft.com/office/officeart/2005/8/layout/hChevron3"/>
    <dgm:cxn modelId="{17EC9776-F8AB-49EE-A96C-903A590E9D3C}" type="presParOf" srcId="{B4D067C4-A385-4774-AD82-308376D9BD29}" destId="{FC845633-BC26-4F3B-BFB6-822CC024A570}" srcOrd="1" destOrd="0" presId="urn:microsoft.com/office/officeart/2005/8/layout/hChevron3"/>
    <dgm:cxn modelId="{C4D4D485-E0EC-4D65-A11B-373041C0195E}" type="presParOf" srcId="{B4D067C4-A385-4774-AD82-308376D9BD29}" destId="{5226BC35-9A8D-4DA5-848E-01C4B0097F9A}" srcOrd="2" destOrd="0" presId="urn:microsoft.com/office/officeart/2005/8/layout/hChevron3"/>
    <dgm:cxn modelId="{CAFC1D68-38BA-475B-ADE7-ADAF551C4D52}" type="presParOf" srcId="{B4D067C4-A385-4774-AD82-308376D9BD29}" destId="{8E144696-7403-4DAD-A123-8C6AD7B7B869}" srcOrd="3" destOrd="0" presId="urn:microsoft.com/office/officeart/2005/8/layout/hChevron3"/>
    <dgm:cxn modelId="{DCAAB481-26A0-4F94-B5E7-11BA30BC9FAC}" type="presParOf" srcId="{B4D067C4-A385-4774-AD82-308376D9BD29}" destId="{5715067B-68B9-4E19-820C-997C44070434}" srcOrd="4" destOrd="0" presId="urn:microsoft.com/office/officeart/2005/8/layout/hChevron3"/>
  </dgm:cxnLst>
  <dgm:bg/>
  <dgm:whole/>
  <dgm:extLst>
    <a:ext uri="http://schemas.microsoft.com/office/drawing/2008/diagram">
      <dsp:dataModelExt xmlns:dsp="http://schemas.microsoft.com/office/drawing/2008/diagram" relId="rId8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57970851-7069-46C7-9B5A-249433CC0CC8}">
      <dsp:nvSpPr>
        <dsp:cNvPr id="0" name=""/>
        <dsp:cNvSpPr/>
      </dsp:nvSpPr>
      <dsp:spPr>
        <a:xfrm>
          <a:off x="1291" y="0"/>
          <a:ext cx="1056093" cy="398105"/>
        </a:xfrm>
        <a:prstGeom prst="homePlat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4008" tIns="32004" rIns="16002" bIns="32004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DK" sz="1200" kern="1200"/>
            <a:t>-62 Mt </a:t>
          </a:r>
          <a:r>
            <a:rPr lang="en-BE" sz="1200" kern="1200"/>
            <a:t>CO</a:t>
          </a:r>
          <a:r>
            <a:rPr lang="en-BE" sz="1200" kern="1200" baseline="-25000"/>
            <a:t>2</a:t>
          </a:r>
          <a:r>
            <a:rPr lang="en-BE" sz="1200" kern="1200"/>
            <a:t>e</a:t>
          </a:r>
          <a:r>
            <a:rPr lang="en-DK" sz="1200" kern="1200"/>
            <a:t> y</a:t>
          </a:r>
          <a:r>
            <a:rPr lang="en-DK" sz="1200" kern="1200" baseline="30000"/>
            <a:t>-1</a:t>
          </a:r>
        </a:p>
      </dsp:txBody>
      <dsp:txXfrm>
        <a:off x="1291" y="0"/>
        <a:ext cx="956567" cy="398105"/>
      </dsp:txXfrm>
    </dsp:sp>
    <dsp:sp modelId="{5226BC35-9A8D-4DA5-848E-01C4B0097F9A}">
      <dsp:nvSpPr>
        <dsp:cNvPr id="0" name=""/>
        <dsp:cNvSpPr/>
      </dsp:nvSpPr>
      <dsp:spPr>
        <a:xfrm>
          <a:off x="486508" y="0"/>
          <a:ext cx="1774399" cy="398105"/>
        </a:xfrm>
        <a:prstGeom prst="chevron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8006" tIns="32004" rIns="16002" bIns="32004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DK" sz="1200" kern="1200"/>
            <a:t>-141 Mt </a:t>
          </a:r>
          <a:r>
            <a:rPr lang="en-BE" sz="1200" kern="1200"/>
            <a:t>CO</a:t>
          </a:r>
          <a:r>
            <a:rPr lang="en-BE" sz="1200" kern="1200" baseline="-25000"/>
            <a:t>2</a:t>
          </a:r>
          <a:r>
            <a:rPr lang="en-BE" sz="1200" kern="1200"/>
            <a:t>e</a:t>
          </a:r>
          <a:r>
            <a:rPr lang="en-DK" sz="1200" kern="1200"/>
            <a:t> y</a:t>
          </a:r>
          <a:r>
            <a:rPr lang="en-DK" sz="1200" kern="1200" baseline="30000"/>
            <a:t>-1</a:t>
          </a:r>
        </a:p>
      </dsp:txBody>
      <dsp:txXfrm>
        <a:off x="685561" y="0"/>
        <a:ext cx="1376294" cy="398105"/>
      </dsp:txXfrm>
    </dsp:sp>
    <dsp:sp modelId="{5715067B-68B9-4E19-820C-997C44070434}">
      <dsp:nvSpPr>
        <dsp:cNvPr id="0" name=""/>
        <dsp:cNvSpPr/>
      </dsp:nvSpPr>
      <dsp:spPr>
        <a:xfrm>
          <a:off x="1690031" y="0"/>
          <a:ext cx="2854384" cy="398105"/>
        </a:xfrm>
        <a:prstGeom prst="chevron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8006" tIns="32004" rIns="16002" bIns="32004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BE" sz="1200" kern="1200"/>
            <a:t>-171 to -191 CO</a:t>
          </a:r>
          <a:r>
            <a:rPr lang="en-BE" sz="1200" kern="1200" baseline="-25000"/>
            <a:t>2</a:t>
          </a:r>
          <a:r>
            <a:rPr lang="en-BE" sz="1200" kern="1200"/>
            <a:t>e</a:t>
          </a:r>
          <a:endParaRPr lang="en-DK" sz="1200" kern="1200">
            <a:latin typeface="Segoe UI" panose="020B0502040204020203" pitchFamily="34" charset="0"/>
            <a:cs typeface="Segoe UI" panose="020B0502040204020203" pitchFamily="34" charset="0"/>
          </a:endParaRPr>
        </a:p>
      </dsp:txBody>
      <dsp:txXfrm>
        <a:off x="1889084" y="0"/>
        <a:ext cx="2456279" cy="398105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hChevron3">
  <dgm:title val=""/>
  <dgm:desc val=""/>
  <dgm:catLst>
    <dgm:cat type="process" pri="10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Name0">
    <dgm:varLst>
      <dgm:dir/>
      <dgm:resizeHandles val="exact"/>
    </dgm:varLst>
    <dgm:choose name="Name1">
      <dgm:if name="Name2" func="var" arg="dir" op="equ" val="norm">
        <dgm:alg type="lin"/>
      </dgm:if>
      <dgm:else name="Name3">
        <dgm:alg type="lin">
          <dgm:param type="linDir" val="fromR"/>
        </dgm:alg>
      </dgm:else>
    </dgm:choose>
    <dgm:shape xmlns:r="http://schemas.openxmlformats.org/officeDocument/2006/relationships" r:blip="">
      <dgm:adjLst/>
    </dgm:shape>
    <dgm:presOf/>
    <dgm:choose name="Name4">
      <dgm:if name="Name5" axis="root des" func="maxDepth" op="gte" val="2">
        <dgm:constrLst>
          <dgm:constr type="w" for="ch" forName="parAndChTx" refType="w"/>
          <dgm:constr type="primFontSz" for="ch" ptType="node" op="equ"/>
          <dgm:constr type="w" for="ch" forName="parAndChSpace" refType="w" refFor="ch" refForName="parAndChTx" fact="-0.2"/>
          <dgm:constr type="w" for="ch" ptType="sibTrans" op="equ"/>
        </dgm:constrLst>
        <dgm:ruleLst/>
        <dgm:forEach name="Name6" axis="ch" ptType="node">
          <dgm:layoutNode name="parAndChTx">
            <dgm:varLst>
              <dgm:bulletEnabled val="1"/>
            </dgm:varLst>
            <dgm:alg type="tx"/>
            <dgm:choose name="Name7">
              <dgm:if name="Name8" func="var" arg="dir" op="equ" val="norm">
                <dgm:choose name="Name9">
                  <dgm:if name="Name10" axis="self" ptType="node" func="pos" op="equ" val="1">
                    <dgm:shape xmlns:r="http://schemas.openxmlformats.org/officeDocument/2006/relationships" type="homePlate" r:blip="">
                      <dgm:adjLst>
                        <dgm:adj idx="1" val="0.25"/>
                      </dgm:adjLst>
                    </dgm:shape>
                    <dgm:presOf axis="desOrSelf" ptType="node"/>
                    <dgm:constrLst>
                      <dgm:constr type="h" refType="w" op="equ" fact="0.8"/>
                      <dgm:constr type="primFontSz" val="65"/>
                      <dgm:constr type="tMarg" refType="primFontSz" fact="0.2"/>
                      <dgm:constr type="bMarg" refType="primFontSz" fact="0.2"/>
                      <dgm:constr type="lMarg" refType="w" fact="0.1"/>
                      <dgm:constr type="rMarg" refType="w" fact="0.4"/>
                    </dgm:constrLst>
                  </dgm:if>
                  <dgm:else name="Name11">
                    <dgm:shape xmlns:r="http://schemas.openxmlformats.org/officeDocument/2006/relationships" type="chevron" r:blip="">
                      <dgm:adjLst>
                        <dgm:adj idx="1" val="0.25"/>
                      </dgm:adjLst>
                    </dgm:shape>
                    <dgm:presOf axis="desOrSelf" ptType="node"/>
                    <dgm:constrLst>
                      <dgm:constr type="h" refType="w" op="equ" fact="0.8"/>
                      <dgm:constr type="primFontSz" val="65"/>
                      <dgm:constr type="tMarg" refType="primFontSz" fact="0.2"/>
                      <dgm:constr type="bMarg" refType="primFontSz" fact="0.2"/>
                      <dgm:constr type="lMarg" refType="w" fact="0.1"/>
                      <dgm:constr type="rMarg" refType="w" fact="0.1"/>
                    </dgm:constrLst>
                  </dgm:else>
                </dgm:choose>
              </dgm:if>
              <dgm:else name="Name12">
                <dgm:choose name="Name13">
                  <dgm:if name="Name14" axis="self" ptType="node" func="pos" op="equ" val="1">
                    <dgm:shape xmlns:r="http://schemas.openxmlformats.org/officeDocument/2006/relationships" rot="180" type="homePlate" r:blip="">
                      <dgm:adjLst>
                        <dgm:adj idx="1" val="0.25"/>
                      </dgm:adjLst>
                    </dgm:shape>
                    <dgm:presOf axis="desOrSelf" ptType="node"/>
                    <dgm:constrLst>
                      <dgm:constr type="h" refType="w" op="equ" fact="0.8"/>
                      <dgm:constr type="primFontSz" val="65"/>
                      <dgm:constr type="tMarg" refType="primFontSz" fact="0.2"/>
                      <dgm:constr type="bMarg" refType="primFontSz" fact="0.2"/>
                      <dgm:constr type="lMarg" refType="w" fact="0.4"/>
                      <dgm:constr type="rMarg" refType="w" fact="0.1"/>
                    </dgm:constrLst>
                  </dgm:if>
                  <dgm:else name="Name15">
                    <dgm:shape xmlns:r="http://schemas.openxmlformats.org/officeDocument/2006/relationships" rot="180" type="chevron" r:blip="">
                      <dgm:adjLst>
                        <dgm:adj idx="1" val="0.25"/>
                      </dgm:adjLst>
                    </dgm:shape>
                    <dgm:presOf axis="desOrSelf" ptType="node"/>
                    <dgm:constrLst>
                      <dgm:constr type="h" refType="w" op="equ" fact="0.8"/>
                      <dgm:constr type="primFontSz" val="65"/>
                      <dgm:constr type="tMarg" refType="primFontSz" fact="0.2"/>
                      <dgm:constr type="bMarg" refType="primFontSz" fact="0.2"/>
                      <dgm:constr type="lMarg" refType="w" fact="0.1"/>
                      <dgm:constr type="rMarg" refType="w" fact="0.1"/>
                    </dgm:constrLst>
                  </dgm:else>
                </dgm:choose>
              </dgm:else>
            </dgm:choose>
            <dgm:ruleLst>
              <dgm:rule type="primFontSz" val="5" fact="NaN" max="NaN"/>
            </dgm:ruleLst>
          </dgm:layoutNode>
          <dgm:forEach name="Name16" axis="followSib" ptType="sibTrans" cnt="1">
            <dgm:layoutNode name="parAndChSpace">
              <dgm:alg type="sp"/>
              <dgm:shape xmlns:r="http://schemas.openxmlformats.org/officeDocument/2006/relationships" r:blip="">
                <dgm:adjLst/>
              </dgm:shape>
              <dgm:presOf/>
              <dgm:constrLst/>
              <dgm:ruleLst/>
            </dgm:layoutNode>
          </dgm:forEach>
        </dgm:forEach>
      </dgm:if>
      <dgm:else name="Name17">
        <dgm:constrLst>
          <dgm:constr type="w" for="ch" forName="parTxOnly" refType="w"/>
          <dgm:constr type="primFontSz" for="ch" ptType="node" op="equ"/>
          <dgm:constr type="w" for="ch" forName="parSpace" refType="w" refFor="ch" refForName="parTxOnly" fact="-0.2"/>
          <dgm:constr type="w" for="ch" ptType="sibTrans" op="equ"/>
        </dgm:constrLst>
        <dgm:ruleLst/>
        <dgm:forEach name="Name18" axis="ch" ptType="node">
          <dgm:layoutNode name="parTxOnly">
            <dgm:varLst>
              <dgm:bulletEnabled val="1"/>
            </dgm:varLst>
            <dgm:alg type="tx"/>
            <dgm:presOf axis="desOrSelf" ptType="node"/>
            <dgm:choose name="Name19">
              <dgm:if name="Name20" func="var" arg="dir" op="equ" val="norm">
                <dgm:choose name="Name21">
                  <dgm:if name="Name22" axis="self" ptType="node" func="pos" op="equ" val="1">
                    <dgm:shape xmlns:r="http://schemas.openxmlformats.org/officeDocument/2006/relationships" type="homePlate" r:blip="">
                      <dgm:adjLst/>
                    </dgm:shape>
                    <dgm:constrLst>
                      <dgm:constr type="h" refType="w" op="equ" fact="0.4"/>
                      <dgm:constr type="primFontSz" val="65"/>
                      <dgm:constr type="tMarg" refType="primFontSz" fact="0.21"/>
                      <dgm:constr type="bMarg" refType="primFontSz" fact="0.21"/>
                      <dgm:constr type="lMarg" refType="primFontSz" fact="0.42"/>
                      <dgm:constr type="rMarg" refType="primFontSz" fact="0.105"/>
                    </dgm:constrLst>
                  </dgm:if>
                  <dgm:else name="Name23">
                    <dgm:shape xmlns:r="http://schemas.openxmlformats.org/officeDocument/2006/relationships" type="chevron" r:blip="">
                      <dgm:adjLst/>
                    </dgm:shape>
                    <dgm:constrLst>
                      <dgm:constr type="h" refType="w" op="equ" fact="0.4"/>
                      <dgm:constr type="primFontSz" val="65"/>
                      <dgm:constr type="tMarg" refType="primFontSz" fact="0.21"/>
                      <dgm:constr type="bMarg" refType="primFontSz" fact="0.21"/>
                      <dgm:constr type="lMarg" refType="primFontSz" fact="0.315"/>
                      <dgm:constr type="rMarg" refType="primFontSz" fact="0.105"/>
                    </dgm:constrLst>
                  </dgm:else>
                </dgm:choose>
              </dgm:if>
              <dgm:else name="Name24">
                <dgm:choose name="Name25">
                  <dgm:if name="Name26" axis="self" ptType="node" func="pos" op="equ" val="1">
                    <dgm:shape xmlns:r="http://schemas.openxmlformats.org/officeDocument/2006/relationships" rot="180" type="homePlate" r:blip="">
                      <dgm:adjLst/>
                    </dgm:shape>
                    <dgm:constrLst>
                      <dgm:constr type="h" refType="w" op="equ" fact="0.4"/>
                      <dgm:constr type="primFontSz" val="65"/>
                      <dgm:constr type="tMarg" refType="primFontSz" fact="0.21"/>
                      <dgm:constr type="bMarg" refType="primFontSz" fact="0.21"/>
                      <dgm:constr type="lMarg" refType="primFontSz" fact="0.105"/>
                      <dgm:constr type="rMarg" refType="primFontSz" fact="0.42"/>
                    </dgm:constrLst>
                  </dgm:if>
                  <dgm:else name="Name27">
                    <dgm:shape xmlns:r="http://schemas.openxmlformats.org/officeDocument/2006/relationships" rot="180" type="chevron" r:blip="">
                      <dgm:adjLst/>
                    </dgm:shape>
                    <dgm:constrLst>
                      <dgm:constr type="h" refType="w" op="equ" fact="0.4"/>
                      <dgm:constr type="primFontSz" val="65"/>
                      <dgm:constr type="tMarg" refType="primFontSz" fact="0.21"/>
                      <dgm:constr type="bMarg" refType="primFontSz" fact="0.21"/>
                      <dgm:constr type="lMarg" refType="primFontSz" fact="0.105"/>
                      <dgm:constr type="rMarg" refType="primFontSz" fact="0.315"/>
                    </dgm:constrLst>
                  </dgm:else>
                </dgm:choose>
              </dgm:else>
            </dgm:choose>
            <dgm:ruleLst>
              <dgm:rule type="primFontSz" val="5" fact="NaN" max="NaN"/>
            </dgm:ruleLst>
          </dgm:layoutNode>
          <dgm:forEach name="Name28" axis="followSib" ptType="sibTrans" cnt="1">
            <dgm:layoutNode name="parSpace">
              <dgm:alg type="sp"/>
              <dgm:shape xmlns:r="http://schemas.openxmlformats.org/officeDocument/2006/relationships" r:blip="">
                <dgm:adjLst/>
              </dgm:shape>
              <dgm:presOf/>
              <dgm:constrLst/>
              <dgm:ruleLst/>
            </dgm:layoutNode>
          </dgm:forEach>
        </dgm:forEach>
      </dgm:else>
    </dgm:choose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8" Type="http://schemas.microsoft.com/office/2007/relationships/diagramDrawing" Target="../diagrams/drawing1.xml"/><Relationship Id="rId7" Type="http://schemas.openxmlformats.org/officeDocument/2006/relationships/diagramColors" Target="../diagrams/colors1.xml"/><Relationship Id="rId6" Type="http://schemas.openxmlformats.org/officeDocument/2006/relationships/diagramQuickStyle" Target="../diagrams/quickStyle1.xml"/><Relationship Id="rId11" Type="http://schemas.openxmlformats.org/officeDocument/2006/relationships/chart" Target="../charts/chart4.xml"/><Relationship Id="rId5" Type="http://schemas.openxmlformats.org/officeDocument/2006/relationships/diagramLayout" Target="../diagrams/layout1.xml"/><Relationship Id="rId10" Type="http://schemas.openxmlformats.org/officeDocument/2006/relationships/chart" Target="../charts/chart3.xml"/><Relationship Id="rId4" Type="http://schemas.openxmlformats.org/officeDocument/2006/relationships/diagramData" Target="../diagrams/data1.xml"/><Relationship Id="rId9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390525</xdr:colOff>
      <xdr:row>20</xdr:row>
      <xdr:rowOff>157162</xdr:rowOff>
    </xdr:from>
    <xdr:to>
      <xdr:col>14</xdr:col>
      <xdr:colOff>85725</xdr:colOff>
      <xdr:row>35</xdr:row>
      <xdr:rowOff>42862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C6184E-1CF6-BF49-F367-D1BB8CCCBB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</xdr:colOff>
      <xdr:row>28</xdr:row>
      <xdr:rowOff>38100</xdr:rowOff>
    </xdr:from>
    <xdr:to>
      <xdr:col>13</xdr:col>
      <xdr:colOff>333375</xdr:colOff>
      <xdr:row>44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4158D8-5513-46E9-AAB0-63904FA3B8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925" y="5372100"/>
          <a:ext cx="5810250" cy="3143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8</xdr:col>
      <xdr:colOff>504825</xdr:colOff>
      <xdr:row>21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9005CE-4FE2-4505-B55F-CB2FB5DC26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52500"/>
          <a:ext cx="2943225" cy="316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29296</xdr:colOff>
      <xdr:row>15</xdr:row>
      <xdr:rowOff>11012</xdr:rowOff>
    </xdr:from>
    <xdr:to>
      <xdr:col>45</xdr:col>
      <xdr:colOff>564543</xdr:colOff>
      <xdr:row>37</xdr:row>
      <xdr:rowOff>46883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86EAD2-786C-46AE-8ADB-E0EA5E8E8E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21</xdr:col>
      <xdr:colOff>291393</xdr:colOff>
      <xdr:row>15</xdr:row>
      <xdr:rowOff>85876</xdr:rowOff>
    </xdr:from>
    <xdr:to>
      <xdr:col>33</xdr:col>
      <xdr:colOff>457197</xdr:colOff>
      <xdr:row>34</xdr:row>
      <xdr:rowOff>89340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id="{B83FE160-727E-5EDD-E7D0-480DC53D54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22</xdr:col>
      <xdr:colOff>541830</xdr:colOff>
      <xdr:row>41</xdr:row>
      <xdr:rowOff>7343</xdr:rowOff>
    </xdr:from>
    <xdr:to>
      <xdr:col>31</xdr:col>
      <xdr:colOff>514136</xdr:colOff>
      <xdr:row>54</xdr:row>
      <xdr:rowOff>176746</xdr:rowOff>
    </xdr:to>
    <xdr:graphicFrame macro="">
      <xdr:nvGraphicFramePr>
        <xdr:cNvPr id="9" name="Chart 3">
          <a:extLst>
            <a:ext uri="{FF2B5EF4-FFF2-40B4-BE49-F238E27FC236}">
              <a16:creationId xmlns:a16="http://schemas.microsoft.com/office/drawing/2014/main" id="{EC711910-A394-8F22-B404-E6C643736F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44</xdr:col>
      <xdr:colOff>53836</xdr:colOff>
      <xdr:row>8</xdr:row>
      <xdr:rowOff>102705</xdr:rowOff>
    </xdr:from>
    <xdr:to>
      <xdr:col>51</xdr:col>
      <xdr:colOff>335444</xdr:colOff>
      <xdr:row>10</xdr:row>
      <xdr:rowOff>124240</xdr:rowOff>
    </xdr:to>
    <xdr:graphicFrame macro="">
      <xdr:nvGraphicFramePr>
        <xdr:cNvPr id="10" name="Diagram 9">
          <a:extLst>
            <a:ext uri="{FF2B5EF4-FFF2-40B4-BE49-F238E27FC236}">
              <a16:creationId xmlns:a16="http://schemas.microsoft.com/office/drawing/2014/main" id="{7ECEE62B-5266-83F2-B306-2CC4DB9007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4" r:lo="rId5" r:qs="rId6" r:cs="rId7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210109</xdr:colOff>
      <xdr:row>24</xdr:row>
      <xdr:rowOff>15304</xdr:rowOff>
    </xdr:from>
    <xdr:to>
      <xdr:col>21</xdr:col>
      <xdr:colOff>438866</xdr:colOff>
      <xdr:row>41</xdr:row>
      <xdr:rowOff>50944</xdr:rowOff>
    </xdr:to>
    <xdr:graphicFrame macro="">
      <xdr:nvGraphicFramePr>
        <xdr:cNvPr id="13" name="Chart 4">
          <a:extLst>
            <a:ext uri="{FF2B5EF4-FFF2-40B4-BE49-F238E27FC236}">
              <a16:creationId xmlns:a16="http://schemas.microsoft.com/office/drawing/2014/main" id="{33EF4134-F0E2-C146-A74A-32E2C9F90B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448235</xdr:colOff>
      <xdr:row>154</xdr:row>
      <xdr:rowOff>179292</xdr:rowOff>
    </xdr:from>
    <xdr:to>
      <xdr:col>25</xdr:col>
      <xdr:colOff>404486</xdr:colOff>
      <xdr:row>161</xdr:row>
      <xdr:rowOff>39143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E283326-A307-3241-82CF-C7836B334768}"/>
            </a:ext>
          </a:extLst>
        </xdr:cNvPr>
        <xdr:cNvSpPr txBox="1"/>
      </xdr:nvSpPr>
      <xdr:spPr>
        <a:xfrm>
          <a:off x="13430940" y="29576313"/>
          <a:ext cx="6088786" cy="122988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BE" sz="1100" b="1"/>
            <a:t>2040 data in chart shows average of 90-95% env</a:t>
          </a:r>
          <a:r>
            <a:rPr lang="fr-BE" sz="1100" b="1" baseline="0"/>
            <a:t> friendly pathways, harmonised to Eurostat in 2015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475179</xdr:colOff>
      <xdr:row>15</xdr:row>
      <xdr:rowOff>154949</xdr:rowOff>
    </xdr:from>
    <xdr:to>
      <xdr:col>19</xdr:col>
      <xdr:colOff>49437</xdr:colOff>
      <xdr:row>32</xdr:row>
      <xdr:rowOff>56429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9F705B-E23D-82B8-B9B3-85A95B09F9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369094</xdr:colOff>
      <xdr:row>44</xdr:row>
      <xdr:rowOff>70247</xdr:rowOff>
    </xdr:from>
    <xdr:to>
      <xdr:col>20</xdr:col>
      <xdr:colOff>416719</xdr:colOff>
      <xdr:row>59</xdr:row>
      <xdr:rowOff>65485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7F6C5657-0688-BC3E-17A5-E6BCD4B0DA70}"/>
            </a:ext>
            <a:ext uri="{147F2762-F138-4A5C-976F-8EAC2B608ADB}">
              <a16:predDERef xmlns:a16="http://schemas.microsoft.com/office/drawing/2014/main" pred="{999F705B-E23D-82B8-B9B3-85A95B09F9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457688</xdr:colOff>
      <xdr:row>0</xdr:row>
      <xdr:rowOff>153866</xdr:rowOff>
    </xdr:from>
    <xdr:to>
      <xdr:col>26</xdr:col>
      <xdr:colOff>337039</xdr:colOff>
      <xdr:row>18</xdr:row>
      <xdr:rowOff>55442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2BD79204-5631-F885-791C-496BBFE67A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eea1.sharepoint.com/teams/EuropeanScientificAdvisoryBoardonClimateChange2/Shared%20Documents/General/Subgroups/1b.%20Consistency%20EU%20measures/Drafts/underlying%20excels%20and%20flowcharts/background%20data/ESABCC_Energy_Snapshots.xlsx" TargetMode="External"/><Relationship Id="rId2" Type="http://schemas.microsoft.com/office/2019/04/relationships/externalLinkLongPath" Target="/teams/EuropeanScientificAdvisoryBoardonClimateChange2/Shared%20Documents/General/Subgroups/1b.%20Consistency%20EU%20measures/Drafts/underlying%20excels%20and%20flowcharts/background%20data/ESABCC_Energy_Snapshots.xlsx?AC963AB7" TargetMode="External"/><Relationship Id="rId1" Type="http://schemas.openxmlformats.org/officeDocument/2006/relationships/externalLinkPath" Target="file:///\\AC963AB7\ESABCC_Energy_Snapshots.xlsx" TargetMode="External"/><Relationship Id="rId4" Type="http://schemas.openxmlformats.org/officeDocument/2006/relationships/externalLinkPath" Target="../../../../../../../EuropeanScientificAdvisoryBoardonClimateChange2/Shared%20Documents/General/Subgroups/1b.%20Consistency%20EU%20measures/Drafts/underlying%20excels%20and%20flowcharts/background%20data/ESABCC_Energy_Snapsho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U6FuItPMEEmE50PW-_kGSO7t_KgDf1dCjFmuVvVcSx6sY9mpyvEuRbGLjLvstykO" itemId="01LU6HBXCMWMQKVQ55GBA25YYL55UADGSQ">
      <xxl21:absoluteUrl r:id="rId3"/>
      <xxl21:relativeUrl r:id="rId4"/>
    </xxl21:alternateUrls>
    <sheetNames>
      <sheetName val="EnerSupplyEmissions"/>
      <sheetName val="Final&amp;Elec"/>
      <sheetName val="Primary"/>
      <sheetName val="PrimaryComposition"/>
      <sheetName val="GridIntensity"/>
      <sheetName val="CDR &amp; Electricity"/>
      <sheetName val="CH4Ener"/>
      <sheetName val="RES%2030"/>
      <sheetName val="RES%2035"/>
      <sheetName val="RES%IP2only"/>
      <sheetName val="ElecMix"/>
      <sheetName val="FinalEnerShares"/>
      <sheetName val="Hydrogen"/>
      <sheetName val="RES_FF55vs2040"/>
      <sheetName val="CapacityWindSolar"/>
      <sheetName val="WindCapacityFactor"/>
      <sheetName val="ResComm&amp;Agri"/>
      <sheetName val="HeatPumps"/>
      <sheetName val="Industry"/>
      <sheetName val="Agriculture"/>
      <sheetName val="LULUCF"/>
      <sheetName val="Sheet2"/>
      <sheetName val="Transport"/>
    </sheetNames>
    <sheetDataSet>
      <sheetData sheetId="0"/>
      <sheetData sheetId="1">
        <row r="168">
          <cell r="I168">
            <v>1193.282093753824</v>
          </cell>
          <cell r="S168">
            <v>1112.6262408210721</v>
          </cell>
          <cell r="AH168">
            <v>941.69688264465185</v>
          </cell>
          <cell r="AR168">
            <v>680.89360935205877</v>
          </cell>
          <cell r="BB168">
            <v>610.76733475398669</v>
          </cell>
        </row>
      </sheetData>
      <sheetData sheetId="2">
        <row r="10">
          <cell r="U10">
            <v>1472.5667976399998</v>
          </cell>
          <cell r="Z10">
            <v>1395.8088586200001</v>
          </cell>
          <cell r="AO10">
            <v>1132.9210183366667</v>
          </cell>
          <cell r="AY10">
            <v>850.06286591666651</v>
          </cell>
          <cell r="BI10">
            <v>791.96118795666666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ieter Lemmens" refreshedDate="45226.345094097225" createdVersion="8" refreshedVersion="8" minRefreshableVersion="3" recordCount="5620" xr:uid="{E9004990-9021-497E-BEFA-CE7AE892BF7B}">
  <cacheSource type="worksheet">
    <worksheetSource ref="A1:I5621" sheet="MS projections raw data"/>
  </cacheSource>
  <cacheFields count="9">
    <cacheField name="CountryCode" numFmtId="0">
      <sharedItems/>
    </cacheField>
    <cacheField name="Year" numFmtId="0">
      <sharedItems containsSemiMixedTypes="0" containsString="0" containsNumber="1" containsInteger="1" minValue="2021" maxValue="2050" count="30"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</sharedItems>
    </cacheField>
    <cacheField name="SubmissionYear" numFmtId="0">
      <sharedItems containsSemiMixedTypes="0" containsString="0" containsNumber="1" containsInteger="1" minValue="2023" maxValue="2023"/>
    </cacheField>
    <cacheField name="Category" numFmtId="0">
      <sharedItems count="30">
        <s v="1. Energy"/>
        <s v="1.A.1. Energy industries"/>
        <s v="1.A.2. Manufacturing industries and construction"/>
        <s v="1.A.3. Transport"/>
        <s v="1.A.3.a. Domestic aviation"/>
        <s v="1.A.3.b. Road transportation"/>
        <s v="1.A.3.c. Railways"/>
        <s v="1.A.3.d. Domestic navigation"/>
        <s v="1.A.3.e. Other transportation"/>
        <s v="1.A.4. Other sectors"/>
        <s v="1.A.5. Other"/>
        <s v="1.B. Fugitive emissions from fuels"/>
        <s v="1.C. CO2 transport and storage"/>
        <s v="2. Industrial processes"/>
        <s v="3. Agriculture"/>
        <s v="4. Land Use, Land-Use Change and Forestry (LULUCF, reported emissions and removals) (9)"/>
        <s v="4.A. Forest land"/>
        <s v="4.B. Cropland"/>
        <s v="4.C. Grassland"/>
        <s v="4.D. Wetlands"/>
        <s v="4.E. Settlements"/>
        <s v="4.F. Other Land"/>
        <s v="4.G. Harvested wood products"/>
        <s v="4.H. Other"/>
        <s v="5. Waste"/>
        <s v="IB.Aviation"/>
        <s v="IB.Navigation"/>
        <s v="Indirect CO2 (if available) (10)"/>
        <s v="Total excluding LULUCF"/>
        <s v="Total including LULUCF"/>
      </sharedItems>
    </cacheField>
    <cacheField name="Scenario" numFmtId="0">
      <sharedItems count="3">
        <s v="WAM"/>
        <s v="WEM"/>
        <s v="WOM"/>
      </sharedItems>
    </cacheField>
    <cacheField name="Gas" numFmtId="0">
      <sharedItems count="3">
        <s v="ESR"/>
        <s v="ETS"/>
        <s v="Total"/>
      </sharedItems>
    </cacheField>
    <cacheField name="Reported Value" numFmtId="0">
      <sharedItems containsNonDate="0" containsString="0" containsBlank="1"/>
    </cacheField>
    <cacheField name="RY calibration" numFmtId="0">
      <sharedItems containsNonDate="0" containsString="0" containsBlank="1"/>
    </cacheField>
    <cacheField name="Gapfilled" numFmtId="0">
      <sharedItems containsSemiMixedTypes="0" containsString="0" containsNumber="1" minValue="-332105.74271000002" maxValue="3405857.2738772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20">
  <r>
    <s v="EU27"/>
    <x v="0"/>
    <n v="2023"/>
    <x v="0"/>
    <x v="0"/>
    <x v="0"/>
    <m/>
    <m/>
    <n v="1179032.8214913891"/>
  </r>
  <r>
    <s v="EU27"/>
    <x v="0"/>
    <n v="2023"/>
    <x v="0"/>
    <x v="0"/>
    <x v="1"/>
    <m/>
    <m/>
    <n v="1060346.642678333"/>
  </r>
  <r>
    <s v="EU27"/>
    <x v="0"/>
    <n v="2023"/>
    <x v="0"/>
    <x v="0"/>
    <x v="2"/>
    <m/>
    <m/>
    <n v="2577170.6785550001"/>
  </r>
  <r>
    <s v="EU27"/>
    <x v="0"/>
    <n v="2023"/>
    <x v="0"/>
    <x v="1"/>
    <x v="0"/>
    <m/>
    <m/>
    <n v="1512531.3806913891"/>
  </r>
  <r>
    <s v="EU27"/>
    <x v="0"/>
    <n v="2023"/>
    <x v="0"/>
    <x v="1"/>
    <x v="1"/>
    <m/>
    <m/>
    <n v="1066654.8474183329"/>
  </r>
  <r>
    <s v="EU27"/>
    <x v="0"/>
    <n v="2023"/>
    <x v="0"/>
    <x v="1"/>
    <x v="2"/>
    <m/>
    <m/>
    <n v="2588698.0216094451"/>
  </r>
  <r>
    <s v="EU27"/>
    <x v="0"/>
    <n v="2023"/>
    <x v="0"/>
    <x v="2"/>
    <x v="0"/>
    <m/>
    <m/>
    <n v="10121.20045"/>
  </r>
  <r>
    <s v="EU27"/>
    <x v="0"/>
    <n v="2023"/>
    <x v="0"/>
    <x v="2"/>
    <x v="1"/>
    <m/>
    <m/>
    <n v="8220.4160599999996"/>
  </r>
  <r>
    <s v="EU27"/>
    <x v="0"/>
    <n v="2023"/>
    <x v="0"/>
    <x v="2"/>
    <x v="2"/>
    <m/>
    <m/>
    <n v="130129.54402"/>
  </r>
  <r>
    <s v="EU27"/>
    <x v="0"/>
    <n v="2023"/>
    <x v="1"/>
    <x v="0"/>
    <x v="0"/>
    <m/>
    <m/>
    <n v="69944.86697805555"/>
  </r>
  <r>
    <s v="EU27"/>
    <x v="0"/>
    <n v="2023"/>
    <x v="1"/>
    <x v="0"/>
    <x v="1"/>
    <m/>
    <m/>
    <n v="737232.25815000001"/>
  </r>
  <r>
    <s v="EU27"/>
    <x v="0"/>
    <n v="2023"/>
    <x v="1"/>
    <x v="0"/>
    <x v="2"/>
    <m/>
    <m/>
    <n v="807005.28670333338"/>
  </r>
  <r>
    <s v="EU27"/>
    <x v="0"/>
    <n v="2023"/>
    <x v="1"/>
    <x v="1"/>
    <x v="0"/>
    <m/>
    <m/>
    <n v="69880.225448055557"/>
  </r>
  <r>
    <s v="EU27"/>
    <x v="0"/>
    <n v="2023"/>
    <x v="1"/>
    <x v="1"/>
    <x v="1"/>
    <m/>
    <m/>
    <n v="742257.60962"/>
  </r>
  <r>
    <s v="EU27"/>
    <x v="0"/>
    <n v="2023"/>
    <x v="1"/>
    <x v="1"/>
    <x v="2"/>
    <m/>
    <m/>
    <n v="811966.01665333332"/>
  </r>
  <r>
    <s v="EU27"/>
    <x v="0"/>
    <n v="2023"/>
    <x v="1"/>
    <x v="2"/>
    <x v="0"/>
    <m/>
    <m/>
    <n v="138.27332999999999"/>
  </r>
  <r>
    <s v="EU27"/>
    <x v="0"/>
    <n v="2023"/>
    <x v="1"/>
    <x v="2"/>
    <x v="1"/>
    <m/>
    <m/>
    <n v="6865.1160600000003"/>
  </r>
  <r>
    <s v="EU27"/>
    <x v="0"/>
    <n v="2023"/>
    <x v="1"/>
    <x v="2"/>
    <x v="2"/>
    <m/>
    <m/>
    <n v="47976.889389999997"/>
  </r>
  <r>
    <s v="EU27"/>
    <x v="0"/>
    <n v="2023"/>
    <x v="2"/>
    <x v="0"/>
    <x v="0"/>
    <m/>
    <m/>
    <n v="118391.2774344444"/>
  </r>
  <r>
    <s v="EU27"/>
    <x v="0"/>
    <n v="2023"/>
    <x v="2"/>
    <x v="0"/>
    <x v="1"/>
    <m/>
    <m/>
    <n v="305698.23654999997"/>
  </r>
  <r>
    <s v="EU27"/>
    <x v="0"/>
    <n v="2023"/>
    <x v="2"/>
    <x v="0"/>
    <x v="2"/>
    <m/>
    <m/>
    <n v="423690.01225527778"/>
  </r>
  <r>
    <s v="EU27"/>
    <x v="0"/>
    <n v="2023"/>
    <x v="2"/>
    <x v="1"/>
    <x v="0"/>
    <m/>
    <m/>
    <n v="118552.9360344444"/>
  </r>
  <r>
    <s v="EU27"/>
    <x v="0"/>
    <n v="2023"/>
    <x v="2"/>
    <x v="1"/>
    <x v="1"/>
    <m/>
    <m/>
    <n v="306940.56666999997"/>
  </r>
  <r>
    <s v="EU27"/>
    <x v="0"/>
    <n v="2023"/>
    <x v="2"/>
    <x v="1"/>
    <x v="2"/>
    <m/>
    <m/>
    <n v="425094.10096527782"/>
  </r>
  <r>
    <s v="EU27"/>
    <x v="0"/>
    <n v="2023"/>
    <x v="2"/>
    <x v="2"/>
    <x v="0"/>
    <m/>
    <m/>
    <n v="927.28965000000005"/>
  </r>
  <r>
    <s v="EU27"/>
    <x v="0"/>
    <n v="2023"/>
    <x v="2"/>
    <x v="2"/>
    <x v="1"/>
    <m/>
    <m/>
    <n v="1285.4000000000001"/>
  </r>
  <r>
    <s v="EU27"/>
    <x v="0"/>
    <n v="2023"/>
    <x v="2"/>
    <x v="2"/>
    <x v="2"/>
    <m/>
    <m/>
    <n v="18239.389650000001"/>
  </r>
  <r>
    <s v="EU27"/>
    <x v="0"/>
    <n v="2023"/>
    <x v="3"/>
    <x v="0"/>
    <x v="0"/>
    <m/>
    <m/>
    <n v="748176.22444333334"/>
  </r>
  <r>
    <s v="EU27"/>
    <x v="0"/>
    <n v="2023"/>
    <x v="3"/>
    <x v="0"/>
    <x v="1"/>
    <m/>
    <m/>
    <n v="3358.1554700000002"/>
  </r>
  <r>
    <s v="EU27"/>
    <x v="0"/>
    <n v="2023"/>
    <x v="3"/>
    <x v="0"/>
    <x v="2"/>
    <m/>
    <m/>
    <n v="761568.06919000007"/>
  </r>
  <r>
    <s v="EU27"/>
    <x v="0"/>
    <n v="2023"/>
    <x v="3"/>
    <x v="1"/>
    <x v="0"/>
    <m/>
    <m/>
    <n v="750891.02621333336"/>
  </r>
  <r>
    <s v="EU27"/>
    <x v="0"/>
    <n v="2023"/>
    <x v="3"/>
    <x v="1"/>
    <x v="1"/>
    <m/>
    <m/>
    <n v="3358.1554700000002"/>
  </r>
  <r>
    <s v="EU27"/>
    <x v="0"/>
    <n v="2023"/>
    <x v="3"/>
    <x v="1"/>
    <x v="2"/>
    <m/>
    <m/>
    <n v="764288.57096000004"/>
  </r>
  <r>
    <s v="EU27"/>
    <x v="0"/>
    <n v="2023"/>
    <x v="3"/>
    <x v="2"/>
    <x v="0"/>
    <m/>
    <m/>
    <n v="6984.70604"/>
  </r>
  <r>
    <s v="EU27"/>
    <x v="0"/>
    <n v="2023"/>
    <x v="3"/>
    <x v="2"/>
    <x v="1"/>
    <m/>
    <m/>
    <n v="0"/>
  </r>
  <r>
    <s v="EU27"/>
    <x v="0"/>
    <n v="2023"/>
    <x v="3"/>
    <x v="2"/>
    <x v="2"/>
    <m/>
    <m/>
    <n v="28078.833559999999"/>
  </r>
  <r>
    <s v="EU27"/>
    <x v="0"/>
    <n v="2023"/>
    <x v="4"/>
    <x v="0"/>
    <x v="0"/>
    <m/>
    <m/>
    <n v="92.528117500000008"/>
  </r>
  <r>
    <s v="EU27"/>
    <x v="0"/>
    <n v="2023"/>
    <x v="4"/>
    <x v="0"/>
    <x v="2"/>
    <m/>
    <m/>
    <n v="10125.848319999999"/>
  </r>
  <r>
    <s v="EU27"/>
    <x v="0"/>
    <n v="2023"/>
    <x v="4"/>
    <x v="1"/>
    <x v="0"/>
    <m/>
    <m/>
    <n v="92.621069500000004"/>
  </r>
  <r>
    <s v="EU27"/>
    <x v="0"/>
    <n v="2023"/>
    <x v="4"/>
    <x v="1"/>
    <x v="2"/>
    <m/>
    <m/>
    <n v="10131.54832"/>
  </r>
  <r>
    <s v="EU27"/>
    <x v="0"/>
    <n v="2023"/>
    <x v="4"/>
    <x v="2"/>
    <x v="0"/>
    <m/>
    <m/>
    <n v="1.137E-2"/>
  </r>
  <r>
    <s v="EU27"/>
    <x v="0"/>
    <n v="2023"/>
    <x v="4"/>
    <x v="2"/>
    <x v="2"/>
    <m/>
    <m/>
    <n v="295.53888000000001"/>
  </r>
  <r>
    <s v="EU27"/>
    <x v="0"/>
    <n v="2023"/>
    <x v="5"/>
    <x v="0"/>
    <x v="0"/>
    <m/>
    <m/>
    <n v="726717.50264999992"/>
  </r>
  <r>
    <s v="EU27"/>
    <x v="0"/>
    <n v="2023"/>
    <x v="5"/>
    <x v="0"/>
    <x v="1"/>
    <m/>
    <m/>
    <n v="0"/>
  </r>
  <r>
    <s v="EU27"/>
    <x v="0"/>
    <n v="2023"/>
    <x v="5"/>
    <x v="0"/>
    <x v="2"/>
    <m/>
    <m/>
    <n v="726795.39611999993"/>
  </r>
  <r>
    <s v="EU27"/>
    <x v="0"/>
    <n v="2023"/>
    <x v="5"/>
    <x v="1"/>
    <x v="0"/>
    <m/>
    <m/>
    <n v="729360.97142999992"/>
  </r>
  <r>
    <s v="EU27"/>
    <x v="0"/>
    <n v="2023"/>
    <x v="5"/>
    <x v="1"/>
    <x v="1"/>
    <m/>
    <m/>
    <n v="0"/>
  </r>
  <r>
    <s v="EU27"/>
    <x v="0"/>
    <n v="2023"/>
    <x v="5"/>
    <x v="1"/>
    <x v="2"/>
    <m/>
    <m/>
    <n v="729438.86489999993"/>
  </r>
  <r>
    <s v="EU27"/>
    <x v="0"/>
    <n v="2023"/>
    <x v="5"/>
    <x v="2"/>
    <x v="0"/>
    <m/>
    <m/>
    <n v="6899.4182000000001"/>
  </r>
  <r>
    <s v="EU27"/>
    <x v="0"/>
    <n v="2023"/>
    <x v="5"/>
    <x v="2"/>
    <x v="2"/>
    <m/>
    <m/>
    <n v="26868.018199999999"/>
  </r>
  <r>
    <s v="EU27"/>
    <x v="0"/>
    <n v="2023"/>
    <x v="6"/>
    <x v="0"/>
    <x v="0"/>
    <m/>
    <m/>
    <n v="3635.2778199999998"/>
  </r>
  <r>
    <s v="EU27"/>
    <x v="0"/>
    <n v="2023"/>
    <x v="6"/>
    <x v="0"/>
    <x v="1"/>
    <m/>
    <m/>
    <n v="0"/>
  </r>
  <r>
    <s v="EU27"/>
    <x v="0"/>
    <n v="2023"/>
    <x v="6"/>
    <x v="0"/>
    <x v="2"/>
    <m/>
    <m/>
    <n v="3635.2766999999999"/>
  </r>
  <r>
    <s v="EU27"/>
    <x v="0"/>
    <n v="2023"/>
    <x v="6"/>
    <x v="1"/>
    <x v="0"/>
    <m/>
    <m/>
    <n v="3690.51782"/>
  </r>
  <r>
    <s v="EU27"/>
    <x v="0"/>
    <n v="2023"/>
    <x v="6"/>
    <x v="1"/>
    <x v="1"/>
    <m/>
    <m/>
    <n v="0"/>
  </r>
  <r>
    <s v="EU27"/>
    <x v="0"/>
    <n v="2023"/>
    <x v="6"/>
    <x v="1"/>
    <x v="2"/>
    <m/>
    <m/>
    <n v="3690.5167000000001"/>
  </r>
  <r>
    <s v="EU27"/>
    <x v="0"/>
    <n v="2023"/>
    <x v="6"/>
    <x v="2"/>
    <x v="0"/>
    <m/>
    <m/>
    <n v="32.799999999999997"/>
  </r>
  <r>
    <s v="EU27"/>
    <x v="0"/>
    <n v="2023"/>
    <x v="6"/>
    <x v="2"/>
    <x v="2"/>
    <m/>
    <m/>
    <n v="487.4"/>
  </r>
  <r>
    <s v="EU27"/>
    <x v="0"/>
    <n v="2023"/>
    <x v="7"/>
    <x v="0"/>
    <x v="0"/>
    <m/>
    <m/>
    <n v="16102.46518138889"/>
  </r>
  <r>
    <s v="EU27"/>
    <x v="0"/>
    <n v="2023"/>
    <x v="7"/>
    <x v="0"/>
    <x v="1"/>
    <m/>
    <m/>
    <n v="0"/>
  </r>
  <r>
    <s v="EU27"/>
    <x v="0"/>
    <n v="2023"/>
    <x v="7"/>
    <x v="0"/>
    <x v="2"/>
    <m/>
    <m/>
    <n v="16119.98012"/>
  </r>
  <r>
    <s v="EU27"/>
    <x v="0"/>
    <n v="2023"/>
    <x v="7"/>
    <x v="1"/>
    <x v="0"/>
    <m/>
    <m/>
    <n v="16106.55817138889"/>
  </r>
  <r>
    <s v="EU27"/>
    <x v="0"/>
    <n v="2023"/>
    <x v="7"/>
    <x v="1"/>
    <x v="1"/>
    <m/>
    <m/>
    <n v="0"/>
  </r>
  <r>
    <s v="EU27"/>
    <x v="0"/>
    <n v="2023"/>
    <x v="7"/>
    <x v="1"/>
    <x v="2"/>
    <m/>
    <m/>
    <n v="16124.073109999999"/>
  </r>
  <r>
    <s v="EU27"/>
    <x v="0"/>
    <n v="2023"/>
    <x v="7"/>
    <x v="2"/>
    <x v="0"/>
    <m/>
    <m/>
    <n v="45.176470000000002"/>
  </r>
  <r>
    <s v="EU27"/>
    <x v="0"/>
    <n v="2023"/>
    <x v="7"/>
    <x v="2"/>
    <x v="2"/>
    <m/>
    <m/>
    <n v="244.77646999999999"/>
  </r>
  <r>
    <s v="EU27"/>
    <x v="0"/>
    <n v="2023"/>
    <x v="8"/>
    <x v="0"/>
    <x v="0"/>
    <m/>
    <m/>
    <n v="1540.25137"/>
  </r>
  <r>
    <s v="EU27"/>
    <x v="0"/>
    <n v="2023"/>
    <x v="8"/>
    <x v="0"/>
    <x v="1"/>
    <m/>
    <m/>
    <n v="3358.1554700000002"/>
  </r>
  <r>
    <s v="EU27"/>
    <x v="0"/>
    <n v="2023"/>
    <x v="8"/>
    <x v="0"/>
    <x v="2"/>
    <m/>
    <m/>
    <n v="4898.5057200000001"/>
  </r>
  <r>
    <s v="EU27"/>
    <x v="0"/>
    <n v="2023"/>
    <x v="8"/>
    <x v="1"/>
    <x v="0"/>
    <m/>
    <m/>
    <n v="1552.25137"/>
  </r>
  <r>
    <s v="EU27"/>
    <x v="0"/>
    <n v="2023"/>
    <x v="8"/>
    <x v="1"/>
    <x v="1"/>
    <m/>
    <m/>
    <n v="3358.1554700000002"/>
  </r>
  <r>
    <s v="EU27"/>
    <x v="0"/>
    <n v="2023"/>
    <x v="8"/>
    <x v="1"/>
    <x v="2"/>
    <m/>
    <m/>
    <n v="4910.5057200000001"/>
  </r>
  <r>
    <s v="EU27"/>
    <x v="0"/>
    <n v="2023"/>
    <x v="8"/>
    <x v="2"/>
    <x v="0"/>
    <m/>
    <m/>
    <n v="7.2"/>
  </r>
  <r>
    <s v="EU27"/>
    <x v="0"/>
    <n v="2023"/>
    <x v="8"/>
    <x v="2"/>
    <x v="2"/>
    <m/>
    <m/>
    <n v="182.9"/>
  </r>
  <r>
    <s v="EU27"/>
    <x v="0"/>
    <n v="2023"/>
    <x v="9"/>
    <x v="0"/>
    <x v="0"/>
    <m/>
    <m/>
    <n v="511948.6303344444"/>
  </r>
  <r>
    <s v="EU27"/>
    <x v="0"/>
    <n v="2023"/>
    <x v="9"/>
    <x v="0"/>
    <x v="1"/>
    <m/>
    <m/>
    <n v="2178.8536783333329"/>
  </r>
  <r>
    <s v="EU27"/>
    <x v="0"/>
    <n v="2023"/>
    <x v="9"/>
    <x v="0"/>
    <x v="2"/>
    <m/>
    <m/>
    <n v="514191.99055611109"/>
  </r>
  <r>
    <s v="EU27"/>
    <x v="0"/>
    <n v="2023"/>
    <x v="9"/>
    <x v="1"/>
    <x v="0"/>
    <m/>
    <m/>
    <n v="514175.05757444439"/>
  </r>
  <r>
    <s v="EU27"/>
    <x v="0"/>
    <n v="2023"/>
    <x v="9"/>
    <x v="1"/>
    <x v="1"/>
    <m/>
    <m/>
    <n v="2181.8764083333331"/>
  </r>
  <r>
    <s v="EU27"/>
    <x v="0"/>
    <n v="2023"/>
    <x v="9"/>
    <x v="1"/>
    <x v="2"/>
    <m/>
    <m/>
    <n v="516421.5405361111"/>
  </r>
  <r>
    <s v="EU27"/>
    <x v="0"/>
    <n v="2023"/>
    <x v="9"/>
    <x v="2"/>
    <x v="0"/>
    <m/>
    <m/>
    <n v="1639.53142"/>
  </r>
  <r>
    <s v="EU27"/>
    <x v="0"/>
    <n v="2023"/>
    <x v="9"/>
    <x v="2"/>
    <x v="2"/>
    <m/>
    <m/>
    <n v="15914.73142"/>
  </r>
  <r>
    <s v="EU27"/>
    <x v="0"/>
    <n v="2023"/>
    <x v="10"/>
    <x v="0"/>
    <x v="0"/>
    <m/>
    <m/>
    <n v="4627.7358644444439"/>
  </r>
  <r>
    <s v="EU27"/>
    <x v="0"/>
    <n v="2023"/>
    <x v="10"/>
    <x v="0"/>
    <x v="1"/>
    <m/>
    <m/>
    <n v="0"/>
  </r>
  <r>
    <s v="EU27"/>
    <x v="0"/>
    <n v="2023"/>
    <x v="10"/>
    <x v="0"/>
    <x v="2"/>
    <m/>
    <m/>
    <n v="4653.84087"/>
  </r>
  <r>
    <s v="EU27"/>
    <x v="0"/>
    <n v="2023"/>
    <x v="10"/>
    <x v="1"/>
    <x v="0"/>
    <m/>
    <m/>
    <n v="4627.7358644444439"/>
  </r>
  <r>
    <s v="EU27"/>
    <x v="0"/>
    <n v="2023"/>
    <x v="10"/>
    <x v="1"/>
    <x v="1"/>
    <m/>
    <m/>
    <n v="0"/>
  </r>
  <r>
    <s v="EU27"/>
    <x v="0"/>
    <n v="2023"/>
    <x v="10"/>
    <x v="1"/>
    <x v="2"/>
    <m/>
    <m/>
    <n v="4653.84087"/>
  </r>
  <r>
    <s v="EU27"/>
    <x v="0"/>
    <n v="2023"/>
    <x v="10"/>
    <x v="2"/>
    <x v="0"/>
    <m/>
    <m/>
    <n v="4.0999999999999996"/>
  </r>
  <r>
    <s v="EU27"/>
    <x v="0"/>
    <n v="2023"/>
    <x v="10"/>
    <x v="2"/>
    <x v="2"/>
    <m/>
    <m/>
    <n v="1246.2"/>
  </r>
  <r>
    <s v="EU27"/>
    <x v="0"/>
    <n v="2023"/>
    <x v="11"/>
    <x v="0"/>
    <x v="0"/>
    <m/>
    <m/>
    <n v="54274.675450000002"/>
  </r>
  <r>
    <s v="EU27"/>
    <x v="0"/>
    <n v="2023"/>
    <x v="11"/>
    <x v="0"/>
    <x v="1"/>
    <m/>
    <m/>
    <n v="11849.59881"/>
  </r>
  <r>
    <s v="EU27"/>
    <x v="0"/>
    <n v="2023"/>
    <x v="11"/>
    <x v="0"/>
    <x v="2"/>
    <m/>
    <m/>
    <n v="66124.375840000008"/>
  </r>
  <r>
    <s v="EU27"/>
    <x v="0"/>
    <n v="2023"/>
    <x v="11"/>
    <x v="1"/>
    <x v="0"/>
    <m/>
    <m/>
    <n v="54464.594549999987"/>
  </r>
  <r>
    <s v="EU27"/>
    <x v="0"/>
    <n v="2023"/>
    <x v="11"/>
    <x v="1"/>
    <x v="1"/>
    <m/>
    <m/>
    <n v="11887.09922"/>
  </r>
  <r>
    <s v="EU27"/>
    <x v="0"/>
    <n v="2023"/>
    <x v="11"/>
    <x v="1"/>
    <x v="2"/>
    <m/>
    <m/>
    <n v="66351.795360000004"/>
  </r>
  <r>
    <s v="EU27"/>
    <x v="0"/>
    <n v="2023"/>
    <x v="11"/>
    <x v="2"/>
    <x v="0"/>
    <m/>
    <m/>
    <n v="427.2"/>
  </r>
  <r>
    <s v="EU27"/>
    <x v="0"/>
    <n v="2023"/>
    <x v="11"/>
    <x v="2"/>
    <x v="1"/>
    <m/>
    <m/>
    <n v="69.900000000000006"/>
  </r>
  <r>
    <s v="EU27"/>
    <x v="0"/>
    <n v="2023"/>
    <x v="11"/>
    <x v="2"/>
    <x v="2"/>
    <m/>
    <m/>
    <n v="18673.5"/>
  </r>
  <r>
    <s v="EU27"/>
    <x v="0"/>
    <n v="2023"/>
    <x v="12"/>
    <x v="0"/>
    <x v="0"/>
    <m/>
    <m/>
    <n v="0"/>
  </r>
  <r>
    <s v="EU27"/>
    <x v="0"/>
    <n v="2023"/>
    <x v="12"/>
    <x v="0"/>
    <x v="1"/>
    <m/>
    <m/>
    <n v="0"/>
  </r>
  <r>
    <s v="EU27"/>
    <x v="0"/>
    <n v="2023"/>
    <x v="12"/>
    <x v="0"/>
    <x v="2"/>
    <m/>
    <m/>
    <n v="0"/>
  </r>
  <r>
    <s v="EU27"/>
    <x v="0"/>
    <n v="2023"/>
    <x v="12"/>
    <x v="1"/>
    <x v="0"/>
    <m/>
    <m/>
    <n v="0"/>
  </r>
  <r>
    <s v="EU27"/>
    <x v="0"/>
    <n v="2023"/>
    <x v="12"/>
    <x v="1"/>
    <x v="1"/>
    <m/>
    <m/>
    <n v="0"/>
  </r>
  <r>
    <s v="EU27"/>
    <x v="0"/>
    <n v="2023"/>
    <x v="12"/>
    <x v="1"/>
    <x v="2"/>
    <m/>
    <m/>
    <n v="0"/>
  </r>
  <r>
    <s v="EU27"/>
    <x v="0"/>
    <n v="2023"/>
    <x v="13"/>
    <x v="0"/>
    <x v="0"/>
    <m/>
    <m/>
    <n v="99106.380069999999"/>
  </r>
  <r>
    <s v="EU27"/>
    <x v="0"/>
    <n v="2023"/>
    <x v="13"/>
    <x v="0"/>
    <x v="1"/>
    <m/>
    <m/>
    <n v="212775.54203722221"/>
  </r>
  <r>
    <s v="EU27"/>
    <x v="0"/>
    <n v="2023"/>
    <x v="13"/>
    <x v="0"/>
    <x v="2"/>
    <m/>
    <m/>
    <n v="311847.05791138893"/>
  </r>
  <r>
    <s v="EU27"/>
    <x v="0"/>
    <n v="2023"/>
    <x v="13"/>
    <x v="1"/>
    <x v="0"/>
    <m/>
    <m/>
    <n v="99156.356320000006"/>
  </r>
  <r>
    <s v="EU27"/>
    <x v="0"/>
    <n v="2023"/>
    <x v="13"/>
    <x v="1"/>
    <x v="1"/>
    <m/>
    <m/>
    <n v="212862.3797272222"/>
  </r>
  <r>
    <s v="EU27"/>
    <x v="0"/>
    <n v="2023"/>
    <x v="13"/>
    <x v="1"/>
    <x v="2"/>
    <m/>
    <m/>
    <n v="311983.87139138888"/>
  </r>
  <r>
    <s v="EU27"/>
    <x v="0"/>
    <n v="2023"/>
    <x v="13"/>
    <x v="2"/>
    <x v="0"/>
    <m/>
    <m/>
    <n v="915.26566000000003"/>
  </r>
  <r>
    <s v="EU27"/>
    <x v="0"/>
    <n v="2023"/>
    <x v="13"/>
    <x v="2"/>
    <x v="1"/>
    <m/>
    <m/>
    <n v="709.1"/>
  </r>
  <r>
    <s v="EU27"/>
    <x v="0"/>
    <n v="2023"/>
    <x v="13"/>
    <x v="2"/>
    <x v="2"/>
    <m/>
    <m/>
    <n v="17472.165659999999"/>
  </r>
  <r>
    <s v="EU27"/>
    <x v="0"/>
    <n v="2023"/>
    <x v="14"/>
    <x v="0"/>
    <x v="0"/>
    <m/>
    <m/>
    <n v="383919.26195000001"/>
  </r>
  <r>
    <s v="EU27"/>
    <x v="0"/>
    <n v="2023"/>
    <x v="14"/>
    <x v="0"/>
    <x v="2"/>
    <m/>
    <m/>
    <n v="383919.26348999998"/>
  </r>
  <r>
    <s v="EU27"/>
    <x v="0"/>
    <n v="2023"/>
    <x v="14"/>
    <x v="1"/>
    <x v="0"/>
    <m/>
    <m/>
    <n v="384136.36309"/>
  </r>
  <r>
    <s v="EU27"/>
    <x v="0"/>
    <n v="2023"/>
    <x v="14"/>
    <x v="1"/>
    <x v="2"/>
    <m/>
    <m/>
    <n v="384136.36463000003"/>
  </r>
  <r>
    <s v="EU27"/>
    <x v="0"/>
    <n v="2023"/>
    <x v="14"/>
    <x v="2"/>
    <x v="0"/>
    <m/>
    <m/>
    <n v="1998.8397500000001"/>
  </r>
  <r>
    <s v="EU27"/>
    <x v="0"/>
    <n v="2023"/>
    <x v="14"/>
    <x v="2"/>
    <x v="2"/>
    <m/>
    <m/>
    <n v="26685.439750000001"/>
  </r>
  <r>
    <s v="EU27"/>
    <x v="0"/>
    <n v="2023"/>
    <x v="15"/>
    <x v="0"/>
    <x v="2"/>
    <m/>
    <m/>
    <n v="-248120.87646"/>
  </r>
  <r>
    <s v="EU27"/>
    <x v="0"/>
    <n v="2023"/>
    <x v="15"/>
    <x v="1"/>
    <x v="2"/>
    <m/>
    <m/>
    <n v="-246643.21469749999"/>
  </r>
  <r>
    <s v="EU27"/>
    <x v="0"/>
    <n v="2023"/>
    <x v="15"/>
    <x v="2"/>
    <x v="2"/>
    <m/>
    <m/>
    <n v="-24228.697380000001"/>
  </r>
  <r>
    <s v="EU27"/>
    <x v="0"/>
    <n v="2023"/>
    <x v="16"/>
    <x v="0"/>
    <x v="2"/>
    <m/>
    <m/>
    <n v="-308446.32139"/>
  </r>
  <r>
    <s v="EU27"/>
    <x v="0"/>
    <n v="2023"/>
    <x v="16"/>
    <x v="1"/>
    <x v="2"/>
    <m/>
    <m/>
    <n v="-311584.80514000001"/>
  </r>
  <r>
    <s v="EU27"/>
    <x v="0"/>
    <n v="2023"/>
    <x v="16"/>
    <x v="2"/>
    <x v="2"/>
    <m/>
    <m/>
    <n v="-22890.093150000001"/>
  </r>
  <r>
    <s v="EU27"/>
    <x v="0"/>
    <n v="2023"/>
    <x v="17"/>
    <x v="0"/>
    <x v="2"/>
    <m/>
    <m/>
    <n v="39494.074829999998"/>
  </r>
  <r>
    <s v="EU27"/>
    <x v="0"/>
    <n v="2023"/>
    <x v="17"/>
    <x v="1"/>
    <x v="2"/>
    <m/>
    <m/>
    <n v="41092.273359999999"/>
  </r>
  <r>
    <s v="EU27"/>
    <x v="0"/>
    <n v="2023"/>
    <x v="17"/>
    <x v="2"/>
    <x v="2"/>
    <m/>
    <m/>
    <n v="-2382.82728"/>
  </r>
  <r>
    <s v="EU27"/>
    <x v="0"/>
    <n v="2023"/>
    <x v="18"/>
    <x v="0"/>
    <x v="2"/>
    <m/>
    <m/>
    <n v="14367.14867083333"/>
  </r>
  <r>
    <s v="EU27"/>
    <x v="0"/>
    <n v="2023"/>
    <x v="18"/>
    <x v="1"/>
    <x v="2"/>
    <m/>
    <m/>
    <n v="14975.798840833329"/>
  </r>
  <r>
    <s v="EU27"/>
    <x v="0"/>
    <n v="2023"/>
    <x v="18"/>
    <x v="2"/>
    <x v="2"/>
    <m/>
    <m/>
    <n v="171.08163999999999"/>
  </r>
  <r>
    <s v="EU27"/>
    <x v="0"/>
    <n v="2023"/>
    <x v="19"/>
    <x v="0"/>
    <x v="2"/>
    <m/>
    <m/>
    <n v="16323.02096388889"/>
  </r>
  <r>
    <s v="EU27"/>
    <x v="0"/>
    <n v="2023"/>
    <x v="19"/>
    <x v="1"/>
    <x v="2"/>
    <m/>
    <m/>
    <n v="16289.02248388889"/>
  </r>
  <r>
    <s v="EU27"/>
    <x v="0"/>
    <n v="2023"/>
    <x v="19"/>
    <x v="2"/>
    <x v="2"/>
    <m/>
    <m/>
    <n v="774.38648000000001"/>
  </r>
  <r>
    <s v="EU27"/>
    <x v="0"/>
    <n v="2023"/>
    <x v="20"/>
    <x v="0"/>
    <x v="2"/>
    <m/>
    <m/>
    <n v="36375.632019999997"/>
  </r>
  <r>
    <s v="EU27"/>
    <x v="0"/>
    <n v="2023"/>
    <x v="20"/>
    <x v="1"/>
    <x v="2"/>
    <m/>
    <m/>
    <n v="36930.33496"/>
  </r>
  <r>
    <s v="EU27"/>
    <x v="0"/>
    <n v="2023"/>
    <x v="20"/>
    <x v="2"/>
    <x v="2"/>
    <m/>
    <m/>
    <n v="2619.5793699999999"/>
  </r>
  <r>
    <s v="EU27"/>
    <x v="0"/>
    <n v="2023"/>
    <x v="21"/>
    <x v="0"/>
    <x v="2"/>
    <m/>
    <m/>
    <n v="766.42750999999998"/>
  </r>
  <r>
    <s v="EU27"/>
    <x v="0"/>
    <n v="2023"/>
    <x v="21"/>
    <x v="1"/>
    <x v="2"/>
    <m/>
    <m/>
    <n v="720.72753"/>
  </r>
  <r>
    <s v="EU27"/>
    <x v="0"/>
    <n v="2023"/>
    <x v="21"/>
    <x v="2"/>
    <x v="2"/>
    <m/>
    <m/>
    <n v="201.17555999999999"/>
  </r>
  <r>
    <s v="EU27"/>
    <x v="0"/>
    <n v="2023"/>
    <x v="22"/>
    <x v="0"/>
    <x v="2"/>
    <m/>
    <m/>
    <n v="-47256.430261666668"/>
  </r>
  <r>
    <s v="EU27"/>
    <x v="0"/>
    <n v="2023"/>
    <x v="22"/>
    <x v="1"/>
    <x v="2"/>
    <m/>
    <m/>
    <n v="-46565.569761666673"/>
  </r>
  <r>
    <s v="EU27"/>
    <x v="0"/>
    <n v="2023"/>
    <x v="22"/>
    <x v="2"/>
    <x v="2"/>
    <m/>
    <m/>
    <n v="-2721.9"/>
  </r>
  <r>
    <s v="EU27"/>
    <x v="0"/>
    <n v="2023"/>
    <x v="23"/>
    <x v="0"/>
    <x v="2"/>
    <m/>
    <m/>
    <n v="280.113"/>
  </r>
  <r>
    <s v="EU27"/>
    <x v="0"/>
    <n v="2023"/>
    <x v="23"/>
    <x v="1"/>
    <x v="2"/>
    <m/>
    <m/>
    <n v="280.113"/>
  </r>
  <r>
    <s v="EU27"/>
    <x v="0"/>
    <n v="2023"/>
    <x v="24"/>
    <x v="0"/>
    <x v="0"/>
    <m/>
    <m/>
    <n v="119843.20649"/>
  </r>
  <r>
    <s v="EU27"/>
    <x v="0"/>
    <n v="2023"/>
    <x v="24"/>
    <x v="0"/>
    <x v="1"/>
    <m/>
    <m/>
    <n v="231.75935000000001"/>
  </r>
  <r>
    <s v="EU27"/>
    <x v="0"/>
    <n v="2023"/>
    <x v="24"/>
    <x v="0"/>
    <x v="2"/>
    <m/>
    <m/>
    <n v="120080.73561638891"/>
  </r>
  <r>
    <s v="EU27"/>
    <x v="0"/>
    <n v="2023"/>
    <x v="24"/>
    <x v="1"/>
    <x v="0"/>
    <m/>
    <m/>
    <n v="120242.85557"/>
  </r>
  <r>
    <s v="EU27"/>
    <x v="0"/>
    <n v="2023"/>
    <x v="24"/>
    <x v="1"/>
    <x v="1"/>
    <m/>
    <m/>
    <n v="231.75935000000001"/>
  </r>
  <r>
    <s v="EU27"/>
    <x v="0"/>
    <n v="2023"/>
    <x v="24"/>
    <x v="1"/>
    <x v="2"/>
    <m/>
    <m/>
    <n v="120480.38469638889"/>
  </r>
  <r>
    <s v="EU27"/>
    <x v="0"/>
    <n v="2023"/>
    <x v="24"/>
    <x v="2"/>
    <x v="0"/>
    <m/>
    <m/>
    <n v="1432.9627499999999"/>
  </r>
  <r>
    <s v="EU27"/>
    <x v="0"/>
    <n v="2023"/>
    <x v="24"/>
    <x v="2"/>
    <x v="2"/>
    <m/>
    <m/>
    <n v="10708.962750000001"/>
  </r>
  <r>
    <s v="EU27"/>
    <x v="0"/>
    <n v="2023"/>
    <x v="25"/>
    <x v="0"/>
    <x v="0"/>
    <m/>
    <m/>
    <n v="106"/>
  </r>
  <r>
    <s v="EU27"/>
    <x v="0"/>
    <n v="2023"/>
    <x v="25"/>
    <x v="0"/>
    <x v="2"/>
    <m/>
    <m/>
    <n v="74387.354680037897"/>
  </r>
  <r>
    <s v="EU27"/>
    <x v="0"/>
    <n v="2023"/>
    <x v="25"/>
    <x v="1"/>
    <x v="0"/>
    <m/>
    <m/>
    <n v="106"/>
  </r>
  <r>
    <s v="EU27"/>
    <x v="0"/>
    <n v="2023"/>
    <x v="25"/>
    <x v="1"/>
    <x v="2"/>
    <m/>
    <m/>
    <n v="74515.485090037895"/>
  </r>
  <r>
    <s v="EU27"/>
    <x v="0"/>
    <n v="2023"/>
    <x v="25"/>
    <x v="2"/>
    <x v="2"/>
    <m/>
    <m/>
    <n v="900.98685999999998"/>
  </r>
  <r>
    <s v="EU27"/>
    <x v="0"/>
    <n v="2023"/>
    <x v="26"/>
    <x v="0"/>
    <x v="0"/>
    <m/>
    <m/>
    <n v="460.4"/>
  </r>
  <r>
    <s v="EU27"/>
    <x v="0"/>
    <n v="2023"/>
    <x v="26"/>
    <x v="0"/>
    <x v="2"/>
    <m/>
    <m/>
    <n v="131197.7320327597"/>
  </r>
  <r>
    <s v="EU27"/>
    <x v="0"/>
    <n v="2023"/>
    <x v="26"/>
    <x v="1"/>
    <x v="0"/>
    <m/>
    <m/>
    <n v="460.4"/>
  </r>
  <r>
    <s v="EU27"/>
    <x v="0"/>
    <n v="2023"/>
    <x v="26"/>
    <x v="1"/>
    <x v="2"/>
    <m/>
    <m/>
    <n v="131197.73094275969"/>
  </r>
  <r>
    <s v="EU27"/>
    <x v="0"/>
    <n v="2023"/>
    <x v="26"/>
    <x v="2"/>
    <x v="2"/>
    <m/>
    <m/>
    <n v="564.9"/>
  </r>
  <r>
    <s v="EU27"/>
    <x v="0"/>
    <n v="2023"/>
    <x v="27"/>
    <x v="0"/>
    <x v="0"/>
    <m/>
    <m/>
    <n v="774.01905638888843"/>
  </r>
  <r>
    <s v="EU27"/>
    <x v="0"/>
    <n v="2023"/>
    <x v="27"/>
    <x v="0"/>
    <x v="2"/>
    <m/>
    <m/>
    <n v="948.07377999999994"/>
  </r>
  <r>
    <s v="EU27"/>
    <x v="0"/>
    <n v="2023"/>
    <x v="27"/>
    <x v="1"/>
    <x v="0"/>
    <m/>
    <m/>
    <n v="774.0190663888884"/>
  </r>
  <r>
    <s v="EU27"/>
    <x v="0"/>
    <n v="2023"/>
    <x v="27"/>
    <x v="1"/>
    <x v="2"/>
    <m/>
    <m/>
    <n v="948.07378999999992"/>
  </r>
  <r>
    <s v="EU27"/>
    <x v="0"/>
    <n v="2023"/>
    <x v="28"/>
    <x v="0"/>
    <x v="0"/>
    <m/>
    <m/>
    <n v="2111037.1837113891"/>
  </r>
  <r>
    <s v="EU27"/>
    <x v="0"/>
    <n v="2023"/>
    <x v="28"/>
    <x v="0"/>
    <x v="1"/>
    <m/>
    <m/>
    <n v="1273354.4919755559"/>
  </r>
  <r>
    <s v="EU27"/>
    <x v="0"/>
    <n v="2023"/>
    <x v="28"/>
    <x v="0"/>
    <x v="2"/>
    <m/>
    <m/>
    <n v="3393883.2561827782"/>
  </r>
  <r>
    <s v="EU27"/>
    <x v="0"/>
    <n v="2023"/>
    <x v="28"/>
    <x v="1"/>
    <x v="0"/>
    <m/>
    <m/>
    <n v="2116625.5593013889"/>
  </r>
  <r>
    <s v="EU27"/>
    <x v="0"/>
    <n v="2023"/>
    <x v="28"/>
    <x v="1"/>
    <x v="1"/>
    <m/>
    <m/>
    <n v="1279749.414415556"/>
  </r>
  <r>
    <s v="EU27"/>
    <x v="0"/>
    <n v="2023"/>
    <x v="28"/>
    <x v="1"/>
    <x v="2"/>
    <m/>
    <m/>
    <n v="3405857.273877223"/>
  </r>
  <r>
    <s v="EU27"/>
    <x v="0"/>
    <n v="2023"/>
    <x v="28"/>
    <x v="2"/>
    <x v="0"/>
    <m/>
    <m/>
    <n v="14468.168610000001"/>
  </r>
  <r>
    <s v="EU27"/>
    <x v="0"/>
    <n v="2023"/>
    <x v="28"/>
    <x v="2"/>
    <x v="1"/>
    <m/>
    <m/>
    <n v="8929.4160599999996"/>
  </r>
  <r>
    <s v="EU27"/>
    <x v="0"/>
    <n v="2023"/>
    <x v="28"/>
    <x v="2"/>
    <x v="2"/>
    <m/>
    <m/>
    <n v="184996.01219000001"/>
  </r>
  <r>
    <s v="EU27"/>
    <x v="0"/>
    <n v="2023"/>
    <x v="29"/>
    <x v="0"/>
    <x v="0"/>
    <m/>
    <m/>
    <n v="2111056.4997113892"/>
  </r>
  <r>
    <s v="EU27"/>
    <x v="0"/>
    <n v="2023"/>
    <x v="29"/>
    <x v="0"/>
    <x v="1"/>
    <m/>
    <m/>
    <n v="1273354.4919755559"/>
  </r>
  <r>
    <s v="EU27"/>
    <x v="0"/>
    <n v="2023"/>
    <x v="29"/>
    <x v="0"/>
    <x v="2"/>
    <m/>
    <m/>
    <n v="3145822.4475583341"/>
  </r>
  <r>
    <s v="EU27"/>
    <x v="0"/>
    <n v="2023"/>
    <x v="29"/>
    <x v="1"/>
    <x v="0"/>
    <m/>
    <m/>
    <n v="2116644.8752913889"/>
  </r>
  <r>
    <s v="EU27"/>
    <x v="0"/>
    <n v="2023"/>
    <x v="29"/>
    <x v="1"/>
    <x v="1"/>
    <m/>
    <m/>
    <n v="1279749.414415556"/>
  </r>
  <r>
    <s v="EU27"/>
    <x v="0"/>
    <n v="2023"/>
    <x v="29"/>
    <x v="1"/>
    <x v="2"/>
    <m/>
    <m/>
    <n v="3159231.743819722"/>
  </r>
  <r>
    <s v="EU27"/>
    <x v="0"/>
    <n v="2023"/>
    <x v="29"/>
    <x v="2"/>
    <x v="0"/>
    <m/>
    <m/>
    <n v="14468.168610000001"/>
  </r>
  <r>
    <s v="EU27"/>
    <x v="0"/>
    <n v="2023"/>
    <x v="29"/>
    <x v="2"/>
    <x v="1"/>
    <m/>
    <m/>
    <n v="8929.4160599999996"/>
  </r>
  <r>
    <s v="EU27"/>
    <x v="0"/>
    <n v="2023"/>
    <x v="29"/>
    <x v="2"/>
    <x v="2"/>
    <m/>
    <m/>
    <n v="161002.61481"/>
  </r>
  <r>
    <s v="EU27"/>
    <x v="1"/>
    <n v="2023"/>
    <x v="0"/>
    <x v="0"/>
    <x v="0"/>
    <m/>
    <m/>
    <n v="1164787.9004899999"/>
  </r>
  <r>
    <s v="EU27"/>
    <x v="1"/>
    <n v="2023"/>
    <x v="0"/>
    <x v="0"/>
    <x v="1"/>
    <m/>
    <m/>
    <n v="1054398.0398899999"/>
  </r>
  <r>
    <s v="EU27"/>
    <x v="1"/>
    <n v="2023"/>
    <x v="0"/>
    <x v="0"/>
    <x v="2"/>
    <m/>
    <m/>
    <n v="2558392.0939099998"/>
  </r>
  <r>
    <s v="EU27"/>
    <x v="1"/>
    <n v="2023"/>
    <x v="0"/>
    <x v="1"/>
    <x v="0"/>
    <m/>
    <m/>
    <n v="1503558.2732200001"/>
  </r>
  <r>
    <s v="EU27"/>
    <x v="1"/>
    <n v="2023"/>
    <x v="0"/>
    <x v="1"/>
    <x v="1"/>
    <m/>
    <m/>
    <n v="1073638.6539100001"/>
  </r>
  <r>
    <s v="EU27"/>
    <x v="1"/>
    <n v="2023"/>
    <x v="0"/>
    <x v="1"/>
    <x v="2"/>
    <m/>
    <m/>
    <n v="2589379.3219699999"/>
  </r>
  <r>
    <s v="EU27"/>
    <x v="1"/>
    <n v="2023"/>
    <x v="0"/>
    <x v="2"/>
    <x v="0"/>
    <m/>
    <m/>
    <n v="10222.746880000001"/>
  </r>
  <r>
    <s v="EU27"/>
    <x v="1"/>
    <n v="2023"/>
    <x v="0"/>
    <x v="2"/>
    <x v="1"/>
    <m/>
    <m/>
    <n v="8238.6406999999999"/>
  </r>
  <r>
    <s v="EU27"/>
    <x v="1"/>
    <n v="2023"/>
    <x v="0"/>
    <x v="2"/>
    <x v="2"/>
    <m/>
    <m/>
    <n v="130870.99726"/>
  </r>
  <r>
    <s v="EU27"/>
    <x v="1"/>
    <n v="2023"/>
    <x v="1"/>
    <x v="0"/>
    <x v="0"/>
    <m/>
    <m/>
    <n v="67356.699399999998"/>
  </r>
  <r>
    <s v="EU27"/>
    <x v="1"/>
    <n v="2023"/>
    <x v="1"/>
    <x v="0"/>
    <x v="1"/>
    <m/>
    <m/>
    <n v="737225.75812999997"/>
  </r>
  <r>
    <s v="EU27"/>
    <x v="1"/>
    <n v="2023"/>
    <x v="1"/>
    <x v="0"/>
    <x v="2"/>
    <m/>
    <m/>
    <n v="804582.55802999996"/>
  </r>
  <r>
    <s v="EU27"/>
    <x v="1"/>
    <n v="2023"/>
    <x v="1"/>
    <x v="1"/>
    <x v="0"/>
    <m/>
    <m/>
    <n v="67228.265249999997"/>
  </r>
  <r>
    <s v="EU27"/>
    <x v="1"/>
    <n v="2023"/>
    <x v="1"/>
    <x v="1"/>
    <x v="1"/>
    <m/>
    <m/>
    <n v="752448.26732999994"/>
  </r>
  <r>
    <s v="EU27"/>
    <x v="1"/>
    <n v="2023"/>
    <x v="1"/>
    <x v="1"/>
    <x v="2"/>
    <m/>
    <m/>
    <n v="819676.57311"/>
  </r>
  <r>
    <s v="EU27"/>
    <x v="1"/>
    <n v="2023"/>
    <x v="1"/>
    <x v="2"/>
    <x v="0"/>
    <m/>
    <m/>
    <n v="142.40662"/>
  </r>
  <r>
    <s v="EU27"/>
    <x v="1"/>
    <n v="2023"/>
    <x v="1"/>
    <x v="2"/>
    <x v="1"/>
    <m/>
    <m/>
    <n v="6872.6406999999999"/>
  </r>
  <r>
    <s v="EU27"/>
    <x v="1"/>
    <n v="2023"/>
    <x v="1"/>
    <x v="2"/>
    <x v="2"/>
    <m/>
    <m/>
    <n v="47988.547319999998"/>
  </r>
  <r>
    <s v="EU27"/>
    <x v="1"/>
    <n v="2023"/>
    <x v="2"/>
    <x v="0"/>
    <x v="0"/>
    <m/>
    <m/>
    <n v="117387.7675"/>
  </r>
  <r>
    <s v="EU27"/>
    <x v="1"/>
    <n v="2023"/>
    <x v="2"/>
    <x v="0"/>
    <x v="1"/>
    <m/>
    <m/>
    <n v="298737.04496000003"/>
  </r>
  <r>
    <s v="EU27"/>
    <x v="1"/>
    <n v="2023"/>
    <x v="2"/>
    <x v="0"/>
    <x v="2"/>
    <m/>
    <m/>
    <n v="416124.71136999998"/>
  </r>
  <r>
    <s v="EU27"/>
    <x v="1"/>
    <n v="2023"/>
    <x v="2"/>
    <x v="1"/>
    <x v="0"/>
    <m/>
    <m/>
    <n v="118054.48934"/>
  </r>
  <r>
    <s v="EU27"/>
    <x v="1"/>
    <n v="2023"/>
    <x v="2"/>
    <x v="1"/>
    <x v="1"/>
    <m/>
    <m/>
    <n v="302594.90087999997"/>
  </r>
  <r>
    <s v="EU27"/>
    <x v="1"/>
    <n v="2023"/>
    <x v="2"/>
    <x v="1"/>
    <x v="2"/>
    <m/>
    <m/>
    <n v="420649.18910999998"/>
  </r>
  <r>
    <s v="EU27"/>
    <x v="1"/>
    <n v="2023"/>
    <x v="2"/>
    <x v="2"/>
    <x v="0"/>
    <m/>
    <m/>
    <n v="936.23984000000007"/>
  </r>
  <r>
    <s v="EU27"/>
    <x v="1"/>
    <n v="2023"/>
    <x v="2"/>
    <x v="2"/>
    <x v="1"/>
    <m/>
    <m/>
    <n v="1296.0999999999999"/>
  </r>
  <r>
    <s v="EU27"/>
    <x v="1"/>
    <n v="2023"/>
    <x v="2"/>
    <x v="2"/>
    <x v="2"/>
    <m/>
    <m/>
    <n v="18259.039840000001"/>
  </r>
  <r>
    <s v="EU27"/>
    <x v="1"/>
    <n v="2023"/>
    <x v="3"/>
    <x v="0"/>
    <x v="0"/>
    <m/>
    <m/>
    <n v="750903.09475666669"/>
  </r>
  <r>
    <s v="EU27"/>
    <x v="1"/>
    <n v="2023"/>
    <x v="3"/>
    <x v="0"/>
    <x v="1"/>
    <m/>
    <m/>
    <n v="3613.54504"/>
  </r>
  <r>
    <s v="EU27"/>
    <x v="1"/>
    <n v="2023"/>
    <x v="3"/>
    <x v="0"/>
    <x v="2"/>
    <m/>
    <m/>
    <n v="766430.20919000008"/>
  </r>
  <r>
    <s v="EU27"/>
    <x v="1"/>
    <n v="2023"/>
    <x v="3"/>
    <x v="1"/>
    <x v="0"/>
    <m/>
    <m/>
    <n v="755671.49275666662"/>
  </r>
  <r>
    <s v="EU27"/>
    <x v="1"/>
    <n v="2023"/>
    <x v="3"/>
    <x v="1"/>
    <x v="1"/>
    <m/>
    <m/>
    <n v="3613.54504"/>
  </r>
  <r>
    <s v="EU27"/>
    <x v="1"/>
    <n v="2023"/>
    <x v="3"/>
    <x v="1"/>
    <x v="2"/>
    <m/>
    <m/>
    <n v="771467.30718999996"/>
  </r>
  <r>
    <s v="EU27"/>
    <x v="1"/>
    <n v="2023"/>
    <x v="3"/>
    <x v="2"/>
    <x v="0"/>
    <m/>
    <m/>
    <n v="7091.4844699999994"/>
  </r>
  <r>
    <s v="EU27"/>
    <x v="1"/>
    <n v="2023"/>
    <x v="3"/>
    <x v="2"/>
    <x v="1"/>
    <m/>
    <m/>
    <n v="0"/>
  </r>
  <r>
    <s v="EU27"/>
    <x v="1"/>
    <n v="2023"/>
    <x v="3"/>
    <x v="2"/>
    <x v="2"/>
    <m/>
    <m/>
    <n v="28653.89414"/>
  </r>
  <r>
    <s v="EU27"/>
    <x v="1"/>
    <n v="2023"/>
    <x v="4"/>
    <x v="0"/>
    <x v="0"/>
    <m/>
    <m/>
    <n v="108.27762"/>
  </r>
  <r>
    <s v="EU27"/>
    <x v="1"/>
    <n v="2023"/>
    <x v="4"/>
    <x v="0"/>
    <x v="2"/>
    <m/>
    <m/>
    <n v="12021.851710000001"/>
  </r>
  <r>
    <s v="EU27"/>
    <x v="1"/>
    <n v="2023"/>
    <x v="4"/>
    <x v="1"/>
    <x v="0"/>
    <m/>
    <m/>
    <n v="110.267574"/>
  </r>
  <r>
    <s v="EU27"/>
    <x v="1"/>
    <n v="2023"/>
    <x v="4"/>
    <x v="1"/>
    <x v="2"/>
    <m/>
    <m/>
    <n v="12292.65171"/>
  </r>
  <r>
    <s v="EU27"/>
    <x v="1"/>
    <n v="2023"/>
    <x v="4"/>
    <x v="2"/>
    <x v="0"/>
    <m/>
    <m/>
    <n v="1.1849999999999999E-2"/>
  </r>
  <r>
    <s v="EU27"/>
    <x v="1"/>
    <n v="2023"/>
    <x v="4"/>
    <x v="2"/>
    <x v="2"/>
    <m/>
    <m/>
    <n v="308.32153"/>
  </r>
  <r>
    <s v="EU27"/>
    <x v="1"/>
    <n v="2023"/>
    <x v="5"/>
    <x v="0"/>
    <x v="0"/>
    <m/>
    <m/>
    <n v="728934.16584999999"/>
  </r>
  <r>
    <s v="EU27"/>
    <x v="1"/>
    <n v="2023"/>
    <x v="5"/>
    <x v="0"/>
    <x v="1"/>
    <m/>
    <m/>
    <n v="0"/>
  </r>
  <r>
    <s v="EU27"/>
    <x v="1"/>
    <n v="2023"/>
    <x v="5"/>
    <x v="0"/>
    <x v="2"/>
    <m/>
    <m/>
    <n v="729089.95438000001"/>
  </r>
  <r>
    <s v="EU27"/>
    <x v="1"/>
    <n v="2023"/>
    <x v="5"/>
    <x v="1"/>
    <x v="0"/>
    <m/>
    <m/>
    <n v="733599.88171999995"/>
  </r>
  <r>
    <s v="EU27"/>
    <x v="1"/>
    <n v="2023"/>
    <x v="5"/>
    <x v="1"/>
    <x v="1"/>
    <m/>
    <m/>
    <n v="0"/>
  </r>
  <r>
    <s v="EU27"/>
    <x v="1"/>
    <n v="2023"/>
    <x v="5"/>
    <x v="1"/>
    <x v="2"/>
    <m/>
    <m/>
    <n v="733755.67024999997"/>
  </r>
  <r>
    <s v="EU27"/>
    <x v="1"/>
    <n v="2023"/>
    <x v="5"/>
    <x v="2"/>
    <x v="0"/>
    <m/>
    <m/>
    <n v="7005.2677100000001"/>
  </r>
  <r>
    <s v="EU27"/>
    <x v="1"/>
    <n v="2023"/>
    <x v="5"/>
    <x v="2"/>
    <x v="2"/>
    <m/>
    <m/>
    <n v="27353.76771"/>
  </r>
  <r>
    <s v="EU27"/>
    <x v="1"/>
    <n v="2023"/>
    <x v="6"/>
    <x v="0"/>
    <x v="0"/>
    <m/>
    <m/>
    <n v="3684.5335399999999"/>
  </r>
  <r>
    <s v="EU27"/>
    <x v="1"/>
    <n v="2023"/>
    <x v="6"/>
    <x v="0"/>
    <x v="1"/>
    <m/>
    <m/>
    <n v="0"/>
  </r>
  <r>
    <s v="EU27"/>
    <x v="1"/>
    <n v="2023"/>
    <x v="6"/>
    <x v="0"/>
    <x v="2"/>
    <m/>
    <m/>
    <n v="3684.5323800000001"/>
  </r>
  <r>
    <s v="EU27"/>
    <x v="1"/>
    <n v="2023"/>
    <x v="6"/>
    <x v="1"/>
    <x v="0"/>
    <m/>
    <m/>
    <n v="3811.5917899999999"/>
  </r>
  <r>
    <s v="EU27"/>
    <x v="1"/>
    <n v="2023"/>
    <x v="6"/>
    <x v="1"/>
    <x v="1"/>
    <m/>
    <m/>
    <n v="0"/>
  </r>
  <r>
    <s v="EU27"/>
    <x v="1"/>
    <n v="2023"/>
    <x v="6"/>
    <x v="1"/>
    <x v="2"/>
    <m/>
    <m/>
    <n v="3811.5906300000001"/>
  </r>
  <r>
    <s v="EU27"/>
    <x v="1"/>
    <n v="2023"/>
    <x v="6"/>
    <x v="2"/>
    <x v="0"/>
    <m/>
    <m/>
    <n v="33.200000000000003"/>
  </r>
  <r>
    <s v="EU27"/>
    <x v="1"/>
    <n v="2023"/>
    <x v="6"/>
    <x v="2"/>
    <x v="2"/>
    <m/>
    <m/>
    <n v="547.20000000000005"/>
  </r>
  <r>
    <s v="EU27"/>
    <x v="1"/>
    <n v="2023"/>
    <x v="7"/>
    <x v="0"/>
    <x v="0"/>
    <m/>
    <m/>
    <n v="16644.299719999999"/>
  </r>
  <r>
    <s v="EU27"/>
    <x v="1"/>
    <n v="2023"/>
    <x v="7"/>
    <x v="0"/>
    <x v="1"/>
    <m/>
    <m/>
    <n v="0"/>
  </r>
  <r>
    <s v="EU27"/>
    <x v="1"/>
    <n v="2023"/>
    <x v="7"/>
    <x v="0"/>
    <x v="2"/>
    <m/>
    <m/>
    <n v="16644.300810000001"/>
  </r>
  <r>
    <s v="EU27"/>
    <x v="1"/>
    <n v="2023"/>
    <x v="7"/>
    <x v="1"/>
    <x v="0"/>
    <m/>
    <m/>
    <n v="16580.78443"/>
  </r>
  <r>
    <s v="EU27"/>
    <x v="1"/>
    <n v="2023"/>
    <x v="7"/>
    <x v="1"/>
    <x v="1"/>
    <m/>
    <m/>
    <n v="0"/>
  </r>
  <r>
    <s v="EU27"/>
    <x v="1"/>
    <n v="2023"/>
    <x v="7"/>
    <x v="1"/>
    <x v="2"/>
    <m/>
    <m/>
    <n v="16580.785520000001"/>
  </r>
  <r>
    <s v="EU27"/>
    <x v="1"/>
    <n v="2023"/>
    <x v="7"/>
    <x v="2"/>
    <x v="0"/>
    <m/>
    <m/>
    <n v="45.704909999999998"/>
  </r>
  <r>
    <s v="EU27"/>
    <x v="1"/>
    <n v="2023"/>
    <x v="7"/>
    <x v="2"/>
    <x v="2"/>
    <m/>
    <m/>
    <n v="254.00491"/>
  </r>
  <r>
    <s v="EU27"/>
    <x v="1"/>
    <n v="2023"/>
    <x v="8"/>
    <x v="0"/>
    <x v="0"/>
    <m/>
    <m/>
    <n v="1478.0485799999999"/>
  </r>
  <r>
    <s v="EU27"/>
    <x v="1"/>
    <n v="2023"/>
    <x v="8"/>
    <x v="0"/>
    <x v="1"/>
    <m/>
    <m/>
    <n v="3613.54504"/>
  </r>
  <r>
    <s v="EU27"/>
    <x v="1"/>
    <n v="2023"/>
    <x v="8"/>
    <x v="0"/>
    <x v="2"/>
    <m/>
    <m/>
    <n v="5091.5928000000004"/>
  </r>
  <r>
    <s v="EU27"/>
    <x v="1"/>
    <n v="2023"/>
    <x v="8"/>
    <x v="1"/>
    <x v="0"/>
    <m/>
    <m/>
    <n v="1515.2877699999999"/>
  </r>
  <r>
    <s v="EU27"/>
    <x v="1"/>
    <n v="2023"/>
    <x v="8"/>
    <x v="1"/>
    <x v="1"/>
    <m/>
    <m/>
    <n v="3613.54504"/>
  </r>
  <r>
    <s v="EU27"/>
    <x v="1"/>
    <n v="2023"/>
    <x v="8"/>
    <x v="1"/>
    <x v="2"/>
    <m/>
    <m/>
    <n v="5128.8319899999997"/>
  </r>
  <r>
    <s v="EU27"/>
    <x v="1"/>
    <n v="2023"/>
    <x v="8"/>
    <x v="2"/>
    <x v="0"/>
    <m/>
    <m/>
    <n v="7.2"/>
  </r>
  <r>
    <s v="EU27"/>
    <x v="1"/>
    <n v="2023"/>
    <x v="8"/>
    <x v="2"/>
    <x v="2"/>
    <m/>
    <m/>
    <n v="190.5"/>
  </r>
  <r>
    <s v="EU27"/>
    <x v="1"/>
    <n v="2023"/>
    <x v="9"/>
    <x v="0"/>
    <x v="0"/>
    <m/>
    <m/>
    <n v="497306.14425000001"/>
  </r>
  <r>
    <s v="EU27"/>
    <x v="1"/>
    <n v="2023"/>
    <x v="9"/>
    <x v="0"/>
    <x v="1"/>
    <m/>
    <m/>
    <n v="2101.63618"/>
  </r>
  <r>
    <s v="EU27"/>
    <x v="1"/>
    <n v="2023"/>
    <x v="9"/>
    <x v="0"/>
    <x v="2"/>
    <m/>
    <m/>
    <n v="499437.40518"/>
  </r>
  <r>
    <s v="EU27"/>
    <x v="1"/>
    <n v="2023"/>
    <x v="9"/>
    <x v="1"/>
    <x v="0"/>
    <m/>
    <m/>
    <n v="503056.46340000001"/>
  </r>
  <r>
    <s v="EU27"/>
    <x v="1"/>
    <n v="2023"/>
    <x v="9"/>
    <x v="1"/>
    <x v="1"/>
    <m/>
    <m/>
    <n v="2114.1816600000002"/>
  </r>
  <r>
    <s v="EU27"/>
    <x v="1"/>
    <n v="2023"/>
    <x v="9"/>
    <x v="1"/>
    <x v="2"/>
    <m/>
    <m/>
    <n v="505200.26980000001"/>
  </r>
  <r>
    <s v="EU27"/>
    <x v="1"/>
    <n v="2023"/>
    <x v="9"/>
    <x v="2"/>
    <x v="0"/>
    <m/>
    <m/>
    <n v="1621.01595"/>
  </r>
  <r>
    <s v="EU27"/>
    <x v="1"/>
    <n v="2023"/>
    <x v="9"/>
    <x v="2"/>
    <x v="2"/>
    <m/>
    <m/>
    <n v="16049.81595"/>
  </r>
  <r>
    <s v="EU27"/>
    <x v="1"/>
    <n v="2023"/>
    <x v="10"/>
    <x v="0"/>
    <x v="0"/>
    <m/>
    <m/>
    <n v="4480.7024700000002"/>
  </r>
  <r>
    <s v="EU27"/>
    <x v="1"/>
    <n v="2023"/>
    <x v="10"/>
    <x v="0"/>
    <x v="1"/>
    <m/>
    <m/>
    <n v="0"/>
  </r>
  <r>
    <s v="EU27"/>
    <x v="1"/>
    <n v="2023"/>
    <x v="10"/>
    <x v="0"/>
    <x v="2"/>
    <m/>
    <m/>
    <n v="4480.7024700000002"/>
  </r>
  <r>
    <s v="EU27"/>
    <x v="1"/>
    <n v="2023"/>
    <x v="10"/>
    <x v="1"/>
    <x v="0"/>
    <m/>
    <m/>
    <n v="4480.6988899999997"/>
  </r>
  <r>
    <s v="EU27"/>
    <x v="1"/>
    <n v="2023"/>
    <x v="10"/>
    <x v="1"/>
    <x v="1"/>
    <m/>
    <m/>
    <n v="0"/>
  </r>
  <r>
    <s v="EU27"/>
    <x v="1"/>
    <n v="2023"/>
    <x v="10"/>
    <x v="1"/>
    <x v="2"/>
    <m/>
    <m/>
    <n v="4480.6988899999997"/>
  </r>
  <r>
    <s v="EU27"/>
    <x v="1"/>
    <n v="2023"/>
    <x v="10"/>
    <x v="2"/>
    <x v="0"/>
    <m/>
    <m/>
    <n v="4.0999999999999996"/>
  </r>
  <r>
    <s v="EU27"/>
    <x v="1"/>
    <n v="2023"/>
    <x v="10"/>
    <x v="2"/>
    <x v="2"/>
    <m/>
    <m/>
    <n v="1246.2"/>
  </r>
  <r>
    <s v="EU27"/>
    <x v="1"/>
    <n v="2023"/>
    <x v="11"/>
    <x v="0"/>
    <x v="0"/>
    <m/>
    <m/>
    <n v="54706.287120000001"/>
  </r>
  <r>
    <s v="EU27"/>
    <x v="1"/>
    <n v="2023"/>
    <x v="11"/>
    <x v="0"/>
    <x v="1"/>
    <m/>
    <m/>
    <n v="12690.500609999999"/>
  </r>
  <r>
    <s v="EU27"/>
    <x v="1"/>
    <n v="2023"/>
    <x v="11"/>
    <x v="0"/>
    <x v="2"/>
    <m/>
    <m/>
    <n v="67396.961299999995"/>
  </r>
  <r>
    <s v="EU27"/>
    <x v="1"/>
    <n v="2023"/>
    <x v="11"/>
    <x v="1"/>
    <x v="0"/>
    <m/>
    <m/>
    <n v="55127.084840000003"/>
  </r>
  <r>
    <s v="EU27"/>
    <x v="1"/>
    <n v="2023"/>
    <x v="11"/>
    <x v="1"/>
    <x v="1"/>
    <m/>
    <m/>
    <n v="12838.60403"/>
  </r>
  <r>
    <s v="EU27"/>
    <x v="1"/>
    <n v="2023"/>
    <x v="11"/>
    <x v="1"/>
    <x v="2"/>
    <m/>
    <m/>
    <n v="67965.762440000006"/>
  </r>
  <r>
    <s v="EU27"/>
    <x v="1"/>
    <n v="2023"/>
    <x v="11"/>
    <x v="2"/>
    <x v="0"/>
    <m/>
    <m/>
    <n v="427.5"/>
  </r>
  <r>
    <s v="EU27"/>
    <x v="1"/>
    <n v="2023"/>
    <x v="11"/>
    <x v="2"/>
    <x v="1"/>
    <m/>
    <m/>
    <n v="69.900000000000006"/>
  </r>
  <r>
    <s v="EU27"/>
    <x v="1"/>
    <n v="2023"/>
    <x v="11"/>
    <x v="2"/>
    <x v="2"/>
    <m/>
    <m/>
    <n v="18673.7"/>
  </r>
  <r>
    <s v="EU27"/>
    <x v="1"/>
    <n v="2023"/>
    <x v="12"/>
    <x v="0"/>
    <x v="0"/>
    <m/>
    <m/>
    <n v="0"/>
  </r>
  <r>
    <s v="EU27"/>
    <x v="1"/>
    <n v="2023"/>
    <x v="12"/>
    <x v="0"/>
    <x v="1"/>
    <m/>
    <m/>
    <n v="0"/>
  </r>
  <r>
    <s v="EU27"/>
    <x v="1"/>
    <n v="2023"/>
    <x v="12"/>
    <x v="0"/>
    <x v="2"/>
    <m/>
    <m/>
    <n v="0"/>
  </r>
  <r>
    <s v="EU27"/>
    <x v="1"/>
    <n v="2023"/>
    <x v="12"/>
    <x v="1"/>
    <x v="0"/>
    <m/>
    <m/>
    <n v="0"/>
  </r>
  <r>
    <s v="EU27"/>
    <x v="1"/>
    <n v="2023"/>
    <x v="12"/>
    <x v="1"/>
    <x v="1"/>
    <m/>
    <m/>
    <n v="0"/>
  </r>
  <r>
    <s v="EU27"/>
    <x v="1"/>
    <n v="2023"/>
    <x v="12"/>
    <x v="1"/>
    <x v="2"/>
    <m/>
    <m/>
    <n v="0"/>
  </r>
  <r>
    <s v="EU27"/>
    <x v="1"/>
    <n v="2023"/>
    <x v="13"/>
    <x v="0"/>
    <x v="0"/>
    <m/>
    <m/>
    <n v="94390.341400000005"/>
  </r>
  <r>
    <s v="EU27"/>
    <x v="1"/>
    <n v="2023"/>
    <x v="13"/>
    <x v="0"/>
    <x v="1"/>
    <m/>
    <m/>
    <n v="215955.01525"/>
  </r>
  <r>
    <s v="EU27"/>
    <x v="1"/>
    <n v="2023"/>
    <x v="13"/>
    <x v="0"/>
    <x v="2"/>
    <m/>
    <m/>
    <n v="310151.04687000002"/>
  </r>
  <r>
    <s v="EU27"/>
    <x v="1"/>
    <n v="2023"/>
    <x v="13"/>
    <x v="1"/>
    <x v="0"/>
    <m/>
    <m/>
    <n v="94627.972890000005"/>
  </r>
  <r>
    <s v="EU27"/>
    <x v="1"/>
    <n v="2023"/>
    <x v="13"/>
    <x v="1"/>
    <x v="1"/>
    <m/>
    <m/>
    <n v="216773.09623"/>
  </r>
  <r>
    <s v="EU27"/>
    <x v="1"/>
    <n v="2023"/>
    <x v="13"/>
    <x v="1"/>
    <x v="2"/>
    <m/>
    <m/>
    <n v="311206.65932999999"/>
  </r>
  <r>
    <s v="EU27"/>
    <x v="1"/>
    <n v="2023"/>
    <x v="13"/>
    <x v="2"/>
    <x v="0"/>
    <m/>
    <m/>
    <n v="948.64063999999996"/>
  </r>
  <r>
    <s v="EU27"/>
    <x v="1"/>
    <n v="2023"/>
    <x v="13"/>
    <x v="2"/>
    <x v="1"/>
    <m/>
    <m/>
    <n v="712.4"/>
  </r>
  <r>
    <s v="EU27"/>
    <x v="1"/>
    <n v="2023"/>
    <x v="13"/>
    <x v="2"/>
    <x v="2"/>
    <m/>
    <m/>
    <n v="17200.340639999999"/>
  </r>
  <r>
    <s v="EU27"/>
    <x v="1"/>
    <n v="2023"/>
    <x v="14"/>
    <x v="0"/>
    <x v="0"/>
    <m/>
    <m/>
    <n v="381680.50095000002"/>
  </r>
  <r>
    <s v="EU27"/>
    <x v="1"/>
    <n v="2023"/>
    <x v="14"/>
    <x v="0"/>
    <x v="2"/>
    <m/>
    <m/>
    <n v="381680.49975000002"/>
  </r>
  <r>
    <s v="EU27"/>
    <x v="1"/>
    <n v="2023"/>
    <x v="14"/>
    <x v="1"/>
    <x v="0"/>
    <m/>
    <m/>
    <n v="382606.68738000002"/>
  </r>
  <r>
    <s v="EU27"/>
    <x v="1"/>
    <n v="2023"/>
    <x v="14"/>
    <x v="1"/>
    <x v="2"/>
    <m/>
    <m/>
    <n v="382606.68618000002"/>
  </r>
  <r>
    <s v="EU27"/>
    <x v="1"/>
    <n v="2023"/>
    <x v="14"/>
    <x v="2"/>
    <x v="0"/>
    <m/>
    <m/>
    <n v="2000.22462"/>
  </r>
  <r>
    <s v="EU27"/>
    <x v="1"/>
    <n v="2023"/>
    <x v="14"/>
    <x v="2"/>
    <x v="2"/>
    <m/>
    <m/>
    <n v="27129.02462"/>
  </r>
  <r>
    <s v="EU27"/>
    <x v="1"/>
    <n v="2023"/>
    <x v="15"/>
    <x v="0"/>
    <x v="2"/>
    <m/>
    <m/>
    <n v="-248352.44039999999"/>
  </r>
  <r>
    <s v="EU27"/>
    <x v="1"/>
    <n v="2023"/>
    <x v="15"/>
    <x v="1"/>
    <x v="2"/>
    <m/>
    <m/>
    <n v="-244507.41948000001"/>
  </r>
  <r>
    <s v="EU27"/>
    <x v="1"/>
    <n v="2023"/>
    <x v="15"/>
    <x v="2"/>
    <x v="2"/>
    <m/>
    <m/>
    <n v="-23661.109359999999"/>
  </r>
  <r>
    <s v="EU27"/>
    <x v="1"/>
    <n v="2023"/>
    <x v="16"/>
    <x v="0"/>
    <x v="2"/>
    <m/>
    <m/>
    <n v="-309122.72454999998"/>
  </r>
  <r>
    <s v="EU27"/>
    <x v="1"/>
    <n v="2023"/>
    <x v="16"/>
    <x v="1"/>
    <x v="2"/>
    <m/>
    <m/>
    <n v="-308950.2133"/>
  </r>
  <r>
    <s v="EU27"/>
    <x v="1"/>
    <n v="2023"/>
    <x v="16"/>
    <x v="2"/>
    <x v="2"/>
    <m/>
    <m/>
    <n v="-22586.508129999998"/>
  </r>
  <r>
    <s v="EU27"/>
    <x v="1"/>
    <n v="2023"/>
    <x v="17"/>
    <x v="0"/>
    <x v="2"/>
    <m/>
    <m/>
    <n v="40741.299420000003"/>
  </r>
  <r>
    <s v="EU27"/>
    <x v="1"/>
    <n v="2023"/>
    <x v="17"/>
    <x v="1"/>
    <x v="2"/>
    <m/>
    <m/>
    <n v="42633.071709999997"/>
  </r>
  <r>
    <s v="EU27"/>
    <x v="1"/>
    <n v="2023"/>
    <x v="17"/>
    <x v="2"/>
    <x v="2"/>
    <m/>
    <m/>
    <n v="-2378.2643800000001"/>
  </r>
  <r>
    <s v="EU27"/>
    <x v="1"/>
    <n v="2023"/>
    <x v="18"/>
    <x v="0"/>
    <x v="2"/>
    <m/>
    <m/>
    <n v="13906.94896"/>
  </r>
  <r>
    <s v="EU27"/>
    <x v="1"/>
    <n v="2023"/>
    <x v="18"/>
    <x v="1"/>
    <x v="2"/>
    <m/>
    <m/>
    <n v="14359.02634"/>
  </r>
  <r>
    <s v="EU27"/>
    <x v="1"/>
    <n v="2023"/>
    <x v="18"/>
    <x v="2"/>
    <x v="2"/>
    <m/>
    <m/>
    <n v="345.6705"/>
  </r>
  <r>
    <s v="EU27"/>
    <x v="1"/>
    <n v="2023"/>
    <x v="19"/>
    <x v="0"/>
    <x v="2"/>
    <m/>
    <m/>
    <n v="15787.90466"/>
  </r>
  <r>
    <s v="EU27"/>
    <x v="1"/>
    <n v="2023"/>
    <x v="19"/>
    <x v="1"/>
    <x v="2"/>
    <m/>
    <m/>
    <n v="15636.6077"/>
  </r>
  <r>
    <s v="EU27"/>
    <x v="1"/>
    <n v="2023"/>
    <x v="19"/>
    <x v="2"/>
    <x v="2"/>
    <m/>
    <m/>
    <n v="773.28647999999998"/>
  </r>
  <r>
    <s v="EU27"/>
    <x v="1"/>
    <n v="2023"/>
    <x v="20"/>
    <x v="0"/>
    <x v="2"/>
    <m/>
    <m/>
    <n v="36412.928030000003"/>
  </r>
  <r>
    <s v="EU27"/>
    <x v="1"/>
    <n v="2023"/>
    <x v="20"/>
    <x v="1"/>
    <x v="2"/>
    <m/>
    <m/>
    <n v="36957.56583"/>
  </r>
  <r>
    <s v="EU27"/>
    <x v="1"/>
    <n v="2023"/>
    <x v="20"/>
    <x v="2"/>
    <x v="2"/>
    <m/>
    <m/>
    <n v="2646.2370099999998"/>
  </r>
  <r>
    <s v="EU27"/>
    <x v="1"/>
    <n v="2023"/>
    <x v="21"/>
    <x v="0"/>
    <x v="2"/>
    <m/>
    <m/>
    <n v="747.68122000000005"/>
  </r>
  <r>
    <s v="EU27"/>
    <x v="1"/>
    <n v="2023"/>
    <x v="21"/>
    <x v="1"/>
    <x v="2"/>
    <m/>
    <m/>
    <n v="696.27980000000002"/>
  </r>
  <r>
    <s v="EU27"/>
    <x v="1"/>
    <n v="2023"/>
    <x v="21"/>
    <x v="2"/>
    <x v="2"/>
    <m/>
    <m/>
    <n v="208.99417"/>
  </r>
  <r>
    <s v="EU27"/>
    <x v="1"/>
    <n v="2023"/>
    <x v="22"/>
    <x v="0"/>
    <x v="2"/>
    <m/>
    <m/>
    <n v="-46804.275289999998"/>
  </r>
  <r>
    <s v="EU27"/>
    <x v="1"/>
    <n v="2023"/>
    <x v="22"/>
    <x v="1"/>
    <x v="2"/>
    <m/>
    <m/>
    <n v="-46093.329709999998"/>
  </r>
  <r>
    <s v="EU27"/>
    <x v="1"/>
    <n v="2023"/>
    <x v="22"/>
    <x v="2"/>
    <x v="2"/>
    <m/>
    <m/>
    <n v="-2670.4250000000002"/>
  </r>
  <r>
    <s v="EU27"/>
    <x v="1"/>
    <n v="2023"/>
    <x v="23"/>
    <x v="0"/>
    <x v="2"/>
    <m/>
    <m/>
    <n v="276.05567000000002"/>
  </r>
  <r>
    <s v="EU27"/>
    <x v="1"/>
    <n v="2023"/>
    <x v="23"/>
    <x v="1"/>
    <x v="2"/>
    <m/>
    <m/>
    <n v="276.05567000000002"/>
  </r>
  <r>
    <s v="EU27"/>
    <x v="1"/>
    <n v="2023"/>
    <x v="24"/>
    <x v="0"/>
    <x v="0"/>
    <m/>
    <m/>
    <n v="116366.45279"/>
  </r>
  <r>
    <s v="EU27"/>
    <x v="1"/>
    <n v="2023"/>
    <x v="24"/>
    <x v="0"/>
    <x v="1"/>
    <m/>
    <m/>
    <n v="239.13140000000001"/>
  </r>
  <r>
    <s v="EU27"/>
    <x v="1"/>
    <n v="2023"/>
    <x v="24"/>
    <x v="0"/>
    <x v="2"/>
    <m/>
    <m/>
    <n v="116605.58461999999"/>
  </r>
  <r>
    <s v="EU27"/>
    <x v="1"/>
    <n v="2023"/>
    <x v="24"/>
    <x v="1"/>
    <x v="0"/>
    <m/>
    <m/>
    <n v="116862.13219"/>
  </r>
  <r>
    <s v="EU27"/>
    <x v="1"/>
    <n v="2023"/>
    <x v="24"/>
    <x v="1"/>
    <x v="1"/>
    <m/>
    <m/>
    <n v="239.13140000000001"/>
  </r>
  <r>
    <s v="EU27"/>
    <x v="1"/>
    <n v="2023"/>
    <x v="24"/>
    <x v="1"/>
    <x v="2"/>
    <m/>
    <m/>
    <n v="117101.26402"/>
  </r>
  <r>
    <s v="EU27"/>
    <x v="1"/>
    <n v="2023"/>
    <x v="24"/>
    <x v="2"/>
    <x v="0"/>
    <m/>
    <m/>
    <n v="1464.3678"/>
  </r>
  <r>
    <s v="EU27"/>
    <x v="1"/>
    <n v="2023"/>
    <x v="24"/>
    <x v="2"/>
    <x v="2"/>
    <m/>
    <m/>
    <n v="10700.567800000001"/>
  </r>
  <r>
    <s v="EU27"/>
    <x v="1"/>
    <n v="2023"/>
    <x v="25"/>
    <x v="0"/>
    <x v="0"/>
    <m/>
    <m/>
    <n v="109.1"/>
  </r>
  <r>
    <s v="EU27"/>
    <x v="1"/>
    <n v="2023"/>
    <x v="25"/>
    <x v="0"/>
    <x v="2"/>
    <m/>
    <m/>
    <n v="87849.527847392019"/>
  </r>
  <r>
    <s v="EU27"/>
    <x v="1"/>
    <n v="2023"/>
    <x v="25"/>
    <x v="1"/>
    <x v="0"/>
    <m/>
    <m/>
    <n v="109.1"/>
  </r>
  <r>
    <s v="EU27"/>
    <x v="1"/>
    <n v="2023"/>
    <x v="25"/>
    <x v="1"/>
    <x v="2"/>
    <m/>
    <m/>
    <n v="89194.182147392014"/>
  </r>
  <r>
    <s v="EU27"/>
    <x v="1"/>
    <n v="2023"/>
    <x v="25"/>
    <x v="2"/>
    <x v="2"/>
    <m/>
    <m/>
    <n v="931.10717"/>
  </r>
  <r>
    <s v="EU27"/>
    <x v="1"/>
    <n v="2023"/>
    <x v="26"/>
    <x v="0"/>
    <x v="0"/>
    <m/>
    <m/>
    <n v="483.1"/>
  </r>
  <r>
    <s v="EU27"/>
    <x v="1"/>
    <n v="2023"/>
    <x v="26"/>
    <x v="0"/>
    <x v="2"/>
    <m/>
    <m/>
    <n v="133589.481333679"/>
  </r>
  <r>
    <s v="EU27"/>
    <x v="1"/>
    <n v="2023"/>
    <x v="26"/>
    <x v="1"/>
    <x v="0"/>
    <m/>
    <m/>
    <n v="483.1"/>
  </r>
  <r>
    <s v="EU27"/>
    <x v="1"/>
    <n v="2023"/>
    <x v="26"/>
    <x v="1"/>
    <x v="2"/>
    <m/>
    <m/>
    <n v="133693.07916367901"/>
  </r>
  <r>
    <s v="EU27"/>
    <x v="1"/>
    <n v="2023"/>
    <x v="26"/>
    <x v="2"/>
    <x v="2"/>
    <m/>
    <m/>
    <n v="588.4"/>
  </r>
  <r>
    <s v="EU27"/>
    <x v="1"/>
    <n v="2023"/>
    <x v="27"/>
    <x v="0"/>
    <x v="0"/>
    <m/>
    <m/>
    <n v="758.96889999999996"/>
  </r>
  <r>
    <s v="EU27"/>
    <x v="1"/>
    <n v="2023"/>
    <x v="27"/>
    <x v="0"/>
    <x v="2"/>
    <m/>
    <m/>
    <n v="902.86890000000005"/>
  </r>
  <r>
    <s v="EU27"/>
    <x v="1"/>
    <n v="2023"/>
    <x v="27"/>
    <x v="1"/>
    <x v="0"/>
    <m/>
    <m/>
    <n v="759.06892000000005"/>
  </r>
  <r>
    <s v="EU27"/>
    <x v="1"/>
    <n v="2023"/>
    <x v="27"/>
    <x v="1"/>
    <x v="2"/>
    <m/>
    <m/>
    <n v="902.96892000000003"/>
  </r>
  <r>
    <s v="EU27"/>
    <x v="1"/>
    <n v="2023"/>
    <x v="28"/>
    <x v="0"/>
    <x v="0"/>
    <m/>
    <m/>
    <n v="2085372.1229399999"/>
  </r>
  <r>
    <s v="EU27"/>
    <x v="1"/>
    <n v="2023"/>
    <x v="28"/>
    <x v="0"/>
    <x v="1"/>
    <m/>
    <m/>
    <n v="1270592.4474800001"/>
  </r>
  <r>
    <s v="EU27"/>
    <x v="1"/>
    <n v="2023"/>
    <x v="28"/>
    <x v="0"/>
    <x v="2"/>
    <m/>
    <m/>
    <n v="3367684.0654000002"/>
  </r>
  <r>
    <s v="EU27"/>
    <x v="1"/>
    <n v="2023"/>
    <x v="28"/>
    <x v="1"/>
    <x v="0"/>
    <m/>
    <m/>
    <n v="2098204.5414"/>
  </r>
  <r>
    <s v="EU27"/>
    <x v="1"/>
    <n v="2023"/>
    <x v="28"/>
    <x v="1"/>
    <x v="1"/>
    <m/>
    <m/>
    <n v="1290651.10247"/>
  </r>
  <r>
    <s v="EU27"/>
    <x v="1"/>
    <n v="2023"/>
    <x v="28"/>
    <x v="1"/>
    <x v="2"/>
    <m/>
    <m/>
    <n v="3400843.9388700002"/>
  </r>
  <r>
    <s v="EU27"/>
    <x v="1"/>
    <n v="2023"/>
    <x v="28"/>
    <x v="2"/>
    <x v="0"/>
    <m/>
    <m/>
    <n v="14635.97993"/>
  </r>
  <r>
    <s v="EU27"/>
    <x v="1"/>
    <n v="2023"/>
    <x v="28"/>
    <x v="2"/>
    <x v="1"/>
    <m/>
    <m/>
    <n v="8950.940700000001"/>
  </r>
  <r>
    <s v="EU27"/>
    <x v="1"/>
    <n v="2023"/>
    <x v="28"/>
    <x v="2"/>
    <x v="2"/>
    <m/>
    <m/>
    <n v="185901.13031000001"/>
  </r>
  <r>
    <s v="EU27"/>
    <x v="1"/>
    <n v="2023"/>
    <x v="29"/>
    <x v="0"/>
    <x v="0"/>
    <m/>
    <m/>
    <n v="2085386.5099299999"/>
  </r>
  <r>
    <s v="EU27"/>
    <x v="1"/>
    <n v="2023"/>
    <x v="29"/>
    <x v="0"/>
    <x v="1"/>
    <m/>
    <m/>
    <n v="1270592.54748"/>
  </r>
  <r>
    <s v="EU27"/>
    <x v="1"/>
    <n v="2023"/>
    <x v="29"/>
    <x v="0"/>
    <x v="2"/>
    <m/>
    <m/>
    <n v="3119346.0947500002"/>
  </r>
  <r>
    <s v="EU27"/>
    <x v="1"/>
    <n v="2023"/>
    <x v="29"/>
    <x v="1"/>
    <x v="0"/>
    <m/>
    <m/>
    <n v="2098218.92839"/>
  </r>
  <r>
    <s v="EU27"/>
    <x v="1"/>
    <n v="2023"/>
    <x v="29"/>
    <x v="1"/>
    <x v="1"/>
    <m/>
    <m/>
    <n v="1290651.2024699999"/>
  </r>
  <r>
    <s v="EU27"/>
    <x v="1"/>
    <n v="2023"/>
    <x v="29"/>
    <x v="1"/>
    <x v="2"/>
    <m/>
    <m/>
    <n v="3156347.94337"/>
  </r>
  <r>
    <s v="EU27"/>
    <x v="1"/>
    <n v="2023"/>
    <x v="29"/>
    <x v="2"/>
    <x v="0"/>
    <m/>
    <m/>
    <n v="14635.97993"/>
  </r>
  <r>
    <s v="EU27"/>
    <x v="1"/>
    <n v="2023"/>
    <x v="29"/>
    <x v="2"/>
    <x v="1"/>
    <m/>
    <m/>
    <n v="8950.940700000001"/>
  </r>
  <r>
    <s v="EU27"/>
    <x v="1"/>
    <n v="2023"/>
    <x v="29"/>
    <x v="2"/>
    <x v="2"/>
    <m/>
    <m/>
    <n v="162491.42095999999"/>
  </r>
  <r>
    <s v="EU27"/>
    <x v="2"/>
    <n v="2023"/>
    <x v="0"/>
    <x v="0"/>
    <x v="0"/>
    <m/>
    <m/>
    <n v="1463235.7548"/>
  </r>
  <r>
    <s v="EU27"/>
    <x v="2"/>
    <n v="2023"/>
    <x v="0"/>
    <x v="0"/>
    <x v="1"/>
    <m/>
    <m/>
    <n v="1051159.3146599999"/>
  </r>
  <r>
    <s v="EU27"/>
    <x v="2"/>
    <n v="2023"/>
    <x v="0"/>
    <x v="0"/>
    <x v="2"/>
    <m/>
    <m/>
    <n v="2528139.7053499999"/>
  </r>
  <r>
    <s v="EU27"/>
    <x v="2"/>
    <n v="2023"/>
    <x v="0"/>
    <x v="1"/>
    <x v="0"/>
    <m/>
    <m/>
    <n v="1493744.07048"/>
  </r>
  <r>
    <s v="EU27"/>
    <x v="2"/>
    <n v="2023"/>
    <x v="0"/>
    <x v="1"/>
    <x v="1"/>
    <m/>
    <m/>
    <n v="1080883.22829"/>
  </r>
  <r>
    <s v="EU27"/>
    <x v="2"/>
    <n v="2023"/>
    <x v="0"/>
    <x v="1"/>
    <x v="2"/>
    <m/>
    <m/>
    <n v="2588903.7746600001"/>
  </r>
  <r>
    <s v="EU27"/>
    <x v="2"/>
    <n v="2023"/>
    <x v="0"/>
    <x v="2"/>
    <x v="0"/>
    <m/>
    <m/>
    <n v="10322.36289"/>
  </r>
  <r>
    <s v="EU27"/>
    <x v="2"/>
    <n v="2023"/>
    <x v="0"/>
    <x v="2"/>
    <x v="1"/>
    <m/>
    <m/>
    <n v="8255.9632000000001"/>
  </r>
  <r>
    <s v="EU27"/>
    <x v="2"/>
    <n v="2023"/>
    <x v="0"/>
    <x v="2"/>
    <x v="2"/>
    <m/>
    <m/>
    <n v="131609.67314"/>
  </r>
  <r>
    <s v="EU27"/>
    <x v="2"/>
    <n v="2023"/>
    <x v="1"/>
    <x v="0"/>
    <x v="0"/>
    <m/>
    <m/>
    <n v="59414.899850000002"/>
  </r>
  <r>
    <s v="EU27"/>
    <x v="2"/>
    <n v="2023"/>
    <x v="1"/>
    <x v="0"/>
    <x v="1"/>
    <m/>
    <m/>
    <n v="739653.36716000002"/>
  </r>
  <r>
    <s v="EU27"/>
    <x v="2"/>
    <n v="2023"/>
    <x v="1"/>
    <x v="0"/>
    <x v="2"/>
    <m/>
    <m/>
    <n v="799068.16703999997"/>
  </r>
  <r>
    <s v="EU27"/>
    <x v="2"/>
    <n v="2023"/>
    <x v="1"/>
    <x v="1"/>
    <x v="0"/>
    <m/>
    <m/>
    <n v="64089.446960000001"/>
  </r>
  <r>
    <s v="EU27"/>
    <x v="2"/>
    <n v="2023"/>
    <x v="1"/>
    <x v="1"/>
    <x v="1"/>
    <m/>
    <m/>
    <n v="762159.48898000002"/>
  </r>
  <r>
    <s v="EU27"/>
    <x v="2"/>
    <n v="2023"/>
    <x v="1"/>
    <x v="1"/>
    <x v="2"/>
    <m/>
    <m/>
    <n v="826248.99594000005"/>
  </r>
  <r>
    <s v="EU27"/>
    <x v="2"/>
    <n v="2023"/>
    <x v="1"/>
    <x v="2"/>
    <x v="0"/>
    <m/>
    <m/>
    <n v="146.53592"/>
  </r>
  <r>
    <s v="EU27"/>
    <x v="2"/>
    <n v="2023"/>
    <x v="1"/>
    <x v="2"/>
    <x v="1"/>
    <m/>
    <m/>
    <n v="6879.2632000000003"/>
  </r>
  <r>
    <s v="EU27"/>
    <x v="2"/>
    <n v="2023"/>
    <x v="1"/>
    <x v="2"/>
    <x v="2"/>
    <m/>
    <m/>
    <n v="47999.299120000003"/>
  </r>
  <r>
    <s v="EU27"/>
    <x v="2"/>
    <n v="2023"/>
    <x v="2"/>
    <x v="0"/>
    <x v="0"/>
    <m/>
    <m/>
    <n v="116228.80848000001"/>
  </r>
  <r>
    <s v="EU27"/>
    <x v="2"/>
    <n v="2023"/>
    <x v="2"/>
    <x v="0"/>
    <x v="1"/>
    <m/>
    <m/>
    <n v="292220.90448000003"/>
  </r>
  <r>
    <s v="EU27"/>
    <x v="2"/>
    <n v="2023"/>
    <x v="2"/>
    <x v="0"/>
    <x v="2"/>
    <m/>
    <m/>
    <n v="408449.81297000003"/>
  </r>
  <r>
    <s v="EU27"/>
    <x v="2"/>
    <n v="2023"/>
    <x v="2"/>
    <x v="1"/>
    <x v="0"/>
    <m/>
    <m/>
    <n v="117623.94506"/>
  </r>
  <r>
    <s v="EU27"/>
    <x v="2"/>
    <n v="2023"/>
    <x v="2"/>
    <x v="1"/>
    <x v="1"/>
    <m/>
    <m/>
    <n v="299095.40693"/>
  </r>
  <r>
    <s v="EU27"/>
    <x v="2"/>
    <n v="2023"/>
    <x v="2"/>
    <x v="1"/>
    <x v="2"/>
    <m/>
    <m/>
    <n v="416719.25201"/>
  </r>
  <r>
    <s v="EU27"/>
    <x v="2"/>
    <n v="2023"/>
    <x v="2"/>
    <x v="2"/>
    <x v="0"/>
    <m/>
    <m/>
    <n v="945.10500999999999"/>
  </r>
  <r>
    <s v="EU27"/>
    <x v="2"/>
    <n v="2023"/>
    <x v="2"/>
    <x v="2"/>
    <x v="1"/>
    <m/>
    <m/>
    <n v="1306.8"/>
  </r>
  <r>
    <s v="EU27"/>
    <x v="2"/>
    <n v="2023"/>
    <x v="2"/>
    <x v="2"/>
    <x v="2"/>
    <m/>
    <m/>
    <n v="18278.505010000001"/>
  </r>
  <r>
    <s v="EU27"/>
    <x v="2"/>
    <n v="2023"/>
    <x v="3"/>
    <x v="0"/>
    <x v="0"/>
    <m/>
    <m/>
    <n v="750297.50655000005"/>
  </r>
  <r>
    <s v="EU27"/>
    <x v="2"/>
    <n v="2023"/>
    <x v="3"/>
    <x v="0"/>
    <x v="1"/>
    <m/>
    <m/>
    <n v="3746.2557999999999"/>
  </r>
  <r>
    <s v="EU27"/>
    <x v="2"/>
    <n v="2023"/>
    <x v="3"/>
    <x v="0"/>
    <x v="2"/>
    <m/>
    <m/>
    <n v="767788.38818000001"/>
  </r>
  <r>
    <s v="EU27"/>
    <x v="2"/>
    <n v="2023"/>
    <x v="3"/>
    <x v="1"/>
    <x v="0"/>
    <m/>
    <m/>
    <n v="759288.71577999997"/>
  </r>
  <r>
    <s v="EU27"/>
    <x v="2"/>
    <n v="2023"/>
    <x v="3"/>
    <x v="1"/>
    <x v="1"/>
    <m/>
    <m/>
    <n v="3794.1125400000001"/>
  </r>
  <r>
    <s v="EU27"/>
    <x v="2"/>
    <n v="2023"/>
    <x v="3"/>
    <x v="1"/>
    <x v="2"/>
    <m/>
    <m/>
    <n v="777359.35415000003"/>
  </r>
  <r>
    <s v="EU27"/>
    <x v="2"/>
    <n v="2023"/>
    <x v="3"/>
    <x v="2"/>
    <x v="0"/>
    <m/>
    <m/>
    <n v="7197.5003700000007"/>
  </r>
  <r>
    <s v="EU27"/>
    <x v="2"/>
    <n v="2023"/>
    <x v="3"/>
    <x v="2"/>
    <x v="1"/>
    <m/>
    <m/>
    <n v="0"/>
  </r>
  <r>
    <s v="EU27"/>
    <x v="2"/>
    <n v="2023"/>
    <x v="3"/>
    <x v="2"/>
    <x v="2"/>
    <m/>
    <m/>
    <n v="29228.24741"/>
  </r>
  <r>
    <s v="EU27"/>
    <x v="2"/>
    <n v="2023"/>
    <x v="4"/>
    <x v="0"/>
    <x v="0"/>
    <m/>
    <m/>
    <n v="124.05678"/>
  </r>
  <r>
    <s v="EU27"/>
    <x v="2"/>
    <n v="2023"/>
    <x v="4"/>
    <x v="0"/>
    <x v="2"/>
    <m/>
    <m/>
    <n v="13868.887119999999"/>
  </r>
  <r>
    <s v="EU27"/>
    <x v="2"/>
    <n v="2023"/>
    <x v="4"/>
    <x v="1"/>
    <x v="0"/>
    <m/>
    <m/>
    <n v="128.14373599999999"/>
  </r>
  <r>
    <s v="EU27"/>
    <x v="2"/>
    <n v="2023"/>
    <x v="4"/>
    <x v="1"/>
    <x v="2"/>
    <m/>
    <m/>
    <n v="14404.887119999999"/>
  </r>
  <r>
    <s v="EU27"/>
    <x v="2"/>
    <n v="2023"/>
    <x v="4"/>
    <x v="2"/>
    <x v="0"/>
    <m/>
    <m/>
    <n v="1.2070000000000001E-2"/>
  </r>
  <r>
    <s v="EU27"/>
    <x v="2"/>
    <n v="2023"/>
    <x v="4"/>
    <x v="2"/>
    <x v="2"/>
    <m/>
    <m/>
    <n v="321.05910999999998"/>
  </r>
  <r>
    <s v="EU27"/>
    <x v="2"/>
    <n v="2023"/>
    <x v="5"/>
    <x v="0"/>
    <x v="0"/>
    <m/>
    <m/>
    <n v="727713.39358999999"/>
  </r>
  <r>
    <s v="EU27"/>
    <x v="2"/>
    <n v="2023"/>
    <x v="5"/>
    <x v="0"/>
    <x v="1"/>
    <m/>
    <m/>
    <n v="0"/>
  </r>
  <r>
    <s v="EU27"/>
    <x v="2"/>
    <n v="2023"/>
    <x v="5"/>
    <x v="0"/>
    <x v="2"/>
    <m/>
    <m/>
    <n v="727713.39358999999"/>
  </r>
  <r>
    <s v="EU27"/>
    <x v="2"/>
    <n v="2023"/>
    <x v="5"/>
    <x v="1"/>
    <x v="0"/>
    <m/>
    <m/>
    <n v="736664.11214999994"/>
  </r>
  <r>
    <s v="EU27"/>
    <x v="2"/>
    <n v="2023"/>
    <x v="5"/>
    <x v="1"/>
    <x v="1"/>
    <m/>
    <m/>
    <n v="0"/>
  </r>
  <r>
    <s v="EU27"/>
    <x v="2"/>
    <n v="2023"/>
    <x v="5"/>
    <x v="1"/>
    <x v="2"/>
    <m/>
    <m/>
    <n v="736664.11214999994"/>
  </r>
  <r>
    <s v="EU27"/>
    <x v="2"/>
    <n v="2023"/>
    <x v="5"/>
    <x v="2"/>
    <x v="0"/>
    <m/>
    <m/>
    <n v="7110.4446200000002"/>
  </r>
  <r>
    <s v="EU27"/>
    <x v="2"/>
    <n v="2023"/>
    <x v="5"/>
    <x v="2"/>
    <x v="2"/>
    <m/>
    <m/>
    <n v="27838.84462"/>
  </r>
  <r>
    <s v="EU27"/>
    <x v="2"/>
    <n v="2023"/>
    <x v="6"/>
    <x v="0"/>
    <x v="0"/>
    <m/>
    <m/>
    <n v="3840.7751600000001"/>
  </r>
  <r>
    <s v="EU27"/>
    <x v="2"/>
    <n v="2023"/>
    <x v="6"/>
    <x v="0"/>
    <x v="1"/>
    <m/>
    <m/>
    <n v="0"/>
  </r>
  <r>
    <s v="EU27"/>
    <x v="2"/>
    <n v="2023"/>
    <x v="6"/>
    <x v="0"/>
    <x v="2"/>
    <m/>
    <m/>
    <n v="3840.7751600000001"/>
  </r>
  <r>
    <s v="EU27"/>
    <x v="2"/>
    <n v="2023"/>
    <x v="6"/>
    <x v="1"/>
    <x v="0"/>
    <m/>
    <m/>
    <n v="3945.6770700000002"/>
  </r>
  <r>
    <s v="EU27"/>
    <x v="2"/>
    <n v="2023"/>
    <x v="6"/>
    <x v="1"/>
    <x v="1"/>
    <m/>
    <m/>
    <n v="0"/>
  </r>
  <r>
    <s v="EU27"/>
    <x v="2"/>
    <n v="2023"/>
    <x v="6"/>
    <x v="1"/>
    <x v="2"/>
    <m/>
    <m/>
    <n v="3945.6770700000002"/>
  </r>
  <r>
    <s v="EU27"/>
    <x v="2"/>
    <n v="2023"/>
    <x v="6"/>
    <x v="2"/>
    <x v="0"/>
    <m/>
    <m/>
    <n v="33.6"/>
  </r>
  <r>
    <s v="EU27"/>
    <x v="2"/>
    <n v="2023"/>
    <x v="6"/>
    <x v="2"/>
    <x v="2"/>
    <m/>
    <m/>
    <n v="607"/>
  </r>
  <r>
    <s v="EU27"/>
    <x v="2"/>
    <n v="2023"/>
    <x v="7"/>
    <x v="0"/>
    <x v="0"/>
    <m/>
    <m/>
    <n v="17143.929980000001"/>
  </r>
  <r>
    <s v="EU27"/>
    <x v="2"/>
    <n v="2023"/>
    <x v="7"/>
    <x v="0"/>
    <x v="1"/>
    <m/>
    <m/>
    <n v="0"/>
  </r>
  <r>
    <s v="EU27"/>
    <x v="2"/>
    <n v="2023"/>
    <x v="7"/>
    <x v="0"/>
    <x v="2"/>
    <m/>
    <m/>
    <n v="17143.929820000001"/>
  </r>
  <r>
    <s v="EU27"/>
    <x v="2"/>
    <n v="2023"/>
    <x v="7"/>
    <x v="1"/>
    <x v="0"/>
    <m/>
    <m/>
    <n v="17012.506379999999"/>
  </r>
  <r>
    <s v="EU27"/>
    <x v="2"/>
    <n v="2023"/>
    <x v="7"/>
    <x v="1"/>
    <x v="1"/>
    <m/>
    <m/>
    <n v="0"/>
  </r>
  <r>
    <s v="EU27"/>
    <x v="2"/>
    <n v="2023"/>
    <x v="7"/>
    <x v="1"/>
    <x v="2"/>
    <m/>
    <m/>
    <n v="17012.506219999999"/>
  </r>
  <r>
    <s v="EU27"/>
    <x v="2"/>
    <n v="2023"/>
    <x v="7"/>
    <x v="2"/>
    <x v="0"/>
    <m/>
    <m/>
    <n v="46.243679999999998"/>
  </r>
  <r>
    <s v="EU27"/>
    <x v="2"/>
    <n v="2023"/>
    <x v="7"/>
    <x v="2"/>
    <x v="2"/>
    <m/>
    <m/>
    <n v="263.14368000000002"/>
  </r>
  <r>
    <s v="EU27"/>
    <x v="2"/>
    <n v="2023"/>
    <x v="8"/>
    <x v="0"/>
    <x v="0"/>
    <m/>
    <m/>
    <n v="1439.66992"/>
  </r>
  <r>
    <s v="EU27"/>
    <x v="2"/>
    <n v="2023"/>
    <x v="8"/>
    <x v="0"/>
    <x v="1"/>
    <m/>
    <m/>
    <n v="3746.2557999999999"/>
  </r>
  <r>
    <s v="EU27"/>
    <x v="2"/>
    <n v="2023"/>
    <x v="8"/>
    <x v="0"/>
    <x v="2"/>
    <m/>
    <m/>
    <n v="5185.8257199999998"/>
  </r>
  <r>
    <s v="EU27"/>
    <x v="2"/>
    <n v="2023"/>
    <x v="8"/>
    <x v="1"/>
    <x v="0"/>
    <m/>
    <m/>
    <n v="1502.48226"/>
  </r>
  <r>
    <s v="EU27"/>
    <x v="2"/>
    <n v="2023"/>
    <x v="8"/>
    <x v="1"/>
    <x v="1"/>
    <m/>
    <m/>
    <n v="3794.1125400000001"/>
  </r>
  <r>
    <s v="EU27"/>
    <x v="2"/>
    <n v="2023"/>
    <x v="8"/>
    <x v="1"/>
    <x v="2"/>
    <m/>
    <m/>
    <n v="5296.4947899999997"/>
  </r>
  <r>
    <s v="EU27"/>
    <x v="2"/>
    <n v="2023"/>
    <x v="8"/>
    <x v="2"/>
    <x v="0"/>
    <m/>
    <m/>
    <n v="7.2"/>
  </r>
  <r>
    <s v="EU27"/>
    <x v="2"/>
    <n v="2023"/>
    <x v="8"/>
    <x v="2"/>
    <x v="2"/>
    <m/>
    <m/>
    <n v="198.2"/>
  </r>
  <r>
    <s v="EU27"/>
    <x v="2"/>
    <n v="2023"/>
    <x v="9"/>
    <x v="0"/>
    <x v="0"/>
    <m/>
    <m/>
    <n v="477962.80339999998"/>
  </r>
  <r>
    <s v="EU27"/>
    <x v="2"/>
    <n v="2023"/>
    <x v="9"/>
    <x v="0"/>
    <x v="1"/>
    <m/>
    <m/>
    <n v="2039.7449099999999"/>
  </r>
  <r>
    <s v="EU27"/>
    <x v="2"/>
    <n v="2023"/>
    <x v="9"/>
    <x v="0"/>
    <x v="2"/>
    <m/>
    <m/>
    <n v="480032.09831999999"/>
  </r>
  <r>
    <s v="EU27"/>
    <x v="2"/>
    <n v="2023"/>
    <x v="9"/>
    <x v="1"/>
    <x v="0"/>
    <m/>
    <m/>
    <n v="492722.80294000002"/>
  </r>
  <r>
    <s v="EU27"/>
    <x v="2"/>
    <n v="2023"/>
    <x v="9"/>
    <x v="1"/>
    <x v="1"/>
    <m/>
    <m/>
    <n v="2072.24199"/>
  </r>
  <r>
    <s v="EU27"/>
    <x v="2"/>
    <n v="2023"/>
    <x v="9"/>
    <x v="1"/>
    <x v="2"/>
    <m/>
    <m/>
    <n v="494824.59493999998"/>
  </r>
  <r>
    <s v="EU27"/>
    <x v="2"/>
    <n v="2023"/>
    <x v="9"/>
    <x v="2"/>
    <x v="0"/>
    <m/>
    <m/>
    <n v="1601.12159"/>
  </r>
  <r>
    <s v="EU27"/>
    <x v="2"/>
    <n v="2023"/>
    <x v="9"/>
    <x v="2"/>
    <x v="2"/>
    <m/>
    <m/>
    <n v="16183.52159"/>
  </r>
  <r>
    <s v="EU27"/>
    <x v="2"/>
    <n v="2023"/>
    <x v="10"/>
    <x v="0"/>
    <x v="0"/>
    <m/>
    <m/>
    <n v="4288.6256100000001"/>
  </r>
  <r>
    <s v="EU27"/>
    <x v="2"/>
    <n v="2023"/>
    <x v="10"/>
    <x v="0"/>
    <x v="1"/>
    <m/>
    <m/>
    <n v="0"/>
  </r>
  <r>
    <s v="EU27"/>
    <x v="2"/>
    <n v="2023"/>
    <x v="10"/>
    <x v="0"/>
    <x v="2"/>
    <m/>
    <m/>
    <n v="4288.6256100000001"/>
  </r>
  <r>
    <s v="EU27"/>
    <x v="2"/>
    <n v="2023"/>
    <x v="10"/>
    <x v="1"/>
    <x v="0"/>
    <m/>
    <m/>
    <n v="4288.6220400000002"/>
  </r>
  <r>
    <s v="EU27"/>
    <x v="2"/>
    <n v="2023"/>
    <x v="10"/>
    <x v="1"/>
    <x v="1"/>
    <m/>
    <m/>
    <n v="0"/>
  </r>
  <r>
    <s v="EU27"/>
    <x v="2"/>
    <n v="2023"/>
    <x v="10"/>
    <x v="1"/>
    <x v="2"/>
    <m/>
    <m/>
    <n v="4288.6220400000002"/>
  </r>
  <r>
    <s v="EU27"/>
    <x v="2"/>
    <n v="2023"/>
    <x v="10"/>
    <x v="2"/>
    <x v="0"/>
    <m/>
    <m/>
    <n v="4.0999999999999996"/>
  </r>
  <r>
    <s v="EU27"/>
    <x v="2"/>
    <n v="2023"/>
    <x v="10"/>
    <x v="2"/>
    <x v="2"/>
    <m/>
    <m/>
    <n v="1246.2"/>
  </r>
  <r>
    <s v="EU27"/>
    <x v="2"/>
    <n v="2023"/>
    <x v="11"/>
    <x v="0"/>
    <x v="0"/>
    <m/>
    <m/>
    <n v="55103.694869999999"/>
  </r>
  <r>
    <s v="EU27"/>
    <x v="2"/>
    <n v="2023"/>
    <x v="11"/>
    <x v="0"/>
    <x v="1"/>
    <m/>
    <m/>
    <n v="13469.37232"/>
  </r>
  <r>
    <s v="EU27"/>
    <x v="2"/>
    <n v="2023"/>
    <x v="11"/>
    <x v="0"/>
    <x v="2"/>
    <m/>
    <m/>
    <n v="68573.017170000006"/>
  </r>
  <r>
    <s v="EU27"/>
    <x v="2"/>
    <n v="2023"/>
    <x v="11"/>
    <x v="1"/>
    <x v="0"/>
    <m/>
    <m/>
    <n v="55790.985189999999"/>
  </r>
  <r>
    <s v="EU27"/>
    <x v="2"/>
    <n v="2023"/>
    <x v="11"/>
    <x v="1"/>
    <x v="1"/>
    <m/>
    <m/>
    <n v="13732.50786"/>
  </r>
  <r>
    <s v="EU27"/>
    <x v="2"/>
    <n v="2023"/>
    <x v="11"/>
    <x v="1"/>
    <x v="2"/>
    <m/>
    <m/>
    <n v="69523.443039999998"/>
  </r>
  <r>
    <s v="EU27"/>
    <x v="2"/>
    <n v="2023"/>
    <x v="11"/>
    <x v="2"/>
    <x v="0"/>
    <m/>
    <m/>
    <n v="427.8"/>
  </r>
  <r>
    <s v="EU27"/>
    <x v="2"/>
    <n v="2023"/>
    <x v="11"/>
    <x v="2"/>
    <x v="1"/>
    <m/>
    <m/>
    <n v="69.900000000000006"/>
  </r>
  <r>
    <s v="EU27"/>
    <x v="2"/>
    <n v="2023"/>
    <x v="11"/>
    <x v="2"/>
    <x v="2"/>
    <m/>
    <m/>
    <n v="18673.8"/>
  </r>
  <r>
    <s v="EU27"/>
    <x v="2"/>
    <n v="2023"/>
    <x v="12"/>
    <x v="0"/>
    <x v="0"/>
    <m/>
    <m/>
    <n v="0"/>
  </r>
  <r>
    <s v="EU27"/>
    <x v="2"/>
    <n v="2023"/>
    <x v="12"/>
    <x v="0"/>
    <x v="1"/>
    <m/>
    <m/>
    <n v="0"/>
  </r>
  <r>
    <s v="EU27"/>
    <x v="2"/>
    <n v="2023"/>
    <x v="12"/>
    <x v="0"/>
    <x v="2"/>
    <m/>
    <m/>
    <n v="0"/>
  </r>
  <r>
    <s v="EU27"/>
    <x v="2"/>
    <n v="2023"/>
    <x v="12"/>
    <x v="1"/>
    <x v="0"/>
    <m/>
    <m/>
    <n v="0"/>
  </r>
  <r>
    <s v="EU27"/>
    <x v="2"/>
    <n v="2023"/>
    <x v="12"/>
    <x v="1"/>
    <x v="1"/>
    <m/>
    <m/>
    <n v="0"/>
  </r>
  <r>
    <s v="EU27"/>
    <x v="2"/>
    <n v="2023"/>
    <x v="12"/>
    <x v="1"/>
    <x v="2"/>
    <m/>
    <m/>
    <n v="0"/>
  </r>
  <r>
    <s v="EU27"/>
    <x v="2"/>
    <n v="2023"/>
    <x v="13"/>
    <x v="0"/>
    <x v="0"/>
    <m/>
    <m/>
    <n v="90128.646240000002"/>
  </r>
  <r>
    <s v="EU27"/>
    <x v="2"/>
    <n v="2023"/>
    <x v="13"/>
    <x v="0"/>
    <x v="1"/>
    <m/>
    <m/>
    <n v="220260.00576"/>
  </r>
  <r>
    <s v="EU27"/>
    <x v="2"/>
    <n v="2023"/>
    <x v="13"/>
    <x v="0"/>
    <x v="2"/>
    <m/>
    <m/>
    <n v="310109.73200000002"/>
  </r>
  <r>
    <s v="EU27"/>
    <x v="2"/>
    <n v="2023"/>
    <x v="13"/>
    <x v="1"/>
    <x v="0"/>
    <m/>
    <m/>
    <n v="90527.87563000001"/>
  </r>
  <r>
    <s v="EU27"/>
    <x v="2"/>
    <n v="2023"/>
    <x v="13"/>
    <x v="1"/>
    <x v="1"/>
    <m/>
    <m/>
    <n v="221750.15497"/>
  </r>
  <r>
    <s v="EU27"/>
    <x v="2"/>
    <n v="2023"/>
    <x v="13"/>
    <x v="1"/>
    <x v="2"/>
    <m/>
    <m/>
    <n v="311999.31059000001"/>
  </r>
  <r>
    <s v="EU27"/>
    <x v="2"/>
    <n v="2023"/>
    <x v="13"/>
    <x v="2"/>
    <x v="0"/>
    <m/>
    <m/>
    <n v="967.67692000000011"/>
  </r>
  <r>
    <s v="EU27"/>
    <x v="2"/>
    <n v="2023"/>
    <x v="13"/>
    <x v="2"/>
    <x v="1"/>
    <m/>
    <m/>
    <n v="715.6"/>
  </r>
  <r>
    <s v="EU27"/>
    <x v="2"/>
    <n v="2023"/>
    <x v="13"/>
    <x v="2"/>
    <x v="2"/>
    <m/>
    <m/>
    <n v="16914.376919999999"/>
  </r>
  <r>
    <s v="EU27"/>
    <x v="2"/>
    <n v="2023"/>
    <x v="14"/>
    <x v="0"/>
    <x v="0"/>
    <m/>
    <m/>
    <n v="377029.04518000002"/>
  </r>
  <r>
    <s v="EU27"/>
    <x v="2"/>
    <n v="2023"/>
    <x v="14"/>
    <x v="0"/>
    <x v="2"/>
    <m/>
    <m/>
    <n v="377029.04518000002"/>
  </r>
  <r>
    <s v="EU27"/>
    <x v="2"/>
    <n v="2023"/>
    <x v="14"/>
    <x v="1"/>
    <x v="0"/>
    <m/>
    <m/>
    <n v="380489.87248000002"/>
  </r>
  <r>
    <s v="EU27"/>
    <x v="2"/>
    <n v="2023"/>
    <x v="14"/>
    <x v="1"/>
    <x v="2"/>
    <m/>
    <m/>
    <n v="380489.87248000002"/>
  </r>
  <r>
    <s v="EU27"/>
    <x v="2"/>
    <n v="2023"/>
    <x v="14"/>
    <x v="2"/>
    <x v="0"/>
    <m/>
    <m/>
    <n v="2005.96063"/>
  </r>
  <r>
    <s v="EU27"/>
    <x v="2"/>
    <n v="2023"/>
    <x v="14"/>
    <x v="2"/>
    <x v="2"/>
    <m/>
    <m/>
    <n v="27577.06063"/>
  </r>
  <r>
    <s v="EU27"/>
    <x v="2"/>
    <n v="2023"/>
    <x v="15"/>
    <x v="0"/>
    <x v="2"/>
    <m/>
    <m/>
    <n v="-248859.61984"/>
  </r>
  <r>
    <s v="EU27"/>
    <x v="2"/>
    <n v="2023"/>
    <x v="15"/>
    <x v="1"/>
    <x v="2"/>
    <m/>
    <m/>
    <n v="-239809.73461000001"/>
  </r>
  <r>
    <s v="EU27"/>
    <x v="2"/>
    <n v="2023"/>
    <x v="15"/>
    <x v="2"/>
    <x v="2"/>
    <m/>
    <m/>
    <n v="-23086.448400000001"/>
  </r>
  <r>
    <s v="EU27"/>
    <x v="2"/>
    <n v="2023"/>
    <x v="16"/>
    <x v="0"/>
    <x v="2"/>
    <m/>
    <m/>
    <n v="-326720.89643999998"/>
  </r>
  <r>
    <s v="EU27"/>
    <x v="2"/>
    <n v="2023"/>
    <x v="16"/>
    <x v="1"/>
    <x v="2"/>
    <m/>
    <m/>
    <n v="-320941.12229000003"/>
  </r>
  <r>
    <s v="EU27"/>
    <x v="2"/>
    <n v="2023"/>
    <x v="16"/>
    <x v="2"/>
    <x v="2"/>
    <m/>
    <m/>
    <n v="-22275.450280000001"/>
  </r>
  <r>
    <s v="EU27"/>
    <x v="2"/>
    <n v="2023"/>
    <x v="17"/>
    <x v="0"/>
    <x v="2"/>
    <m/>
    <m/>
    <n v="39728.389900000002"/>
  </r>
  <r>
    <s v="EU27"/>
    <x v="2"/>
    <n v="2023"/>
    <x v="17"/>
    <x v="1"/>
    <x v="2"/>
    <m/>
    <m/>
    <n v="42047.495799999997"/>
  </r>
  <r>
    <s v="EU27"/>
    <x v="2"/>
    <n v="2023"/>
    <x v="17"/>
    <x v="2"/>
    <x v="2"/>
    <m/>
    <m/>
    <n v="-2373.30951"/>
  </r>
  <r>
    <s v="EU27"/>
    <x v="2"/>
    <n v="2023"/>
    <x v="18"/>
    <x v="0"/>
    <x v="2"/>
    <m/>
    <m/>
    <n v="13249.22071"/>
  </r>
  <r>
    <s v="EU27"/>
    <x v="2"/>
    <n v="2023"/>
    <x v="18"/>
    <x v="1"/>
    <x v="2"/>
    <m/>
    <m/>
    <n v="13803.592140000001"/>
  </r>
  <r>
    <s v="EU27"/>
    <x v="2"/>
    <n v="2023"/>
    <x v="18"/>
    <x v="2"/>
    <x v="2"/>
    <m/>
    <m/>
    <n v="522.02228000000002"/>
  </r>
  <r>
    <s v="EU27"/>
    <x v="2"/>
    <n v="2023"/>
    <x v="19"/>
    <x v="0"/>
    <x v="2"/>
    <m/>
    <m/>
    <n v="15576.81473"/>
  </r>
  <r>
    <s v="EU27"/>
    <x v="2"/>
    <n v="2023"/>
    <x v="19"/>
    <x v="1"/>
    <x v="2"/>
    <m/>
    <m/>
    <n v="15441.318509999999"/>
  </r>
  <r>
    <s v="EU27"/>
    <x v="2"/>
    <n v="2023"/>
    <x v="19"/>
    <x v="2"/>
    <x v="2"/>
    <m/>
    <m/>
    <n v="772.28647999999998"/>
  </r>
  <r>
    <s v="EU27"/>
    <x v="2"/>
    <n v="2023"/>
    <x v="20"/>
    <x v="0"/>
    <x v="2"/>
    <m/>
    <m/>
    <n v="36346.04449"/>
  </r>
  <r>
    <s v="EU27"/>
    <x v="2"/>
    <n v="2023"/>
    <x v="20"/>
    <x v="1"/>
    <x v="2"/>
    <m/>
    <m/>
    <n v="37036.052790000002"/>
  </r>
  <r>
    <s v="EU27"/>
    <x v="2"/>
    <n v="2023"/>
    <x v="20"/>
    <x v="2"/>
    <x v="2"/>
    <m/>
    <m/>
    <n v="2672.81268"/>
  </r>
  <r>
    <s v="EU27"/>
    <x v="2"/>
    <n v="2023"/>
    <x v="21"/>
    <x v="0"/>
    <x v="2"/>
    <m/>
    <m/>
    <n v="722.14317999999992"/>
  </r>
  <r>
    <s v="EU27"/>
    <x v="2"/>
    <n v="2023"/>
    <x v="21"/>
    <x v="1"/>
    <x v="2"/>
    <m/>
    <m/>
    <n v="665.64103999999998"/>
  </r>
  <r>
    <s v="EU27"/>
    <x v="2"/>
    <n v="2023"/>
    <x v="21"/>
    <x v="2"/>
    <x v="2"/>
    <m/>
    <m/>
    <n v="212.13994"/>
  </r>
  <r>
    <s v="EU27"/>
    <x v="2"/>
    <n v="2023"/>
    <x v="22"/>
    <x v="0"/>
    <x v="2"/>
    <m/>
    <m/>
    <n v="-27711.362819999998"/>
  </r>
  <r>
    <s v="EU27"/>
    <x v="2"/>
    <n v="2023"/>
    <x v="22"/>
    <x v="1"/>
    <x v="2"/>
    <m/>
    <m/>
    <n v="-28119.78904"/>
  </r>
  <r>
    <s v="EU27"/>
    <x v="2"/>
    <n v="2023"/>
    <x v="22"/>
    <x v="2"/>
    <x v="2"/>
    <m/>
    <m/>
    <n v="-2616.9499999999998"/>
  </r>
  <r>
    <s v="EU27"/>
    <x v="2"/>
    <n v="2023"/>
    <x v="23"/>
    <x v="0"/>
    <x v="2"/>
    <m/>
    <m/>
    <n v="271.99833000000001"/>
  </r>
  <r>
    <s v="EU27"/>
    <x v="2"/>
    <n v="2023"/>
    <x v="23"/>
    <x v="1"/>
    <x v="2"/>
    <m/>
    <m/>
    <n v="271.99833000000001"/>
  </r>
  <r>
    <s v="EU27"/>
    <x v="2"/>
    <n v="2023"/>
    <x v="24"/>
    <x v="0"/>
    <x v="0"/>
    <m/>
    <m/>
    <n v="112748.5174"/>
  </r>
  <r>
    <s v="EU27"/>
    <x v="2"/>
    <n v="2023"/>
    <x v="24"/>
    <x v="0"/>
    <x v="1"/>
    <m/>
    <m/>
    <n v="246.50344999999999"/>
  </r>
  <r>
    <s v="EU27"/>
    <x v="2"/>
    <n v="2023"/>
    <x v="24"/>
    <x v="0"/>
    <x v="2"/>
    <m/>
    <m/>
    <n v="112995.02085"/>
  </r>
  <r>
    <s v="EU27"/>
    <x v="2"/>
    <n v="2023"/>
    <x v="24"/>
    <x v="1"/>
    <x v="0"/>
    <m/>
    <m/>
    <n v="113319.13497"/>
  </r>
  <r>
    <s v="EU27"/>
    <x v="2"/>
    <n v="2023"/>
    <x v="24"/>
    <x v="1"/>
    <x v="1"/>
    <m/>
    <m/>
    <n v="246.50344999999999"/>
  </r>
  <r>
    <s v="EU27"/>
    <x v="2"/>
    <n v="2023"/>
    <x v="24"/>
    <x v="1"/>
    <x v="2"/>
    <m/>
    <m/>
    <n v="113565.63842"/>
  </r>
  <r>
    <s v="EU27"/>
    <x v="2"/>
    <n v="2023"/>
    <x v="24"/>
    <x v="2"/>
    <x v="0"/>
    <m/>
    <m/>
    <n v="1492.3507500000001"/>
  </r>
  <r>
    <s v="EU27"/>
    <x v="2"/>
    <n v="2023"/>
    <x v="24"/>
    <x v="2"/>
    <x v="2"/>
    <m/>
    <m/>
    <n v="10688.85075"/>
  </r>
  <r>
    <s v="EU27"/>
    <x v="2"/>
    <n v="2023"/>
    <x v="25"/>
    <x v="0"/>
    <x v="0"/>
    <m/>
    <m/>
    <n v="112.1"/>
  </r>
  <r>
    <s v="EU27"/>
    <x v="2"/>
    <n v="2023"/>
    <x v="25"/>
    <x v="0"/>
    <x v="2"/>
    <m/>
    <m/>
    <n v="98540.026164746145"/>
  </r>
  <r>
    <s v="EU27"/>
    <x v="2"/>
    <n v="2023"/>
    <x v="25"/>
    <x v="1"/>
    <x v="0"/>
    <m/>
    <m/>
    <n v="112.1"/>
  </r>
  <r>
    <s v="EU27"/>
    <x v="2"/>
    <n v="2023"/>
    <x v="25"/>
    <x v="1"/>
    <x v="2"/>
    <m/>
    <m/>
    <n v="101101.1093447461"/>
  </r>
  <r>
    <s v="EU27"/>
    <x v="2"/>
    <n v="2023"/>
    <x v="25"/>
    <x v="2"/>
    <x v="2"/>
    <m/>
    <m/>
    <n v="944.71192000000008"/>
  </r>
  <r>
    <s v="EU27"/>
    <x v="2"/>
    <n v="2023"/>
    <x v="26"/>
    <x v="0"/>
    <x v="0"/>
    <m/>
    <m/>
    <n v="505.7"/>
  </r>
  <r>
    <s v="EU27"/>
    <x v="2"/>
    <n v="2023"/>
    <x v="26"/>
    <x v="0"/>
    <x v="2"/>
    <m/>
    <m/>
    <n v="135481.53481459821"/>
  </r>
  <r>
    <s v="EU27"/>
    <x v="2"/>
    <n v="2023"/>
    <x v="26"/>
    <x v="1"/>
    <x v="0"/>
    <m/>
    <m/>
    <n v="505.7"/>
  </r>
  <r>
    <s v="EU27"/>
    <x v="2"/>
    <n v="2023"/>
    <x v="26"/>
    <x v="1"/>
    <x v="2"/>
    <m/>
    <m/>
    <n v="135688.7315545982"/>
  </r>
  <r>
    <s v="EU27"/>
    <x v="2"/>
    <n v="2023"/>
    <x v="26"/>
    <x v="2"/>
    <x v="2"/>
    <m/>
    <m/>
    <n v="611"/>
  </r>
  <r>
    <s v="EU27"/>
    <x v="2"/>
    <n v="2023"/>
    <x v="27"/>
    <x v="0"/>
    <x v="0"/>
    <m/>
    <m/>
    <n v="755.22897999999998"/>
  </r>
  <r>
    <s v="EU27"/>
    <x v="2"/>
    <n v="2023"/>
    <x v="27"/>
    <x v="0"/>
    <x v="2"/>
    <m/>
    <m/>
    <n v="899.12897999999996"/>
  </r>
  <r>
    <s v="EU27"/>
    <x v="2"/>
    <n v="2023"/>
    <x v="27"/>
    <x v="1"/>
    <x v="0"/>
    <m/>
    <m/>
    <n v="755.22901000000002"/>
  </r>
  <r>
    <s v="EU27"/>
    <x v="2"/>
    <n v="2023"/>
    <x v="27"/>
    <x v="1"/>
    <x v="2"/>
    <m/>
    <m/>
    <n v="899.12900999999999"/>
  </r>
  <r>
    <s v="EU27"/>
    <x v="2"/>
    <n v="2023"/>
    <x v="28"/>
    <x v="0"/>
    <x v="0"/>
    <m/>
    <m/>
    <n v="2044189.7383699999"/>
  </r>
  <r>
    <s v="EU27"/>
    <x v="2"/>
    <n v="2023"/>
    <x v="28"/>
    <x v="0"/>
    <x v="1"/>
    <m/>
    <m/>
    <n v="1271665.7978300001"/>
  </r>
  <r>
    <s v="EU27"/>
    <x v="2"/>
    <n v="2023"/>
    <x v="28"/>
    <x v="0"/>
    <x v="2"/>
    <m/>
    <m/>
    <n v="3329321.6420700001"/>
  </r>
  <r>
    <s v="EU27"/>
    <x v="2"/>
    <n v="2023"/>
    <x v="28"/>
    <x v="1"/>
    <x v="0"/>
    <m/>
    <m/>
    <n v="2078836.0586099999"/>
  </r>
  <r>
    <s v="EU27"/>
    <x v="2"/>
    <n v="2023"/>
    <x v="28"/>
    <x v="1"/>
    <x v="1"/>
    <m/>
    <m/>
    <n v="1302880.00067"/>
  </r>
  <r>
    <s v="EU27"/>
    <x v="2"/>
    <n v="2023"/>
    <x v="28"/>
    <x v="1"/>
    <x v="2"/>
    <m/>
    <m/>
    <n v="3395714.1908800001"/>
  </r>
  <r>
    <s v="EU27"/>
    <x v="2"/>
    <n v="2023"/>
    <x v="28"/>
    <x v="2"/>
    <x v="0"/>
    <m/>
    <m/>
    <n v="14788.251190000001"/>
  </r>
  <r>
    <s v="EU27"/>
    <x v="2"/>
    <n v="2023"/>
    <x v="28"/>
    <x v="2"/>
    <x v="1"/>
    <m/>
    <m/>
    <n v="8971.5632000000005"/>
  </r>
  <r>
    <s v="EU27"/>
    <x v="2"/>
    <n v="2023"/>
    <x v="28"/>
    <x v="2"/>
    <x v="2"/>
    <m/>
    <m/>
    <n v="186789.86142999999"/>
  </r>
  <r>
    <s v="EU27"/>
    <x v="2"/>
    <n v="2023"/>
    <x v="29"/>
    <x v="0"/>
    <x v="0"/>
    <m/>
    <m/>
    <n v="2044199.4963700001"/>
  </r>
  <r>
    <s v="EU27"/>
    <x v="2"/>
    <n v="2023"/>
    <x v="29"/>
    <x v="0"/>
    <x v="1"/>
    <m/>
    <m/>
    <n v="1271665.7978300001"/>
  </r>
  <r>
    <s v="EU27"/>
    <x v="2"/>
    <n v="2023"/>
    <x v="29"/>
    <x v="0"/>
    <x v="2"/>
    <m/>
    <m/>
    <n v="3080471.7012200002"/>
  </r>
  <r>
    <s v="EU27"/>
    <x v="2"/>
    <n v="2023"/>
    <x v="29"/>
    <x v="1"/>
    <x v="0"/>
    <m/>
    <m/>
    <n v="2078845.8166100001"/>
  </r>
  <r>
    <s v="EU27"/>
    <x v="2"/>
    <n v="2023"/>
    <x v="29"/>
    <x v="1"/>
    <x v="1"/>
    <m/>
    <m/>
    <n v="1302880.00067"/>
  </r>
  <r>
    <s v="EU27"/>
    <x v="2"/>
    <n v="2023"/>
    <x v="29"/>
    <x v="1"/>
    <x v="2"/>
    <m/>
    <m/>
    <n v="3155909.4912800002"/>
  </r>
  <r>
    <s v="EU27"/>
    <x v="2"/>
    <n v="2023"/>
    <x v="29"/>
    <x v="2"/>
    <x v="0"/>
    <m/>
    <m/>
    <n v="14788.251190000001"/>
  </r>
  <r>
    <s v="EU27"/>
    <x v="2"/>
    <n v="2023"/>
    <x v="29"/>
    <x v="2"/>
    <x v="1"/>
    <m/>
    <m/>
    <n v="8971.5632000000005"/>
  </r>
  <r>
    <s v="EU27"/>
    <x v="2"/>
    <n v="2023"/>
    <x v="29"/>
    <x v="2"/>
    <x v="2"/>
    <m/>
    <m/>
    <n v="163970.91303"/>
  </r>
  <r>
    <s v="EU27"/>
    <x v="3"/>
    <n v="2023"/>
    <x v="0"/>
    <x v="0"/>
    <x v="0"/>
    <m/>
    <m/>
    <n v="1440631.51324"/>
  </r>
  <r>
    <s v="EU27"/>
    <x v="3"/>
    <n v="2023"/>
    <x v="0"/>
    <x v="0"/>
    <x v="1"/>
    <m/>
    <m/>
    <n v="974044.01335999998"/>
  </r>
  <r>
    <s v="EU27"/>
    <x v="3"/>
    <n v="2023"/>
    <x v="0"/>
    <x v="0"/>
    <x v="2"/>
    <m/>
    <m/>
    <n v="2429962.23153"/>
  </r>
  <r>
    <s v="EU27"/>
    <x v="3"/>
    <n v="2023"/>
    <x v="0"/>
    <x v="1"/>
    <x v="0"/>
    <m/>
    <m/>
    <n v="1480102.52856"/>
  </r>
  <r>
    <s v="EU27"/>
    <x v="3"/>
    <n v="2023"/>
    <x v="0"/>
    <x v="1"/>
    <x v="1"/>
    <m/>
    <m/>
    <n v="1017080.55268"/>
  </r>
  <r>
    <s v="EU27"/>
    <x v="3"/>
    <n v="2023"/>
    <x v="0"/>
    <x v="1"/>
    <x v="2"/>
    <m/>
    <m/>
    <n v="2513264.92191"/>
  </r>
  <r>
    <s v="EU27"/>
    <x v="3"/>
    <n v="2023"/>
    <x v="0"/>
    <x v="2"/>
    <x v="0"/>
    <m/>
    <m/>
    <n v="10421.69484"/>
  </r>
  <r>
    <s v="EU27"/>
    <x v="3"/>
    <n v="2023"/>
    <x v="0"/>
    <x v="2"/>
    <x v="1"/>
    <m/>
    <m/>
    <n v="8270.6671599999991"/>
  </r>
  <r>
    <s v="EU27"/>
    <x v="3"/>
    <n v="2023"/>
    <x v="0"/>
    <x v="2"/>
    <x v="2"/>
    <m/>
    <m/>
    <n v="132345.6464"/>
  </r>
  <r>
    <s v="EU27"/>
    <x v="3"/>
    <n v="2023"/>
    <x v="1"/>
    <x v="0"/>
    <x v="0"/>
    <m/>
    <m/>
    <n v="58135.732320000003"/>
  </r>
  <r>
    <s v="EU27"/>
    <x v="3"/>
    <n v="2023"/>
    <x v="1"/>
    <x v="0"/>
    <x v="1"/>
    <m/>
    <m/>
    <n v="669154.15691999998"/>
  </r>
  <r>
    <s v="EU27"/>
    <x v="3"/>
    <n v="2023"/>
    <x v="1"/>
    <x v="0"/>
    <x v="2"/>
    <m/>
    <m/>
    <n v="727289.78922999999"/>
  </r>
  <r>
    <s v="EU27"/>
    <x v="3"/>
    <n v="2023"/>
    <x v="1"/>
    <x v="1"/>
    <x v="0"/>
    <m/>
    <m/>
    <n v="62427.941059999997"/>
  </r>
  <r>
    <s v="EU27"/>
    <x v="3"/>
    <n v="2023"/>
    <x v="1"/>
    <x v="1"/>
    <x v="1"/>
    <m/>
    <m/>
    <n v="701849.91845"/>
  </r>
  <r>
    <s v="EU27"/>
    <x v="3"/>
    <n v="2023"/>
    <x v="1"/>
    <x v="1"/>
    <x v="2"/>
    <m/>
    <m/>
    <n v="764278.03951999999"/>
  </r>
  <r>
    <s v="EU27"/>
    <x v="3"/>
    <n v="2023"/>
    <x v="1"/>
    <x v="2"/>
    <x v="0"/>
    <m/>
    <m/>
    <n v="150.75362999999999"/>
  </r>
  <r>
    <s v="EU27"/>
    <x v="3"/>
    <n v="2023"/>
    <x v="1"/>
    <x v="2"/>
    <x v="1"/>
    <m/>
    <m/>
    <n v="6883.2671600000003"/>
  </r>
  <r>
    <s v="EU27"/>
    <x v="3"/>
    <n v="2023"/>
    <x v="1"/>
    <x v="2"/>
    <x v="2"/>
    <m/>
    <m/>
    <n v="48007.520790000002"/>
  </r>
  <r>
    <s v="EU27"/>
    <x v="3"/>
    <n v="2023"/>
    <x v="2"/>
    <x v="0"/>
    <x v="0"/>
    <m/>
    <m/>
    <n v="113253.26111000001"/>
  </r>
  <r>
    <s v="EU27"/>
    <x v="3"/>
    <n v="2023"/>
    <x v="2"/>
    <x v="0"/>
    <x v="1"/>
    <m/>
    <m/>
    <n v="284655.37365999998"/>
  </r>
  <r>
    <s v="EU27"/>
    <x v="3"/>
    <n v="2023"/>
    <x v="2"/>
    <x v="0"/>
    <x v="2"/>
    <m/>
    <m/>
    <n v="397908.93475999997"/>
  </r>
  <r>
    <s v="EU27"/>
    <x v="3"/>
    <n v="2023"/>
    <x v="2"/>
    <x v="1"/>
    <x v="0"/>
    <m/>
    <m/>
    <n v="115325.79282"/>
  </r>
  <r>
    <s v="EU27"/>
    <x v="3"/>
    <n v="2023"/>
    <x v="2"/>
    <x v="1"/>
    <x v="1"/>
    <m/>
    <m/>
    <n v="294519.11676"/>
  </r>
  <r>
    <s v="EU27"/>
    <x v="3"/>
    <n v="2023"/>
    <x v="2"/>
    <x v="1"/>
    <x v="2"/>
    <m/>
    <m/>
    <n v="409844.80956999998"/>
  </r>
  <r>
    <s v="EU27"/>
    <x v="3"/>
    <n v="2023"/>
    <x v="2"/>
    <x v="2"/>
    <x v="0"/>
    <m/>
    <m/>
    <n v="954.0802799999999"/>
  </r>
  <r>
    <s v="EU27"/>
    <x v="3"/>
    <n v="2023"/>
    <x v="2"/>
    <x v="2"/>
    <x v="1"/>
    <m/>
    <m/>
    <n v="1317.5"/>
  </r>
  <r>
    <s v="EU27"/>
    <x v="3"/>
    <n v="2023"/>
    <x v="2"/>
    <x v="2"/>
    <x v="2"/>
    <m/>
    <m/>
    <n v="18298.18028"/>
  </r>
  <r>
    <s v="EU27"/>
    <x v="3"/>
    <n v="2023"/>
    <x v="3"/>
    <x v="0"/>
    <x v="0"/>
    <m/>
    <m/>
    <n v="745190.99389000004"/>
  </r>
  <r>
    <s v="EU27"/>
    <x v="3"/>
    <n v="2023"/>
    <x v="3"/>
    <x v="0"/>
    <x v="1"/>
    <m/>
    <m/>
    <n v="3804.5299300000001"/>
  </r>
  <r>
    <s v="EU27"/>
    <x v="3"/>
    <n v="2023"/>
    <x v="3"/>
    <x v="0"/>
    <x v="2"/>
    <m/>
    <m/>
    <n v="764282.17371"/>
  </r>
  <r>
    <s v="EU27"/>
    <x v="3"/>
    <n v="2023"/>
    <x v="3"/>
    <x v="1"/>
    <x v="0"/>
    <m/>
    <m/>
    <n v="758319.06209999998"/>
  </r>
  <r>
    <s v="EU27"/>
    <x v="3"/>
    <n v="2023"/>
    <x v="3"/>
    <x v="1"/>
    <x v="1"/>
    <m/>
    <m/>
    <n v="3861.4827500000001"/>
  </r>
  <r>
    <s v="EU27"/>
    <x v="3"/>
    <n v="2023"/>
    <x v="3"/>
    <x v="1"/>
    <x v="2"/>
    <m/>
    <m/>
    <n v="778262.51049999997"/>
  </r>
  <r>
    <s v="EU27"/>
    <x v="3"/>
    <n v="2023"/>
    <x v="3"/>
    <x v="2"/>
    <x v="0"/>
    <m/>
    <m/>
    <n v="7303.0327700000007"/>
  </r>
  <r>
    <s v="EU27"/>
    <x v="3"/>
    <n v="2023"/>
    <x v="3"/>
    <x v="2"/>
    <x v="1"/>
    <m/>
    <m/>
    <n v="0"/>
  </r>
  <r>
    <s v="EU27"/>
    <x v="3"/>
    <n v="2023"/>
    <x v="3"/>
    <x v="2"/>
    <x v="2"/>
    <m/>
    <m/>
    <n v="29802.117170000001"/>
  </r>
  <r>
    <s v="EU27"/>
    <x v="3"/>
    <n v="2023"/>
    <x v="4"/>
    <x v="0"/>
    <x v="0"/>
    <m/>
    <m/>
    <n v="137.23894999999999"/>
  </r>
  <r>
    <s v="EU27"/>
    <x v="3"/>
    <n v="2023"/>
    <x v="4"/>
    <x v="0"/>
    <x v="2"/>
    <m/>
    <m/>
    <n v="15424.093279999999"/>
  </r>
  <r>
    <s v="EU27"/>
    <x v="3"/>
    <n v="2023"/>
    <x v="4"/>
    <x v="1"/>
    <x v="0"/>
    <m/>
    <m/>
    <n v="143.32302799999999"/>
  </r>
  <r>
    <s v="EU27"/>
    <x v="3"/>
    <n v="2023"/>
    <x v="4"/>
    <x v="1"/>
    <x v="2"/>
    <m/>
    <m/>
    <n v="16225.409149999999"/>
  </r>
  <r>
    <s v="EU27"/>
    <x v="3"/>
    <n v="2023"/>
    <x v="4"/>
    <x v="2"/>
    <x v="0"/>
    <m/>
    <m/>
    <n v="1.2290000000000001E-2"/>
  </r>
  <r>
    <s v="EU27"/>
    <x v="3"/>
    <n v="2023"/>
    <x v="4"/>
    <x v="2"/>
    <x v="2"/>
    <m/>
    <m/>
    <n v="333.89668999999998"/>
  </r>
  <r>
    <s v="EU27"/>
    <x v="3"/>
    <n v="2023"/>
    <x v="5"/>
    <x v="0"/>
    <x v="0"/>
    <m/>
    <m/>
    <n v="722097.59894000005"/>
  </r>
  <r>
    <s v="EU27"/>
    <x v="3"/>
    <n v="2023"/>
    <x v="5"/>
    <x v="0"/>
    <x v="1"/>
    <m/>
    <m/>
    <n v="0"/>
  </r>
  <r>
    <s v="EU27"/>
    <x v="3"/>
    <n v="2023"/>
    <x v="5"/>
    <x v="0"/>
    <x v="2"/>
    <m/>
    <m/>
    <n v="722097.59894000005"/>
  </r>
  <r>
    <s v="EU27"/>
    <x v="3"/>
    <n v="2023"/>
    <x v="5"/>
    <x v="1"/>
    <x v="0"/>
    <m/>
    <m/>
    <n v="735146.36116999993"/>
  </r>
  <r>
    <s v="EU27"/>
    <x v="3"/>
    <n v="2023"/>
    <x v="5"/>
    <x v="1"/>
    <x v="1"/>
    <m/>
    <m/>
    <n v="0"/>
  </r>
  <r>
    <s v="EU27"/>
    <x v="3"/>
    <n v="2023"/>
    <x v="5"/>
    <x v="1"/>
    <x v="2"/>
    <m/>
    <m/>
    <n v="735146.36116999993"/>
  </r>
  <r>
    <s v="EU27"/>
    <x v="3"/>
    <n v="2023"/>
    <x v="5"/>
    <x v="2"/>
    <x v="0"/>
    <m/>
    <m/>
    <n v="7215.0274799999997"/>
  </r>
  <r>
    <s v="EU27"/>
    <x v="3"/>
    <n v="2023"/>
    <x v="5"/>
    <x v="2"/>
    <x v="2"/>
    <m/>
    <m/>
    <n v="28323.32748"/>
  </r>
  <r>
    <s v="EU27"/>
    <x v="3"/>
    <n v="2023"/>
    <x v="6"/>
    <x v="0"/>
    <x v="0"/>
    <m/>
    <m/>
    <n v="3888.53253"/>
  </r>
  <r>
    <s v="EU27"/>
    <x v="3"/>
    <n v="2023"/>
    <x v="6"/>
    <x v="0"/>
    <x v="1"/>
    <m/>
    <m/>
    <n v="0"/>
  </r>
  <r>
    <s v="EU27"/>
    <x v="3"/>
    <n v="2023"/>
    <x v="6"/>
    <x v="0"/>
    <x v="2"/>
    <m/>
    <m/>
    <n v="3888.53253"/>
  </r>
  <r>
    <s v="EU27"/>
    <x v="3"/>
    <n v="2023"/>
    <x v="6"/>
    <x v="1"/>
    <x v="0"/>
    <m/>
    <m/>
    <n v="4072.7568200000001"/>
  </r>
  <r>
    <s v="EU27"/>
    <x v="3"/>
    <n v="2023"/>
    <x v="6"/>
    <x v="1"/>
    <x v="1"/>
    <m/>
    <m/>
    <n v="0"/>
  </r>
  <r>
    <s v="EU27"/>
    <x v="3"/>
    <n v="2023"/>
    <x v="6"/>
    <x v="1"/>
    <x v="2"/>
    <m/>
    <m/>
    <n v="4072.7568200000001"/>
  </r>
  <r>
    <s v="EU27"/>
    <x v="3"/>
    <n v="2023"/>
    <x v="6"/>
    <x v="2"/>
    <x v="0"/>
    <m/>
    <m/>
    <n v="33.9"/>
  </r>
  <r>
    <s v="EU27"/>
    <x v="3"/>
    <n v="2023"/>
    <x v="6"/>
    <x v="2"/>
    <x v="2"/>
    <m/>
    <m/>
    <n v="666.69999999999993"/>
  </r>
  <r>
    <s v="EU27"/>
    <x v="3"/>
    <n v="2023"/>
    <x v="7"/>
    <x v="0"/>
    <x v="0"/>
    <m/>
    <m/>
    <n v="17657.487539999998"/>
  </r>
  <r>
    <s v="EU27"/>
    <x v="3"/>
    <n v="2023"/>
    <x v="7"/>
    <x v="0"/>
    <x v="1"/>
    <m/>
    <m/>
    <n v="0"/>
  </r>
  <r>
    <s v="EU27"/>
    <x v="3"/>
    <n v="2023"/>
    <x v="7"/>
    <x v="0"/>
    <x v="2"/>
    <m/>
    <m/>
    <n v="17657.487379999999"/>
  </r>
  <r>
    <s v="EU27"/>
    <x v="3"/>
    <n v="2023"/>
    <x v="7"/>
    <x v="1"/>
    <x v="0"/>
    <m/>
    <m/>
    <n v="17458.055639999999"/>
  </r>
  <r>
    <s v="EU27"/>
    <x v="3"/>
    <n v="2023"/>
    <x v="7"/>
    <x v="1"/>
    <x v="1"/>
    <m/>
    <m/>
    <n v="0"/>
  </r>
  <r>
    <s v="EU27"/>
    <x v="3"/>
    <n v="2023"/>
    <x v="7"/>
    <x v="1"/>
    <x v="2"/>
    <m/>
    <m/>
    <n v="17458.055479999999"/>
  </r>
  <r>
    <s v="EU27"/>
    <x v="3"/>
    <n v="2023"/>
    <x v="7"/>
    <x v="2"/>
    <x v="0"/>
    <m/>
    <m/>
    <n v="46.792990000000003"/>
  </r>
  <r>
    <s v="EU27"/>
    <x v="3"/>
    <n v="2023"/>
    <x v="7"/>
    <x v="2"/>
    <x v="2"/>
    <m/>
    <m/>
    <n v="272.39299"/>
  </r>
  <r>
    <s v="EU27"/>
    <x v="3"/>
    <n v="2023"/>
    <x v="8"/>
    <x v="0"/>
    <x v="0"/>
    <m/>
    <m/>
    <n v="1392.24317"/>
  </r>
  <r>
    <s v="EU27"/>
    <x v="3"/>
    <n v="2023"/>
    <x v="8"/>
    <x v="0"/>
    <x v="1"/>
    <m/>
    <m/>
    <n v="3804.5299300000001"/>
  </r>
  <r>
    <s v="EU27"/>
    <x v="3"/>
    <n v="2023"/>
    <x v="8"/>
    <x v="0"/>
    <x v="2"/>
    <m/>
    <m/>
    <n v="5196.6731"/>
  </r>
  <r>
    <s v="EU27"/>
    <x v="3"/>
    <n v="2023"/>
    <x v="8"/>
    <x v="1"/>
    <x v="0"/>
    <m/>
    <m/>
    <n v="1480.75665"/>
  </r>
  <r>
    <s v="EU27"/>
    <x v="3"/>
    <n v="2023"/>
    <x v="8"/>
    <x v="1"/>
    <x v="1"/>
    <m/>
    <m/>
    <n v="3861.4827500000001"/>
  </r>
  <r>
    <s v="EU27"/>
    <x v="3"/>
    <n v="2023"/>
    <x v="8"/>
    <x v="1"/>
    <x v="2"/>
    <m/>
    <m/>
    <n v="5342.1394"/>
  </r>
  <r>
    <s v="EU27"/>
    <x v="3"/>
    <n v="2023"/>
    <x v="8"/>
    <x v="2"/>
    <x v="0"/>
    <m/>
    <m/>
    <n v="7.2"/>
  </r>
  <r>
    <s v="EU27"/>
    <x v="3"/>
    <n v="2023"/>
    <x v="8"/>
    <x v="2"/>
    <x v="2"/>
    <m/>
    <m/>
    <n v="205.8"/>
  </r>
  <r>
    <s v="EU27"/>
    <x v="3"/>
    <n v="2023"/>
    <x v="9"/>
    <x v="0"/>
    <x v="0"/>
    <m/>
    <m/>
    <n v="464357.70403000002"/>
  </r>
  <r>
    <s v="EU27"/>
    <x v="3"/>
    <n v="2023"/>
    <x v="9"/>
    <x v="0"/>
    <x v="1"/>
    <m/>
    <m/>
    <n v="1989.1851200000001"/>
  </r>
  <r>
    <s v="EU27"/>
    <x v="3"/>
    <n v="2023"/>
    <x v="9"/>
    <x v="0"/>
    <x v="2"/>
    <m/>
    <m/>
    <n v="466376.56416000001"/>
  </r>
  <r>
    <s v="EU27"/>
    <x v="3"/>
    <n v="2023"/>
    <x v="9"/>
    <x v="1"/>
    <x v="0"/>
    <m/>
    <m/>
    <n v="483410.63413000002"/>
  </r>
  <r>
    <s v="EU27"/>
    <x v="3"/>
    <n v="2023"/>
    <x v="9"/>
    <x v="1"/>
    <x v="1"/>
    <m/>
    <m/>
    <n v="2034.9144200000001"/>
  </r>
  <r>
    <s v="EU27"/>
    <x v="3"/>
    <n v="2023"/>
    <x v="9"/>
    <x v="1"/>
    <x v="2"/>
    <m/>
    <m/>
    <n v="485475.12357"/>
  </r>
  <r>
    <s v="EU27"/>
    <x v="3"/>
    <n v="2023"/>
    <x v="9"/>
    <x v="2"/>
    <x v="0"/>
    <m/>
    <m/>
    <n v="1581.7281599999999"/>
  </r>
  <r>
    <s v="EU27"/>
    <x v="3"/>
    <n v="2023"/>
    <x v="9"/>
    <x v="2"/>
    <x v="2"/>
    <m/>
    <m/>
    <n v="16317.728160000001"/>
  </r>
  <r>
    <s v="EU27"/>
    <x v="3"/>
    <n v="2023"/>
    <x v="10"/>
    <x v="0"/>
    <x v="0"/>
    <m/>
    <m/>
    <n v="4100.7488899999998"/>
  </r>
  <r>
    <s v="EU27"/>
    <x v="3"/>
    <n v="2023"/>
    <x v="10"/>
    <x v="0"/>
    <x v="1"/>
    <m/>
    <m/>
    <n v="0"/>
  </r>
  <r>
    <s v="EU27"/>
    <x v="3"/>
    <n v="2023"/>
    <x v="10"/>
    <x v="0"/>
    <x v="2"/>
    <m/>
    <m/>
    <n v="4100.7488899999998"/>
  </r>
  <r>
    <s v="EU27"/>
    <x v="3"/>
    <n v="2023"/>
    <x v="10"/>
    <x v="1"/>
    <x v="0"/>
    <m/>
    <m/>
    <n v="4100.74532"/>
  </r>
  <r>
    <s v="EU27"/>
    <x v="3"/>
    <n v="2023"/>
    <x v="10"/>
    <x v="1"/>
    <x v="1"/>
    <m/>
    <m/>
    <n v="0"/>
  </r>
  <r>
    <s v="EU27"/>
    <x v="3"/>
    <n v="2023"/>
    <x v="10"/>
    <x v="1"/>
    <x v="2"/>
    <m/>
    <m/>
    <n v="4100.74532"/>
  </r>
  <r>
    <s v="EU27"/>
    <x v="3"/>
    <n v="2023"/>
    <x v="10"/>
    <x v="2"/>
    <x v="0"/>
    <m/>
    <m/>
    <n v="4.0999999999999996"/>
  </r>
  <r>
    <s v="EU27"/>
    <x v="3"/>
    <n v="2023"/>
    <x v="10"/>
    <x v="2"/>
    <x v="2"/>
    <m/>
    <m/>
    <n v="1246.2"/>
  </r>
  <r>
    <s v="EU27"/>
    <x v="3"/>
    <n v="2023"/>
    <x v="11"/>
    <x v="0"/>
    <x v="0"/>
    <m/>
    <m/>
    <n v="55653.565009999998"/>
  </r>
  <r>
    <s v="EU27"/>
    <x v="3"/>
    <n v="2023"/>
    <x v="11"/>
    <x v="0"/>
    <x v="1"/>
    <m/>
    <m/>
    <n v="14411.082770000001"/>
  </r>
  <r>
    <s v="EU27"/>
    <x v="3"/>
    <n v="2023"/>
    <x v="11"/>
    <x v="0"/>
    <x v="2"/>
    <m/>
    <m/>
    <n v="70064.672779999994"/>
  </r>
  <r>
    <s v="EU27"/>
    <x v="3"/>
    <n v="2023"/>
    <x v="11"/>
    <x v="1"/>
    <x v="0"/>
    <m/>
    <m/>
    <n v="56579.12689"/>
  </r>
  <r>
    <s v="EU27"/>
    <x v="3"/>
    <n v="2023"/>
    <x v="11"/>
    <x v="1"/>
    <x v="1"/>
    <m/>
    <m/>
    <n v="14785.435289999999"/>
  </r>
  <r>
    <s v="EU27"/>
    <x v="3"/>
    <n v="2023"/>
    <x v="11"/>
    <x v="1"/>
    <x v="2"/>
    <m/>
    <m/>
    <n v="71364.587180000002"/>
  </r>
  <r>
    <s v="EU27"/>
    <x v="3"/>
    <n v="2023"/>
    <x v="11"/>
    <x v="2"/>
    <x v="0"/>
    <m/>
    <m/>
    <n v="428"/>
  </r>
  <r>
    <s v="EU27"/>
    <x v="3"/>
    <n v="2023"/>
    <x v="11"/>
    <x v="2"/>
    <x v="1"/>
    <m/>
    <m/>
    <n v="69.900000000000006"/>
  </r>
  <r>
    <s v="EU27"/>
    <x v="3"/>
    <n v="2023"/>
    <x v="11"/>
    <x v="2"/>
    <x v="2"/>
    <m/>
    <m/>
    <n v="18673.900000000001"/>
  </r>
  <r>
    <s v="EU27"/>
    <x v="3"/>
    <n v="2023"/>
    <x v="12"/>
    <x v="0"/>
    <x v="0"/>
    <m/>
    <m/>
    <n v="0"/>
  </r>
  <r>
    <s v="EU27"/>
    <x v="3"/>
    <n v="2023"/>
    <x v="12"/>
    <x v="0"/>
    <x v="1"/>
    <m/>
    <m/>
    <n v="0"/>
  </r>
  <r>
    <s v="EU27"/>
    <x v="3"/>
    <n v="2023"/>
    <x v="12"/>
    <x v="0"/>
    <x v="2"/>
    <m/>
    <m/>
    <n v="0"/>
  </r>
  <r>
    <s v="EU27"/>
    <x v="3"/>
    <n v="2023"/>
    <x v="12"/>
    <x v="1"/>
    <x v="0"/>
    <m/>
    <m/>
    <n v="0"/>
  </r>
  <r>
    <s v="EU27"/>
    <x v="3"/>
    <n v="2023"/>
    <x v="12"/>
    <x v="1"/>
    <x v="1"/>
    <m/>
    <m/>
    <n v="0"/>
  </r>
  <r>
    <s v="EU27"/>
    <x v="3"/>
    <n v="2023"/>
    <x v="12"/>
    <x v="1"/>
    <x v="2"/>
    <m/>
    <m/>
    <n v="0"/>
  </r>
  <r>
    <s v="EU27"/>
    <x v="3"/>
    <n v="2023"/>
    <x v="13"/>
    <x v="0"/>
    <x v="0"/>
    <m/>
    <m/>
    <n v="85173.531080000001"/>
  </r>
  <r>
    <s v="EU27"/>
    <x v="3"/>
    <n v="2023"/>
    <x v="13"/>
    <x v="0"/>
    <x v="1"/>
    <m/>
    <m/>
    <n v="223032.81307999999"/>
  </r>
  <r>
    <s v="EU27"/>
    <x v="3"/>
    <n v="2023"/>
    <x v="13"/>
    <x v="0"/>
    <x v="2"/>
    <m/>
    <m/>
    <n v="307927.24414999998"/>
  </r>
  <r>
    <s v="EU27"/>
    <x v="3"/>
    <n v="2023"/>
    <x v="13"/>
    <x v="1"/>
    <x v="0"/>
    <m/>
    <m/>
    <n v="85774.035040000002"/>
  </r>
  <r>
    <s v="EU27"/>
    <x v="3"/>
    <n v="2023"/>
    <x v="13"/>
    <x v="1"/>
    <x v="1"/>
    <m/>
    <m/>
    <n v="225179.41621"/>
  </r>
  <r>
    <s v="EU27"/>
    <x v="3"/>
    <n v="2023"/>
    <x v="13"/>
    <x v="1"/>
    <x v="2"/>
    <m/>
    <m/>
    <n v="310674.75127000001"/>
  </r>
  <r>
    <s v="EU27"/>
    <x v="3"/>
    <n v="2023"/>
    <x v="13"/>
    <x v="2"/>
    <x v="0"/>
    <m/>
    <m/>
    <n v="1010.6378999999999"/>
  </r>
  <r>
    <s v="EU27"/>
    <x v="3"/>
    <n v="2023"/>
    <x v="13"/>
    <x v="2"/>
    <x v="1"/>
    <m/>
    <m/>
    <n v="718.9"/>
  </r>
  <r>
    <s v="EU27"/>
    <x v="3"/>
    <n v="2023"/>
    <x v="13"/>
    <x v="2"/>
    <x v="2"/>
    <m/>
    <m/>
    <n v="16652.037899999999"/>
  </r>
  <r>
    <s v="EU27"/>
    <x v="3"/>
    <n v="2023"/>
    <x v="14"/>
    <x v="0"/>
    <x v="0"/>
    <m/>
    <m/>
    <n v="374394.56930999999"/>
  </r>
  <r>
    <s v="EU27"/>
    <x v="3"/>
    <n v="2023"/>
    <x v="14"/>
    <x v="0"/>
    <x v="2"/>
    <m/>
    <m/>
    <n v="374394.56930999999"/>
  </r>
  <r>
    <s v="EU27"/>
    <x v="3"/>
    <n v="2023"/>
    <x v="14"/>
    <x v="1"/>
    <x v="0"/>
    <m/>
    <m/>
    <n v="379410.72016000003"/>
  </r>
  <r>
    <s v="EU27"/>
    <x v="3"/>
    <n v="2023"/>
    <x v="14"/>
    <x v="1"/>
    <x v="2"/>
    <m/>
    <m/>
    <n v="379410.72016000003"/>
  </r>
  <r>
    <s v="EU27"/>
    <x v="3"/>
    <n v="2023"/>
    <x v="14"/>
    <x v="2"/>
    <x v="0"/>
    <m/>
    <m/>
    <n v="2010.9282599999999"/>
  </r>
  <r>
    <s v="EU27"/>
    <x v="3"/>
    <n v="2023"/>
    <x v="14"/>
    <x v="2"/>
    <x v="2"/>
    <m/>
    <m/>
    <n v="28024.22826"/>
  </r>
  <r>
    <s v="EU27"/>
    <x v="3"/>
    <n v="2023"/>
    <x v="15"/>
    <x v="0"/>
    <x v="2"/>
    <m/>
    <m/>
    <n v="-252808.11147"/>
  </r>
  <r>
    <s v="EU27"/>
    <x v="3"/>
    <n v="2023"/>
    <x v="15"/>
    <x v="1"/>
    <x v="2"/>
    <m/>
    <m/>
    <n v="-239673.3541"/>
  </r>
  <r>
    <s v="EU27"/>
    <x v="3"/>
    <n v="2023"/>
    <x v="15"/>
    <x v="2"/>
    <x v="2"/>
    <m/>
    <m/>
    <n v="-22504.863850000002"/>
  </r>
  <r>
    <s v="EU27"/>
    <x v="3"/>
    <n v="2023"/>
    <x v="16"/>
    <x v="0"/>
    <x v="2"/>
    <m/>
    <m/>
    <n v="-328335.25983"/>
  </r>
  <r>
    <s v="EU27"/>
    <x v="3"/>
    <n v="2023"/>
    <x v="16"/>
    <x v="1"/>
    <x v="2"/>
    <m/>
    <m/>
    <n v="-318969.31715999998"/>
  </r>
  <r>
    <s v="EU27"/>
    <x v="3"/>
    <n v="2023"/>
    <x v="16"/>
    <x v="2"/>
    <x v="2"/>
    <m/>
    <m/>
    <n v="-21963.495279999999"/>
  </r>
  <r>
    <s v="EU27"/>
    <x v="3"/>
    <n v="2023"/>
    <x v="17"/>
    <x v="0"/>
    <x v="2"/>
    <m/>
    <m/>
    <n v="39587.16719"/>
  </r>
  <r>
    <s v="EU27"/>
    <x v="3"/>
    <n v="2023"/>
    <x v="17"/>
    <x v="1"/>
    <x v="2"/>
    <m/>
    <m/>
    <n v="42293.315430000002"/>
  </r>
  <r>
    <s v="EU27"/>
    <x v="3"/>
    <n v="2023"/>
    <x v="17"/>
    <x v="2"/>
    <x v="2"/>
    <m/>
    <m/>
    <n v="-2368.2565800000002"/>
  </r>
  <r>
    <s v="EU27"/>
    <x v="3"/>
    <n v="2023"/>
    <x v="18"/>
    <x v="0"/>
    <x v="2"/>
    <m/>
    <m/>
    <n v="12743.396570000001"/>
  </r>
  <r>
    <s v="EU27"/>
    <x v="3"/>
    <n v="2023"/>
    <x v="18"/>
    <x v="1"/>
    <x v="2"/>
    <m/>
    <m/>
    <n v="13296.53305"/>
  </r>
  <r>
    <s v="EU27"/>
    <x v="3"/>
    <n v="2023"/>
    <x v="18"/>
    <x v="2"/>
    <x v="2"/>
    <m/>
    <m/>
    <n v="702.76"/>
  </r>
  <r>
    <s v="EU27"/>
    <x v="3"/>
    <n v="2023"/>
    <x v="19"/>
    <x v="0"/>
    <x v="2"/>
    <m/>
    <m/>
    <n v="15359.181200000001"/>
  </r>
  <r>
    <s v="EU27"/>
    <x v="3"/>
    <n v="2023"/>
    <x v="19"/>
    <x v="1"/>
    <x v="2"/>
    <m/>
    <m/>
    <n v="15206.01585"/>
  </r>
  <r>
    <s v="EU27"/>
    <x v="3"/>
    <n v="2023"/>
    <x v="19"/>
    <x v="2"/>
    <x v="2"/>
    <m/>
    <m/>
    <n v="771.28647999999998"/>
  </r>
  <r>
    <s v="EU27"/>
    <x v="3"/>
    <n v="2023"/>
    <x v="20"/>
    <x v="0"/>
    <x v="2"/>
    <m/>
    <m/>
    <n v="36474.477169999998"/>
  </r>
  <r>
    <s v="EU27"/>
    <x v="3"/>
    <n v="2023"/>
    <x v="20"/>
    <x v="1"/>
    <x v="2"/>
    <m/>
    <m/>
    <n v="37147.30171"/>
  </r>
  <r>
    <s v="EU27"/>
    <x v="3"/>
    <n v="2023"/>
    <x v="20"/>
    <x v="2"/>
    <x v="2"/>
    <m/>
    <m/>
    <n v="2700.1593200000002"/>
  </r>
  <r>
    <s v="EU27"/>
    <x v="3"/>
    <n v="2023"/>
    <x v="21"/>
    <x v="0"/>
    <x v="2"/>
    <m/>
    <m/>
    <n v="702.12560000000008"/>
  </r>
  <r>
    <s v="EU27"/>
    <x v="3"/>
    <n v="2023"/>
    <x v="21"/>
    <x v="1"/>
    <x v="2"/>
    <m/>
    <m/>
    <n v="640.12275"/>
  </r>
  <r>
    <s v="EU27"/>
    <x v="3"/>
    <n v="2023"/>
    <x v="21"/>
    <x v="2"/>
    <x v="2"/>
    <m/>
    <m/>
    <n v="215.15720999999999"/>
  </r>
  <r>
    <s v="EU27"/>
    <x v="3"/>
    <n v="2023"/>
    <x v="22"/>
    <x v="0"/>
    <x v="2"/>
    <m/>
    <m/>
    <n v="-29261.355019999999"/>
  </r>
  <r>
    <s v="EU27"/>
    <x v="3"/>
    <n v="2023"/>
    <x v="22"/>
    <x v="1"/>
    <x v="2"/>
    <m/>
    <m/>
    <n v="-29547.806380000002"/>
  </r>
  <r>
    <s v="EU27"/>
    <x v="3"/>
    <n v="2023"/>
    <x v="22"/>
    <x v="2"/>
    <x v="2"/>
    <m/>
    <m/>
    <n v="-2562.4749999999999"/>
  </r>
  <r>
    <s v="EU27"/>
    <x v="3"/>
    <n v="2023"/>
    <x v="23"/>
    <x v="0"/>
    <x v="2"/>
    <m/>
    <m/>
    <n v="267.94099999999997"/>
  </r>
  <r>
    <s v="EU27"/>
    <x v="3"/>
    <n v="2023"/>
    <x v="23"/>
    <x v="1"/>
    <x v="2"/>
    <m/>
    <m/>
    <n v="267.94099999999997"/>
  </r>
  <r>
    <s v="EU27"/>
    <x v="3"/>
    <n v="2023"/>
    <x v="24"/>
    <x v="0"/>
    <x v="0"/>
    <m/>
    <m/>
    <n v="108849.73426"/>
  </r>
  <r>
    <s v="EU27"/>
    <x v="3"/>
    <n v="2023"/>
    <x v="24"/>
    <x v="0"/>
    <x v="1"/>
    <m/>
    <m/>
    <n v="253.87549999999999"/>
  </r>
  <r>
    <s v="EU27"/>
    <x v="3"/>
    <n v="2023"/>
    <x v="24"/>
    <x v="0"/>
    <x v="2"/>
    <m/>
    <m/>
    <n v="109103.60976000001"/>
  </r>
  <r>
    <s v="EU27"/>
    <x v="3"/>
    <n v="2023"/>
    <x v="24"/>
    <x v="1"/>
    <x v="0"/>
    <m/>
    <m/>
    <n v="109506.22079000001"/>
  </r>
  <r>
    <s v="EU27"/>
    <x v="3"/>
    <n v="2023"/>
    <x v="24"/>
    <x v="1"/>
    <x v="1"/>
    <m/>
    <m/>
    <n v="253.87549999999999"/>
  </r>
  <r>
    <s v="EU27"/>
    <x v="3"/>
    <n v="2023"/>
    <x v="24"/>
    <x v="1"/>
    <x v="2"/>
    <m/>
    <m/>
    <n v="109760.09629"/>
  </r>
  <r>
    <s v="EU27"/>
    <x v="3"/>
    <n v="2023"/>
    <x v="24"/>
    <x v="2"/>
    <x v="0"/>
    <m/>
    <m/>
    <n v="1517.0544299999999"/>
  </r>
  <r>
    <s v="EU27"/>
    <x v="3"/>
    <n v="2023"/>
    <x v="24"/>
    <x v="2"/>
    <x v="2"/>
    <m/>
    <m/>
    <n v="10673.754430000001"/>
  </r>
  <r>
    <s v="EU27"/>
    <x v="3"/>
    <n v="2023"/>
    <x v="25"/>
    <x v="0"/>
    <x v="0"/>
    <m/>
    <m/>
    <n v="115.1"/>
  </r>
  <r>
    <s v="EU27"/>
    <x v="3"/>
    <n v="2023"/>
    <x v="25"/>
    <x v="0"/>
    <x v="2"/>
    <m/>
    <m/>
    <n v="105907.9536721003"/>
  </r>
  <r>
    <s v="EU27"/>
    <x v="3"/>
    <n v="2023"/>
    <x v="25"/>
    <x v="1"/>
    <x v="0"/>
    <m/>
    <m/>
    <n v="115.1"/>
  </r>
  <r>
    <s v="EU27"/>
    <x v="3"/>
    <n v="2023"/>
    <x v="25"/>
    <x v="1"/>
    <x v="2"/>
    <m/>
    <m/>
    <n v="109689.9656721003"/>
  </r>
  <r>
    <s v="EU27"/>
    <x v="3"/>
    <n v="2023"/>
    <x v="25"/>
    <x v="2"/>
    <x v="2"/>
    <m/>
    <m/>
    <n v="958.31667000000004"/>
  </r>
  <r>
    <s v="EU27"/>
    <x v="3"/>
    <n v="2023"/>
    <x v="26"/>
    <x v="0"/>
    <x v="0"/>
    <m/>
    <m/>
    <n v="528.4"/>
  </r>
  <r>
    <s v="EU27"/>
    <x v="3"/>
    <n v="2023"/>
    <x v="26"/>
    <x v="0"/>
    <x v="2"/>
    <m/>
    <m/>
    <n v="137301.06935551739"/>
  </r>
  <r>
    <s v="EU27"/>
    <x v="3"/>
    <n v="2023"/>
    <x v="26"/>
    <x v="1"/>
    <x v="0"/>
    <m/>
    <m/>
    <n v="528.4"/>
  </r>
  <r>
    <s v="EU27"/>
    <x v="3"/>
    <n v="2023"/>
    <x v="26"/>
    <x v="1"/>
    <x v="2"/>
    <m/>
    <m/>
    <n v="137614.16365551739"/>
  </r>
  <r>
    <s v="EU27"/>
    <x v="3"/>
    <n v="2023"/>
    <x v="26"/>
    <x v="2"/>
    <x v="2"/>
    <m/>
    <m/>
    <n v="633.69999999999993"/>
  </r>
  <r>
    <s v="EU27"/>
    <x v="3"/>
    <n v="2023"/>
    <x v="27"/>
    <x v="0"/>
    <x v="0"/>
    <m/>
    <m/>
    <n v="753.56927000000007"/>
  </r>
  <r>
    <s v="EU27"/>
    <x v="3"/>
    <n v="2023"/>
    <x v="27"/>
    <x v="0"/>
    <x v="2"/>
    <m/>
    <m/>
    <n v="897.46927000000005"/>
  </r>
  <r>
    <s v="EU27"/>
    <x v="3"/>
    <n v="2023"/>
    <x v="27"/>
    <x v="1"/>
    <x v="0"/>
    <m/>
    <m/>
    <n v="753.96930999999995"/>
  </r>
  <r>
    <s v="EU27"/>
    <x v="3"/>
    <n v="2023"/>
    <x v="27"/>
    <x v="1"/>
    <x v="2"/>
    <m/>
    <m/>
    <n v="897.86931000000004"/>
  </r>
  <r>
    <s v="EU27"/>
    <x v="3"/>
    <n v="2023"/>
    <x v="28"/>
    <x v="0"/>
    <x v="0"/>
    <m/>
    <m/>
    <n v="2010085.0576599999"/>
  </r>
  <r>
    <s v="EU27"/>
    <x v="3"/>
    <n v="2023"/>
    <x v="28"/>
    <x v="0"/>
    <x v="1"/>
    <m/>
    <m/>
    <n v="1197330.5889099999"/>
  </r>
  <r>
    <s v="EU27"/>
    <x v="3"/>
    <n v="2023"/>
    <x v="28"/>
    <x v="0"/>
    <x v="2"/>
    <m/>
    <m/>
    <n v="3222423.7964699999"/>
  </r>
  <r>
    <s v="EU27"/>
    <x v="3"/>
    <n v="2023"/>
    <x v="28"/>
    <x v="1"/>
    <x v="0"/>
    <m/>
    <m/>
    <n v="2055547.2619099999"/>
  </r>
  <r>
    <s v="EU27"/>
    <x v="3"/>
    <n v="2023"/>
    <x v="28"/>
    <x v="1"/>
    <x v="1"/>
    <m/>
    <m/>
    <n v="1242513.7513600001"/>
  </r>
  <r>
    <s v="EU27"/>
    <x v="3"/>
    <n v="2023"/>
    <x v="28"/>
    <x v="1"/>
    <x v="2"/>
    <m/>
    <m/>
    <n v="3313864.6797400001"/>
  </r>
  <r>
    <s v="EU27"/>
    <x v="3"/>
    <n v="2023"/>
    <x v="28"/>
    <x v="2"/>
    <x v="0"/>
    <m/>
    <m/>
    <n v="14960.415429999999"/>
  </r>
  <r>
    <s v="EU27"/>
    <x v="3"/>
    <n v="2023"/>
    <x v="28"/>
    <x v="2"/>
    <x v="1"/>
    <m/>
    <m/>
    <n v="8989.5671600000005"/>
  </r>
  <r>
    <s v="EU27"/>
    <x v="3"/>
    <n v="2023"/>
    <x v="28"/>
    <x v="2"/>
    <x v="2"/>
    <m/>
    <m/>
    <n v="187695.867"/>
  </r>
  <r>
    <s v="EU27"/>
    <x v="3"/>
    <n v="2023"/>
    <x v="29"/>
    <x v="0"/>
    <x v="0"/>
    <m/>
    <m/>
    <n v="2010089.88665"/>
  </r>
  <r>
    <s v="EU27"/>
    <x v="3"/>
    <n v="2023"/>
    <x v="29"/>
    <x v="0"/>
    <x v="1"/>
    <m/>
    <m/>
    <n v="1197330.5889099999"/>
  </r>
  <r>
    <s v="EU27"/>
    <x v="3"/>
    <n v="2023"/>
    <x v="29"/>
    <x v="0"/>
    <x v="2"/>
    <m/>
    <m/>
    <n v="2969620.4745100001"/>
  </r>
  <r>
    <s v="EU27"/>
    <x v="3"/>
    <n v="2023"/>
    <x v="29"/>
    <x v="1"/>
    <x v="0"/>
    <m/>
    <m/>
    <n v="2055552.09091"/>
  </r>
  <r>
    <s v="EU27"/>
    <x v="3"/>
    <n v="2023"/>
    <x v="29"/>
    <x v="1"/>
    <x v="1"/>
    <m/>
    <m/>
    <n v="1242513.7513600001"/>
  </r>
  <r>
    <s v="EU27"/>
    <x v="3"/>
    <n v="2023"/>
    <x v="29"/>
    <x v="1"/>
    <x v="2"/>
    <m/>
    <m/>
    <n v="3074189.5233999998"/>
  </r>
  <r>
    <s v="EU27"/>
    <x v="3"/>
    <n v="2023"/>
    <x v="29"/>
    <x v="2"/>
    <x v="0"/>
    <m/>
    <m/>
    <n v="14960.415429999999"/>
  </r>
  <r>
    <s v="EU27"/>
    <x v="3"/>
    <n v="2023"/>
    <x v="29"/>
    <x v="2"/>
    <x v="1"/>
    <m/>
    <m/>
    <n v="8989.5671600000005"/>
  </r>
  <r>
    <s v="EU27"/>
    <x v="3"/>
    <n v="2023"/>
    <x v="29"/>
    <x v="2"/>
    <x v="2"/>
    <m/>
    <m/>
    <n v="165474.60315000001"/>
  </r>
  <r>
    <s v="EU27"/>
    <x v="4"/>
    <n v="2023"/>
    <x v="0"/>
    <x v="0"/>
    <x v="0"/>
    <m/>
    <m/>
    <n v="1411416.83125"/>
  </r>
  <r>
    <s v="EU27"/>
    <x v="4"/>
    <n v="2023"/>
    <x v="0"/>
    <x v="0"/>
    <x v="1"/>
    <m/>
    <m/>
    <n v="918976.38103000005"/>
  </r>
  <r>
    <s v="EU27"/>
    <x v="4"/>
    <n v="2023"/>
    <x v="0"/>
    <x v="0"/>
    <x v="2"/>
    <m/>
    <m/>
    <n v="2347068.2849699999"/>
  </r>
  <r>
    <s v="EU27"/>
    <x v="4"/>
    <n v="2023"/>
    <x v="0"/>
    <x v="1"/>
    <x v="0"/>
    <m/>
    <m/>
    <n v="1459864.5400400001"/>
  </r>
  <r>
    <s v="EU27"/>
    <x v="4"/>
    <n v="2023"/>
    <x v="0"/>
    <x v="1"/>
    <x v="1"/>
    <m/>
    <m/>
    <n v="974288.81488000008"/>
  </r>
  <r>
    <s v="EU27"/>
    <x v="4"/>
    <n v="2023"/>
    <x v="0"/>
    <x v="1"/>
    <x v="2"/>
    <m/>
    <m/>
    <n v="2451886.4487299998"/>
  </r>
  <r>
    <s v="EU27"/>
    <x v="4"/>
    <n v="2023"/>
    <x v="0"/>
    <x v="2"/>
    <x v="0"/>
    <m/>
    <m/>
    <n v="10519.96499"/>
  </r>
  <r>
    <s v="EU27"/>
    <x v="4"/>
    <n v="2023"/>
    <x v="0"/>
    <x v="2"/>
    <x v="1"/>
    <m/>
    <m/>
    <n v="8432.2891"/>
  </r>
  <r>
    <s v="EU27"/>
    <x v="4"/>
    <n v="2023"/>
    <x v="0"/>
    <x v="2"/>
    <x v="2"/>
    <m/>
    <m/>
    <n v="133227.26186999999"/>
  </r>
  <r>
    <s v="EU27"/>
    <x v="4"/>
    <n v="2023"/>
    <x v="1"/>
    <x v="0"/>
    <x v="0"/>
    <m/>
    <m/>
    <n v="56641.915029999996"/>
  </r>
  <r>
    <s v="EU27"/>
    <x v="4"/>
    <n v="2023"/>
    <x v="1"/>
    <x v="0"/>
    <x v="1"/>
    <m/>
    <m/>
    <n v="621826.27986000001"/>
  </r>
  <r>
    <s v="EU27"/>
    <x v="4"/>
    <n v="2023"/>
    <x v="1"/>
    <x v="0"/>
    <x v="2"/>
    <m/>
    <m/>
    <n v="678468.09490000003"/>
  </r>
  <r>
    <s v="EU27"/>
    <x v="4"/>
    <n v="2023"/>
    <x v="1"/>
    <x v="1"/>
    <x v="0"/>
    <m/>
    <m/>
    <n v="60585.808810000002"/>
  </r>
  <r>
    <s v="EU27"/>
    <x v="4"/>
    <n v="2023"/>
    <x v="1"/>
    <x v="1"/>
    <x v="1"/>
    <m/>
    <m/>
    <n v="663354.71036000003"/>
  </r>
  <r>
    <s v="EU27"/>
    <x v="4"/>
    <n v="2023"/>
    <x v="1"/>
    <x v="1"/>
    <x v="2"/>
    <m/>
    <m/>
    <n v="723940.61918000004"/>
  </r>
  <r>
    <s v="EU27"/>
    <x v="4"/>
    <n v="2023"/>
    <x v="1"/>
    <x v="2"/>
    <x v="0"/>
    <m/>
    <m/>
    <n v="155.5213"/>
  </r>
  <r>
    <s v="EU27"/>
    <x v="4"/>
    <n v="2023"/>
    <x v="1"/>
    <x v="2"/>
    <x v="1"/>
    <m/>
    <m/>
    <n v="7034.1890999999996"/>
  </r>
  <r>
    <s v="EU27"/>
    <x v="4"/>
    <n v="2023"/>
    <x v="1"/>
    <x v="2"/>
    <x v="2"/>
    <m/>
    <m/>
    <n v="48163.21041"/>
  </r>
  <r>
    <s v="EU27"/>
    <x v="4"/>
    <n v="2023"/>
    <x v="2"/>
    <x v="0"/>
    <x v="0"/>
    <m/>
    <m/>
    <n v="109914.37585"/>
  </r>
  <r>
    <s v="EU27"/>
    <x v="4"/>
    <n v="2023"/>
    <x v="2"/>
    <x v="0"/>
    <x v="1"/>
    <m/>
    <m/>
    <n v="275949.8259"/>
  </r>
  <r>
    <s v="EU27"/>
    <x v="4"/>
    <n v="2023"/>
    <x v="2"/>
    <x v="0"/>
    <x v="2"/>
    <m/>
    <m/>
    <n v="385863.80176"/>
  </r>
  <r>
    <s v="EU27"/>
    <x v="4"/>
    <n v="2023"/>
    <x v="2"/>
    <x v="1"/>
    <x v="0"/>
    <m/>
    <m/>
    <n v="112795.11271"/>
  </r>
  <r>
    <s v="EU27"/>
    <x v="4"/>
    <n v="2023"/>
    <x v="2"/>
    <x v="1"/>
    <x v="1"/>
    <m/>
    <m/>
    <n v="289120.64250000002"/>
  </r>
  <r>
    <s v="EU27"/>
    <x v="4"/>
    <n v="2023"/>
    <x v="2"/>
    <x v="1"/>
    <x v="2"/>
    <m/>
    <m/>
    <n v="401915.5552"/>
  </r>
  <r>
    <s v="EU27"/>
    <x v="4"/>
    <n v="2023"/>
    <x v="2"/>
    <x v="2"/>
    <x v="0"/>
    <m/>
    <m/>
    <n v="963.02772000000004"/>
  </r>
  <r>
    <s v="EU27"/>
    <x v="4"/>
    <n v="2023"/>
    <x v="2"/>
    <x v="2"/>
    <x v="1"/>
    <m/>
    <m/>
    <n v="1328.2"/>
  </r>
  <r>
    <s v="EU27"/>
    <x v="4"/>
    <n v="2023"/>
    <x v="2"/>
    <x v="2"/>
    <x v="2"/>
    <m/>
    <m/>
    <n v="18317.727719999999"/>
  </r>
  <r>
    <s v="EU27"/>
    <x v="4"/>
    <n v="2023"/>
    <x v="3"/>
    <x v="0"/>
    <x v="0"/>
    <m/>
    <m/>
    <n v="735075.87289"/>
  </r>
  <r>
    <s v="EU27"/>
    <x v="4"/>
    <n v="2023"/>
    <x v="3"/>
    <x v="0"/>
    <x v="1"/>
    <m/>
    <m/>
    <n v="3832.2702800000002"/>
  </r>
  <r>
    <s v="EU27"/>
    <x v="4"/>
    <n v="2023"/>
    <x v="3"/>
    <x v="0"/>
    <x v="2"/>
    <m/>
    <m/>
    <n v="755582.91586000007"/>
  </r>
  <r>
    <s v="EU27"/>
    <x v="4"/>
    <n v="2023"/>
    <x v="3"/>
    <x v="1"/>
    <x v="0"/>
    <m/>
    <m/>
    <n v="752344.92622999998"/>
  </r>
  <r>
    <s v="EU27"/>
    <x v="4"/>
    <n v="2023"/>
    <x v="3"/>
    <x v="1"/>
    <x v="1"/>
    <m/>
    <m/>
    <n v="3897.3445999999999"/>
  </r>
  <r>
    <s v="EU27"/>
    <x v="4"/>
    <n v="2023"/>
    <x v="3"/>
    <x v="1"/>
    <x v="2"/>
    <m/>
    <m/>
    <n v="773975.36462999997"/>
  </r>
  <r>
    <s v="EU27"/>
    <x v="4"/>
    <n v="2023"/>
    <x v="3"/>
    <x v="2"/>
    <x v="0"/>
    <m/>
    <m/>
    <n v="7407.9449199999999"/>
  </r>
  <r>
    <s v="EU27"/>
    <x v="4"/>
    <n v="2023"/>
    <x v="3"/>
    <x v="2"/>
    <x v="1"/>
    <m/>
    <m/>
    <n v="0"/>
  </r>
  <r>
    <s v="EU27"/>
    <x v="4"/>
    <n v="2023"/>
    <x v="3"/>
    <x v="2"/>
    <x v="2"/>
    <m/>
    <m/>
    <n v="30375.352699999999"/>
  </r>
  <r>
    <s v="EU27"/>
    <x v="4"/>
    <n v="2023"/>
    <x v="4"/>
    <x v="0"/>
    <x v="0"/>
    <m/>
    <m/>
    <n v="148.90869000000001"/>
  </r>
  <r>
    <s v="EU27"/>
    <x v="4"/>
    <n v="2023"/>
    <x v="4"/>
    <x v="0"/>
    <x v="2"/>
    <m/>
    <m/>
    <n v="16823.58584"/>
  </r>
  <r>
    <s v="EU27"/>
    <x v="4"/>
    <n v="2023"/>
    <x v="4"/>
    <x v="1"/>
    <x v="0"/>
    <m/>
    <m/>
    <n v="156.88981000000001"/>
  </r>
  <r>
    <s v="EU27"/>
    <x v="4"/>
    <n v="2023"/>
    <x v="4"/>
    <x v="1"/>
    <x v="2"/>
    <m/>
    <m/>
    <n v="17889.90711"/>
  </r>
  <r>
    <s v="EU27"/>
    <x v="4"/>
    <n v="2023"/>
    <x v="4"/>
    <x v="2"/>
    <x v="0"/>
    <m/>
    <m/>
    <n v="1.243E-2"/>
  </r>
  <r>
    <s v="EU27"/>
    <x v="4"/>
    <n v="2023"/>
    <x v="4"/>
    <x v="2"/>
    <x v="2"/>
    <m/>
    <m/>
    <n v="346.62020999999999"/>
  </r>
  <r>
    <s v="EU27"/>
    <x v="4"/>
    <n v="2023"/>
    <x v="5"/>
    <x v="0"/>
    <x v="0"/>
    <m/>
    <m/>
    <n v="711519.64318999997"/>
  </r>
  <r>
    <s v="EU27"/>
    <x v="4"/>
    <n v="2023"/>
    <x v="5"/>
    <x v="0"/>
    <x v="1"/>
    <m/>
    <m/>
    <n v="0"/>
  </r>
  <r>
    <s v="EU27"/>
    <x v="4"/>
    <n v="2023"/>
    <x v="5"/>
    <x v="0"/>
    <x v="2"/>
    <m/>
    <m/>
    <n v="711519.64318999997"/>
  </r>
  <r>
    <s v="EU27"/>
    <x v="4"/>
    <n v="2023"/>
    <x v="5"/>
    <x v="1"/>
    <x v="0"/>
    <m/>
    <m/>
    <n v="728662.64581000002"/>
  </r>
  <r>
    <s v="EU27"/>
    <x v="4"/>
    <n v="2023"/>
    <x v="5"/>
    <x v="1"/>
    <x v="1"/>
    <m/>
    <m/>
    <n v="0"/>
  </r>
  <r>
    <s v="EU27"/>
    <x v="4"/>
    <n v="2023"/>
    <x v="5"/>
    <x v="1"/>
    <x v="2"/>
    <m/>
    <m/>
    <n v="728662.64581000002"/>
  </r>
  <r>
    <s v="EU27"/>
    <x v="4"/>
    <n v="2023"/>
    <x v="5"/>
    <x v="2"/>
    <x v="0"/>
    <m/>
    <m/>
    <n v="7319.0794299999998"/>
  </r>
  <r>
    <s v="EU27"/>
    <x v="4"/>
    <n v="2023"/>
    <x v="5"/>
    <x v="2"/>
    <x v="2"/>
    <m/>
    <m/>
    <n v="28807.279429999999"/>
  </r>
  <r>
    <s v="EU27"/>
    <x v="4"/>
    <n v="2023"/>
    <x v="6"/>
    <x v="0"/>
    <x v="0"/>
    <m/>
    <m/>
    <n v="3903.3724200000001"/>
  </r>
  <r>
    <s v="EU27"/>
    <x v="4"/>
    <n v="2023"/>
    <x v="6"/>
    <x v="0"/>
    <x v="1"/>
    <m/>
    <m/>
    <n v="0"/>
  </r>
  <r>
    <s v="EU27"/>
    <x v="4"/>
    <n v="2023"/>
    <x v="6"/>
    <x v="0"/>
    <x v="2"/>
    <m/>
    <m/>
    <n v="3903.3724200000001"/>
  </r>
  <r>
    <s v="EU27"/>
    <x v="4"/>
    <n v="2023"/>
    <x v="6"/>
    <x v="1"/>
    <x v="0"/>
    <m/>
    <m/>
    <n v="4174.9614899999997"/>
  </r>
  <r>
    <s v="EU27"/>
    <x v="4"/>
    <n v="2023"/>
    <x v="6"/>
    <x v="1"/>
    <x v="1"/>
    <m/>
    <m/>
    <n v="0"/>
  </r>
  <r>
    <s v="EU27"/>
    <x v="4"/>
    <n v="2023"/>
    <x v="6"/>
    <x v="1"/>
    <x v="2"/>
    <m/>
    <m/>
    <n v="4174.9614899999997"/>
  </r>
  <r>
    <s v="EU27"/>
    <x v="4"/>
    <n v="2023"/>
    <x v="6"/>
    <x v="2"/>
    <x v="0"/>
    <m/>
    <m/>
    <n v="34.299999999999997"/>
  </r>
  <r>
    <s v="EU27"/>
    <x v="4"/>
    <n v="2023"/>
    <x v="6"/>
    <x v="2"/>
    <x v="2"/>
    <m/>
    <m/>
    <n v="726.5"/>
  </r>
  <r>
    <s v="EU27"/>
    <x v="4"/>
    <n v="2023"/>
    <x v="7"/>
    <x v="0"/>
    <x v="0"/>
    <m/>
    <m/>
    <n v="18161.773229999999"/>
  </r>
  <r>
    <s v="EU27"/>
    <x v="4"/>
    <n v="2023"/>
    <x v="7"/>
    <x v="0"/>
    <x v="1"/>
    <m/>
    <m/>
    <n v="0"/>
  </r>
  <r>
    <s v="EU27"/>
    <x v="4"/>
    <n v="2023"/>
    <x v="7"/>
    <x v="0"/>
    <x v="2"/>
    <m/>
    <m/>
    <n v="18161.773229999999"/>
  </r>
  <r>
    <s v="EU27"/>
    <x v="4"/>
    <n v="2023"/>
    <x v="7"/>
    <x v="1"/>
    <x v="0"/>
    <m/>
    <m/>
    <n v="17894.633040000001"/>
  </r>
  <r>
    <s v="EU27"/>
    <x v="4"/>
    <n v="2023"/>
    <x v="7"/>
    <x v="1"/>
    <x v="1"/>
    <m/>
    <m/>
    <n v="0"/>
  </r>
  <r>
    <s v="EU27"/>
    <x v="4"/>
    <n v="2023"/>
    <x v="7"/>
    <x v="1"/>
    <x v="2"/>
    <m/>
    <m/>
    <n v="17894.633040000001"/>
  </r>
  <r>
    <s v="EU27"/>
    <x v="4"/>
    <n v="2023"/>
    <x v="7"/>
    <x v="2"/>
    <x v="0"/>
    <m/>
    <m/>
    <n v="47.353059999999999"/>
  </r>
  <r>
    <s v="EU27"/>
    <x v="4"/>
    <n v="2023"/>
    <x v="7"/>
    <x v="2"/>
    <x v="2"/>
    <m/>
    <m/>
    <n v="281.55306000000002"/>
  </r>
  <r>
    <s v="EU27"/>
    <x v="4"/>
    <n v="2023"/>
    <x v="8"/>
    <x v="0"/>
    <x v="0"/>
    <m/>
    <m/>
    <n v="1342.1708799999999"/>
  </r>
  <r>
    <s v="EU27"/>
    <x v="4"/>
    <n v="2023"/>
    <x v="8"/>
    <x v="0"/>
    <x v="1"/>
    <m/>
    <m/>
    <n v="3832.2702800000002"/>
  </r>
  <r>
    <s v="EU27"/>
    <x v="4"/>
    <n v="2023"/>
    <x v="8"/>
    <x v="0"/>
    <x v="2"/>
    <m/>
    <m/>
    <n v="5174.4411499999997"/>
  </r>
  <r>
    <s v="EU27"/>
    <x v="4"/>
    <n v="2023"/>
    <x v="8"/>
    <x v="1"/>
    <x v="0"/>
    <m/>
    <m/>
    <n v="1455.9725800000001"/>
  </r>
  <r>
    <s v="EU27"/>
    <x v="4"/>
    <n v="2023"/>
    <x v="8"/>
    <x v="1"/>
    <x v="1"/>
    <m/>
    <m/>
    <n v="3897.3445999999999"/>
  </r>
  <r>
    <s v="EU27"/>
    <x v="4"/>
    <n v="2023"/>
    <x v="8"/>
    <x v="1"/>
    <x v="2"/>
    <m/>
    <m/>
    <n v="5353.31718"/>
  </r>
  <r>
    <s v="EU27"/>
    <x v="4"/>
    <n v="2023"/>
    <x v="8"/>
    <x v="2"/>
    <x v="0"/>
    <m/>
    <m/>
    <n v="7.2"/>
  </r>
  <r>
    <s v="EU27"/>
    <x v="4"/>
    <n v="2023"/>
    <x v="8"/>
    <x v="2"/>
    <x v="2"/>
    <m/>
    <m/>
    <n v="213.5"/>
  </r>
  <r>
    <s v="EU27"/>
    <x v="4"/>
    <n v="2023"/>
    <x v="9"/>
    <x v="0"/>
    <x v="0"/>
    <m/>
    <m/>
    <n v="449867.24151000002"/>
  </r>
  <r>
    <s v="EU27"/>
    <x v="4"/>
    <n v="2023"/>
    <x v="9"/>
    <x v="0"/>
    <x v="1"/>
    <m/>
    <m/>
    <n v="1966.3021699999999"/>
  </r>
  <r>
    <s v="EU27"/>
    <x v="4"/>
    <n v="2023"/>
    <x v="9"/>
    <x v="0"/>
    <x v="2"/>
    <m/>
    <m/>
    <n v="451833.84369000001"/>
  </r>
  <r>
    <s v="EU27"/>
    <x v="4"/>
    <n v="2023"/>
    <x v="9"/>
    <x v="1"/>
    <x v="0"/>
    <m/>
    <m/>
    <n v="473020.11283"/>
  </r>
  <r>
    <s v="EU27"/>
    <x v="4"/>
    <n v="2023"/>
    <x v="9"/>
    <x v="1"/>
    <x v="1"/>
    <m/>
    <m/>
    <n v="2028.9003499999999"/>
  </r>
  <r>
    <s v="EU27"/>
    <x v="4"/>
    <n v="2023"/>
    <x v="9"/>
    <x v="1"/>
    <x v="2"/>
    <m/>
    <m/>
    <n v="475049.21317"/>
  </r>
  <r>
    <s v="EU27"/>
    <x v="4"/>
    <n v="2023"/>
    <x v="9"/>
    <x v="2"/>
    <x v="0"/>
    <m/>
    <m/>
    <n v="1561.07104"/>
  </r>
  <r>
    <s v="EU27"/>
    <x v="4"/>
    <n v="2023"/>
    <x v="9"/>
    <x v="2"/>
    <x v="2"/>
    <m/>
    <m/>
    <n v="16450.671040000001"/>
  </r>
  <r>
    <s v="EU27"/>
    <x v="4"/>
    <n v="2023"/>
    <x v="10"/>
    <x v="0"/>
    <x v="0"/>
    <m/>
    <m/>
    <n v="3916.19767"/>
  </r>
  <r>
    <s v="EU27"/>
    <x v="4"/>
    <n v="2023"/>
    <x v="10"/>
    <x v="0"/>
    <x v="1"/>
    <m/>
    <m/>
    <n v="0"/>
  </r>
  <r>
    <s v="EU27"/>
    <x v="4"/>
    <n v="2023"/>
    <x v="10"/>
    <x v="0"/>
    <x v="2"/>
    <m/>
    <m/>
    <n v="3916.19767"/>
  </r>
  <r>
    <s v="EU27"/>
    <x v="4"/>
    <n v="2023"/>
    <x v="10"/>
    <x v="1"/>
    <x v="0"/>
    <m/>
    <m/>
    <n v="3916.1941000000002"/>
  </r>
  <r>
    <s v="EU27"/>
    <x v="4"/>
    <n v="2023"/>
    <x v="10"/>
    <x v="1"/>
    <x v="1"/>
    <m/>
    <m/>
    <n v="0"/>
  </r>
  <r>
    <s v="EU27"/>
    <x v="4"/>
    <n v="2023"/>
    <x v="10"/>
    <x v="1"/>
    <x v="2"/>
    <m/>
    <m/>
    <n v="3916.1941000000002"/>
  </r>
  <r>
    <s v="EU27"/>
    <x v="4"/>
    <n v="2023"/>
    <x v="10"/>
    <x v="2"/>
    <x v="0"/>
    <m/>
    <m/>
    <n v="4.0999999999999996"/>
  </r>
  <r>
    <s v="EU27"/>
    <x v="4"/>
    <n v="2023"/>
    <x v="10"/>
    <x v="2"/>
    <x v="2"/>
    <m/>
    <m/>
    <n v="1246.2"/>
  </r>
  <r>
    <s v="EU27"/>
    <x v="4"/>
    <n v="2023"/>
    <x v="11"/>
    <x v="0"/>
    <x v="0"/>
    <m/>
    <m/>
    <n v="56062.528270000003"/>
  </r>
  <r>
    <s v="EU27"/>
    <x v="4"/>
    <n v="2023"/>
    <x v="11"/>
    <x v="0"/>
    <x v="1"/>
    <m/>
    <m/>
    <n v="15401.70282"/>
  </r>
  <r>
    <s v="EU27"/>
    <x v="4"/>
    <n v="2023"/>
    <x v="11"/>
    <x v="0"/>
    <x v="2"/>
    <m/>
    <m/>
    <n v="71464.231100000005"/>
  </r>
  <r>
    <s v="EU27"/>
    <x v="4"/>
    <n v="2023"/>
    <x v="11"/>
    <x v="1"/>
    <x v="0"/>
    <m/>
    <m/>
    <n v="57263.285359999987"/>
  </r>
  <r>
    <s v="EU27"/>
    <x v="4"/>
    <n v="2023"/>
    <x v="11"/>
    <x v="1"/>
    <x v="1"/>
    <m/>
    <m/>
    <n v="15887.2171"/>
  </r>
  <r>
    <s v="EU27"/>
    <x v="4"/>
    <n v="2023"/>
    <x v="11"/>
    <x v="1"/>
    <x v="2"/>
    <m/>
    <m/>
    <n v="73150.602459999995"/>
  </r>
  <r>
    <s v="EU27"/>
    <x v="4"/>
    <n v="2023"/>
    <x v="11"/>
    <x v="2"/>
    <x v="0"/>
    <m/>
    <m/>
    <n v="428.3"/>
  </r>
  <r>
    <s v="EU27"/>
    <x v="4"/>
    <n v="2023"/>
    <x v="11"/>
    <x v="2"/>
    <x v="1"/>
    <m/>
    <m/>
    <n v="69.900000000000006"/>
  </r>
  <r>
    <s v="EU27"/>
    <x v="4"/>
    <n v="2023"/>
    <x v="11"/>
    <x v="2"/>
    <x v="2"/>
    <m/>
    <m/>
    <n v="18674"/>
  </r>
  <r>
    <s v="EU27"/>
    <x v="4"/>
    <n v="2023"/>
    <x v="12"/>
    <x v="0"/>
    <x v="0"/>
    <m/>
    <m/>
    <n v="0"/>
  </r>
  <r>
    <s v="EU27"/>
    <x v="4"/>
    <n v="2023"/>
    <x v="12"/>
    <x v="0"/>
    <x v="1"/>
    <m/>
    <m/>
    <n v="0"/>
  </r>
  <r>
    <s v="EU27"/>
    <x v="4"/>
    <n v="2023"/>
    <x v="12"/>
    <x v="0"/>
    <x v="2"/>
    <m/>
    <m/>
    <n v="0"/>
  </r>
  <r>
    <s v="EU27"/>
    <x v="4"/>
    <n v="2023"/>
    <x v="12"/>
    <x v="1"/>
    <x v="0"/>
    <m/>
    <m/>
    <n v="0"/>
  </r>
  <r>
    <s v="EU27"/>
    <x v="4"/>
    <n v="2023"/>
    <x v="12"/>
    <x v="1"/>
    <x v="1"/>
    <m/>
    <m/>
    <n v="0"/>
  </r>
  <r>
    <s v="EU27"/>
    <x v="4"/>
    <n v="2023"/>
    <x v="12"/>
    <x v="1"/>
    <x v="2"/>
    <m/>
    <m/>
    <n v="0"/>
  </r>
  <r>
    <s v="EU27"/>
    <x v="4"/>
    <n v="2023"/>
    <x v="13"/>
    <x v="0"/>
    <x v="0"/>
    <m/>
    <m/>
    <n v="79864.277709999995"/>
  </r>
  <r>
    <s v="EU27"/>
    <x v="4"/>
    <n v="2023"/>
    <x v="13"/>
    <x v="0"/>
    <x v="1"/>
    <m/>
    <m/>
    <n v="225450.07373"/>
  </r>
  <r>
    <s v="EU27"/>
    <x v="4"/>
    <n v="2023"/>
    <x v="13"/>
    <x v="0"/>
    <x v="2"/>
    <m/>
    <m/>
    <n v="305035.57146000001"/>
  </r>
  <r>
    <s v="EU27"/>
    <x v="4"/>
    <n v="2023"/>
    <x v="13"/>
    <x v="1"/>
    <x v="0"/>
    <m/>
    <m/>
    <n v="80702.285579999996"/>
  </r>
  <r>
    <s v="EU27"/>
    <x v="4"/>
    <n v="2023"/>
    <x v="13"/>
    <x v="1"/>
    <x v="1"/>
    <m/>
    <m/>
    <n v="228304.01180000001"/>
  </r>
  <r>
    <s v="EU27"/>
    <x v="4"/>
    <n v="2023"/>
    <x v="13"/>
    <x v="1"/>
    <x v="2"/>
    <m/>
    <m/>
    <n v="308727.71739000001"/>
  </r>
  <r>
    <s v="EU27"/>
    <x v="4"/>
    <n v="2023"/>
    <x v="13"/>
    <x v="2"/>
    <x v="0"/>
    <m/>
    <m/>
    <n v="1019.1164199999999"/>
  </r>
  <r>
    <s v="EU27"/>
    <x v="4"/>
    <n v="2023"/>
    <x v="13"/>
    <x v="2"/>
    <x v="1"/>
    <m/>
    <m/>
    <n v="722.2"/>
  </r>
  <r>
    <s v="EU27"/>
    <x v="4"/>
    <n v="2023"/>
    <x v="13"/>
    <x v="2"/>
    <x v="2"/>
    <m/>
    <m/>
    <n v="16355.41642"/>
  </r>
  <r>
    <s v="EU27"/>
    <x v="4"/>
    <n v="2023"/>
    <x v="14"/>
    <x v="0"/>
    <x v="0"/>
    <m/>
    <m/>
    <n v="371471.60576000001"/>
  </r>
  <r>
    <s v="EU27"/>
    <x v="4"/>
    <n v="2023"/>
    <x v="14"/>
    <x v="0"/>
    <x v="2"/>
    <m/>
    <m/>
    <n v="371471.60576000001"/>
  </r>
  <r>
    <s v="EU27"/>
    <x v="4"/>
    <n v="2023"/>
    <x v="14"/>
    <x v="1"/>
    <x v="0"/>
    <m/>
    <m/>
    <n v="378414.40270999999"/>
  </r>
  <r>
    <s v="EU27"/>
    <x v="4"/>
    <n v="2023"/>
    <x v="14"/>
    <x v="1"/>
    <x v="2"/>
    <m/>
    <m/>
    <n v="378414.40270999999"/>
  </r>
  <r>
    <s v="EU27"/>
    <x v="4"/>
    <n v="2023"/>
    <x v="14"/>
    <x v="2"/>
    <x v="0"/>
    <m/>
    <m/>
    <n v="2015.5708199999999"/>
  </r>
  <r>
    <s v="EU27"/>
    <x v="4"/>
    <n v="2023"/>
    <x v="14"/>
    <x v="2"/>
    <x v="2"/>
    <m/>
    <m/>
    <n v="28471.070820000001"/>
  </r>
  <r>
    <s v="EU27"/>
    <x v="4"/>
    <n v="2023"/>
    <x v="15"/>
    <x v="0"/>
    <x v="2"/>
    <m/>
    <m/>
    <n v="-255099.62414"/>
  </r>
  <r>
    <s v="EU27"/>
    <x v="4"/>
    <n v="2023"/>
    <x v="15"/>
    <x v="1"/>
    <x v="2"/>
    <m/>
    <m/>
    <n v="-240662.30142"/>
  </r>
  <r>
    <s v="EU27"/>
    <x v="4"/>
    <n v="2023"/>
    <x v="15"/>
    <x v="2"/>
    <x v="2"/>
    <m/>
    <m/>
    <n v="-21900.753980000001"/>
  </r>
  <r>
    <s v="EU27"/>
    <x v="4"/>
    <n v="2023"/>
    <x v="16"/>
    <x v="0"/>
    <x v="2"/>
    <m/>
    <m/>
    <n v="-332105.74271000002"/>
  </r>
  <r>
    <s v="EU27"/>
    <x v="4"/>
    <n v="2023"/>
    <x v="16"/>
    <x v="1"/>
    <x v="2"/>
    <m/>
    <m/>
    <n v="-322088.48869000003"/>
  </r>
  <r>
    <s v="EU27"/>
    <x v="4"/>
    <n v="2023"/>
    <x v="16"/>
    <x v="2"/>
    <x v="2"/>
    <m/>
    <m/>
    <n v="-21665.136569999999"/>
  </r>
  <r>
    <s v="EU27"/>
    <x v="4"/>
    <n v="2023"/>
    <x v="17"/>
    <x v="0"/>
    <x v="2"/>
    <m/>
    <m/>
    <n v="39134.84979"/>
  </r>
  <r>
    <s v="EU27"/>
    <x v="4"/>
    <n v="2023"/>
    <x v="17"/>
    <x v="1"/>
    <x v="2"/>
    <m/>
    <m/>
    <n v="42229.996299999999"/>
  </r>
  <r>
    <s v="EU27"/>
    <x v="4"/>
    <n v="2023"/>
    <x v="17"/>
    <x v="2"/>
    <x v="2"/>
    <m/>
    <m/>
    <n v="-2363.5059900000001"/>
  </r>
  <r>
    <s v="EU27"/>
    <x v="4"/>
    <n v="2023"/>
    <x v="18"/>
    <x v="0"/>
    <x v="2"/>
    <m/>
    <m/>
    <n v="15091.823249999999"/>
  </r>
  <r>
    <s v="EU27"/>
    <x v="4"/>
    <n v="2023"/>
    <x v="18"/>
    <x v="1"/>
    <x v="2"/>
    <m/>
    <m/>
    <n v="15646.112069999999"/>
  </r>
  <r>
    <s v="EU27"/>
    <x v="4"/>
    <n v="2023"/>
    <x v="18"/>
    <x v="2"/>
    <x v="2"/>
    <m/>
    <m/>
    <n v="888.53336000000002"/>
  </r>
  <r>
    <s v="EU27"/>
    <x v="4"/>
    <n v="2023"/>
    <x v="19"/>
    <x v="0"/>
    <x v="2"/>
    <m/>
    <m/>
    <n v="15105.568649999999"/>
  </r>
  <r>
    <s v="EU27"/>
    <x v="4"/>
    <n v="2023"/>
    <x v="19"/>
    <x v="1"/>
    <x v="2"/>
    <m/>
    <m/>
    <n v="14946.07776"/>
  </r>
  <r>
    <s v="EU27"/>
    <x v="4"/>
    <n v="2023"/>
    <x v="19"/>
    <x v="2"/>
    <x v="2"/>
    <m/>
    <m/>
    <n v="770.38648000000001"/>
  </r>
  <r>
    <s v="EU27"/>
    <x v="4"/>
    <n v="2023"/>
    <x v="20"/>
    <x v="0"/>
    <x v="2"/>
    <m/>
    <m/>
    <n v="36528.23717"/>
  </r>
  <r>
    <s v="EU27"/>
    <x v="4"/>
    <n v="2023"/>
    <x v="20"/>
    <x v="1"/>
    <x v="2"/>
    <m/>
    <m/>
    <n v="37179.462440000003"/>
  </r>
  <r>
    <s v="EU27"/>
    <x v="4"/>
    <n v="2023"/>
    <x v="20"/>
    <x v="2"/>
    <x v="2"/>
    <m/>
    <m/>
    <n v="2726.5002399999998"/>
  </r>
  <r>
    <s v="EU27"/>
    <x v="4"/>
    <n v="2023"/>
    <x v="21"/>
    <x v="0"/>
    <x v="2"/>
    <m/>
    <m/>
    <n v="678.24563000000001"/>
  </r>
  <r>
    <s v="EU27"/>
    <x v="4"/>
    <n v="2023"/>
    <x v="21"/>
    <x v="1"/>
    <x v="2"/>
    <m/>
    <m/>
    <n v="611.34207000000004"/>
  </r>
  <r>
    <s v="EU27"/>
    <x v="4"/>
    <n v="2023"/>
    <x v="21"/>
    <x v="2"/>
    <x v="2"/>
    <m/>
    <m/>
    <n v="250.0685"/>
  </r>
  <r>
    <s v="EU27"/>
    <x v="4"/>
    <n v="2023"/>
    <x v="22"/>
    <x v="0"/>
    <x v="2"/>
    <m/>
    <m/>
    <n v="-29426.989600000001"/>
  </r>
  <r>
    <s v="EU27"/>
    <x v="4"/>
    <n v="2023"/>
    <x v="22"/>
    <x v="1"/>
    <x v="2"/>
    <m/>
    <m/>
    <n v="-29450.687040000001"/>
  </r>
  <r>
    <s v="EU27"/>
    <x v="4"/>
    <n v="2023"/>
    <x v="22"/>
    <x v="2"/>
    <x v="2"/>
    <m/>
    <m/>
    <n v="-2507.6"/>
  </r>
  <r>
    <s v="EU27"/>
    <x v="4"/>
    <n v="2023"/>
    <x v="23"/>
    <x v="0"/>
    <x v="2"/>
    <m/>
    <m/>
    <n v="263.88367"/>
  </r>
  <r>
    <s v="EU27"/>
    <x v="4"/>
    <n v="2023"/>
    <x v="23"/>
    <x v="1"/>
    <x v="2"/>
    <m/>
    <m/>
    <n v="263.88367"/>
  </r>
  <r>
    <s v="EU27"/>
    <x v="4"/>
    <n v="2023"/>
    <x v="24"/>
    <x v="0"/>
    <x v="0"/>
    <m/>
    <m/>
    <n v="105404.7936"/>
  </r>
  <r>
    <s v="EU27"/>
    <x v="4"/>
    <n v="2023"/>
    <x v="24"/>
    <x v="0"/>
    <x v="1"/>
    <m/>
    <m/>
    <n v="261.24754000000001"/>
  </r>
  <r>
    <s v="EU27"/>
    <x v="4"/>
    <n v="2023"/>
    <x v="24"/>
    <x v="0"/>
    <x v="2"/>
    <m/>
    <m/>
    <n v="105666.04114"/>
  </r>
  <r>
    <s v="EU27"/>
    <x v="4"/>
    <n v="2023"/>
    <x v="24"/>
    <x v="1"/>
    <x v="0"/>
    <m/>
    <m/>
    <n v="106148.44615"/>
  </r>
  <r>
    <s v="EU27"/>
    <x v="4"/>
    <n v="2023"/>
    <x v="24"/>
    <x v="1"/>
    <x v="1"/>
    <m/>
    <m/>
    <n v="261.24754000000001"/>
  </r>
  <r>
    <s v="EU27"/>
    <x v="4"/>
    <n v="2023"/>
    <x v="24"/>
    <x v="1"/>
    <x v="2"/>
    <m/>
    <m/>
    <n v="106409.69369"/>
  </r>
  <r>
    <s v="EU27"/>
    <x v="4"/>
    <n v="2023"/>
    <x v="24"/>
    <x v="2"/>
    <x v="0"/>
    <m/>
    <m/>
    <n v="1539.01935"/>
  </r>
  <r>
    <s v="EU27"/>
    <x v="4"/>
    <n v="2023"/>
    <x v="24"/>
    <x v="2"/>
    <x v="2"/>
    <m/>
    <m/>
    <n v="10656.01935"/>
  </r>
  <r>
    <s v="EU27"/>
    <x v="4"/>
    <n v="2023"/>
    <x v="25"/>
    <x v="0"/>
    <x v="0"/>
    <m/>
    <m/>
    <n v="118.2"/>
  </r>
  <r>
    <s v="EU27"/>
    <x v="4"/>
    <n v="2023"/>
    <x v="25"/>
    <x v="0"/>
    <x v="2"/>
    <m/>
    <m/>
    <n v="111692.2223994544"/>
  </r>
  <r>
    <s v="EU27"/>
    <x v="4"/>
    <n v="2023"/>
    <x v="25"/>
    <x v="1"/>
    <x v="0"/>
    <m/>
    <m/>
    <n v="118.2"/>
  </r>
  <r>
    <s v="EU27"/>
    <x v="4"/>
    <n v="2023"/>
    <x v="25"/>
    <x v="1"/>
    <x v="2"/>
    <m/>
    <m/>
    <n v="116737.6497994544"/>
  </r>
  <r>
    <s v="EU27"/>
    <x v="4"/>
    <n v="2023"/>
    <x v="25"/>
    <x v="2"/>
    <x v="2"/>
    <m/>
    <m/>
    <n v="968.05308000000002"/>
  </r>
  <r>
    <s v="EU27"/>
    <x v="4"/>
    <n v="2023"/>
    <x v="26"/>
    <x v="0"/>
    <x v="0"/>
    <m/>
    <m/>
    <n v="551.1"/>
  </r>
  <r>
    <s v="EU27"/>
    <x v="4"/>
    <n v="2023"/>
    <x v="26"/>
    <x v="0"/>
    <x v="2"/>
    <m/>
    <m/>
    <n v="139092.37179643661"/>
  </r>
  <r>
    <s v="EU27"/>
    <x v="4"/>
    <n v="2023"/>
    <x v="26"/>
    <x v="1"/>
    <x v="0"/>
    <m/>
    <m/>
    <n v="551.1"/>
  </r>
  <r>
    <s v="EU27"/>
    <x v="4"/>
    <n v="2023"/>
    <x v="26"/>
    <x v="1"/>
    <x v="2"/>
    <m/>
    <m/>
    <n v="139511.3636464366"/>
  </r>
  <r>
    <s v="EU27"/>
    <x v="4"/>
    <n v="2023"/>
    <x v="26"/>
    <x v="2"/>
    <x v="2"/>
    <m/>
    <m/>
    <n v="656.4"/>
  </r>
  <r>
    <s v="EU27"/>
    <x v="4"/>
    <n v="2023"/>
    <x v="27"/>
    <x v="0"/>
    <x v="0"/>
    <m/>
    <m/>
    <n v="746.38060000000007"/>
  </r>
  <r>
    <s v="EU27"/>
    <x v="4"/>
    <n v="2023"/>
    <x v="27"/>
    <x v="0"/>
    <x v="2"/>
    <m/>
    <m/>
    <n v="890.28060000000005"/>
  </r>
  <r>
    <s v="EU27"/>
    <x v="4"/>
    <n v="2023"/>
    <x v="27"/>
    <x v="1"/>
    <x v="0"/>
    <m/>
    <m/>
    <n v="746.98064999999997"/>
  </r>
  <r>
    <s v="EU27"/>
    <x v="4"/>
    <n v="2023"/>
    <x v="27"/>
    <x v="1"/>
    <x v="2"/>
    <m/>
    <m/>
    <n v="890.88065000000006"/>
  </r>
  <r>
    <s v="EU27"/>
    <x v="4"/>
    <n v="2023"/>
    <x v="28"/>
    <x v="0"/>
    <x v="0"/>
    <m/>
    <m/>
    <n v="1969178.9040999999"/>
  </r>
  <r>
    <s v="EU27"/>
    <x v="4"/>
    <n v="2023"/>
    <x v="28"/>
    <x v="0"/>
    <x v="1"/>
    <m/>
    <m/>
    <n v="1144687.8023000001"/>
  </r>
  <r>
    <s v="EU27"/>
    <x v="4"/>
    <n v="2023"/>
    <x v="28"/>
    <x v="0"/>
    <x v="2"/>
    <m/>
    <m/>
    <n v="3130262.79911"/>
  </r>
  <r>
    <s v="EU27"/>
    <x v="4"/>
    <n v="2023"/>
    <x v="28"/>
    <x v="1"/>
    <x v="0"/>
    <m/>
    <m/>
    <n v="2025877.15512"/>
  </r>
  <r>
    <s v="EU27"/>
    <x v="4"/>
    <n v="2023"/>
    <x v="28"/>
    <x v="1"/>
    <x v="1"/>
    <m/>
    <m/>
    <n v="1202854.1742400001"/>
  </r>
  <r>
    <s v="EU27"/>
    <x v="4"/>
    <n v="2023"/>
    <x v="28"/>
    <x v="1"/>
    <x v="2"/>
    <m/>
    <m/>
    <n v="3246185.7111300002"/>
  </r>
  <r>
    <s v="EU27"/>
    <x v="4"/>
    <n v="2023"/>
    <x v="28"/>
    <x v="2"/>
    <x v="0"/>
    <m/>
    <m/>
    <n v="15093.67157"/>
  </r>
  <r>
    <s v="EU27"/>
    <x v="4"/>
    <n v="2023"/>
    <x v="28"/>
    <x v="2"/>
    <x v="1"/>
    <m/>
    <m/>
    <n v="9154.4890999999989"/>
  </r>
  <r>
    <s v="EU27"/>
    <x v="4"/>
    <n v="2023"/>
    <x v="28"/>
    <x v="2"/>
    <x v="2"/>
    <m/>
    <m/>
    <n v="188709.76845999999"/>
  </r>
  <r>
    <s v="EU27"/>
    <x v="4"/>
    <n v="2023"/>
    <x v="29"/>
    <x v="0"/>
    <x v="0"/>
    <m/>
    <m/>
    <n v="1969178.9040999999"/>
  </r>
  <r>
    <s v="EU27"/>
    <x v="4"/>
    <n v="2023"/>
    <x v="29"/>
    <x v="0"/>
    <x v="1"/>
    <m/>
    <m/>
    <n v="1144687.7023"/>
  </r>
  <r>
    <s v="EU27"/>
    <x v="4"/>
    <n v="2023"/>
    <x v="29"/>
    <x v="0"/>
    <x v="2"/>
    <m/>
    <m/>
    <n v="2875163.1749700001"/>
  </r>
  <r>
    <s v="EU27"/>
    <x v="4"/>
    <n v="2023"/>
    <x v="29"/>
    <x v="1"/>
    <x v="0"/>
    <m/>
    <m/>
    <n v="2025877.15512"/>
  </r>
  <r>
    <s v="EU27"/>
    <x v="4"/>
    <n v="2023"/>
    <x v="29"/>
    <x v="1"/>
    <x v="1"/>
    <m/>
    <m/>
    <n v="1202854.07424"/>
  </r>
  <r>
    <s v="EU27"/>
    <x v="4"/>
    <n v="2023"/>
    <x v="29"/>
    <x v="1"/>
    <x v="2"/>
    <m/>
    <m/>
    <n v="3005515.5780699998"/>
  </r>
  <r>
    <s v="EU27"/>
    <x v="4"/>
    <n v="2023"/>
    <x v="29"/>
    <x v="2"/>
    <x v="0"/>
    <m/>
    <m/>
    <n v="15093.67157"/>
  </r>
  <r>
    <s v="EU27"/>
    <x v="4"/>
    <n v="2023"/>
    <x v="29"/>
    <x v="2"/>
    <x v="1"/>
    <m/>
    <m/>
    <n v="9154.4890999999989"/>
  </r>
  <r>
    <s v="EU27"/>
    <x v="4"/>
    <n v="2023"/>
    <x v="29"/>
    <x v="2"/>
    <x v="2"/>
    <m/>
    <m/>
    <n v="167108.71448"/>
  </r>
  <r>
    <s v="EU27"/>
    <x v="5"/>
    <n v="2023"/>
    <x v="0"/>
    <x v="0"/>
    <x v="0"/>
    <m/>
    <m/>
    <n v="1375248.45181"/>
  </r>
  <r>
    <s v="EU27"/>
    <x v="5"/>
    <n v="2023"/>
    <x v="0"/>
    <x v="0"/>
    <x v="1"/>
    <m/>
    <m/>
    <n v="849521.53425999999"/>
  </r>
  <r>
    <s v="EU27"/>
    <x v="5"/>
    <n v="2023"/>
    <x v="0"/>
    <x v="0"/>
    <x v="2"/>
    <m/>
    <m/>
    <n v="2241519.6005699998"/>
  </r>
  <r>
    <s v="EU27"/>
    <x v="5"/>
    <n v="2023"/>
    <x v="0"/>
    <x v="1"/>
    <x v="0"/>
    <m/>
    <m/>
    <n v="1435692.24709"/>
  </r>
  <r>
    <s v="EU27"/>
    <x v="5"/>
    <n v="2023"/>
    <x v="0"/>
    <x v="1"/>
    <x v="1"/>
    <m/>
    <m/>
    <n v="909491.43024000002"/>
  </r>
  <r>
    <s v="EU27"/>
    <x v="5"/>
    <n v="2023"/>
    <x v="0"/>
    <x v="1"/>
    <x v="2"/>
    <m/>
    <m/>
    <n v="2363050.0793599999"/>
  </r>
  <r>
    <s v="EU27"/>
    <x v="5"/>
    <n v="2023"/>
    <x v="0"/>
    <x v="2"/>
    <x v="0"/>
    <m/>
    <m/>
    <n v="10633.109710000001"/>
  </r>
  <r>
    <s v="EU27"/>
    <x v="5"/>
    <n v="2023"/>
    <x v="0"/>
    <x v="2"/>
    <x v="1"/>
    <m/>
    <m/>
    <n v="8451.4343700000009"/>
  </r>
  <r>
    <s v="EU27"/>
    <x v="5"/>
    <n v="2023"/>
    <x v="0"/>
    <x v="2"/>
    <x v="2"/>
    <m/>
    <m/>
    <n v="134467.17519000001"/>
  </r>
  <r>
    <s v="EU27"/>
    <x v="5"/>
    <n v="2023"/>
    <x v="1"/>
    <x v="0"/>
    <x v="0"/>
    <m/>
    <m/>
    <n v="56633.543559999998"/>
  </r>
  <r>
    <s v="EU27"/>
    <x v="5"/>
    <n v="2023"/>
    <x v="1"/>
    <x v="0"/>
    <x v="1"/>
    <m/>
    <m/>
    <n v="562386.29151999997"/>
  </r>
  <r>
    <s v="EU27"/>
    <x v="5"/>
    <n v="2023"/>
    <x v="1"/>
    <x v="0"/>
    <x v="2"/>
    <m/>
    <m/>
    <n v="619019.51509"/>
  </r>
  <r>
    <s v="EU27"/>
    <x v="5"/>
    <n v="2023"/>
    <x v="1"/>
    <x v="1"/>
    <x v="0"/>
    <m/>
    <m/>
    <n v="61443.275079999999"/>
  </r>
  <r>
    <s v="EU27"/>
    <x v="5"/>
    <n v="2023"/>
    <x v="1"/>
    <x v="1"/>
    <x v="1"/>
    <m/>
    <m/>
    <n v="605936.82664999994"/>
  </r>
  <r>
    <s v="EU27"/>
    <x v="5"/>
    <n v="2023"/>
    <x v="1"/>
    <x v="1"/>
    <x v="2"/>
    <m/>
    <m/>
    <n v="667380.04171999998"/>
  </r>
  <r>
    <s v="EU27"/>
    <x v="5"/>
    <n v="2023"/>
    <x v="1"/>
    <x v="2"/>
    <x v="0"/>
    <m/>
    <m/>
    <n v="145.46396999999999"/>
  </r>
  <r>
    <s v="EU27"/>
    <x v="5"/>
    <n v="2023"/>
    <x v="1"/>
    <x v="2"/>
    <x v="1"/>
    <m/>
    <m/>
    <n v="7043.8343699999996"/>
  </r>
  <r>
    <s v="EU27"/>
    <x v="5"/>
    <n v="2023"/>
    <x v="1"/>
    <x v="2"/>
    <x v="2"/>
    <m/>
    <m/>
    <n v="48162.798349999997"/>
  </r>
  <r>
    <s v="EU27"/>
    <x v="5"/>
    <n v="2023"/>
    <x v="2"/>
    <x v="0"/>
    <x v="0"/>
    <m/>
    <m/>
    <n v="108470.86792999999"/>
  </r>
  <r>
    <s v="EU27"/>
    <x v="5"/>
    <n v="2023"/>
    <x v="2"/>
    <x v="0"/>
    <x v="1"/>
    <m/>
    <m/>
    <n v="266128.24929000001"/>
  </r>
  <r>
    <s v="EU27"/>
    <x v="5"/>
    <n v="2023"/>
    <x v="2"/>
    <x v="0"/>
    <x v="2"/>
    <m/>
    <m/>
    <n v="374599.01724999998"/>
  </r>
  <r>
    <s v="EU27"/>
    <x v="5"/>
    <n v="2023"/>
    <x v="2"/>
    <x v="1"/>
    <x v="0"/>
    <m/>
    <m/>
    <n v="111621.05142"/>
  </r>
  <r>
    <s v="EU27"/>
    <x v="5"/>
    <n v="2023"/>
    <x v="2"/>
    <x v="1"/>
    <x v="1"/>
    <m/>
    <m/>
    <n v="281808.39843"/>
  </r>
  <r>
    <s v="EU27"/>
    <x v="5"/>
    <n v="2023"/>
    <x v="2"/>
    <x v="1"/>
    <x v="2"/>
    <m/>
    <m/>
    <n v="393429.14986"/>
  </r>
  <r>
    <s v="EU27"/>
    <x v="5"/>
    <n v="2023"/>
    <x v="2"/>
    <x v="2"/>
    <x v="0"/>
    <m/>
    <m/>
    <n v="973.07911000000001"/>
  </r>
  <r>
    <s v="EU27"/>
    <x v="5"/>
    <n v="2023"/>
    <x v="2"/>
    <x v="2"/>
    <x v="1"/>
    <m/>
    <m/>
    <n v="1337.8"/>
  </r>
  <r>
    <s v="EU27"/>
    <x v="5"/>
    <n v="2023"/>
    <x v="2"/>
    <x v="2"/>
    <x v="2"/>
    <m/>
    <m/>
    <n v="18536.47911"/>
  </r>
  <r>
    <s v="EU27"/>
    <x v="5"/>
    <n v="2023"/>
    <x v="3"/>
    <x v="0"/>
    <x v="0"/>
    <m/>
    <m/>
    <n v="714510.75453000003"/>
  </r>
  <r>
    <s v="EU27"/>
    <x v="5"/>
    <n v="2023"/>
    <x v="3"/>
    <x v="0"/>
    <x v="1"/>
    <m/>
    <m/>
    <n v="3848.7478599999999"/>
  </r>
  <r>
    <s v="EU27"/>
    <x v="5"/>
    <n v="2023"/>
    <x v="3"/>
    <x v="0"/>
    <x v="2"/>
    <m/>
    <m/>
    <n v="735109.11687000003"/>
  </r>
  <r>
    <s v="EU27"/>
    <x v="5"/>
    <n v="2023"/>
    <x v="3"/>
    <x v="1"/>
    <x v="0"/>
    <m/>
    <m/>
    <n v="739208.57773000002"/>
  </r>
  <r>
    <s v="EU27"/>
    <x v="5"/>
    <n v="2023"/>
    <x v="3"/>
    <x v="1"/>
    <x v="1"/>
    <m/>
    <m/>
    <n v="3918.48801"/>
  </r>
  <r>
    <s v="EU27"/>
    <x v="5"/>
    <n v="2023"/>
    <x v="3"/>
    <x v="1"/>
    <x v="2"/>
    <m/>
    <m/>
    <n v="760993.52778999996"/>
  </r>
  <r>
    <s v="EU27"/>
    <x v="5"/>
    <n v="2023"/>
    <x v="3"/>
    <x v="2"/>
    <x v="0"/>
    <m/>
    <m/>
    <n v="7524.0391399999999"/>
  </r>
  <r>
    <s v="EU27"/>
    <x v="5"/>
    <n v="2023"/>
    <x v="3"/>
    <x v="2"/>
    <x v="1"/>
    <m/>
    <m/>
    <n v="0"/>
  </r>
  <r>
    <s v="EU27"/>
    <x v="5"/>
    <n v="2023"/>
    <x v="3"/>
    <x v="2"/>
    <x v="2"/>
    <m/>
    <m/>
    <n v="31210.170249999999"/>
  </r>
  <r>
    <s v="EU27"/>
    <x v="5"/>
    <n v="2023"/>
    <x v="4"/>
    <x v="0"/>
    <x v="0"/>
    <m/>
    <m/>
    <n v="149.68063000000001"/>
  </r>
  <r>
    <s v="EU27"/>
    <x v="5"/>
    <n v="2023"/>
    <x v="4"/>
    <x v="0"/>
    <x v="2"/>
    <m/>
    <m/>
    <n v="16899.17959"/>
  </r>
  <r>
    <s v="EU27"/>
    <x v="5"/>
    <n v="2023"/>
    <x v="4"/>
    <x v="1"/>
    <x v="0"/>
    <m/>
    <m/>
    <n v="157.85917599999999"/>
  </r>
  <r>
    <s v="EU27"/>
    <x v="5"/>
    <n v="2023"/>
    <x v="4"/>
    <x v="1"/>
    <x v="2"/>
    <m/>
    <m/>
    <n v="18024.00735"/>
  </r>
  <r>
    <s v="EU27"/>
    <x v="5"/>
    <n v="2023"/>
    <x v="4"/>
    <x v="2"/>
    <x v="0"/>
    <m/>
    <m/>
    <n v="1.257E-2"/>
  </r>
  <r>
    <s v="EU27"/>
    <x v="5"/>
    <n v="2023"/>
    <x v="4"/>
    <x v="2"/>
    <x v="2"/>
    <m/>
    <m/>
    <n v="356.94367999999997"/>
  </r>
  <r>
    <s v="EU27"/>
    <x v="5"/>
    <n v="2023"/>
    <x v="5"/>
    <x v="0"/>
    <x v="0"/>
    <m/>
    <m/>
    <n v="691111.20429000002"/>
  </r>
  <r>
    <s v="EU27"/>
    <x v="5"/>
    <n v="2023"/>
    <x v="5"/>
    <x v="0"/>
    <x v="1"/>
    <m/>
    <m/>
    <n v="0"/>
  </r>
  <r>
    <s v="EU27"/>
    <x v="5"/>
    <n v="2023"/>
    <x v="5"/>
    <x v="0"/>
    <x v="2"/>
    <m/>
    <m/>
    <n v="691111.20429000002"/>
  </r>
  <r>
    <s v="EU27"/>
    <x v="5"/>
    <n v="2023"/>
    <x v="5"/>
    <x v="1"/>
    <x v="0"/>
    <m/>
    <m/>
    <n v="715505.46581999992"/>
  </r>
  <r>
    <s v="EU27"/>
    <x v="5"/>
    <n v="2023"/>
    <x v="5"/>
    <x v="1"/>
    <x v="1"/>
    <m/>
    <m/>
    <n v="0"/>
  </r>
  <r>
    <s v="EU27"/>
    <x v="5"/>
    <n v="2023"/>
    <x v="5"/>
    <x v="1"/>
    <x v="2"/>
    <m/>
    <m/>
    <n v="715505.46581999992"/>
  </r>
  <r>
    <s v="EU27"/>
    <x v="5"/>
    <n v="2023"/>
    <x v="5"/>
    <x v="2"/>
    <x v="0"/>
    <m/>
    <m/>
    <n v="7434.2976500000004"/>
  </r>
  <r>
    <s v="EU27"/>
    <x v="5"/>
    <n v="2023"/>
    <x v="5"/>
    <x v="2"/>
    <x v="2"/>
    <m/>
    <m/>
    <n v="29567.197649999998"/>
  </r>
  <r>
    <s v="EU27"/>
    <x v="5"/>
    <n v="2023"/>
    <x v="6"/>
    <x v="0"/>
    <x v="0"/>
    <m/>
    <m/>
    <n v="3821.80485"/>
  </r>
  <r>
    <s v="EU27"/>
    <x v="5"/>
    <n v="2023"/>
    <x v="6"/>
    <x v="0"/>
    <x v="1"/>
    <m/>
    <m/>
    <n v="0"/>
  </r>
  <r>
    <s v="EU27"/>
    <x v="5"/>
    <n v="2023"/>
    <x v="6"/>
    <x v="0"/>
    <x v="2"/>
    <m/>
    <m/>
    <n v="3821.80485"/>
  </r>
  <r>
    <s v="EU27"/>
    <x v="5"/>
    <n v="2023"/>
    <x v="6"/>
    <x v="1"/>
    <x v="0"/>
    <m/>
    <m/>
    <n v="4155.1872700000004"/>
  </r>
  <r>
    <s v="EU27"/>
    <x v="5"/>
    <n v="2023"/>
    <x v="6"/>
    <x v="1"/>
    <x v="1"/>
    <m/>
    <m/>
    <n v="0"/>
  </r>
  <r>
    <s v="EU27"/>
    <x v="5"/>
    <n v="2023"/>
    <x v="6"/>
    <x v="1"/>
    <x v="2"/>
    <m/>
    <m/>
    <n v="4155.1872700000004"/>
  </r>
  <r>
    <s v="EU27"/>
    <x v="5"/>
    <n v="2023"/>
    <x v="6"/>
    <x v="2"/>
    <x v="0"/>
    <m/>
    <m/>
    <n v="34.6"/>
  </r>
  <r>
    <s v="EU27"/>
    <x v="5"/>
    <n v="2023"/>
    <x v="6"/>
    <x v="2"/>
    <x v="2"/>
    <m/>
    <m/>
    <n v="777.30000000000007"/>
  </r>
  <r>
    <s v="EU27"/>
    <x v="5"/>
    <n v="2023"/>
    <x v="7"/>
    <x v="0"/>
    <x v="0"/>
    <m/>
    <m/>
    <n v="18090.675859999999"/>
  </r>
  <r>
    <s v="EU27"/>
    <x v="5"/>
    <n v="2023"/>
    <x v="7"/>
    <x v="0"/>
    <x v="1"/>
    <m/>
    <m/>
    <n v="0"/>
  </r>
  <r>
    <s v="EU27"/>
    <x v="5"/>
    <n v="2023"/>
    <x v="7"/>
    <x v="0"/>
    <x v="2"/>
    <m/>
    <m/>
    <n v="18086.239699999998"/>
  </r>
  <r>
    <s v="EU27"/>
    <x v="5"/>
    <n v="2023"/>
    <x v="7"/>
    <x v="1"/>
    <x v="0"/>
    <m/>
    <m/>
    <n v="17929.79106"/>
  </r>
  <r>
    <s v="EU27"/>
    <x v="5"/>
    <n v="2023"/>
    <x v="7"/>
    <x v="1"/>
    <x v="1"/>
    <m/>
    <m/>
    <n v="0"/>
  </r>
  <r>
    <s v="EU27"/>
    <x v="5"/>
    <n v="2023"/>
    <x v="7"/>
    <x v="1"/>
    <x v="2"/>
    <m/>
    <m/>
    <n v="17929.7909"/>
  </r>
  <r>
    <s v="EU27"/>
    <x v="5"/>
    <n v="2023"/>
    <x v="7"/>
    <x v="2"/>
    <x v="0"/>
    <m/>
    <m/>
    <n v="47.828919999999997"/>
  </r>
  <r>
    <s v="EU27"/>
    <x v="5"/>
    <n v="2023"/>
    <x v="7"/>
    <x v="2"/>
    <x v="2"/>
    <m/>
    <m/>
    <n v="289.02892000000003"/>
  </r>
  <r>
    <s v="EU27"/>
    <x v="5"/>
    <n v="2023"/>
    <x v="8"/>
    <x v="0"/>
    <x v="0"/>
    <m/>
    <m/>
    <n v="1337.44442"/>
  </r>
  <r>
    <s v="EU27"/>
    <x v="5"/>
    <n v="2023"/>
    <x v="8"/>
    <x v="0"/>
    <x v="1"/>
    <m/>
    <m/>
    <n v="3848.7478599999999"/>
  </r>
  <r>
    <s v="EU27"/>
    <x v="5"/>
    <n v="2023"/>
    <x v="8"/>
    <x v="0"/>
    <x v="2"/>
    <m/>
    <m/>
    <n v="5186.1922800000002"/>
  </r>
  <r>
    <s v="EU27"/>
    <x v="5"/>
    <n v="2023"/>
    <x v="8"/>
    <x v="1"/>
    <x v="0"/>
    <m/>
    <m/>
    <n v="1460.54828"/>
  </r>
  <r>
    <s v="EU27"/>
    <x v="5"/>
    <n v="2023"/>
    <x v="8"/>
    <x v="1"/>
    <x v="1"/>
    <m/>
    <m/>
    <n v="3918.48801"/>
  </r>
  <r>
    <s v="EU27"/>
    <x v="5"/>
    <n v="2023"/>
    <x v="8"/>
    <x v="1"/>
    <x v="2"/>
    <m/>
    <m/>
    <n v="5379.0362800000003"/>
  </r>
  <r>
    <s v="EU27"/>
    <x v="5"/>
    <n v="2023"/>
    <x v="8"/>
    <x v="2"/>
    <x v="0"/>
    <m/>
    <m/>
    <n v="7.2"/>
  </r>
  <r>
    <s v="EU27"/>
    <x v="5"/>
    <n v="2023"/>
    <x v="8"/>
    <x v="2"/>
    <x v="2"/>
    <m/>
    <m/>
    <n v="219.7"/>
  </r>
  <r>
    <s v="EU27"/>
    <x v="5"/>
    <n v="2023"/>
    <x v="9"/>
    <x v="0"/>
    <x v="0"/>
    <m/>
    <m/>
    <n v="436252.42891999998"/>
  </r>
  <r>
    <s v="EU27"/>
    <x v="5"/>
    <n v="2023"/>
    <x v="9"/>
    <x v="0"/>
    <x v="1"/>
    <m/>
    <m/>
    <n v="1888.5220999999999"/>
  </r>
  <r>
    <s v="EU27"/>
    <x v="5"/>
    <n v="2023"/>
    <x v="9"/>
    <x v="0"/>
    <x v="2"/>
    <m/>
    <m/>
    <n v="438164.65103000001"/>
  </r>
  <r>
    <s v="EU27"/>
    <x v="5"/>
    <n v="2023"/>
    <x v="9"/>
    <x v="1"/>
    <x v="0"/>
    <m/>
    <m/>
    <n v="462713.08257999999"/>
  </r>
  <r>
    <s v="EU27"/>
    <x v="5"/>
    <n v="2023"/>
    <x v="9"/>
    <x v="1"/>
    <x v="1"/>
    <m/>
    <m/>
    <n v="1958.30645"/>
  </r>
  <r>
    <s v="EU27"/>
    <x v="5"/>
    <n v="2023"/>
    <x v="9"/>
    <x v="1"/>
    <x v="2"/>
    <m/>
    <m/>
    <n v="464695.06903999997"/>
  </r>
  <r>
    <s v="EU27"/>
    <x v="5"/>
    <n v="2023"/>
    <x v="9"/>
    <x v="2"/>
    <x v="0"/>
    <m/>
    <m/>
    <n v="1557.92749"/>
  </r>
  <r>
    <s v="EU27"/>
    <x v="5"/>
    <n v="2023"/>
    <x v="9"/>
    <x v="2"/>
    <x v="2"/>
    <m/>
    <m/>
    <n v="16637.427489999998"/>
  </r>
  <r>
    <s v="EU27"/>
    <x v="5"/>
    <n v="2023"/>
    <x v="10"/>
    <x v="0"/>
    <x v="0"/>
    <m/>
    <m/>
    <n v="3858.9795899999999"/>
  </r>
  <r>
    <s v="EU27"/>
    <x v="5"/>
    <n v="2023"/>
    <x v="10"/>
    <x v="0"/>
    <x v="1"/>
    <m/>
    <m/>
    <n v="0"/>
  </r>
  <r>
    <s v="EU27"/>
    <x v="5"/>
    <n v="2023"/>
    <x v="10"/>
    <x v="0"/>
    <x v="2"/>
    <m/>
    <m/>
    <n v="3858.9795899999999"/>
  </r>
  <r>
    <s v="EU27"/>
    <x v="5"/>
    <n v="2023"/>
    <x v="10"/>
    <x v="1"/>
    <x v="0"/>
    <m/>
    <m/>
    <n v="3858.9760200000001"/>
  </r>
  <r>
    <s v="EU27"/>
    <x v="5"/>
    <n v="2023"/>
    <x v="10"/>
    <x v="1"/>
    <x v="1"/>
    <m/>
    <m/>
    <n v="0"/>
  </r>
  <r>
    <s v="EU27"/>
    <x v="5"/>
    <n v="2023"/>
    <x v="10"/>
    <x v="1"/>
    <x v="2"/>
    <m/>
    <m/>
    <n v="3858.9760200000001"/>
  </r>
  <r>
    <s v="EU27"/>
    <x v="5"/>
    <n v="2023"/>
    <x v="10"/>
    <x v="2"/>
    <x v="0"/>
    <m/>
    <m/>
    <n v="4.0999999999999996"/>
  </r>
  <r>
    <s v="EU27"/>
    <x v="5"/>
    <n v="2023"/>
    <x v="10"/>
    <x v="2"/>
    <x v="2"/>
    <m/>
    <m/>
    <n v="1246.2"/>
  </r>
  <r>
    <s v="EU27"/>
    <x v="5"/>
    <n v="2023"/>
    <x v="11"/>
    <x v="0"/>
    <x v="0"/>
    <m/>
    <m/>
    <n v="55582.937270000002"/>
  </r>
  <r>
    <s v="EU27"/>
    <x v="5"/>
    <n v="2023"/>
    <x v="11"/>
    <x v="0"/>
    <x v="1"/>
    <m/>
    <m/>
    <n v="15246.343510000001"/>
  </r>
  <r>
    <s v="EU27"/>
    <x v="5"/>
    <n v="2023"/>
    <x v="11"/>
    <x v="0"/>
    <x v="2"/>
    <m/>
    <m/>
    <n v="70829.200760000007"/>
  </r>
  <r>
    <s v="EU27"/>
    <x v="5"/>
    <n v="2023"/>
    <x v="11"/>
    <x v="1"/>
    <x v="0"/>
    <m/>
    <m/>
    <n v="56908.644249999998"/>
  </r>
  <r>
    <s v="EU27"/>
    <x v="5"/>
    <n v="2023"/>
    <x v="11"/>
    <x v="1"/>
    <x v="1"/>
    <m/>
    <m/>
    <n v="15845.67073"/>
  </r>
  <r>
    <s v="EU27"/>
    <x v="5"/>
    <n v="2023"/>
    <x v="11"/>
    <x v="1"/>
    <x v="2"/>
    <m/>
    <m/>
    <n v="72754.214959999998"/>
  </r>
  <r>
    <s v="EU27"/>
    <x v="5"/>
    <n v="2023"/>
    <x v="11"/>
    <x v="2"/>
    <x v="0"/>
    <m/>
    <m/>
    <n v="428.4"/>
  </r>
  <r>
    <s v="EU27"/>
    <x v="5"/>
    <n v="2023"/>
    <x v="11"/>
    <x v="2"/>
    <x v="1"/>
    <m/>
    <m/>
    <n v="69.900000000000006"/>
  </r>
  <r>
    <s v="EU27"/>
    <x v="5"/>
    <n v="2023"/>
    <x v="11"/>
    <x v="2"/>
    <x v="2"/>
    <m/>
    <m/>
    <n v="18674.099999999999"/>
  </r>
  <r>
    <s v="EU27"/>
    <x v="5"/>
    <n v="2023"/>
    <x v="12"/>
    <x v="0"/>
    <x v="0"/>
    <m/>
    <m/>
    <n v="0"/>
  </r>
  <r>
    <s v="EU27"/>
    <x v="5"/>
    <n v="2023"/>
    <x v="12"/>
    <x v="0"/>
    <x v="1"/>
    <m/>
    <m/>
    <n v="0"/>
  </r>
  <r>
    <s v="EU27"/>
    <x v="5"/>
    <n v="2023"/>
    <x v="12"/>
    <x v="0"/>
    <x v="2"/>
    <m/>
    <m/>
    <n v="0"/>
  </r>
  <r>
    <s v="EU27"/>
    <x v="5"/>
    <n v="2023"/>
    <x v="12"/>
    <x v="1"/>
    <x v="0"/>
    <m/>
    <m/>
    <n v="0"/>
  </r>
  <r>
    <s v="EU27"/>
    <x v="5"/>
    <n v="2023"/>
    <x v="12"/>
    <x v="1"/>
    <x v="1"/>
    <m/>
    <m/>
    <n v="0"/>
  </r>
  <r>
    <s v="EU27"/>
    <x v="5"/>
    <n v="2023"/>
    <x v="12"/>
    <x v="1"/>
    <x v="2"/>
    <m/>
    <m/>
    <n v="0"/>
  </r>
  <r>
    <s v="EU27"/>
    <x v="5"/>
    <n v="2023"/>
    <x v="13"/>
    <x v="0"/>
    <x v="0"/>
    <m/>
    <m/>
    <n v="76323.765480000002"/>
  </r>
  <r>
    <s v="EU27"/>
    <x v="5"/>
    <n v="2023"/>
    <x v="13"/>
    <x v="0"/>
    <x v="1"/>
    <m/>
    <m/>
    <n v="220936.55974999999"/>
  </r>
  <r>
    <s v="EU27"/>
    <x v="5"/>
    <n v="2023"/>
    <x v="13"/>
    <x v="0"/>
    <x v="2"/>
    <m/>
    <m/>
    <n v="296981.70522"/>
  </r>
  <r>
    <s v="EU27"/>
    <x v="5"/>
    <n v="2023"/>
    <x v="13"/>
    <x v="1"/>
    <x v="0"/>
    <m/>
    <m/>
    <n v="77381.911349999995"/>
  </r>
  <r>
    <s v="EU27"/>
    <x v="5"/>
    <n v="2023"/>
    <x v="13"/>
    <x v="1"/>
    <x v="1"/>
    <m/>
    <m/>
    <n v="225247.31247"/>
  </r>
  <r>
    <s v="EU27"/>
    <x v="5"/>
    <n v="2023"/>
    <x v="13"/>
    <x v="1"/>
    <x v="2"/>
    <m/>
    <m/>
    <n v="302350.60382000002"/>
  </r>
  <r>
    <s v="EU27"/>
    <x v="5"/>
    <n v="2023"/>
    <x v="13"/>
    <x v="2"/>
    <x v="0"/>
    <m/>
    <m/>
    <n v="1026.82809"/>
  </r>
  <r>
    <s v="EU27"/>
    <x v="5"/>
    <n v="2023"/>
    <x v="13"/>
    <x v="2"/>
    <x v="1"/>
    <m/>
    <m/>
    <n v="724.9"/>
  </r>
  <r>
    <s v="EU27"/>
    <x v="5"/>
    <n v="2023"/>
    <x v="13"/>
    <x v="2"/>
    <x v="2"/>
    <m/>
    <m/>
    <n v="16285.62809"/>
  </r>
  <r>
    <s v="EU27"/>
    <x v="5"/>
    <n v="2023"/>
    <x v="14"/>
    <x v="0"/>
    <x v="0"/>
    <m/>
    <m/>
    <n v="368922.17524000001"/>
  </r>
  <r>
    <s v="EU27"/>
    <x v="5"/>
    <n v="2023"/>
    <x v="14"/>
    <x v="0"/>
    <x v="2"/>
    <m/>
    <m/>
    <n v="368922.17524000001"/>
  </r>
  <r>
    <s v="EU27"/>
    <x v="5"/>
    <n v="2023"/>
    <x v="14"/>
    <x v="1"/>
    <x v="0"/>
    <m/>
    <m/>
    <n v="377719.19059999997"/>
  </r>
  <r>
    <s v="EU27"/>
    <x v="5"/>
    <n v="2023"/>
    <x v="14"/>
    <x v="1"/>
    <x v="2"/>
    <m/>
    <m/>
    <n v="377719.19059999997"/>
  </r>
  <r>
    <s v="EU27"/>
    <x v="5"/>
    <n v="2023"/>
    <x v="14"/>
    <x v="2"/>
    <x v="0"/>
    <m/>
    <m/>
    <n v="2020.7103"/>
  </r>
  <r>
    <s v="EU27"/>
    <x v="5"/>
    <n v="2023"/>
    <x v="14"/>
    <x v="2"/>
    <x v="2"/>
    <m/>
    <m/>
    <n v="28866.310300000001"/>
  </r>
  <r>
    <s v="EU27"/>
    <x v="5"/>
    <n v="2023"/>
    <x v="15"/>
    <x v="0"/>
    <x v="2"/>
    <m/>
    <m/>
    <n v="-252720.54154000001"/>
  </r>
  <r>
    <s v="EU27"/>
    <x v="5"/>
    <n v="2023"/>
    <x v="15"/>
    <x v="1"/>
    <x v="2"/>
    <m/>
    <m/>
    <n v="-237416.77751000001"/>
  </r>
  <r>
    <s v="EU27"/>
    <x v="5"/>
    <n v="2023"/>
    <x v="15"/>
    <x v="2"/>
    <x v="2"/>
    <m/>
    <m/>
    <n v="-21349.374589999999"/>
  </r>
  <r>
    <s v="EU27"/>
    <x v="5"/>
    <n v="2023"/>
    <x v="16"/>
    <x v="0"/>
    <x v="2"/>
    <m/>
    <m/>
    <n v="-323532.92246999999"/>
  </r>
  <r>
    <s v="EU27"/>
    <x v="5"/>
    <n v="2023"/>
    <x v="16"/>
    <x v="1"/>
    <x v="2"/>
    <m/>
    <m/>
    <n v="-313497.97639000003"/>
  </r>
  <r>
    <s v="EU27"/>
    <x v="5"/>
    <n v="2023"/>
    <x v="16"/>
    <x v="2"/>
    <x v="2"/>
    <m/>
    <m/>
    <n v="-21347.326679999998"/>
  </r>
  <r>
    <s v="EU27"/>
    <x v="5"/>
    <n v="2023"/>
    <x v="17"/>
    <x v="0"/>
    <x v="2"/>
    <m/>
    <m/>
    <n v="36671.332600000002"/>
  </r>
  <r>
    <s v="EU27"/>
    <x v="5"/>
    <n v="2023"/>
    <x v="17"/>
    <x v="1"/>
    <x v="2"/>
    <m/>
    <m/>
    <n v="40116.2327"/>
  </r>
  <r>
    <s v="EU27"/>
    <x v="5"/>
    <n v="2023"/>
    <x v="17"/>
    <x v="2"/>
    <x v="2"/>
    <m/>
    <m/>
    <n v="-2358.0027500000001"/>
  </r>
  <r>
    <s v="EU27"/>
    <x v="5"/>
    <n v="2023"/>
    <x v="18"/>
    <x v="0"/>
    <x v="2"/>
    <m/>
    <m/>
    <n v="14213.43168"/>
  </r>
  <r>
    <s v="EU27"/>
    <x v="5"/>
    <n v="2023"/>
    <x v="18"/>
    <x v="1"/>
    <x v="2"/>
    <m/>
    <m/>
    <n v="14868.07453"/>
  </r>
  <r>
    <s v="EU27"/>
    <x v="5"/>
    <n v="2023"/>
    <x v="18"/>
    <x v="2"/>
    <x v="2"/>
    <m/>
    <m/>
    <n v="1077.9835599999999"/>
  </r>
  <r>
    <s v="EU27"/>
    <x v="5"/>
    <n v="2023"/>
    <x v="19"/>
    <x v="0"/>
    <x v="2"/>
    <m/>
    <m/>
    <n v="14784.032010000001"/>
  </r>
  <r>
    <s v="EU27"/>
    <x v="5"/>
    <n v="2023"/>
    <x v="19"/>
    <x v="1"/>
    <x v="2"/>
    <m/>
    <m/>
    <n v="14826.243850000001"/>
  </r>
  <r>
    <s v="EU27"/>
    <x v="5"/>
    <n v="2023"/>
    <x v="19"/>
    <x v="2"/>
    <x v="2"/>
    <m/>
    <m/>
    <n v="769.58648000000005"/>
  </r>
  <r>
    <s v="EU27"/>
    <x v="5"/>
    <n v="2023"/>
    <x v="20"/>
    <x v="0"/>
    <x v="2"/>
    <m/>
    <m/>
    <n v="35408.373670000001"/>
  </r>
  <r>
    <s v="EU27"/>
    <x v="5"/>
    <n v="2023"/>
    <x v="20"/>
    <x v="1"/>
    <x v="2"/>
    <m/>
    <m/>
    <n v="36185.921779999997"/>
  </r>
  <r>
    <s v="EU27"/>
    <x v="5"/>
    <n v="2023"/>
    <x v="20"/>
    <x v="2"/>
    <x v="2"/>
    <m/>
    <m/>
    <n v="2752.5977200000002"/>
  </r>
  <r>
    <s v="EU27"/>
    <x v="5"/>
    <n v="2023"/>
    <x v="21"/>
    <x v="0"/>
    <x v="2"/>
    <m/>
    <m/>
    <n v="662.16367000000002"/>
  </r>
  <r>
    <s v="EU27"/>
    <x v="5"/>
    <n v="2023"/>
    <x v="21"/>
    <x v="1"/>
    <x v="2"/>
    <m/>
    <m/>
    <n v="589.65894000000003"/>
  </r>
  <r>
    <s v="EU27"/>
    <x v="5"/>
    <n v="2023"/>
    <x v="21"/>
    <x v="2"/>
    <x v="2"/>
    <m/>
    <m/>
    <n v="208.92707999999999"/>
  </r>
  <r>
    <s v="EU27"/>
    <x v="5"/>
    <n v="2023"/>
    <x v="22"/>
    <x v="0"/>
    <x v="2"/>
    <m/>
    <m/>
    <n v="-30790.390950000001"/>
  </r>
  <r>
    <s v="EU27"/>
    <x v="5"/>
    <n v="2023"/>
    <x v="22"/>
    <x v="1"/>
    <x v="2"/>
    <m/>
    <m/>
    <n v="-30767.031169999998"/>
  </r>
  <r>
    <s v="EU27"/>
    <x v="5"/>
    <n v="2023"/>
    <x v="22"/>
    <x v="2"/>
    <x v="2"/>
    <m/>
    <m/>
    <n v="-2453.14"/>
  </r>
  <r>
    <s v="EU27"/>
    <x v="5"/>
    <n v="2023"/>
    <x v="23"/>
    <x v="0"/>
    <x v="2"/>
    <m/>
    <m/>
    <n v="261.87700000000001"/>
  </r>
  <r>
    <s v="EU27"/>
    <x v="5"/>
    <n v="2023"/>
    <x v="23"/>
    <x v="1"/>
    <x v="2"/>
    <m/>
    <m/>
    <n v="261.87700000000001"/>
  </r>
  <r>
    <s v="EU27"/>
    <x v="5"/>
    <n v="2023"/>
    <x v="24"/>
    <x v="0"/>
    <x v="0"/>
    <m/>
    <m/>
    <n v="102569.75701"/>
  </r>
  <r>
    <s v="EU27"/>
    <x v="5"/>
    <n v="2023"/>
    <x v="24"/>
    <x v="0"/>
    <x v="1"/>
    <m/>
    <m/>
    <n v="261.24754000000001"/>
  </r>
  <r>
    <s v="EU27"/>
    <x v="5"/>
    <n v="2023"/>
    <x v="24"/>
    <x v="0"/>
    <x v="2"/>
    <m/>
    <m/>
    <n v="102831.00456"/>
  </r>
  <r>
    <s v="EU27"/>
    <x v="5"/>
    <n v="2023"/>
    <x v="24"/>
    <x v="1"/>
    <x v="0"/>
    <m/>
    <m/>
    <n v="103365.6327"/>
  </r>
  <r>
    <s v="EU27"/>
    <x v="5"/>
    <n v="2023"/>
    <x v="24"/>
    <x v="1"/>
    <x v="1"/>
    <m/>
    <m/>
    <n v="261.24754000000001"/>
  </r>
  <r>
    <s v="EU27"/>
    <x v="5"/>
    <n v="2023"/>
    <x v="24"/>
    <x v="1"/>
    <x v="2"/>
    <m/>
    <m/>
    <n v="103626.88025"/>
  </r>
  <r>
    <s v="EU27"/>
    <x v="5"/>
    <n v="2023"/>
    <x v="24"/>
    <x v="2"/>
    <x v="0"/>
    <m/>
    <m/>
    <n v="1557.98325"/>
  </r>
  <r>
    <s v="EU27"/>
    <x v="5"/>
    <n v="2023"/>
    <x v="24"/>
    <x v="2"/>
    <x v="2"/>
    <m/>
    <m/>
    <n v="10638.58325"/>
  </r>
  <r>
    <s v="EU27"/>
    <x v="5"/>
    <n v="2023"/>
    <x v="25"/>
    <x v="0"/>
    <x v="0"/>
    <m/>
    <m/>
    <n v="121"/>
  </r>
  <r>
    <s v="EU27"/>
    <x v="5"/>
    <n v="2023"/>
    <x v="25"/>
    <x v="0"/>
    <x v="2"/>
    <m/>
    <m/>
    <n v="113083.8294477556"/>
  </r>
  <r>
    <s v="EU27"/>
    <x v="5"/>
    <n v="2023"/>
    <x v="25"/>
    <x v="1"/>
    <x v="0"/>
    <m/>
    <m/>
    <n v="121"/>
  </r>
  <r>
    <s v="EU27"/>
    <x v="5"/>
    <n v="2023"/>
    <x v="25"/>
    <x v="1"/>
    <x v="2"/>
    <m/>
    <m/>
    <n v="118104.1750877556"/>
  </r>
  <r>
    <s v="EU27"/>
    <x v="5"/>
    <n v="2023"/>
    <x v="25"/>
    <x v="2"/>
    <x v="2"/>
    <m/>
    <m/>
    <n v="977.47261000000003"/>
  </r>
  <r>
    <s v="EU27"/>
    <x v="5"/>
    <n v="2023"/>
    <x v="26"/>
    <x v="0"/>
    <x v="0"/>
    <m/>
    <m/>
    <n v="574.29999999999995"/>
  </r>
  <r>
    <s v="EU27"/>
    <x v="5"/>
    <n v="2023"/>
    <x v="26"/>
    <x v="0"/>
    <x v="2"/>
    <m/>
    <m/>
    <n v="138737.47233080171"/>
  </r>
  <r>
    <s v="EU27"/>
    <x v="5"/>
    <n v="2023"/>
    <x v="26"/>
    <x v="1"/>
    <x v="0"/>
    <m/>
    <m/>
    <n v="574.29999999999995"/>
  </r>
  <r>
    <s v="EU27"/>
    <x v="5"/>
    <n v="2023"/>
    <x v="26"/>
    <x v="1"/>
    <x v="2"/>
    <m/>
    <m/>
    <n v="139489.76578080171"/>
  </r>
  <r>
    <s v="EU27"/>
    <x v="5"/>
    <n v="2023"/>
    <x v="26"/>
    <x v="2"/>
    <x v="2"/>
    <m/>
    <m/>
    <n v="679.59999999999991"/>
  </r>
  <r>
    <s v="EU27"/>
    <x v="5"/>
    <n v="2023"/>
    <x v="27"/>
    <x v="0"/>
    <x v="0"/>
    <m/>
    <m/>
    <n v="743.06056000000001"/>
  </r>
  <r>
    <s v="EU27"/>
    <x v="5"/>
    <n v="2023"/>
    <x v="27"/>
    <x v="0"/>
    <x v="2"/>
    <m/>
    <m/>
    <n v="886.96055999999999"/>
  </r>
  <r>
    <s v="EU27"/>
    <x v="5"/>
    <n v="2023"/>
    <x v="27"/>
    <x v="1"/>
    <x v="0"/>
    <m/>
    <m/>
    <n v="743.86111000000005"/>
  </r>
  <r>
    <s v="EU27"/>
    <x v="5"/>
    <n v="2023"/>
    <x v="27"/>
    <x v="1"/>
    <x v="2"/>
    <m/>
    <m/>
    <n v="887.76111000000003"/>
  </r>
  <r>
    <s v="EU27"/>
    <x v="5"/>
    <n v="2023"/>
    <x v="28"/>
    <x v="0"/>
    <x v="0"/>
    <m/>
    <m/>
    <n v="1924069.45878"/>
  </r>
  <r>
    <s v="EU27"/>
    <x v="5"/>
    <n v="2023"/>
    <x v="28"/>
    <x v="0"/>
    <x v="1"/>
    <m/>
    <m/>
    <n v="1070719.3015699999"/>
  </r>
  <r>
    <s v="EU27"/>
    <x v="5"/>
    <n v="2023"/>
    <x v="28"/>
    <x v="0"/>
    <x v="2"/>
    <m/>
    <m/>
    <n v="3011259.6148199998"/>
  </r>
  <r>
    <s v="EU27"/>
    <x v="5"/>
    <n v="2023"/>
    <x v="28"/>
    <x v="1"/>
    <x v="0"/>
    <m/>
    <m/>
    <n v="1994903.2228399999"/>
  </r>
  <r>
    <s v="EU27"/>
    <x v="5"/>
    <n v="2023"/>
    <x v="28"/>
    <x v="1"/>
    <x v="1"/>
    <m/>
    <m/>
    <n v="1134999.6102400001"/>
  </r>
  <r>
    <s v="EU27"/>
    <x v="5"/>
    <n v="2023"/>
    <x v="28"/>
    <x v="1"/>
    <x v="2"/>
    <m/>
    <m/>
    <n v="3147490.52446"/>
  </r>
  <r>
    <s v="EU27"/>
    <x v="5"/>
    <n v="2023"/>
    <x v="28"/>
    <x v="2"/>
    <x v="0"/>
    <m/>
    <m/>
    <n v="15238.63134"/>
  </r>
  <r>
    <s v="EU27"/>
    <x v="5"/>
    <n v="2023"/>
    <x v="28"/>
    <x v="2"/>
    <x v="1"/>
    <m/>
    <m/>
    <n v="9176.3343700000005"/>
  </r>
  <r>
    <s v="EU27"/>
    <x v="5"/>
    <n v="2023"/>
    <x v="28"/>
    <x v="2"/>
    <x v="2"/>
    <m/>
    <m/>
    <n v="190257.79681999999"/>
  </r>
  <r>
    <s v="EU27"/>
    <x v="5"/>
    <n v="2023"/>
    <x v="29"/>
    <x v="0"/>
    <x v="0"/>
    <m/>
    <m/>
    <n v="1924069.3587799999"/>
  </r>
  <r>
    <s v="EU27"/>
    <x v="5"/>
    <n v="2023"/>
    <x v="29"/>
    <x v="0"/>
    <x v="1"/>
    <m/>
    <m/>
    <n v="1070719.3015699999"/>
  </r>
  <r>
    <s v="EU27"/>
    <x v="5"/>
    <n v="2023"/>
    <x v="29"/>
    <x v="0"/>
    <x v="2"/>
    <m/>
    <m/>
    <n v="2758538.99327"/>
  </r>
  <r>
    <s v="EU27"/>
    <x v="5"/>
    <n v="2023"/>
    <x v="29"/>
    <x v="1"/>
    <x v="0"/>
    <m/>
    <m/>
    <n v="1994903.1228400001"/>
  </r>
  <r>
    <s v="EU27"/>
    <x v="5"/>
    <n v="2023"/>
    <x v="29"/>
    <x v="1"/>
    <x v="1"/>
    <m/>
    <m/>
    <n v="1134999.6102400001"/>
  </r>
  <r>
    <s v="EU27"/>
    <x v="5"/>
    <n v="2023"/>
    <x v="29"/>
    <x v="1"/>
    <x v="2"/>
    <m/>
    <m/>
    <n v="2910065.6094"/>
  </r>
  <r>
    <s v="EU27"/>
    <x v="5"/>
    <n v="2023"/>
    <x v="29"/>
    <x v="2"/>
    <x v="0"/>
    <m/>
    <m/>
    <n v="15238.63134"/>
  </r>
  <r>
    <s v="EU27"/>
    <x v="5"/>
    <n v="2023"/>
    <x v="29"/>
    <x v="2"/>
    <x v="1"/>
    <m/>
    <m/>
    <n v="9176.3343700000005"/>
  </r>
  <r>
    <s v="EU27"/>
    <x v="5"/>
    <n v="2023"/>
    <x v="29"/>
    <x v="2"/>
    <x v="2"/>
    <m/>
    <m/>
    <n v="169209.58223"/>
  </r>
  <r>
    <s v="EU27"/>
    <x v="6"/>
    <n v="2023"/>
    <x v="0"/>
    <x v="0"/>
    <x v="0"/>
    <m/>
    <m/>
    <n v="1336158.7481500001"/>
  </r>
  <r>
    <s v="EU27"/>
    <x v="6"/>
    <n v="2023"/>
    <x v="0"/>
    <x v="0"/>
    <x v="1"/>
    <m/>
    <m/>
    <n v="783161.61462999997"/>
  </r>
  <r>
    <s v="EU27"/>
    <x v="6"/>
    <n v="2023"/>
    <x v="0"/>
    <x v="0"/>
    <x v="2"/>
    <m/>
    <m/>
    <n v="2136144.0229400001"/>
  </r>
  <r>
    <s v="EU27"/>
    <x v="6"/>
    <n v="2023"/>
    <x v="0"/>
    <x v="1"/>
    <x v="0"/>
    <m/>
    <m/>
    <n v="1408708.3302"/>
  </r>
  <r>
    <s v="EU27"/>
    <x v="6"/>
    <n v="2023"/>
    <x v="0"/>
    <x v="1"/>
    <x v="1"/>
    <m/>
    <m/>
    <n v="847755.16275999998"/>
  </r>
  <r>
    <s v="EU27"/>
    <x v="6"/>
    <n v="2023"/>
    <x v="0"/>
    <x v="1"/>
    <x v="2"/>
    <m/>
    <m/>
    <n v="2274462.00722"/>
  </r>
  <r>
    <s v="EU27"/>
    <x v="6"/>
    <n v="2023"/>
    <x v="0"/>
    <x v="2"/>
    <x v="0"/>
    <m/>
    <m/>
    <n v="10744.22774"/>
  </r>
  <r>
    <s v="EU27"/>
    <x v="6"/>
    <n v="2023"/>
    <x v="0"/>
    <x v="2"/>
    <x v="1"/>
    <m/>
    <m/>
    <n v="8468.0839099999994"/>
  </r>
  <r>
    <s v="EU27"/>
    <x v="6"/>
    <n v="2023"/>
    <x v="0"/>
    <x v="2"/>
    <x v="2"/>
    <m/>
    <m/>
    <n v="135702.46612999999"/>
  </r>
  <r>
    <s v="EU27"/>
    <x v="6"/>
    <n v="2023"/>
    <x v="1"/>
    <x v="0"/>
    <x v="0"/>
    <m/>
    <m/>
    <n v="56121.317649999997"/>
  </r>
  <r>
    <s v="EU27"/>
    <x v="6"/>
    <n v="2023"/>
    <x v="1"/>
    <x v="0"/>
    <x v="1"/>
    <m/>
    <m/>
    <n v="506791.60496999999"/>
  </r>
  <r>
    <s v="EU27"/>
    <x v="6"/>
    <n v="2023"/>
    <x v="1"/>
    <x v="0"/>
    <x v="2"/>
    <m/>
    <m/>
    <n v="562912.68263000005"/>
  </r>
  <r>
    <s v="EU27"/>
    <x v="6"/>
    <n v="2023"/>
    <x v="1"/>
    <x v="1"/>
    <x v="0"/>
    <m/>
    <m/>
    <n v="61082.226820000003"/>
  </r>
  <r>
    <s v="EU27"/>
    <x v="6"/>
    <n v="2023"/>
    <x v="1"/>
    <x v="1"/>
    <x v="1"/>
    <m/>
    <m/>
    <n v="552240.45036000002"/>
  </r>
  <r>
    <s v="EU27"/>
    <x v="6"/>
    <n v="2023"/>
    <x v="1"/>
    <x v="1"/>
    <x v="2"/>
    <m/>
    <m/>
    <n v="613322.35719000001"/>
  </r>
  <r>
    <s v="EU27"/>
    <x v="6"/>
    <n v="2023"/>
    <x v="1"/>
    <x v="2"/>
    <x v="0"/>
    <m/>
    <m/>
    <n v="135.39516"/>
  </r>
  <r>
    <s v="EU27"/>
    <x v="6"/>
    <n v="2023"/>
    <x v="1"/>
    <x v="2"/>
    <x v="1"/>
    <m/>
    <m/>
    <n v="7050.8839099999996"/>
  </r>
  <r>
    <s v="EU27"/>
    <x v="6"/>
    <n v="2023"/>
    <x v="1"/>
    <x v="2"/>
    <x v="2"/>
    <m/>
    <m/>
    <n v="48159.779069999997"/>
  </r>
  <r>
    <s v="EU27"/>
    <x v="6"/>
    <n v="2023"/>
    <x v="2"/>
    <x v="0"/>
    <x v="0"/>
    <m/>
    <m/>
    <n v="107159.26839"/>
  </r>
  <r>
    <s v="EU27"/>
    <x v="6"/>
    <n v="2023"/>
    <x v="2"/>
    <x v="0"/>
    <x v="1"/>
    <m/>
    <m/>
    <n v="255640.45838"/>
  </r>
  <r>
    <s v="EU27"/>
    <x v="6"/>
    <n v="2023"/>
    <x v="2"/>
    <x v="0"/>
    <x v="2"/>
    <m/>
    <m/>
    <n v="362799.42674000002"/>
  </r>
  <r>
    <s v="EU27"/>
    <x v="6"/>
    <n v="2023"/>
    <x v="2"/>
    <x v="1"/>
    <x v="0"/>
    <m/>
    <m/>
    <n v="110512.86259"/>
  </r>
  <r>
    <s v="EU27"/>
    <x v="6"/>
    <n v="2023"/>
    <x v="2"/>
    <x v="1"/>
    <x v="1"/>
    <m/>
    <m/>
    <n v="273917.44108999998"/>
  </r>
  <r>
    <s v="EU27"/>
    <x v="6"/>
    <n v="2023"/>
    <x v="2"/>
    <x v="1"/>
    <x v="2"/>
    <m/>
    <m/>
    <n v="384430.80365000002"/>
  </r>
  <r>
    <s v="EU27"/>
    <x v="6"/>
    <n v="2023"/>
    <x v="2"/>
    <x v="2"/>
    <x v="0"/>
    <m/>
    <m/>
    <n v="983.19311999999991"/>
  </r>
  <r>
    <s v="EU27"/>
    <x v="6"/>
    <n v="2023"/>
    <x v="2"/>
    <x v="2"/>
    <x v="1"/>
    <m/>
    <m/>
    <n v="1347.3"/>
  </r>
  <r>
    <s v="EU27"/>
    <x v="6"/>
    <n v="2023"/>
    <x v="2"/>
    <x v="2"/>
    <x v="2"/>
    <m/>
    <m/>
    <n v="18755.093120000001"/>
  </r>
  <r>
    <s v="EU27"/>
    <x v="6"/>
    <n v="2023"/>
    <x v="3"/>
    <x v="0"/>
    <x v="0"/>
    <m/>
    <m/>
    <n v="691254.87430999998"/>
  </r>
  <r>
    <s v="EU27"/>
    <x v="6"/>
    <n v="2023"/>
    <x v="3"/>
    <x v="0"/>
    <x v="1"/>
    <m/>
    <m/>
    <n v="3845.5041799999999"/>
  </r>
  <r>
    <s v="EU27"/>
    <x v="6"/>
    <n v="2023"/>
    <x v="3"/>
    <x v="0"/>
    <x v="2"/>
    <m/>
    <m/>
    <n v="711923.73864999996"/>
  </r>
  <r>
    <s v="EU27"/>
    <x v="6"/>
    <n v="2023"/>
    <x v="3"/>
    <x v="1"/>
    <x v="0"/>
    <m/>
    <m/>
    <n v="724014.43543000007"/>
  </r>
  <r>
    <s v="EU27"/>
    <x v="6"/>
    <n v="2023"/>
    <x v="3"/>
    <x v="1"/>
    <x v="1"/>
    <m/>
    <m/>
    <n v="3922.07584"/>
  </r>
  <r>
    <s v="EU27"/>
    <x v="6"/>
    <n v="2023"/>
    <x v="3"/>
    <x v="1"/>
    <x v="2"/>
    <m/>
    <m/>
    <n v="745935.04551999993"/>
  </r>
  <r>
    <s v="EU27"/>
    <x v="6"/>
    <n v="2023"/>
    <x v="3"/>
    <x v="2"/>
    <x v="0"/>
    <m/>
    <m/>
    <n v="7639.27081"/>
  </r>
  <r>
    <s v="EU27"/>
    <x v="6"/>
    <n v="2023"/>
    <x v="3"/>
    <x v="2"/>
    <x v="1"/>
    <m/>
    <m/>
    <n v="0"/>
  </r>
  <r>
    <s v="EU27"/>
    <x v="6"/>
    <n v="2023"/>
    <x v="3"/>
    <x v="2"/>
    <x v="2"/>
    <m/>
    <m/>
    <n v="32044.1253"/>
  </r>
  <r>
    <s v="EU27"/>
    <x v="6"/>
    <n v="2023"/>
    <x v="4"/>
    <x v="0"/>
    <x v="0"/>
    <m/>
    <m/>
    <n v="150.35087999999999"/>
  </r>
  <r>
    <s v="EU27"/>
    <x v="6"/>
    <n v="2023"/>
    <x v="4"/>
    <x v="0"/>
    <x v="2"/>
    <m/>
    <m/>
    <n v="16973.97551"/>
  </r>
  <r>
    <s v="EU27"/>
    <x v="6"/>
    <n v="2023"/>
    <x v="4"/>
    <x v="1"/>
    <x v="0"/>
    <m/>
    <m/>
    <n v="158.826852"/>
  </r>
  <r>
    <s v="EU27"/>
    <x v="6"/>
    <n v="2023"/>
    <x v="4"/>
    <x v="1"/>
    <x v="2"/>
    <m/>
    <m/>
    <n v="18157.509849999999"/>
  </r>
  <r>
    <s v="EU27"/>
    <x v="6"/>
    <n v="2023"/>
    <x v="4"/>
    <x v="2"/>
    <x v="0"/>
    <m/>
    <m/>
    <n v="1.2710000000000001E-2"/>
  </r>
  <r>
    <s v="EU27"/>
    <x v="6"/>
    <n v="2023"/>
    <x v="4"/>
    <x v="2"/>
    <x v="2"/>
    <m/>
    <m/>
    <n v="367.16719000000001"/>
  </r>
  <r>
    <s v="EU27"/>
    <x v="6"/>
    <n v="2023"/>
    <x v="5"/>
    <x v="0"/>
    <x v="0"/>
    <m/>
    <m/>
    <n v="668134.74343000003"/>
  </r>
  <r>
    <s v="EU27"/>
    <x v="6"/>
    <n v="2023"/>
    <x v="5"/>
    <x v="0"/>
    <x v="1"/>
    <m/>
    <m/>
    <n v="0"/>
  </r>
  <r>
    <s v="EU27"/>
    <x v="6"/>
    <n v="2023"/>
    <x v="5"/>
    <x v="0"/>
    <x v="2"/>
    <m/>
    <m/>
    <n v="668134.74343000003"/>
  </r>
  <r>
    <s v="EU27"/>
    <x v="6"/>
    <n v="2023"/>
    <x v="5"/>
    <x v="1"/>
    <x v="0"/>
    <m/>
    <m/>
    <n v="700417.88948000001"/>
  </r>
  <r>
    <s v="EU27"/>
    <x v="6"/>
    <n v="2023"/>
    <x v="5"/>
    <x v="1"/>
    <x v="1"/>
    <m/>
    <m/>
    <n v="0"/>
  </r>
  <r>
    <s v="EU27"/>
    <x v="6"/>
    <n v="2023"/>
    <x v="5"/>
    <x v="1"/>
    <x v="2"/>
    <m/>
    <m/>
    <n v="700417.88948000001"/>
  </r>
  <r>
    <s v="EU27"/>
    <x v="6"/>
    <n v="2023"/>
    <x v="5"/>
    <x v="2"/>
    <x v="0"/>
    <m/>
    <m/>
    <n v="7548.81005"/>
  </r>
  <r>
    <s v="EU27"/>
    <x v="6"/>
    <n v="2023"/>
    <x v="5"/>
    <x v="2"/>
    <x v="2"/>
    <m/>
    <m/>
    <n v="30326.410049999999"/>
  </r>
  <r>
    <s v="EU27"/>
    <x v="6"/>
    <n v="2023"/>
    <x v="6"/>
    <x v="0"/>
    <x v="0"/>
    <m/>
    <m/>
    <n v="3644.5770200000002"/>
  </r>
  <r>
    <s v="EU27"/>
    <x v="6"/>
    <n v="2023"/>
    <x v="6"/>
    <x v="0"/>
    <x v="1"/>
    <m/>
    <m/>
    <n v="0"/>
  </r>
  <r>
    <s v="EU27"/>
    <x v="6"/>
    <n v="2023"/>
    <x v="6"/>
    <x v="0"/>
    <x v="2"/>
    <m/>
    <m/>
    <n v="3644.5770200000002"/>
  </r>
  <r>
    <s v="EU27"/>
    <x v="6"/>
    <n v="2023"/>
    <x v="6"/>
    <x v="1"/>
    <x v="0"/>
    <m/>
    <m/>
    <n v="4033.5665399999998"/>
  </r>
  <r>
    <s v="EU27"/>
    <x v="6"/>
    <n v="2023"/>
    <x v="6"/>
    <x v="1"/>
    <x v="1"/>
    <m/>
    <m/>
    <n v="0"/>
  </r>
  <r>
    <s v="EU27"/>
    <x v="6"/>
    <n v="2023"/>
    <x v="6"/>
    <x v="1"/>
    <x v="2"/>
    <m/>
    <m/>
    <n v="4033.5665399999998"/>
  </r>
  <r>
    <s v="EU27"/>
    <x v="6"/>
    <n v="2023"/>
    <x v="6"/>
    <x v="2"/>
    <x v="0"/>
    <m/>
    <m/>
    <n v="35"/>
  </r>
  <r>
    <s v="EU27"/>
    <x v="6"/>
    <n v="2023"/>
    <x v="6"/>
    <x v="2"/>
    <x v="2"/>
    <m/>
    <m/>
    <n v="828.2"/>
  </r>
  <r>
    <s v="EU27"/>
    <x v="6"/>
    <n v="2023"/>
    <x v="7"/>
    <x v="0"/>
    <x v="0"/>
    <m/>
    <m/>
    <n v="17992.6656"/>
  </r>
  <r>
    <s v="EU27"/>
    <x v="6"/>
    <n v="2023"/>
    <x v="7"/>
    <x v="0"/>
    <x v="1"/>
    <m/>
    <m/>
    <n v="0"/>
  </r>
  <r>
    <s v="EU27"/>
    <x v="6"/>
    <n v="2023"/>
    <x v="7"/>
    <x v="0"/>
    <x v="2"/>
    <m/>
    <m/>
    <n v="17988.229439999999"/>
  </r>
  <r>
    <s v="EU27"/>
    <x v="6"/>
    <n v="2023"/>
    <x v="7"/>
    <x v="1"/>
    <x v="0"/>
    <m/>
    <m/>
    <n v="17937.93619"/>
  </r>
  <r>
    <s v="EU27"/>
    <x v="6"/>
    <n v="2023"/>
    <x v="7"/>
    <x v="1"/>
    <x v="1"/>
    <m/>
    <m/>
    <n v="0"/>
  </r>
  <r>
    <s v="EU27"/>
    <x v="6"/>
    <n v="2023"/>
    <x v="7"/>
    <x v="1"/>
    <x v="2"/>
    <m/>
    <m/>
    <n v="17937.936030000001"/>
  </r>
  <r>
    <s v="EU27"/>
    <x v="6"/>
    <n v="2023"/>
    <x v="7"/>
    <x v="2"/>
    <x v="0"/>
    <m/>
    <m/>
    <n v="48.248060000000002"/>
  </r>
  <r>
    <s v="EU27"/>
    <x v="6"/>
    <n v="2023"/>
    <x v="7"/>
    <x v="2"/>
    <x v="2"/>
    <m/>
    <m/>
    <n v="296.54806000000002"/>
  </r>
  <r>
    <s v="EU27"/>
    <x v="6"/>
    <n v="2023"/>
    <x v="8"/>
    <x v="0"/>
    <x v="0"/>
    <m/>
    <m/>
    <n v="1332.35293"/>
  </r>
  <r>
    <s v="EU27"/>
    <x v="6"/>
    <n v="2023"/>
    <x v="8"/>
    <x v="0"/>
    <x v="1"/>
    <m/>
    <m/>
    <n v="3845.5041799999999"/>
  </r>
  <r>
    <s v="EU27"/>
    <x v="6"/>
    <n v="2023"/>
    <x v="8"/>
    <x v="0"/>
    <x v="2"/>
    <m/>
    <m/>
    <n v="5177.9570999999996"/>
  </r>
  <r>
    <s v="EU27"/>
    <x v="6"/>
    <n v="2023"/>
    <x v="8"/>
    <x v="1"/>
    <x v="0"/>
    <m/>
    <m/>
    <n v="1465.88762"/>
  </r>
  <r>
    <s v="EU27"/>
    <x v="6"/>
    <n v="2023"/>
    <x v="8"/>
    <x v="1"/>
    <x v="1"/>
    <m/>
    <m/>
    <n v="3922.07584"/>
  </r>
  <r>
    <s v="EU27"/>
    <x v="6"/>
    <n v="2023"/>
    <x v="8"/>
    <x v="1"/>
    <x v="2"/>
    <m/>
    <m/>
    <n v="5388.0634499999996"/>
  </r>
  <r>
    <s v="EU27"/>
    <x v="6"/>
    <n v="2023"/>
    <x v="8"/>
    <x v="2"/>
    <x v="0"/>
    <m/>
    <m/>
    <n v="7.2"/>
  </r>
  <r>
    <s v="EU27"/>
    <x v="6"/>
    <n v="2023"/>
    <x v="8"/>
    <x v="2"/>
    <x v="2"/>
    <m/>
    <m/>
    <n v="225.8"/>
  </r>
  <r>
    <s v="EU27"/>
    <x v="6"/>
    <n v="2023"/>
    <x v="9"/>
    <x v="0"/>
    <x v="0"/>
    <m/>
    <m/>
    <n v="422821.86410000001"/>
  </r>
  <r>
    <s v="EU27"/>
    <x v="6"/>
    <n v="2023"/>
    <x v="9"/>
    <x v="0"/>
    <x v="1"/>
    <m/>
    <m/>
    <n v="1833.8466100000001"/>
  </r>
  <r>
    <s v="EU27"/>
    <x v="6"/>
    <n v="2023"/>
    <x v="9"/>
    <x v="0"/>
    <x v="2"/>
    <m/>
    <m/>
    <n v="424673.51069999998"/>
  </r>
  <r>
    <s v="EU27"/>
    <x v="6"/>
    <n v="2023"/>
    <x v="9"/>
    <x v="1"/>
    <x v="0"/>
    <m/>
    <m/>
    <n v="452843.14396999998"/>
  </r>
  <r>
    <s v="EU27"/>
    <x v="6"/>
    <n v="2023"/>
    <x v="9"/>
    <x v="1"/>
    <x v="1"/>
    <m/>
    <m/>
    <n v="1910.11454"/>
  </r>
  <r>
    <s v="EU27"/>
    <x v="6"/>
    <n v="2023"/>
    <x v="9"/>
    <x v="1"/>
    <x v="2"/>
    <m/>
    <m/>
    <n v="454771.31852999999"/>
  </r>
  <r>
    <s v="EU27"/>
    <x v="6"/>
    <n v="2023"/>
    <x v="9"/>
    <x v="2"/>
    <x v="0"/>
    <m/>
    <m/>
    <n v="1553.6686500000001"/>
  </r>
  <r>
    <s v="EU27"/>
    <x v="6"/>
    <n v="2023"/>
    <x v="9"/>
    <x v="2"/>
    <x v="2"/>
    <m/>
    <m/>
    <n v="16822.968649999999"/>
  </r>
  <r>
    <s v="EU27"/>
    <x v="6"/>
    <n v="2023"/>
    <x v="10"/>
    <x v="0"/>
    <x v="0"/>
    <m/>
    <m/>
    <n v="3801.35131"/>
  </r>
  <r>
    <s v="EU27"/>
    <x v="6"/>
    <n v="2023"/>
    <x v="10"/>
    <x v="0"/>
    <x v="1"/>
    <m/>
    <m/>
    <n v="0"/>
  </r>
  <r>
    <s v="EU27"/>
    <x v="6"/>
    <n v="2023"/>
    <x v="10"/>
    <x v="0"/>
    <x v="2"/>
    <m/>
    <m/>
    <n v="3801.35131"/>
  </r>
  <r>
    <s v="EU27"/>
    <x v="6"/>
    <n v="2023"/>
    <x v="10"/>
    <x v="1"/>
    <x v="0"/>
    <m/>
    <m/>
    <n v="3801.3477400000002"/>
  </r>
  <r>
    <s v="EU27"/>
    <x v="6"/>
    <n v="2023"/>
    <x v="10"/>
    <x v="1"/>
    <x v="1"/>
    <m/>
    <m/>
    <n v="0"/>
  </r>
  <r>
    <s v="EU27"/>
    <x v="6"/>
    <n v="2023"/>
    <x v="10"/>
    <x v="1"/>
    <x v="2"/>
    <m/>
    <m/>
    <n v="3801.3477400000002"/>
  </r>
  <r>
    <s v="EU27"/>
    <x v="6"/>
    <n v="2023"/>
    <x v="10"/>
    <x v="2"/>
    <x v="0"/>
    <m/>
    <m/>
    <n v="4.0999999999999996"/>
  </r>
  <r>
    <s v="EU27"/>
    <x v="6"/>
    <n v="2023"/>
    <x v="10"/>
    <x v="2"/>
    <x v="2"/>
    <m/>
    <m/>
    <n v="1246.2"/>
  </r>
  <r>
    <s v="EU27"/>
    <x v="6"/>
    <n v="2023"/>
    <x v="11"/>
    <x v="0"/>
    <x v="0"/>
    <m/>
    <m/>
    <n v="55061.392370000001"/>
  </r>
  <r>
    <s v="EU27"/>
    <x v="6"/>
    <n v="2023"/>
    <x v="11"/>
    <x v="0"/>
    <x v="1"/>
    <m/>
    <m/>
    <n v="15032.44053"/>
  </r>
  <r>
    <s v="EU27"/>
    <x v="6"/>
    <n v="2023"/>
    <x v="11"/>
    <x v="0"/>
    <x v="2"/>
    <m/>
    <m/>
    <n v="70093.872889999999"/>
  </r>
  <r>
    <s v="EU27"/>
    <x v="6"/>
    <n v="2023"/>
    <x v="11"/>
    <x v="1"/>
    <x v="0"/>
    <m/>
    <m/>
    <n v="56515.433670000013"/>
  </r>
  <r>
    <s v="EU27"/>
    <x v="6"/>
    <n v="2023"/>
    <x v="11"/>
    <x v="1"/>
    <x v="1"/>
    <m/>
    <m/>
    <n v="15747.10094"/>
  </r>
  <r>
    <s v="EU27"/>
    <x v="6"/>
    <n v="2023"/>
    <x v="11"/>
    <x v="1"/>
    <x v="2"/>
    <m/>
    <m/>
    <n v="72262.434600000008"/>
  </r>
  <r>
    <s v="EU27"/>
    <x v="6"/>
    <n v="2023"/>
    <x v="11"/>
    <x v="2"/>
    <x v="0"/>
    <m/>
    <m/>
    <n v="428.5"/>
  </r>
  <r>
    <s v="EU27"/>
    <x v="6"/>
    <n v="2023"/>
    <x v="11"/>
    <x v="2"/>
    <x v="1"/>
    <m/>
    <m/>
    <n v="69.900000000000006"/>
  </r>
  <r>
    <s v="EU27"/>
    <x v="6"/>
    <n v="2023"/>
    <x v="11"/>
    <x v="2"/>
    <x v="2"/>
    <m/>
    <m/>
    <n v="18674.2"/>
  </r>
  <r>
    <s v="EU27"/>
    <x v="6"/>
    <n v="2023"/>
    <x v="12"/>
    <x v="0"/>
    <x v="0"/>
    <m/>
    <m/>
    <n v="0"/>
  </r>
  <r>
    <s v="EU27"/>
    <x v="6"/>
    <n v="2023"/>
    <x v="12"/>
    <x v="0"/>
    <x v="1"/>
    <m/>
    <m/>
    <n v="0"/>
  </r>
  <r>
    <s v="EU27"/>
    <x v="6"/>
    <n v="2023"/>
    <x v="12"/>
    <x v="0"/>
    <x v="2"/>
    <m/>
    <m/>
    <n v="0"/>
  </r>
  <r>
    <s v="EU27"/>
    <x v="6"/>
    <n v="2023"/>
    <x v="12"/>
    <x v="1"/>
    <x v="0"/>
    <m/>
    <m/>
    <n v="0"/>
  </r>
  <r>
    <s v="EU27"/>
    <x v="6"/>
    <n v="2023"/>
    <x v="12"/>
    <x v="1"/>
    <x v="1"/>
    <m/>
    <m/>
    <n v="0"/>
  </r>
  <r>
    <s v="EU27"/>
    <x v="6"/>
    <n v="2023"/>
    <x v="12"/>
    <x v="1"/>
    <x v="2"/>
    <m/>
    <m/>
    <n v="0"/>
  </r>
  <r>
    <s v="EU27"/>
    <x v="6"/>
    <n v="2023"/>
    <x v="13"/>
    <x v="0"/>
    <x v="0"/>
    <m/>
    <m/>
    <n v="72847.243749999994"/>
  </r>
  <r>
    <s v="EU27"/>
    <x v="6"/>
    <n v="2023"/>
    <x v="13"/>
    <x v="0"/>
    <x v="1"/>
    <m/>
    <m/>
    <n v="216039.1776"/>
  </r>
  <r>
    <s v="EU27"/>
    <x v="6"/>
    <n v="2023"/>
    <x v="13"/>
    <x v="0"/>
    <x v="2"/>
    <m/>
    <m/>
    <n v="288607.66136000003"/>
  </r>
  <r>
    <s v="EU27"/>
    <x v="6"/>
    <n v="2023"/>
    <x v="13"/>
    <x v="1"/>
    <x v="0"/>
    <m/>
    <m/>
    <n v="74160.275129999995"/>
  </r>
  <r>
    <s v="EU27"/>
    <x v="6"/>
    <n v="2023"/>
    <x v="13"/>
    <x v="1"/>
    <x v="1"/>
    <m/>
    <m/>
    <n v="221830.17561999999"/>
  </r>
  <r>
    <s v="EU27"/>
    <x v="6"/>
    <n v="2023"/>
    <x v="13"/>
    <x v="1"/>
    <x v="2"/>
    <m/>
    <m/>
    <n v="295711.69076000003"/>
  </r>
  <r>
    <s v="EU27"/>
    <x v="6"/>
    <n v="2023"/>
    <x v="13"/>
    <x v="2"/>
    <x v="0"/>
    <m/>
    <m/>
    <n v="1065.02253"/>
  </r>
  <r>
    <s v="EU27"/>
    <x v="6"/>
    <n v="2023"/>
    <x v="13"/>
    <x v="2"/>
    <x v="1"/>
    <m/>
    <m/>
    <n v="727.5"/>
  </r>
  <r>
    <s v="EU27"/>
    <x v="6"/>
    <n v="2023"/>
    <x v="13"/>
    <x v="2"/>
    <x v="2"/>
    <m/>
    <m/>
    <n v="16246.52253"/>
  </r>
  <r>
    <s v="EU27"/>
    <x v="6"/>
    <n v="2023"/>
    <x v="14"/>
    <x v="0"/>
    <x v="0"/>
    <m/>
    <m/>
    <n v="366318.32681"/>
  </r>
  <r>
    <s v="EU27"/>
    <x v="6"/>
    <n v="2023"/>
    <x v="14"/>
    <x v="0"/>
    <x v="2"/>
    <m/>
    <m/>
    <n v="366318.32681"/>
  </r>
  <r>
    <s v="EU27"/>
    <x v="6"/>
    <n v="2023"/>
    <x v="14"/>
    <x v="1"/>
    <x v="0"/>
    <m/>
    <m/>
    <n v="376600.49748000002"/>
  </r>
  <r>
    <s v="EU27"/>
    <x v="6"/>
    <n v="2023"/>
    <x v="14"/>
    <x v="1"/>
    <x v="2"/>
    <m/>
    <m/>
    <n v="376600.49748000002"/>
  </r>
  <r>
    <s v="EU27"/>
    <x v="6"/>
    <n v="2023"/>
    <x v="14"/>
    <x v="2"/>
    <x v="0"/>
    <m/>
    <m/>
    <n v="2025.54919"/>
  </r>
  <r>
    <s v="EU27"/>
    <x v="6"/>
    <n v="2023"/>
    <x v="14"/>
    <x v="2"/>
    <x v="2"/>
    <m/>
    <m/>
    <n v="29261.249189999999"/>
  </r>
  <r>
    <s v="EU27"/>
    <x v="6"/>
    <n v="2023"/>
    <x v="15"/>
    <x v="0"/>
    <x v="2"/>
    <m/>
    <m/>
    <n v="-254213.44377000001"/>
  </r>
  <r>
    <s v="EU27"/>
    <x v="6"/>
    <n v="2023"/>
    <x v="15"/>
    <x v="1"/>
    <x v="2"/>
    <m/>
    <m/>
    <n v="-237287.68692000001"/>
  </r>
  <r>
    <s v="EU27"/>
    <x v="6"/>
    <n v="2023"/>
    <x v="15"/>
    <x v="2"/>
    <x v="2"/>
    <m/>
    <m/>
    <n v="-20732.73804"/>
  </r>
  <r>
    <s v="EU27"/>
    <x v="6"/>
    <n v="2023"/>
    <x v="16"/>
    <x v="0"/>
    <x v="2"/>
    <m/>
    <m/>
    <n v="-321493.69351000001"/>
  </r>
  <r>
    <s v="EU27"/>
    <x v="6"/>
    <n v="2023"/>
    <x v="16"/>
    <x v="1"/>
    <x v="2"/>
    <m/>
    <m/>
    <n v="-310634.37176000001"/>
  </r>
  <r>
    <s v="EU27"/>
    <x v="6"/>
    <n v="2023"/>
    <x v="16"/>
    <x v="2"/>
    <x v="2"/>
    <m/>
    <m/>
    <n v="-21062.213390000001"/>
  </r>
  <r>
    <s v="EU27"/>
    <x v="6"/>
    <n v="2023"/>
    <x v="17"/>
    <x v="0"/>
    <x v="2"/>
    <m/>
    <m/>
    <n v="34896.980020000003"/>
  </r>
  <r>
    <s v="EU27"/>
    <x v="6"/>
    <n v="2023"/>
    <x v="17"/>
    <x v="1"/>
    <x v="2"/>
    <m/>
    <m/>
    <n v="38687.606090000001"/>
  </r>
  <r>
    <s v="EU27"/>
    <x v="6"/>
    <n v="2023"/>
    <x v="17"/>
    <x v="2"/>
    <x v="2"/>
    <m/>
    <m/>
    <n v="-2352.57384"/>
  </r>
  <r>
    <s v="EU27"/>
    <x v="6"/>
    <n v="2023"/>
    <x v="18"/>
    <x v="0"/>
    <x v="2"/>
    <m/>
    <m/>
    <n v="13812.575059999999"/>
  </r>
  <r>
    <s v="EU27"/>
    <x v="6"/>
    <n v="2023"/>
    <x v="18"/>
    <x v="1"/>
    <x v="2"/>
    <m/>
    <m/>
    <n v="14602.952520000001"/>
  </r>
  <r>
    <s v="EU27"/>
    <x v="6"/>
    <n v="2023"/>
    <x v="18"/>
    <x v="2"/>
    <x v="2"/>
    <m/>
    <m/>
    <n v="1271.81194"/>
  </r>
  <r>
    <s v="EU27"/>
    <x v="6"/>
    <n v="2023"/>
    <x v="19"/>
    <x v="0"/>
    <x v="2"/>
    <m/>
    <m/>
    <n v="14467.760200000001"/>
  </r>
  <r>
    <s v="EU27"/>
    <x v="6"/>
    <n v="2023"/>
    <x v="19"/>
    <x v="1"/>
    <x v="2"/>
    <m/>
    <m/>
    <n v="14711.8107"/>
  </r>
  <r>
    <s v="EU27"/>
    <x v="6"/>
    <n v="2023"/>
    <x v="19"/>
    <x v="2"/>
    <x v="2"/>
    <m/>
    <m/>
    <n v="768.68648000000007"/>
  </r>
  <r>
    <s v="EU27"/>
    <x v="6"/>
    <n v="2023"/>
    <x v="20"/>
    <x v="0"/>
    <x v="2"/>
    <m/>
    <m/>
    <n v="35219.13394"/>
  </r>
  <r>
    <s v="EU27"/>
    <x v="6"/>
    <n v="2023"/>
    <x v="20"/>
    <x v="1"/>
    <x v="2"/>
    <m/>
    <m/>
    <n v="35973.417130000002"/>
  </r>
  <r>
    <s v="EU27"/>
    <x v="6"/>
    <n v="2023"/>
    <x v="20"/>
    <x v="2"/>
    <x v="2"/>
    <m/>
    <m/>
    <n v="2780.3533900000002"/>
  </r>
  <r>
    <s v="EU27"/>
    <x v="6"/>
    <n v="2023"/>
    <x v="21"/>
    <x v="0"/>
    <x v="2"/>
    <m/>
    <m/>
    <n v="645.5456099999999"/>
  </r>
  <r>
    <s v="EU27"/>
    <x v="6"/>
    <n v="2023"/>
    <x v="21"/>
    <x v="1"/>
    <x v="2"/>
    <m/>
    <m/>
    <n v="567.53971999999999"/>
  </r>
  <r>
    <s v="EU27"/>
    <x v="6"/>
    <n v="2023"/>
    <x v="21"/>
    <x v="2"/>
    <x v="2"/>
    <m/>
    <m/>
    <n v="260.27737999999999"/>
  </r>
  <r>
    <s v="EU27"/>
    <x v="6"/>
    <n v="2023"/>
    <x v="22"/>
    <x v="0"/>
    <x v="2"/>
    <m/>
    <m/>
    <n v="-31594.536639999998"/>
  </r>
  <r>
    <s v="EU27"/>
    <x v="6"/>
    <n v="2023"/>
    <x v="22"/>
    <x v="1"/>
    <x v="2"/>
    <m/>
    <m/>
    <n v="-31456.55286"/>
  </r>
  <r>
    <s v="EU27"/>
    <x v="6"/>
    <n v="2023"/>
    <x v="22"/>
    <x v="2"/>
    <x v="2"/>
    <m/>
    <m/>
    <n v="-2399.08"/>
  </r>
  <r>
    <s v="EU27"/>
    <x v="6"/>
    <n v="2023"/>
    <x v="23"/>
    <x v="0"/>
    <x v="2"/>
    <m/>
    <m/>
    <n v="259.87033000000002"/>
  </r>
  <r>
    <s v="EU27"/>
    <x v="6"/>
    <n v="2023"/>
    <x v="23"/>
    <x v="1"/>
    <x v="2"/>
    <m/>
    <m/>
    <n v="259.87033000000002"/>
  </r>
  <r>
    <s v="EU27"/>
    <x v="6"/>
    <n v="2023"/>
    <x v="24"/>
    <x v="0"/>
    <x v="0"/>
    <m/>
    <m/>
    <n v="99748.158660000001"/>
  </r>
  <r>
    <s v="EU27"/>
    <x v="6"/>
    <n v="2023"/>
    <x v="24"/>
    <x v="0"/>
    <x v="1"/>
    <m/>
    <m/>
    <n v="261.24754000000001"/>
  </r>
  <r>
    <s v="EU27"/>
    <x v="6"/>
    <n v="2023"/>
    <x v="24"/>
    <x v="0"/>
    <x v="2"/>
    <m/>
    <m/>
    <n v="100009.4062"/>
  </r>
  <r>
    <s v="EU27"/>
    <x v="6"/>
    <n v="2023"/>
    <x v="24"/>
    <x v="1"/>
    <x v="0"/>
    <m/>
    <m/>
    <n v="100604.30985000001"/>
  </r>
  <r>
    <s v="EU27"/>
    <x v="6"/>
    <n v="2023"/>
    <x v="24"/>
    <x v="1"/>
    <x v="1"/>
    <m/>
    <m/>
    <n v="261.24754000000001"/>
  </r>
  <r>
    <s v="EU27"/>
    <x v="6"/>
    <n v="2023"/>
    <x v="24"/>
    <x v="1"/>
    <x v="2"/>
    <m/>
    <m/>
    <n v="100865.55739"/>
  </r>
  <r>
    <s v="EU27"/>
    <x v="6"/>
    <n v="2023"/>
    <x v="24"/>
    <x v="2"/>
    <x v="0"/>
    <m/>
    <m/>
    <n v="1574.67778"/>
  </r>
  <r>
    <s v="EU27"/>
    <x v="6"/>
    <n v="2023"/>
    <x v="24"/>
    <x v="2"/>
    <x v="2"/>
    <m/>
    <m/>
    <n v="10618.877780000001"/>
  </r>
  <r>
    <s v="EU27"/>
    <x v="6"/>
    <n v="2023"/>
    <x v="25"/>
    <x v="0"/>
    <x v="0"/>
    <m/>
    <m/>
    <n v="123.9"/>
  </r>
  <r>
    <s v="EU27"/>
    <x v="6"/>
    <n v="2023"/>
    <x v="25"/>
    <x v="0"/>
    <x v="2"/>
    <m/>
    <m/>
    <n v="114483.86656605671"/>
  </r>
  <r>
    <s v="EU27"/>
    <x v="6"/>
    <n v="2023"/>
    <x v="25"/>
    <x v="1"/>
    <x v="0"/>
    <m/>
    <m/>
    <n v="123.9"/>
  </r>
  <r>
    <s v="EU27"/>
    <x v="6"/>
    <n v="2023"/>
    <x v="25"/>
    <x v="1"/>
    <x v="2"/>
    <m/>
    <m/>
    <n v="119482.3382260567"/>
  </r>
  <r>
    <s v="EU27"/>
    <x v="6"/>
    <n v="2023"/>
    <x v="25"/>
    <x v="2"/>
    <x v="2"/>
    <m/>
    <m/>
    <n v="987.00901999999996"/>
  </r>
  <r>
    <s v="EU27"/>
    <x v="6"/>
    <n v="2023"/>
    <x v="26"/>
    <x v="0"/>
    <x v="0"/>
    <m/>
    <m/>
    <n v="597.5"/>
  </r>
  <r>
    <s v="EU27"/>
    <x v="6"/>
    <n v="2023"/>
    <x v="26"/>
    <x v="0"/>
    <x v="2"/>
    <m/>
    <m/>
    <n v="138380.79670516681"/>
  </r>
  <r>
    <s v="EU27"/>
    <x v="6"/>
    <n v="2023"/>
    <x v="26"/>
    <x v="1"/>
    <x v="0"/>
    <m/>
    <m/>
    <n v="597.5"/>
  </r>
  <r>
    <s v="EU27"/>
    <x v="6"/>
    <n v="2023"/>
    <x v="26"/>
    <x v="1"/>
    <x v="2"/>
    <m/>
    <m/>
    <n v="139466.49175516679"/>
  </r>
  <r>
    <s v="EU27"/>
    <x v="6"/>
    <n v="2023"/>
    <x v="26"/>
    <x v="2"/>
    <x v="2"/>
    <m/>
    <m/>
    <n v="702.8"/>
  </r>
  <r>
    <s v="EU27"/>
    <x v="6"/>
    <n v="2023"/>
    <x v="27"/>
    <x v="0"/>
    <x v="0"/>
    <m/>
    <m/>
    <n v="742.01779999999997"/>
  </r>
  <r>
    <s v="EU27"/>
    <x v="6"/>
    <n v="2023"/>
    <x v="27"/>
    <x v="0"/>
    <x v="2"/>
    <m/>
    <m/>
    <n v="885.91779999999994"/>
  </r>
  <r>
    <s v="EU27"/>
    <x v="6"/>
    <n v="2023"/>
    <x v="27"/>
    <x v="1"/>
    <x v="0"/>
    <m/>
    <m/>
    <n v="742.61883999999998"/>
  </r>
  <r>
    <s v="EU27"/>
    <x v="6"/>
    <n v="2023"/>
    <x v="27"/>
    <x v="1"/>
    <x v="2"/>
    <m/>
    <m/>
    <n v="886.51883999999995"/>
  </r>
  <r>
    <s v="EU27"/>
    <x v="6"/>
    <n v="2023"/>
    <x v="28"/>
    <x v="0"/>
    <x v="0"/>
    <m/>
    <m/>
    <n v="1876071.6613799999"/>
  </r>
  <r>
    <s v="EU27"/>
    <x v="6"/>
    <n v="2023"/>
    <x v="28"/>
    <x v="0"/>
    <x v="1"/>
    <m/>
    <m/>
    <n v="999461.95978999999"/>
  </r>
  <r>
    <s v="EU27"/>
    <x v="6"/>
    <n v="2023"/>
    <x v="28"/>
    <x v="0"/>
    <x v="2"/>
    <m/>
    <m/>
    <n v="2892078.6413400001"/>
  </r>
  <r>
    <s v="EU27"/>
    <x v="6"/>
    <n v="2023"/>
    <x v="28"/>
    <x v="1"/>
    <x v="0"/>
    <m/>
    <m/>
    <n v="1960815.9915199999"/>
  </r>
  <r>
    <s v="EU27"/>
    <x v="6"/>
    <n v="2023"/>
    <x v="28"/>
    <x v="1"/>
    <x v="1"/>
    <m/>
    <m/>
    <n v="1069846.5259199999"/>
  </r>
  <r>
    <s v="EU27"/>
    <x v="6"/>
    <n v="2023"/>
    <x v="28"/>
    <x v="1"/>
    <x v="2"/>
    <m/>
    <m/>
    <n v="3048382.4560099998"/>
  </r>
  <r>
    <s v="EU27"/>
    <x v="6"/>
    <n v="2023"/>
    <x v="28"/>
    <x v="2"/>
    <x v="0"/>
    <m/>
    <m/>
    <n v="15409.47723"/>
  </r>
  <r>
    <s v="EU27"/>
    <x v="6"/>
    <n v="2023"/>
    <x v="28"/>
    <x v="2"/>
    <x v="1"/>
    <m/>
    <m/>
    <n v="9195.5839100000012"/>
  </r>
  <r>
    <s v="EU27"/>
    <x v="6"/>
    <n v="2023"/>
    <x v="28"/>
    <x v="2"/>
    <x v="2"/>
    <m/>
    <m/>
    <n v="191829.11562999999"/>
  </r>
  <r>
    <s v="EU27"/>
    <x v="6"/>
    <n v="2023"/>
    <x v="29"/>
    <x v="0"/>
    <x v="0"/>
    <m/>
    <m/>
    <n v="1876071.6613799999"/>
  </r>
  <r>
    <s v="EU27"/>
    <x v="6"/>
    <n v="2023"/>
    <x v="29"/>
    <x v="0"/>
    <x v="1"/>
    <m/>
    <m/>
    <n v="999461.95978999999"/>
  </r>
  <r>
    <s v="EU27"/>
    <x v="6"/>
    <n v="2023"/>
    <x v="29"/>
    <x v="0"/>
    <x v="2"/>
    <m/>
    <m/>
    <n v="2637865.1375899999"/>
  </r>
  <r>
    <s v="EU27"/>
    <x v="6"/>
    <n v="2023"/>
    <x v="29"/>
    <x v="1"/>
    <x v="0"/>
    <m/>
    <m/>
    <n v="1960815.9915199999"/>
  </r>
  <r>
    <s v="EU27"/>
    <x v="6"/>
    <n v="2023"/>
    <x v="29"/>
    <x v="1"/>
    <x v="1"/>
    <m/>
    <m/>
    <n v="1069846.5259199999"/>
  </r>
  <r>
    <s v="EU27"/>
    <x v="6"/>
    <n v="2023"/>
    <x v="29"/>
    <x v="1"/>
    <x v="2"/>
    <m/>
    <m/>
    <n v="2811086.7920599999"/>
  </r>
  <r>
    <s v="EU27"/>
    <x v="6"/>
    <n v="2023"/>
    <x v="29"/>
    <x v="2"/>
    <x v="0"/>
    <m/>
    <m/>
    <n v="15409.47723"/>
  </r>
  <r>
    <s v="EU27"/>
    <x v="6"/>
    <n v="2023"/>
    <x v="29"/>
    <x v="2"/>
    <x v="1"/>
    <m/>
    <m/>
    <n v="9195.5839100000012"/>
  </r>
  <r>
    <s v="EU27"/>
    <x v="6"/>
    <n v="2023"/>
    <x v="29"/>
    <x v="2"/>
    <x v="2"/>
    <m/>
    <m/>
    <n v="171398.99759000001"/>
  </r>
  <r>
    <s v="EU27"/>
    <x v="7"/>
    <n v="2023"/>
    <x v="0"/>
    <x v="0"/>
    <x v="0"/>
    <m/>
    <m/>
    <n v="1294546.37252"/>
  </r>
  <r>
    <s v="EU27"/>
    <x v="7"/>
    <n v="2023"/>
    <x v="0"/>
    <x v="0"/>
    <x v="1"/>
    <m/>
    <m/>
    <n v="733264.62719999999"/>
  </r>
  <r>
    <s v="EU27"/>
    <x v="7"/>
    <n v="2023"/>
    <x v="0"/>
    <x v="0"/>
    <x v="2"/>
    <m/>
    <m/>
    <n v="2044705.74422"/>
  </r>
  <r>
    <s v="EU27"/>
    <x v="7"/>
    <n v="2023"/>
    <x v="0"/>
    <x v="1"/>
    <x v="0"/>
    <m/>
    <m/>
    <n v="1379196.22569"/>
  </r>
  <r>
    <s v="EU27"/>
    <x v="7"/>
    <n v="2023"/>
    <x v="0"/>
    <x v="1"/>
    <x v="1"/>
    <m/>
    <m/>
    <n v="800367.86121"/>
  </r>
  <r>
    <s v="EU27"/>
    <x v="7"/>
    <n v="2023"/>
    <x v="0"/>
    <x v="1"/>
    <x v="2"/>
    <m/>
    <m/>
    <n v="2197692.2520499998"/>
  </r>
  <r>
    <s v="EU27"/>
    <x v="7"/>
    <n v="2023"/>
    <x v="0"/>
    <x v="2"/>
    <x v="0"/>
    <m/>
    <m/>
    <n v="10854.114299999999"/>
  </r>
  <r>
    <s v="EU27"/>
    <x v="7"/>
    <n v="2023"/>
    <x v="0"/>
    <x v="2"/>
    <x v="1"/>
    <m/>
    <m/>
    <n v="8490.0180199999995"/>
  </r>
  <r>
    <s v="EU27"/>
    <x v="7"/>
    <n v="2023"/>
    <x v="0"/>
    <x v="2"/>
    <x v="2"/>
    <m/>
    <m/>
    <n v="136941.90234"/>
  </r>
  <r>
    <s v="EU27"/>
    <x v="7"/>
    <n v="2023"/>
    <x v="1"/>
    <x v="0"/>
    <x v="0"/>
    <m/>
    <m/>
    <n v="54854.823510000002"/>
  </r>
  <r>
    <s v="EU27"/>
    <x v="7"/>
    <n v="2023"/>
    <x v="1"/>
    <x v="0"/>
    <x v="1"/>
    <m/>
    <m/>
    <n v="467756.97240000003"/>
  </r>
  <r>
    <s v="EU27"/>
    <x v="7"/>
    <n v="2023"/>
    <x v="1"/>
    <x v="0"/>
    <x v="2"/>
    <m/>
    <m/>
    <n v="522611.53590999998"/>
  </r>
  <r>
    <s v="EU27"/>
    <x v="7"/>
    <n v="2023"/>
    <x v="1"/>
    <x v="1"/>
    <x v="0"/>
    <m/>
    <m/>
    <n v="59323.127279999993"/>
  </r>
  <r>
    <s v="EU27"/>
    <x v="7"/>
    <n v="2023"/>
    <x v="1"/>
    <x v="1"/>
    <x v="1"/>
    <m/>
    <m/>
    <n v="514231.27895000001"/>
  </r>
  <r>
    <s v="EU27"/>
    <x v="7"/>
    <n v="2023"/>
    <x v="1"/>
    <x v="1"/>
    <x v="2"/>
    <m/>
    <m/>
    <n v="573554.12624000001"/>
  </r>
  <r>
    <s v="EU27"/>
    <x v="7"/>
    <n v="2023"/>
    <x v="1"/>
    <x v="2"/>
    <x v="0"/>
    <m/>
    <m/>
    <n v="125.34972999999999"/>
  </r>
  <r>
    <s v="EU27"/>
    <x v="7"/>
    <n v="2023"/>
    <x v="1"/>
    <x v="2"/>
    <x v="1"/>
    <m/>
    <m/>
    <n v="7063.2180200000003"/>
  </r>
  <r>
    <s v="EU27"/>
    <x v="7"/>
    <n v="2023"/>
    <x v="1"/>
    <x v="2"/>
    <x v="2"/>
    <m/>
    <m/>
    <n v="48162.067750000002"/>
  </r>
  <r>
    <s v="EU27"/>
    <x v="7"/>
    <n v="2023"/>
    <x v="2"/>
    <x v="0"/>
    <x v="0"/>
    <m/>
    <m/>
    <n v="106032.98533"/>
  </r>
  <r>
    <s v="EU27"/>
    <x v="7"/>
    <n v="2023"/>
    <x v="2"/>
    <x v="0"/>
    <x v="1"/>
    <m/>
    <m/>
    <n v="245068.79629"/>
  </r>
  <r>
    <s v="EU27"/>
    <x v="7"/>
    <n v="2023"/>
    <x v="2"/>
    <x v="0"/>
    <x v="2"/>
    <m/>
    <m/>
    <n v="351101.78162999998"/>
  </r>
  <r>
    <s v="EU27"/>
    <x v="7"/>
    <n v="2023"/>
    <x v="2"/>
    <x v="1"/>
    <x v="0"/>
    <m/>
    <m/>
    <n v="109609.24763"/>
  </r>
  <r>
    <s v="EU27"/>
    <x v="7"/>
    <n v="2023"/>
    <x v="2"/>
    <x v="1"/>
    <x v="1"/>
    <m/>
    <m/>
    <n v="264707.03652999998"/>
  </r>
  <r>
    <s v="EU27"/>
    <x v="7"/>
    <n v="2023"/>
    <x v="2"/>
    <x v="1"/>
    <x v="2"/>
    <m/>
    <m/>
    <n v="374316.48415999999"/>
  </r>
  <r>
    <s v="EU27"/>
    <x v="7"/>
    <n v="2023"/>
    <x v="2"/>
    <x v="2"/>
    <x v="0"/>
    <m/>
    <m/>
    <n v="993.19445999999994"/>
  </r>
  <r>
    <s v="EU27"/>
    <x v="7"/>
    <n v="2023"/>
    <x v="2"/>
    <x v="2"/>
    <x v="1"/>
    <m/>
    <m/>
    <n v="1356.9"/>
  </r>
  <r>
    <s v="EU27"/>
    <x v="7"/>
    <n v="2023"/>
    <x v="2"/>
    <x v="2"/>
    <x v="2"/>
    <m/>
    <m/>
    <n v="18973.59446"/>
  </r>
  <r>
    <s v="EU27"/>
    <x v="7"/>
    <n v="2023"/>
    <x v="3"/>
    <x v="0"/>
    <x v="0"/>
    <m/>
    <m/>
    <n v="667541.90749999997"/>
  </r>
  <r>
    <s v="EU27"/>
    <x v="7"/>
    <n v="2023"/>
    <x v="3"/>
    <x v="0"/>
    <x v="1"/>
    <m/>
    <m/>
    <n v="3805.9957599999998"/>
  </r>
  <r>
    <s v="EU27"/>
    <x v="7"/>
    <n v="2023"/>
    <x v="3"/>
    <x v="0"/>
    <x v="2"/>
    <m/>
    <m/>
    <n v="688242.84776999999"/>
  </r>
  <r>
    <s v="EU27"/>
    <x v="7"/>
    <n v="2023"/>
    <x v="3"/>
    <x v="1"/>
    <x v="0"/>
    <m/>
    <m/>
    <n v="708950.85869999998"/>
  </r>
  <r>
    <s v="EU27"/>
    <x v="7"/>
    <n v="2023"/>
    <x v="3"/>
    <x v="1"/>
    <x v="1"/>
    <m/>
    <m/>
    <n v="3882.07006"/>
  </r>
  <r>
    <s v="EU27"/>
    <x v="7"/>
    <n v="2023"/>
    <x v="3"/>
    <x v="1"/>
    <x v="2"/>
    <m/>
    <m/>
    <n v="730961.17394999997"/>
  </r>
  <r>
    <s v="EU27"/>
    <x v="7"/>
    <n v="2023"/>
    <x v="3"/>
    <x v="2"/>
    <x v="0"/>
    <m/>
    <m/>
    <n v="7753.9381299999995"/>
  </r>
  <r>
    <s v="EU27"/>
    <x v="7"/>
    <n v="2023"/>
    <x v="3"/>
    <x v="2"/>
    <x v="1"/>
    <m/>
    <m/>
    <n v="0"/>
  </r>
  <r>
    <s v="EU27"/>
    <x v="7"/>
    <n v="2023"/>
    <x v="3"/>
    <x v="2"/>
    <x v="2"/>
    <m/>
    <m/>
    <n v="32877.508139999998"/>
  </r>
  <r>
    <s v="EU27"/>
    <x v="7"/>
    <n v="2023"/>
    <x v="4"/>
    <x v="0"/>
    <x v="0"/>
    <m/>
    <m/>
    <n v="151.00880000000001"/>
  </r>
  <r>
    <s v="EU27"/>
    <x v="7"/>
    <n v="2023"/>
    <x v="4"/>
    <x v="0"/>
    <x v="2"/>
    <m/>
    <m/>
    <n v="17045.897779999999"/>
  </r>
  <r>
    <s v="EU27"/>
    <x v="7"/>
    <n v="2023"/>
    <x v="4"/>
    <x v="1"/>
    <x v="0"/>
    <m/>
    <m/>
    <n v="159.58219800000001"/>
  </r>
  <r>
    <s v="EU27"/>
    <x v="7"/>
    <n v="2023"/>
    <x v="4"/>
    <x v="1"/>
    <x v="2"/>
    <m/>
    <m/>
    <n v="18288.03874"/>
  </r>
  <r>
    <s v="EU27"/>
    <x v="7"/>
    <n v="2023"/>
    <x v="4"/>
    <x v="2"/>
    <x v="0"/>
    <m/>
    <m/>
    <n v="1.2800000000000001E-2"/>
  </r>
  <r>
    <s v="EU27"/>
    <x v="7"/>
    <n v="2023"/>
    <x v="4"/>
    <x v="2"/>
    <x v="2"/>
    <m/>
    <m/>
    <n v="377.48280999999997"/>
  </r>
  <r>
    <s v="EU27"/>
    <x v="7"/>
    <n v="2023"/>
    <x v="5"/>
    <x v="0"/>
    <x v="0"/>
    <m/>
    <m/>
    <n v="644574.20671000006"/>
  </r>
  <r>
    <s v="EU27"/>
    <x v="7"/>
    <n v="2023"/>
    <x v="5"/>
    <x v="0"/>
    <x v="1"/>
    <m/>
    <m/>
    <n v="0"/>
  </r>
  <r>
    <s v="EU27"/>
    <x v="7"/>
    <n v="2023"/>
    <x v="5"/>
    <x v="0"/>
    <x v="2"/>
    <m/>
    <m/>
    <n v="644574.20671000006"/>
  </r>
  <r>
    <s v="EU27"/>
    <x v="7"/>
    <n v="2023"/>
    <x v="5"/>
    <x v="1"/>
    <x v="0"/>
    <m/>
    <m/>
    <n v="685330.22962"/>
  </r>
  <r>
    <s v="EU27"/>
    <x v="7"/>
    <n v="2023"/>
    <x v="5"/>
    <x v="1"/>
    <x v="1"/>
    <m/>
    <m/>
    <n v="0"/>
  </r>
  <r>
    <s v="EU27"/>
    <x v="7"/>
    <n v="2023"/>
    <x v="5"/>
    <x v="1"/>
    <x v="2"/>
    <m/>
    <m/>
    <n v="685330.22962"/>
  </r>
  <r>
    <s v="EU27"/>
    <x v="7"/>
    <n v="2023"/>
    <x v="5"/>
    <x v="2"/>
    <x v="0"/>
    <m/>
    <m/>
    <n v="7662.7176099999997"/>
  </r>
  <r>
    <s v="EU27"/>
    <x v="7"/>
    <n v="2023"/>
    <x v="5"/>
    <x v="2"/>
    <x v="2"/>
    <m/>
    <m/>
    <n v="31085.017609999999"/>
  </r>
  <r>
    <s v="EU27"/>
    <x v="7"/>
    <n v="2023"/>
    <x v="6"/>
    <x v="0"/>
    <x v="0"/>
    <m/>
    <m/>
    <n v="3571.7061699999999"/>
  </r>
  <r>
    <s v="EU27"/>
    <x v="7"/>
    <n v="2023"/>
    <x v="6"/>
    <x v="0"/>
    <x v="1"/>
    <m/>
    <m/>
    <n v="0"/>
  </r>
  <r>
    <s v="EU27"/>
    <x v="7"/>
    <n v="2023"/>
    <x v="6"/>
    <x v="0"/>
    <x v="2"/>
    <m/>
    <m/>
    <n v="3571.7061699999999"/>
  </r>
  <r>
    <s v="EU27"/>
    <x v="7"/>
    <n v="2023"/>
    <x v="6"/>
    <x v="1"/>
    <x v="0"/>
    <m/>
    <m/>
    <n v="4017.8597300000001"/>
  </r>
  <r>
    <s v="EU27"/>
    <x v="7"/>
    <n v="2023"/>
    <x v="6"/>
    <x v="1"/>
    <x v="1"/>
    <m/>
    <m/>
    <n v="0"/>
  </r>
  <r>
    <s v="EU27"/>
    <x v="7"/>
    <n v="2023"/>
    <x v="6"/>
    <x v="1"/>
    <x v="2"/>
    <m/>
    <m/>
    <n v="4017.8597300000001"/>
  </r>
  <r>
    <s v="EU27"/>
    <x v="7"/>
    <n v="2023"/>
    <x v="6"/>
    <x v="2"/>
    <x v="0"/>
    <m/>
    <m/>
    <n v="35.299999999999997"/>
  </r>
  <r>
    <s v="EU27"/>
    <x v="7"/>
    <n v="2023"/>
    <x v="6"/>
    <x v="2"/>
    <x v="2"/>
    <m/>
    <m/>
    <n v="879.09999999999991"/>
  </r>
  <r>
    <s v="EU27"/>
    <x v="7"/>
    <n v="2023"/>
    <x v="7"/>
    <x v="0"/>
    <x v="0"/>
    <m/>
    <m/>
    <n v="17922.486949999999"/>
  </r>
  <r>
    <s v="EU27"/>
    <x v="7"/>
    <n v="2023"/>
    <x v="7"/>
    <x v="0"/>
    <x v="1"/>
    <m/>
    <m/>
    <n v="0"/>
  </r>
  <r>
    <s v="EU27"/>
    <x v="7"/>
    <n v="2023"/>
    <x v="7"/>
    <x v="0"/>
    <x v="2"/>
    <m/>
    <m/>
    <n v="17918.050790000001"/>
  </r>
  <r>
    <s v="EU27"/>
    <x v="7"/>
    <n v="2023"/>
    <x v="7"/>
    <x v="1"/>
    <x v="0"/>
    <m/>
    <m/>
    <n v="17973.81292"/>
  </r>
  <r>
    <s v="EU27"/>
    <x v="7"/>
    <n v="2023"/>
    <x v="7"/>
    <x v="1"/>
    <x v="1"/>
    <m/>
    <m/>
    <n v="0"/>
  </r>
  <r>
    <s v="EU27"/>
    <x v="7"/>
    <n v="2023"/>
    <x v="7"/>
    <x v="1"/>
    <x v="2"/>
    <m/>
    <m/>
    <n v="17973.812760000001"/>
  </r>
  <r>
    <s v="EU27"/>
    <x v="7"/>
    <n v="2023"/>
    <x v="7"/>
    <x v="2"/>
    <x v="0"/>
    <m/>
    <m/>
    <n v="48.60772"/>
  </r>
  <r>
    <s v="EU27"/>
    <x v="7"/>
    <n v="2023"/>
    <x v="7"/>
    <x v="2"/>
    <x v="2"/>
    <m/>
    <m/>
    <n v="303.90771999999998"/>
  </r>
  <r>
    <s v="EU27"/>
    <x v="7"/>
    <n v="2023"/>
    <x v="8"/>
    <x v="0"/>
    <x v="0"/>
    <m/>
    <m/>
    <n v="1322.47441"/>
  </r>
  <r>
    <s v="EU27"/>
    <x v="7"/>
    <n v="2023"/>
    <x v="8"/>
    <x v="0"/>
    <x v="1"/>
    <m/>
    <m/>
    <n v="3805.9957599999998"/>
  </r>
  <r>
    <s v="EU27"/>
    <x v="7"/>
    <n v="2023"/>
    <x v="8"/>
    <x v="0"/>
    <x v="2"/>
    <m/>
    <m/>
    <n v="5128.4701599999999"/>
  </r>
  <r>
    <s v="EU27"/>
    <x v="7"/>
    <n v="2023"/>
    <x v="8"/>
    <x v="1"/>
    <x v="0"/>
    <m/>
    <m/>
    <n v="1469.34285"/>
  </r>
  <r>
    <s v="EU27"/>
    <x v="7"/>
    <n v="2023"/>
    <x v="8"/>
    <x v="1"/>
    <x v="1"/>
    <m/>
    <m/>
    <n v="3882.07006"/>
  </r>
  <r>
    <s v="EU27"/>
    <x v="7"/>
    <n v="2023"/>
    <x v="8"/>
    <x v="1"/>
    <x v="2"/>
    <m/>
    <m/>
    <n v="5351.41291"/>
  </r>
  <r>
    <s v="EU27"/>
    <x v="7"/>
    <n v="2023"/>
    <x v="8"/>
    <x v="2"/>
    <x v="0"/>
    <m/>
    <m/>
    <n v="7.2"/>
  </r>
  <r>
    <s v="EU27"/>
    <x v="7"/>
    <n v="2023"/>
    <x v="8"/>
    <x v="2"/>
    <x v="2"/>
    <m/>
    <m/>
    <n v="232"/>
  </r>
  <r>
    <s v="EU27"/>
    <x v="7"/>
    <n v="2023"/>
    <x v="9"/>
    <x v="0"/>
    <x v="0"/>
    <m/>
    <m/>
    <n v="407961.56228999997"/>
  </r>
  <r>
    <s v="EU27"/>
    <x v="7"/>
    <n v="2023"/>
    <x v="9"/>
    <x v="0"/>
    <x v="1"/>
    <m/>
    <m/>
    <n v="1783.3266699999999"/>
  </r>
  <r>
    <s v="EU27"/>
    <x v="7"/>
    <n v="2023"/>
    <x v="9"/>
    <x v="0"/>
    <x v="2"/>
    <m/>
    <m/>
    <n v="409756.88893999998"/>
  </r>
  <r>
    <s v="EU27"/>
    <x v="7"/>
    <n v="2023"/>
    <x v="9"/>
    <x v="1"/>
    <x v="0"/>
    <m/>
    <m/>
    <n v="441578.42632000003"/>
  </r>
  <r>
    <s v="EU27"/>
    <x v="7"/>
    <n v="2023"/>
    <x v="9"/>
    <x v="1"/>
    <x v="1"/>
    <m/>
    <m/>
    <n v="1866.4866199999999"/>
  </r>
  <r>
    <s v="EU27"/>
    <x v="7"/>
    <n v="2023"/>
    <x v="9"/>
    <x v="1"/>
    <x v="2"/>
    <m/>
    <m/>
    <n v="443456.75293999998"/>
  </r>
  <r>
    <s v="EU27"/>
    <x v="7"/>
    <n v="2023"/>
    <x v="9"/>
    <x v="2"/>
    <x v="0"/>
    <m/>
    <m/>
    <n v="1548.8319899999999"/>
  </r>
  <r>
    <s v="EU27"/>
    <x v="7"/>
    <n v="2023"/>
    <x v="9"/>
    <x v="2"/>
    <x v="2"/>
    <m/>
    <m/>
    <n v="17008.031989999999"/>
  </r>
  <r>
    <s v="EU27"/>
    <x v="7"/>
    <n v="2023"/>
    <x v="10"/>
    <x v="0"/>
    <x v="0"/>
    <m/>
    <m/>
    <n v="3742.1177899999998"/>
  </r>
  <r>
    <s v="EU27"/>
    <x v="7"/>
    <n v="2023"/>
    <x v="10"/>
    <x v="0"/>
    <x v="1"/>
    <m/>
    <m/>
    <n v="0"/>
  </r>
  <r>
    <s v="EU27"/>
    <x v="7"/>
    <n v="2023"/>
    <x v="10"/>
    <x v="0"/>
    <x v="2"/>
    <m/>
    <m/>
    <n v="3742.1177899999998"/>
  </r>
  <r>
    <s v="EU27"/>
    <x v="7"/>
    <n v="2023"/>
    <x v="10"/>
    <x v="1"/>
    <x v="0"/>
    <m/>
    <m/>
    <n v="3742.1142199999999"/>
  </r>
  <r>
    <s v="EU27"/>
    <x v="7"/>
    <n v="2023"/>
    <x v="10"/>
    <x v="1"/>
    <x v="1"/>
    <m/>
    <m/>
    <n v="0"/>
  </r>
  <r>
    <s v="EU27"/>
    <x v="7"/>
    <n v="2023"/>
    <x v="10"/>
    <x v="1"/>
    <x v="2"/>
    <m/>
    <m/>
    <n v="3742.1142199999999"/>
  </r>
  <r>
    <s v="EU27"/>
    <x v="7"/>
    <n v="2023"/>
    <x v="10"/>
    <x v="2"/>
    <x v="0"/>
    <m/>
    <m/>
    <n v="4.0999999999999996"/>
  </r>
  <r>
    <s v="EU27"/>
    <x v="7"/>
    <n v="2023"/>
    <x v="10"/>
    <x v="2"/>
    <x v="2"/>
    <m/>
    <m/>
    <n v="1246.2"/>
  </r>
  <r>
    <s v="EU27"/>
    <x v="7"/>
    <n v="2023"/>
    <x v="11"/>
    <x v="0"/>
    <x v="0"/>
    <m/>
    <m/>
    <n v="54474.156089999997"/>
  </r>
  <r>
    <s v="EU27"/>
    <x v="7"/>
    <n v="2023"/>
    <x v="11"/>
    <x v="0"/>
    <x v="1"/>
    <m/>
    <m/>
    <n v="14837.496069999999"/>
  </r>
  <r>
    <s v="EU27"/>
    <x v="7"/>
    <n v="2023"/>
    <x v="11"/>
    <x v="0"/>
    <x v="2"/>
    <m/>
    <m/>
    <n v="69311.712169999999"/>
  </r>
  <r>
    <s v="EU27"/>
    <x v="7"/>
    <n v="2023"/>
    <x v="11"/>
    <x v="1"/>
    <x v="0"/>
    <m/>
    <m/>
    <n v="56053.731510000012"/>
  </r>
  <r>
    <s v="EU27"/>
    <x v="7"/>
    <n v="2023"/>
    <x v="11"/>
    <x v="1"/>
    <x v="1"/>
    <m/>
    <m/>
    <n v="15668.669040000001"/>
  </r>
  <r>
    <s v="EU27"/>
    <x v="7"/>
    <n v="2023"/>
    <x v="11"/>
    <x v="1"/>
    <x v="2"/>
    <m/>
    <m/>
    <n v="71722.600560000006"/>
  </r>
  <r>
    <s v="EU27"/>
    <x v="7"/>
    <n v="2023"/>
    <x v="11"/>
    <x v="2"/>
    <x v="0"/>
    <m/>
    <m/>
    <n v="428.7"/>
  </r>
  <r>
    <s v="EU27"/>
    <x v="7"/>
    <n v="2023"/>
    <x v="11"/>
    <x v="2"/>
    <x v="1"/>
    <m/>
    <m/>
    <n v="69.900000000000006"/>
  </r>
  <r>
    <s v="EU27"/>
    <x v="7"/>
    <n v="2023"/>
    <x v="11"/>
    <x v="2"/>
    <x v="2"/>
    <m/>
    <m/>
    <n v="18674.400000000001"/>
  </r>
  <r>
    <s v="EU27"/>
    <x v="7"/>
    <n v="2023"/>
    <x v="12"/>
    <x v="0"/>
    <x v="0"/>
    <m/>
    <m/>
    <n v="0"/>
  </r>
  <r>
    <s v="EU27"/>
    <x v="7"/>
    <n v="2023"/>
    <x v="12"/>
    <x v="0"/>
    <x v="1"/>
    <m/>
    <m/>
    <n v="0"/>
  </r>
  <r>
    <s v="EU27"/>
    <x v="7"/>
    <n v="2023"/>
    <x v="12"/>
    <x v="0"/>
    <x v="2"/>
    <m/>
    <m/>
    <n v="0"/>
  </r>
  <r>
    <s v="EU27"/>
    <x v="7"/>
    <n v="2023"/>
    <x v="12"/>
    <x v="1"/>
    <x v="0"/>
    <m/>
    <m/>
    <n v="0"/>
  </r>
  <r>
    <s v="EU27"/>
    <x v="7"/>
    <n v="2023"/>
    <x v="12"/>
    <x v="1"/>
    <x v="1"/>
    <m/>
    <m/>
    <n v="0"/>
  </r>
  <r>
    <s v="EU27"/>
    <x v="7"/>
    <n v="2023"/>
    <x v="12"/>
    <x v="1"/>
    <x v="2"/>
    <m/>
    <m/>
    <n v="0"/>
  </r>
  <r>
    <s v="EU27"/>
    <x v="7"/>
    <n v="2023"/>
    <x v="13"/>
    <x v="0"/>
    <x v="0"/>
    <m/>
    <m/>
    <n v="69174.788"/>
  </r>
  <r>
    <s v="EU27"/>
    <x v="7"/>
    <n v="2023"/>
    <x v="13"/>
    <x v="0"/>
    <x v="1"/>
    <m/>
    <m/>
    <n v="210762.27726999999"/>
  </r>
  <r>
    <s v="EU27"/>
    <x v="7"/>
    <n v="2023"/>
    <x v="13"/>
    <x v="0"/>
    <x v="2"/>
    <m/>
    <m/>
    <n v="279658.26526999997"/>
  </r>
  <r>
    <s v="EU27"/>
    <x v="7"/>
    <n v="2023"/>
    <x v="13"/>
    <x v="1"/>
    <x v="0"/>
    <m/>
    <m/>
    <n v="70728.035279999996"/>
  </r>
  <r>
    <s v="EU27"/>
    <x v="7"/>
    <n v="2023"/>
    <x v="13"/>
    <x v="1"/>
    <x v="1"/>
    <m/>
    <m/>
    <n v="217989.56229999999"/>
  </r>
  <r>
    <s v="EU27"/>
    <x v="7"/>
    <n v="2023"/>
    <x v="13"/>
    <x v="1"/>
    <x v="2"/>
    <m/>
    <m/>
    <n v="288438.89759000001"/>
  </r>
  <r>
    <s v="EU27"/>
    <x v="7"/>
    <n v="2023"/>
    <x v="13"/>
    <x v="2"/>
    <x v="0"/>
    <m/>
    <m/>
    <n v="1098.99269"/>
  </r>
  <r>
    <s v="EU27"/>
    <x v="7"/>
    <n v="2023"/>
    <x v="13"/>
    <x v="2"/>
    <x v="1"/>
    <m/>
    <m/>
    <n v="730.2"/>
  </r>
  <r>
    <s v="EU27"/>
    <x v="7"/>
    <n v="2023"/>
    <x v="13"/>
    <x v="2"/>
    <x v="2"/>
    <m/>
    <m/>
    <n v="16203.092689999999"/>
  </r>
  <r>
    <s v="EU27"/>
    <x v="7"/>
    <n v="2023"/>
    <x v="14"/>
    <x v="0"/>
    <x v="0"/>
    <m/>
    <m/>
    <n v="363845.87575000001"/>
  </r>
  <r>
    <s v="EU27"/>
    <x v="7"/>
    <n v="2023"/>
    <x v="14"/>
    <x v="0"/>
    <x v="2"/>
    <m/>
    <m/>
    <n v="363845.87575000001"/>
  </r>
  <r>
    <s v="EU27"/>
    <x v="7"/>
    <n v="2023"/>
    <x v="14"/>
    <x v="1"/>
    <x v="0"/>
    <m/>
    <m/>
    <n v="375608.45526000002"/>
  </r>
  <r>
    <s v="EU27"/>
    <x v="7"/>
    <n v="2023"/>
    <x v="14"/>
    <x v="1"/>
    <x v="2"/>
    <m/>
    <m/>
    <n v="375608.45526000002"/>
  </r>
  <r>
    <s v="EU27"/>
    <x v="7"/>
    <n v="2023"/>
    <x v="14"/>
    <x v="2"/>
    <x v="0"/>
    <m/>
    <m/>
    <n v="2030.6384399999999"/>
  </r>
  <r>
    <s v="EU27"/>
    <x v="7"/>
    <n v="2023"/>
    <x v="14"/>
    <x v="2"/>
    <x v="2"/>
    <m/>
    <m/>
    <n v="29656.33844"/>
  </r>
  <r>
    <s v="EU27"/>
    <x v="7"/>
    <n v="2023"/>
    <x v="15"/>
    <x v="0"/>
    <x v="2"/>
    <m/>
    <m/>
    <n v="-255138.20009"/>
  </r>
  <r>
    <s v="EU27"/>
    <x v="7"/>
    <n v="2023"/>
    <x v="15"/>
    <x v="1"/>
    <x v="2"/>
    <m/>
    <m/>
    <n v="-236907.60316"/>
  </r>
  <r>
    <s v="EU27"/>
    <x v="7"/>
    <n v="2023"/>
    <x v="15"/>
    <x v="2"/>
    <x v="2"/>
    <m/>
    <m/>
    <n v="-20182.499769999999"/>
  </r>
  <r>
    <s v="EU27"/>
    <x v="7"/>
    <n v="2023"/>
    <x v="16"/>
    <x v="0"/>
    <x v="2"/>
    <m/>
    <m/>
    <n v="-319361.72609000001"/>
  </r>
  <r>
    <s v="EU27"/>
    <x v="7"/>
    <n v="2023"/>
    <x v="16"/>
    <x v="1"/>
    <x v="2"/>
    <m/>
    <m/>
    <n v="-307904.67296"/>
  </r>
  <r>
    <s v="EU27"/>
    <x v="7"/>
    <n v="2023"/>
    <x v="16"/>
    <x v="2"/>
    <x v="2"/>
    <m/>
    <m/>
    <n v="-20781.219440000001"/>
  </r>
  <r>
    <s v="EU27"/>
    <x v="7"/>
    <n v="2023"/>
    <x v="17"/>
    <x v="0"/>
    <x v="2"/>
    <m/>
    <m/>
    <n v="33250.819269999993"/>
  </r>
  <r>
    <s v="EU27"/>
    <x v="7"/>
    <n v="2023"/>
    <x v="17"/>
    <x v="1"/>
    <x v="2"/>
    <m/>
    <m/>
    <n v="37320.497949999997"/>
  </r>
  <r>
    <s v="EU27"/>
    <x v="7"/>
    <n v="2023"/>
    <x v="17"/>
    <x v="2"/>
    <x v="2"/>
    <m/>
    <m/>
    <n v="-2346.9827399999999"/>
  </r>
  <r>
    <s v="EU27"/>
    <x v="7"/>
    <n v="2023"/>
    <x v="18"/>
    <x v="0"/>
    <x v="2"/>
    <m/>
    <m/>
    <n v="14523.89352"/>
  </r>
  <r>
    <s v="EU27"/>
    <x v="7"/>
    <n v="2023"/>
    <x v="18"/>
    <x v="1"/>
    <x v="2"/>
    <m/>
    <m/>
    <n v="15463.73299"/>
  </r>
  <r>
    <s v="EU27"/>
    <x v="7"/>
    <n v="2023"/>
    <x v="18"/>
    <x v="2"/>
    <x v="2"/>
    <m/>
    <m/>
    <n v="1469.59123"/>
  </r>
  <r>
    <s v="EU27"/>
    <x v="7"/>
    <n v="2023"/>
    <x v="19"/>
    <x v="0"/>
    <x v="2"/>
    <m/>
    <m/>
    <n v="14155.2816"/>
  </r>
  <r>
    <s v="EU27"/>
    <x v="7"/>
    <n v="2023"/>
    <x v="19"/>
    <x v="1"/>
    <x v="2"/>
    <m/>
    <m/>
    <n v="14602.28212"/>
  </r>
  <r>
    <s v="EU27"/>
    <x v="7"/>
    <n v="2023"/>
    <x v="19"/>
    <x v="2"/>
    <x v="2"/>
    <m/>
    <m/>
    <n v="767.88648000000001"/>
  </r>
  <r>
    <s v="EU27"/>
    <x v="7"/>
    <n v="2023"/>
    <x v="20"/>
    <x v="0"/>
    <x v="2"/>
    <m/>
    <m/>
    <n v="34294.519160000003"/>
  </r>
  <r>
    <s v="EU27"/>
    <x v="7"/>
    <n v="2023"/>
    <x v="20"/>
    <x v="1"/>
    <x v="2"/>
    <m/>
    <m/>
    <n v="35025.388169999998"/>
  </r>
  <r>
    <s v="EU27"/>
    <x v="7"/>
    <n v="2023"/>
    <x v="20"/>
    <x v="2"/>
    <x v="2"/>
    <m/>
    <m/>
    <n v="2808.3706699999998"/>
  </r>
  <r>
    <s v="EU27"/>
    <x v="7"/>
    <n v="2023"/>
    <x v="21"/>
    <x v="0"/>
    <x v="2"/>
    <m/>
    <m/>
    <n v="615.61942999999997"/>
  </r>
  <r>
    <s v="EU27"/>
    <x v="7"/>
    <n v="2023"/>
    <x v="21"/>
    <x v="1"/>
    <x v="2"/>
    <m/>
    <m/>
    <n v="532.71235999999999"/>
  </r>
  <r>
    <s v="EU27"/>
    <x v="7"/>
    <n v="2023"/>
    <x v="21"/>
    <x v="2"/>
    <x v="2"/>
    <m/>
    <m/>
    <n v="245.77402000000001"/>
  </r>
  <r>
    <s v="EU27"/>
    <x v="7"/>
    <n v="2023"/>
    <x v="22"/>
    <x v="0"/>
    <x v="2"/>
    <m/>
    <m/>
    <n v="-32418.75187"/>
  </r>
  <r>
    <s v="EU27"/>
    <x v="7"/>
    <n v="2023"/>
    <x v="22"/>
    <x v="1"/>
    <x v="2"/>
    <m/>
    <m/>
    <n v="-32205.36866"/>
  </r>
  <r>
    <s v="EU27"/>
    <x v="7"/>
    <n v="2023"/>
    <x v="22"/>
    <x v="2"/>
    <x v="2"/>
    <m/>
    <m/>
    <n v="-2345.8200000000002"/>
  </r>
  <r>
    <s v="EU27"/>
    <x v="7"/>
    <n v="2023"/>
    <x v="23"/>
    <x v="0"/>
    <x v="2"/>
    <m/>
    <m/>
    <n v="257.86367000000001"/>
  </r>
  <r>
    <s v="EU27"/>
    <x v="7"/>
    <n v="2023"/>
    <x v="23"/>
    <x v="1"/>
    <x v="2"/>
    <m/>
    <m/>
    <n v="257.86367000000001"/>
  </r>
  <r>
    <s v="EU27"/>
    <x v="7"/>
    <n v="2023"/>
    <x v="24"/>
    <x v="0"/>
    <x v="0"/>
    <m/>
    <m/>
    <n v="96955.959419999999"/>
  </r>
  <r>
    <s v="EU27"/>
    <x v="7"/>
    <n v="2023"/>
    <x v="24"/>
    <x v="0"/>
    <x v="1"/>
    <m/>
    <m/>
    <n v="261.24754000000001"/>
  </r>
  <r>
    <s v="EU27"/>
    <x v="7"/>
    <n v="2023"/>
    <x v="24"/>
    <x v="0"/>
    <x v="2"/>
    <m/>
    <m/>
    <n v="97217.206959999996"/>
  </r>
  <r>
    <s v="EU27"/>
    <x v="7"/>
    <n v="2023"/>
    <x v="24"/>
    <x v="1"/>
    <x v="0"/>
    <m/>
    <m/>
    <n v="97878.277170000001"/>
  </r>
  <r>
    <s v="EU27"/>
    <x v="7"/>
    <n v="2023"/>
    <x v="24"/>
    <x v="1"/>
    <x v="1"/>
    <m/>
    <m/>
    <n v="261.24754000000001"/>
  </r>
  <r>
    <s v="EU27"/>
    <x v="7"/>
    <n v="2023"/>
    <x v="24"/>
    <x v="1"/>
    <x v="2"/>
    <m/>
    <m/>
    <n v="98139.524709999998"/>
  </r>
  <r>
    <s v="EU27"/>
    <x v="7"/>
    <n v="2023"/>
    <x v="24"/>
    <x v="2"/>
    <x v="0"/>
    <m/>
    <m/>
    <n v="1589.2356500000001"/>
  </r>
  <r>
    <s v="EU27"/>
    <x v="7"/>
    <n v="2023"/>
    <x v="24"/>
    <x v="2"/>
    <x v="2"/>
    <m/>
    <m/>
    <n v="10597.13565"/>
  </r>
  <r>
    <s v="EU27"/>
    <x v="7"/>
    <n v="2023"/>
    <x v="25"/>
    <x v="0"/>
    <x v="0"/>
    <m/>
    <m/>
    <n v="126.7"/>
  </r>
  <r>
    <s v="EU27"/>
    <x v="7"/>
    <n v="2023"/>
    <x v="25"/>
    <x v="0"/>
    <x v="2"/>
    <m/>
    <m/>
    <n v="115649.6351743579"/>
  </r>
  <r>
    <s v="EU27"/>
    <x v="7"/>
    <n v="2023"/>
    <x v="25"/>
    <x v="1"/>
    <x v="0"/>
    <m/>
    <m/>
    <n v="126.7"/>
  </r>
  <r>
    <s v="EU27"/>
    <x v="7"/>
    <n v="2023"/>
    <x v="25"/>
    <x v="1"/>
    <x v="2"/>
    <m/>
    <m/>
    <n v="120629.25907435791"/>
  </r>
  <r>
    <s v="EU27"/>
    <x v="7"/>
    <n v="2023"/>
    <x v="25"/>
    <x v="2"/>
    <x v="2"/>
    <m/>
    <m/>
    <n v="994.21641000000011"/>
  </r>
  <r>
    <s v="EU27"/>
    <x v="7"/>
    <n v="2023"/>
    <x v="26"/>
    <x v="0"/>
    <x v="0"/>
    <m/>
    <m/>
    <n v="620.70000000000005"/>
  </r>
  <r>
    <s v="EU27"/>
    <x v="7"/>
    <n v="2023"/>
    <x v="26"/>
    <x v="0"/>
    <x v="2"/>
    <m/>
    <m/>
    <n v="138022.24986953189"/>
  </r>
  <r>
    <s v="EU27"/>
    <x v="7"/>
    <n v="2023"/>
    <x v="26"/>
    <x v="1"/>
    <x v="0"/>
    <m/>
    <m/>
    <n v="620.70000000000005"/>
  </r>
  <r>
    <s v="EU27"/>
    <x v="7"/>
    <n v="2023"/>
    <x v="26"/>
    <x v="1"/>
    <x v="2"/>
    <m/>
    <m/>
    <n v="139441.24651953191"/>
  </r>
  <r>
    <s v="EU27"/>
    <x v="7"/>
    <n v="2023"/>
    <x v="26"/>
    <x v="2"/>
    <x v="2"/>
    <m/>
    <m/>
    <n v="726"/>
  </r>
  <r>
    <s v="EU27"/>
    <x v="7"/>
    <n v="2023"/>
    <x v="27"/>
    <x v="0"/>
    <x v="0"/>
    <m/>
    <m/>
    <n v="738.15174999999999"/>
  </r>
  <r>
    <s v="EU27"/>
    <x v="7"/>
    <n v="2023"/>
    <x v="27"/>
    <x v="0"/>
    <x v="2"/>
    <m/>
    <m/>
    <n v="882.05174999999997"/>
  </r>
  <r>
    <s v="EU27"/>
    <x v="7"/>
    <n v="2023"/>
    <x v="27"/>
    <x v="1"/>
    <x v="0"/>
    <m/>
    <m/>
    <n v="738.85328000000004"/>
  </r>
  <r>
    <s v="EU27"/>
    <x v="7"/>
    <n v="2023"/>
    <x v="27"/>
    <x v="1"/>
    <x v="2"/>
    <m/>
    <m/>
    <n v="882.75328000000002"/>
  </r>
  <r>
    <s v="EU27"/>
    <x v="7"/>
    <n v="2023"/>
    <x v="28"/>
    <x v="0"/>
    <x v="0"/>
    <m/>
    <m/>
    <n v="1825511.08574"/>
  </r>
  <r>
    <s v="EU27"/>
    <x v="7"/>
    <n v="2023"/>
    <x v="28"/>
    <x v="0"/>
    <x v="1"/>
    <m/>
    <m/>
    <n v="944288.03203"/>
  </r>
  <r>
    <s v="EU27"/>
    <x v="7"/>
    <n v="2023"/>
    <x v="28"/>
    <x v="0"/>
    <x v="2"/>
    <m/>
    <m/>
    <n v="2786415.4423000002"/>
  </r>
  <r>
    <s v="EU27"/>
    <x v="7"/>
    <n v="2023"/>
    <x v="28"/>
    <x v="1"/>
    <x v="0"/>
    <m/>
    <m/>
    <n v="1924149.88668"/>
  </r>
  <r>
    <s v="EU27"/>
    <x v="7"/>
    <n v="2023"/>
    <x v="28"/>
    <x v="1"/>
    <x v="1"/>
    <m/>
    <m/>
    <n v="1018618.43106"/>
  </r>
  <r>
    <s v="EU27"/>
    <x v="7"/>
    <n v="2023"/>
    <x v="28"/>
    <x v="1"/>
    <x v="2"/>
    <m/>
    <m/>
    <n v="2960618.2412399999"/>
  </r>
  <r>
    <s v="EU27"/>
    <x v="7"/>
    <n v="2023"/>
    <x v="28"/>
    <x v="2"/>
    <x v="0"/>
    <m/>
    <m/>
    <n v="15572.981089999999"/>
  </r>
  <r>
    <s v="EU27"/>
    <x v="7"/>
    <n v="2023"/>
    <x v="28"/>
    <x v="2"/>
    <x v="1"/>
    <m/>
    <m/>
    <n v="9220.2180200000003"/>
  </r>
  <r>
    <s v="EU27"/>
    <x v="7"/>
    <n v="2023"/>
    <x v="28"/>
    <x v="2"/>
    <x v="2"/>
    <m/>
    <m/>
    <n v="193398.36911999999"/>
  </r>
  <r>
    <s v="EU27"/>
    <x v="7"/>
    <n v="2023"/>
    <x v="29"/>
    <x v="0"/>
    <x v="0"/>
    <m/>
    <m/>
    <n v="1825511.1857400001"/>
  </r>
  <r>
    <s v="EU27"/>
    <x v="7"/>
    <n v="2023"/>
    <x v="29"/>
    <x v="0"/>
    <x v="1"/>
    <m/>
    <m/>
    <n v="944288.13202999998"/>
  </r>
  <r>
    <s v="EU27"/>
    <x v="7"/>
    <n v="2023"/>
    <x v="29"/>
    <x v="0"/>
    <x v="2"/>
    <m/>
    <m/>
    <n v="2531277.2022099998"/>
  </r>
  <r>
    <s v="EU27"/>
    <x v="7"/>
    <n v="2023"/>
    <x v="29"/>
    <x v="1"/>
    <x v="0"/>
    <m/>
    <m/>
    <n v="1924149.9866800001"/>
  </r>
  <r>
    <s v="EU27"/>
    <x v="7"/>
    <n v="2023"/>
    <x v="29"/>
    <x v="1"/>
    <x v="1"/>
    <m/>
    <m/>
    <n v="1018618.53106"/>
  </r>
  <r>
    <s v="EU27"/>
    <x v="7"/>
    <n v="2023"/>
    <x v="29"/>
    <x v="1"/>
    <x v="2"/>
    <m/>
    <m/>
    <n v="2723702.4225300001"/>
  </r>
  <r>
    <s v="EU27"/>
    <x v="7"/>
    <n v="2023"/>
    <x v="29"/>
    <x v="2"/>
    <x v="0"/>
    <m/>
    <m/>
    <n v="15572.981089999999"/>
  </r>
  <r>
    <s v="EU27"/>
    <x v="7"/>
    <n v="2023"/>
    <x v="29"/>
    <x v="2"/>
    <x v="1"/>
    <m/>
    <m/>
    <n v="9220.2180200000003"/>
  </r>
  <r>
    <s v="EU27"/>
    <x v="7"/>
    <n v="2023"/>
    <x v="29"/>
    <x v="2"/>
    <x v="2"/>
    <m/>
    <m/>
    <n v="173519.94935000001"/>
  </r>
  <r>
    <s v="EU27"/>
    <x v="8"/>
    <n v="2023"/>
    <x v="0"/>
    <x v="0"/>
    <x v="0"/>
    <m/>
    <m/>
    <n v="1252493.11534"/>
  </r>
  <r>
    <s v="EU27"/>
    <x v="8"/>
    <n v="2023"/>
    <x v="0"/>
    <x v="0"/>
    <x v="1"/>
    <m/>
    <m/>
    <n v="675414.62277000002"/>
  </r>
  <r>
    <s v="EU27"/>
    <x v="8"/>
    <n v="2023"/>
    <x v="0"/>
    <x v="0"/>
    <x v="2"/>
    <m/>
    <m/>
    <n v="1944873.1497599999"/>
  </r>
  <r>
    <s v="EU27"/>
    <x v="8"/>
    <n v="2023"/>
    <x v="0"/>
    <x v="1"/>
    <x v="0"/>
    <m/>
    <m/>
    <n v="1350336.93032"/>
  </r>
  <r>
    <s v="EU27"/>
    <x v="8"/>
    <n v="2023"/>
    <x v="0"/>
    <x v="1"/>
    <x v="1"/>
    <m/>
    <m/>
    <n v="749510.26072999998"/>
  </r>
  <r>
    <s v="EU27"/>
    <x v="8"/>
    <n v="2023"/>
    <x v="0"/>
    <x v="1"/>
    <x v="2"/>
    <m/>
    <m/>
    <n v="2118104.4899900001"/>
  </r>
  <r>
    <s v="EU27"/>
    <x v="8"/>
    <n v="2023"/>
    <x v="0"/>
    <x v="2"/>
    <x v="0"/>
    <m/>
    <m/>
    <n v="10963.6363"/>
  </r>
  <r>
    <s v="EU27"/>
    <x v="8"/>
    <n v="2023"/>
    <x v="0"/>
    <x v="2"/>
    <x v="1"/>
    <m/>
    <m/>
    <n v="8503.9827100000002"/>
  </r>
  <r>
    <s v="EU27"/>
    <x v="8"/>
    <n v="2023"/>
    <x v="0"/>
    <x v="2"/>
    <x v="2"/>
    <m/>
    <m/>
    <n v="138172.80462000001"/>
  </r>
  <r>
    <s v="EU27"/>
    <x v="8"/>
    <n v="2023"/>
    <x v="1"/>
    <x v="0"/>
    <x v="0"/>
    <m/>
    <m/>
    <n v="53019.807560000001"/>
  </r>
  <r>
    <s v="EU27"/>
    <x v="8"/>
    <n v="2023"/>
    <x v="1"/>
    <x v="0"/>
    <x v="1"/>
    <m/>
    <m/>
    <n v="421766.71273000003"/>
  </r>
  <r>
    <s v="EU27"/>
    <x v="8"/>
    <n v="2023"/>
    <x v="1"/>
    <x v="0"/>
    <x v="2"/>
    <m/>
    <m/>
    <n v="474786.34032999998"/>
  </r>
  <r>
    <s v="EU27"/>
    <x v="8"/>
    <n v="2023"/>
    <x v="1"/>
    <x v="1"/>
    <x v="0"/>
    <m/>
    <m/>
    <n v="57386.234689999997"/>
  </r>
  <r>
    <s v="EU27"/>
    <x v="8"/>
    <n v="2023"/>
    <x v="1"/>
    <x v="1"/>
    <x v="1"/>
    <m/>
    <m/>
    <n v="473069.28564999998"/>
  </r>
  <r>
    <s v="EU27"/>
    <x v="8"/>
    <n v="2023"/>
    <x v="1"/>
    <x v="1"/>
    <x v="2"/>
    <m/>
    <m/>
    <n v="530455.28032999998"/>
  </r>
  <r>
    <s v="EU27"/>
    <x v="8"/>
    <n v="2023"/>
    <x v="1"/>
    <x v="2"/>
    <x v="0"/>
    <m/>
    <m/>
    <n v="115.26904"/>
  </r>
  <r>
    <s v="EU27"/>
    <x v="8"/>
    <n v="2023"/>
    <x v="1"/>
    <x v="2"/>
    <x v="1"/>
    <m/>
    <m/>
    <n v="7067.5827099999997"/>
  </r>
  <r>
    <s v="EU27"/>
    <x v="8"/>
    <n v="2023"/>
    <x v="1"/>
    <x v="2"/>
    <x v="2"/>
    <m/>
    <m/>
    <n v="48156.351750000002"/>
  </r>
  <r>
    <s v="EU27"/>
    <x v="8"/>
    <n v="2023"/>
    <x v="2"/>
    <x v="0"/>
    <x v="0"/>
    <m/>
    <m/>
    <n v="104781.37377999999"/>
  </r>
  <r>
    <s v="EU27"/>
    <x v="8"/>
    <n v="2023"/>
    <x v="2"/>
    <x v="0"/>
    <x v="1"/>
    <m/>
    <m/>
    <n v="233545.80522000001"/>
  </r>
  <r>
    <s v="EU27"/>
    <x v="8"/>
    <n v="2023"/>
    <x v="2"/>
    <x v="0"/>
    <x v="2"/>
    <m/>
    <m/>
    <n v="338326.97899999999"/>
  </r>
  <r>
    <s v="EU27"/>
    <x v="8"/>
    <n v="2023"/>
    <x v="2"/>
    <x v="1"/>
    <x v="0"/>
    <m/>
    <m/>
    <n v="108648.06362"/>
  </r>
  <r>
    <s v="EU27"/>
    <x v="8"/>
    <n v="2023"/>
    <x v="2"/>
    <x v="1"/>
    <x v="1"/>
    <m/>
    <m/>
    <n v="255208.68207000001"/>
  </r>
  <r>
    <s v="EU27"/>
    <x v="8"/>
    <n v="2023"/>
    <x v="2"/>
    <x v="1"/>
    <x v="2"/>
    <m/>
    <m/>
    <n v="363856.54567999998"/>
  </r>
  <r>
    <s v="EU27"/>
    <x v="8"/>
    <n v="2023"/>
    <x v="2"/>
    <x v="2"/>
    <x v="0"/>
    <m/>
    <m/>
    <n v="1003.0765699999999"/>
  </r>
  <r>
    <s v="EU27"/>
    <x v="8"/>
    <n v="2023"/>
    <x v="2"/>
    <x v="2"/>
    <x v="1"/>
    <m/>
    <m/>
    <n v="1366.5"/>
  </r>
  <r>
    <s v="EU27"/>
    <x v="8"/>
    <n v="2023"/>
    <x v="2"/>
    <x v="2"/>
    <x v="2"/>
    <m/>
    <m/>
    <n v="19192.076570000001"/>
  </r>
  <r>
    <s v="EU27"/>
    <x v="8"/>
    <n v="2023"/>
    <x v="3"/>
    <x v="0"/>
    <x v="0"/>
    <m/>
    <m/>
    <n v="644220.28805999993"/>
  </r>
  <r>
    <s v="EU27"/>
    <x v="8"/>
    <n v="2023"/>
    <x v="3"/>
    <x v="0"/>
    <x v="1"/>
    <m/>
    <m/>
    <n v="3758.3924000000002"/>
  </r>
  <r>
    <s v="EU27"/>
    <x v="8"/>
    <n v="2023"/>
    <x v="3"/>
    <x v="0"/>
    <x v="2"/>
    <m/>
    <m/>
    <n v="664943.79212"/>
  </r>
  <r>
    <s v="EU27"/>
    <x v="8"/>
    <n v="2023"/>
    <x v="3"/>
    <x v="1"/>
    <x v="0"/>
    <m/>
    <m/>
    <n v="694212.42217999999"/>
  </r>
  <r>
    <s v="EU27"/>
    <x v="8"/>
    <n v="2023"/>
    <x v="3"/>
    <x v="1"/>
    <x v="1"/>
    <m/>
    <m/>
    <n v="3846.7780499999999"/>
  </r>
  <r>
    <s v="EU27"/>
    <x v="8"/>
    <n v="2023"/>
    <x v="3"/>
    <x v="1"/>
    <x v="2"/>
    <m/>
    <m/>
    <n v="716316.0392"/>
  </r>
  <r>
    <s v="EU27"/>
    <x v="8"/>
    <n v="2023"/>
    <x v="3"/>
    <x v="2"/>
    <x v="0"/>
    <m/>
    <m/>
    <n v="7868.2751099999996"/>
  </r>
  <r>
    <s v="EU27"/>
    <x v="8"/>
    <n v="2023"/>
    <x v="3"/>
    <x v="2"/>
    <x v="1"/>
    <m/>
    <m/>
    <n v="0"/>
  </r>
  <r>
    <s v="EU27"/>
    <x v="8"/>
    <n v="2023"/>
    <x v="3"/>
    <x v="2"/>
    <x v="2"/>
    <m/>
    <m/>
    <n v="33710.660709999996"/>
  </r>
  <r>
    <s v="EU27"/>
    <x v="8"/>
    <n v="2023"/>
    <x v="4"/>
    <x v="0"/>
    <x v="0"/>
    <m/>
    <m/>
    <n v="151.56585999999999"/>
  </r>
  <r>
    <s v="EU27"/>
    <x v="8"/>
    <n v="2023"/>
    <x v="4"/>
    <x v="0"/>
    <x v="2"/>
    <m/>
    <m/>
    <n v="17117.10195"/>
  </r>
  <r>
    <s v="EU27"/>
    <x v="8"/>
    <n v="2023"/>
    <x v="4"/>
    <x v="1"/>
    <x v="0"/>
    <m/>
    <m/>
    <n v="160.53668400000001"/>
  </r>
  <r>
    <s v="EU27"/>
    <x v="8"/>
    <n v="2023"/>
    <x v="4"/>
    <x v="1"/>
    <x v="2"/>
    <m/>
    <m/>
    <n v="18417.749609999999"/>
  </r>
  <r>
    <s v="EU27"/>
    <x v="8"/>
    <n v="2023"/>
    <x v="4"/>
    <x v="2"/>
    <x v="0"/>
    <m/>
    <m/>
    <n v="1.289E-2"/>
  </r>
  <r>
    <s v="EU27"/>
    <x v="8"/>
    <n v="2023"/>
    <x v="4"/>
    <x v="2"/>
    <x v="2"/>
    <m/>
    <m/>
    <n v="387.79849000000002"/>
  </r>
  <r>
    <s v="EU27"/>
    <x v="8"/>
    <n v="2023"/>
    <x v="5"/>
    <x v="0"/>
    <x v="0"/>
    <m/>
    <m/>
    <n v="621430.69441"/>
  </r>
  <r>
    <s v="EU27"/>
    <x v="8"/>
    <n v="2023"/>
    <x v="5"/>
    <x v="0"/>
    <x v="1"/>
    <m/>
    <m/>
    <n v="0"/>
  </r>
  <r>
    <s v="EU27"/>
    <x v="8"/>
    <n v="2023"/>
    <x v="5"/>
    <x v="0"/>
    <x v="2"/>
    <m/>
    <m/>
    <n v="621430.69441"/>
  </r>
  <r>
    <s v="EU27"/>
    <x v="8"/>
    <n v="2023"/>
    <x v="5"/>
    <x v="1"/>
    <x v="0"/>
    <m/>
    <m/>
    <n v="670588.27992"/>
  </r>
  <r>
    <s v="EU27"/>
    <x v="8"/>
    <n v="2023"/>
    <x v="5"/>
    <x v="1"/>
    <x v="1"/>
    <m/>
    <m/>
    <n v="0"/>
  </r>
  <r>
    <s v="EU27"/>
    <x v="8"/>
    <n v="2023"/>
    <x v="5"/>
    <x v="1"/>
    <x v="2"/>
    <m/>
    <m/>
    <n v="670588.27992"/>
  </r>
  <r>
    <s v="EU27"/>
    <x v="8"/>
    <n v="2023"/>
    <x v="5"/>
    <x v="2"/>
    <x v="0"/>
    <m/>
    <m/>
    <n v="7776.09274"/>
  </r>
  <r>
    <s v="EU27"/>
    <x v="8"/>
    <n v="2023"/>
    <x v="5"/>
    <x v="2"/>
    <x v="2"/>
    <m/>
    <m/>
    <n v="31843.09274"/>
  </r>
  <r>
    <s v="EU27"/>
    <x v="8"/>
    <n v="2023"/>
    <x v="6"/>
    <x v="0"/>
    <x v="0"/>
    <m/>
    <m/>
    <n v="3475.6461800000002"/>
  </r>
  <r>
    <s v="EU27"/>
    <x v="8"/>
    <n v="2023"/>
    <x v="6"/>
    <x v="0"/>
    <x v="1"/>
    <m/>
    <m/>
    <n v="0"/>
  </r>
  <r>
    <s v="EU27"/>
    <x v="8"/>
    <n v="2023"/>
    <x v="6"/>
    <x v="0"/>
    <x v="2"/>
    <m/>
    <m/>
    <n v="3475.6461800000002"/>
  </r>
  <r>
    <s v="EU27"/>
    <x v="8"/>
    <n v="2023"/>
    <x v="6"/>
    <x v="1"/>
    <x v="0"/>
    <m/>
    <m/>
    <n v="3977.40119"/>
  </r>
  <r>
    <s v="EU27"/>
    <x v="8"/>
    <n v="2023"/>
    <x v="6"/>
    <x v="1"/>
    <x v="1"/>
    <m/>
    <m/>
    <n v="0"/>
  </r>
  <r>
    <s v="EU27"/>
    <x v="8"/>
    <n v="2023"/>
    <x v="6"/>
    <x v="1"/>
    <x v="2"/>
    <m/>
    <m/>
    <n v="3977.40119"/>
  </r>
  <r>
    <s v="EU27"/>
    <x v="8"/>
    <n v="2023"/>
    <x v="6"/>
    <x v="2"/>
    <x v="0"/>
    <m/>
    <m/>
    <n v="35.6"/>
  </r>
  <r>
    <s v="EU27"/>
    <x v="8"/>
    <n v="2023"/>
    <x v="6"/>
    <x v="2"/>
    <x v="2"/>
    <m/>
    <m/>
    <n v="929.9"/>
  </r>
  <r>
    <s v="EU27"/>
    <x v="8"/>
    <n v="2023"/>
    <x v="7"/>
    <x v="0"/>
    <x v="0"/>
    <m/>
    <m/>
    <n v="17856.764340000002"/>
  </r>
  <r>
    <s v="EU27"/>
    <x v="8"/>
    <n v="2023"/>
    <x v="7"/>
    <x v="0"/>
    <x v="1"/>
    <m/>
    <m/>
    <n v="0"/>
  </r>
  <r>
    <s v="EU27"/>
    <x v="8"/>
    <n v="2023"/>
    <x v="7"/>
    <x v="0"/>
    <x v="2"/>
    <m/>
    <m/>
    <n v="17852.32818"/>
  </r>
  <r>
    <s v="EU27"/>
    <x v="8"/>
    <n v="2023"/>
    <x v="7"/>
    <x v="1"/>
    <x v="0"/>
    <m/>
    <m/>
    <n v="18014.245709999999"/>
  </r>
  <r>
    <s v="EU27"/>
    <x v="8"/>
    <n v="2023"/>
    <x v="7"/>
    <x v="1"/>
    <x v="1"/>
    <m/>
    <m/>
    <n v="0"/>
  </r>
  <r>
    <s v="EU27"/>
    <x v="8"/>
    <n v="2023"/>
    <x v="7"/>
    <x v="1"/>
    <x v="2"/>
    <m/>
    <m/>
    <n v="18014.24555"/>
  </r>
  <r>
    <s v="EU27"/>
    <x v="8"/>
    <n v="2023"/>
    <x v="7"/>
    <x v="2"/>
    <x v="0"/>
    <m/>
    <m/>
    <n v="49.269480000000001"/>
  </r>
  <r>
    <s v="EU27"/>
    <x v="8"/>
    <n v="2023"/>
    <x v="7"/>
    <x v="2"/>
    <x v="2"/>
    <m/>
    <m/>
    <n v="311.56948"/>
  </r>
  <r>
    <s v="EU27"/>
    <x v="8"/>
    <n v="2023"/>
    <x v="8"/>
    <x v="0"/>
    <x v="0"/>
    <m/>
    <m/>
    <n v="1305.65281"/>
  </r>
  <r>
    <s v="EU27"/>
    <x v="8"/>
    <n v="2023"/>
    <x v="8"/>
    <x v="0"/>
    <x v="1"/>
    <m/>
    <m/>
    <n v="3758.3924000000002"/>
  </r>
  <r>
    <s v="EU27"/>
    <x v="8"/>
    <n v="2023"/>
    <x v="8"/>
    <x v="0"/>
    <x v="2"/>
    <m/>
    <m/>
    <n v="5064.0452100000002"/>
  </r>
  <r>
    <s v="EU27"/>
    <x v="8"/>
    <n v="2023"/>
    <x v="8"/>
    <x v="1"/>
    <x v="0"/>
    <m/>
    <m/>
    <n v="1471.9246800000001"/>
  </r>
  <r>
    <s v="EU27"/>
    <x v="8"/>
    <n v="2023"/>
    <x v="8"/>
    <x v="1"/>
    <x v="1"/>
    <m/>
    <m/>
    <n v="3846.7780499999999"/>
  </r>
  <r>
    <s v="EU27"/>
    <x v="8"/>
    <n v="2023"/>
    <x v="8"/>
    <x v="1"/>
    <x v="2"/>
    <m/>
    <m/>
    <n v="5318.70273"/>
  </r>
  <r>
    <s v="EU27"/>
    <x v="8"/>
    <n v="2023"/>
    <x v="8"/>
    <x v="2"/>
    <x v="0"/>
    <m/>
    <m/>
    <n v="7.2"/>
  </r>
  <r>
    <s v="EU27"/>
    <x v="8"/>
    <n v="2023"/>
    <x v="8"/>
    <x v="2"/>
    <x v="2"/>
    <m/>
    <m/>
    <n v="238.2"/>
  </r>
  <r>
    <s v="EU27"/>
    <x v="8"/>
    <n v="2023"/>
    <x v="9"/>
    <x v="0"/>
    <x v="0"/>
    <m/>
    <m/>
    <n v="392949.08043999999"/>
  </r>
  <r>
    <s v="EU27"/>
    <x v="8"/>
    <n v="2023"/>
    <x v="9"/>
    <x v="0"/>
    <x v="1"/>
    <m/>
    <m/>
    <n v="1730.7600399999999"/>
  </r>
  <r>
    <s v="EU27"/>
    <x v="8"/>
    <n v="2023"/>
    <x v="9"/>
    <x v="0"/>
    <x v="2"/>
    <m/>
    <m/>
    <n v="394686.14046999998"/>
  </r>
  <r>
    <s v="EU27"/>
    <x v="8"/>
    <n v="2023"/>
    <x v="9"/>
    <x v="1"/>
    <x v="0"/>
    <m/>
    <m/>
    <n v="430854.18608000001"/>
  </r>
  <r>
    <s v="EU27"/>
    <x v="8"/>
    <n v="2023"/>
    <x v="9"/>
    <x v="1"/>
    <x v="1"/>
    <m/>
    <m/>
    <n v="1822.8347699999999"/>
  </r>
  <r>
    <s v="EU27"/>
    <x v="8"/>
    <n v="2023"/>
    <x v="9"/>
    <x v="1"/>
    <x v="2"/>
    <m/>
    <m/>
    <n v="432683.34083"/>
  </r>
  <r>
    <s v="EU27"/>
    <x v="8"/>
    <n v="2023"/>
    <x v="9"/>
    <x v="2"/>
    <x v="0"/>
    <m/>
    <m/>
    <n v="1544.01558"/>
  </r>
  <r>
    <s v="EU27"/>
    <x v="8"/>
    <n v="2023"/>
    <x v="9"/>
    <x v="2"/>
    <x v="2"/>
    <m/>
    <m/>
    <n v="17193.015579999999"/>
  </r>
  <r>
    <s v="EU27"/>
    <x v="8"/>
    <n v="2023"/>
    <x v="10"/>
    <x v="0"/>
    <x v="0"/>
    <m/>
    <m/>
    <n v="3683.4902699999998"/>
  </r>
  <r>
    <s v="EU27"/>
    <x v="8"/>
    <n v="2023"/>
    <x v="10"/>
    <x v="0"/>
    <x v="1"/>
    <m/>
    <m/>
    <n v="0"/>
  </r>
  <r>
    <s v="EU27"/>
    <x v="8"/>
    <n v="2023"/>
    <x v="10"/>
    <x v="0"/>
    <x v="2"/>
    <m/>
    <m/>
    <n v="3683.4902699999998"/>
  </r>
  <r>
    <s v="EU27"/>
    <x v="8"/>
    <n v="2023"/>
    <x v="10"/>
    <x v="1"/>
    <x v="0"/>
    <m/>
    <m/>
    <n v="3683.4866999999999"/>
  </r>
  <r>
    <s v="EU27"/>
    <x v="8"/>
    <n v="2023"/>
    <x v="10"/>
    <x v="1"/>
    <x v="1"/>
    <m/>
    <m/>
    <n v="0"/>
  </r>
  <r>
    <s v="EU27"/>
    <x v="8"/>
    <n v="2023"/>
    <x v="10"/>
    <x v="1"/>
    <x v="2"/>
    <m/>
    <m/>
    <n v="3683.4866999999999"/>
  </r>
  <r>
    <s v="EU27"/>
    <x v="8"/>
    <n v="2023"/>
    <x v="10"/>
    <x v="2"/>
    <x v="0"/>
    <m/>
    <m/>
    <n v="4.0999999999999996"/>
  </r>
  <r>
    <s v="EU27"/>
    <x v="8"/>
    <n v="2023"/>
    <x v="10"/>
    <x v="2"/>
    <x v="2"/>
    <m/>
    <m/>
    <n v="1246.2"/>
  </r>
  <r>
    <s v="EU27"/>
    <x v="8"/>
    <n v="2023"/>
    <x v="11"/>
    <x v="0"/>
    <x v="0"/>
    <m/>
    <m/>
    <n v="53900.315219999997"/>
  </r>
  <r>
    <s v="EU27"/>
    <x v="8"/>
    <n v="2023"/>
    <x v="11"/>
    <x v="0"/>
    <x v="1"/>
    <m/>
    <m/>
    <n v="14607.132390000001"/>
  </r>
  <r>
    <s v="EU27"/>
    <x v="8"/>
    <n v="2023"/>
    <x v="11"/>
    <x v="0"/>
    <x v="2"/>
    <m/>
    <m/>
    <n v="68507.427609999999"/>
  </r>
  <r>
    <s v="EU27"/>
    <x v="8"/>
    <n v="2023"/>
    <x v="11"/>
    <x v="1"/>
    <x v="0"/>
    <m/>
    <m/>
    <n v="55613.577039999996"/>
  </r>
  <r>
    <s v="EU27"/>
    <x v="8"/>
    <n v="2023"/>
    <x v="11"/>
    <x v="1"/>
    <x v="1"/>
    <m/>
    <m/>
    <n v="15557.120209999999"/>
  </r>
  <r>
    <s v="EU27"/>
    <x v="8"/>
    <n v="2023"/>
    <x v="11"/>
    <x v="1"/>
    <x v="2"/>
    <m/>
    <m/>
    <n v="71170.697239999994"/>
  </r>
  <r>
    <s v="EU27"/>
    <x v="8"/>
    <n v="2023"/>
    <x v="11"/>
    <x v="2"/>
    <x v="0"/>
    <m/>
    <m/>
    <n v="428.8"/>
  </r>
  <r>
    <s v="EU27"/>
    <x v="8"/>
    <n v="2023"/>
    <x v="11"/>
    <x v="2"/>
    <x v="1"/>
    <m/>
    <m/>
    <n v="69.900000000000006"/>
  </r>
  <r>
    <s v="EU27"/>
    <x v="8"/>
    <n v="2023"/>
    <x v="11"/>
    <x v="2"/>
    <x v="2"/>
    <m/>
    <m/>
    <n v="18674.5"/>
  </r>
  <r>
    <s v="EU27"/>
    <x v="8"/>
    <n v="2023"/>
    <x v="12"/>
    <x v="0"/>
    <x v="0"/>
    <m/>
    <m/>
    <n v="0"/>
  </r>
  <r>
    <s v="EU27"/>
    <x v="8"/>
    <n v="2023"/>
    <x v="12"/>
    <x v="0"/>
    <x v="1"/>
    <m/>
    <m/>
    <n v="0"/>
  </r>
  <r>
    <s v="EU27"/>
    <x v="8"/>
    <n v="2023"/>
    <x v="12"/>
    <x v="0"/>
    <x v="2"/>
    <m/>
    <m/>
    <n v="0"/>
  </r>
  <r>
    <s v="EU27"/>
    <x v="8"/>
    <n v="2023"/>
    <x v="12"/>
    <x v="1"/>
    <x v="0"/>
    <m/>
    <m/>
    <n v="0"/>
  </r>
  <r>
    <s v="EU27"/>
    <x v="8"/>
    <n v="2023"/>
    <x v="12"/>
    <x v="1"/>
    <x v="1"/>
    <m/>
    <m/>
    <n v="0"/>
  </r>
  <r>
    <s v="EU27"/>
    <x v="8"/>
    <n v="2023"/>
    <x v="12"/>
    <x v="1"/>
    <x v="2"/>
    <m/>
    <m/>
    <n v="0"/>
  </r>
  <r>
    <s v="EU27"/>
    <x v="8"/>
    <n v="2023"/>
    <x v="13"/>
    <x v="0"/>
    <x v="0"/>
    <m/>
    <m/>
    <n v="65432.489699999998"/>
  </r>
  <r>
    <s v="EU27"/>
    <x v="8"/>
    <n v="2023"/>
    <x v="13"/>
    <x v="0"/>
    <x v="1"/>
    <m/>
    <m/>
    <n v="205139.88501999999"/>
  </r>
  <r>
    <s v="EU27"/>
    <x v="8"/>
    <n v="2023"/>
    <x v="13"/>
    <x v="0"/>
    <x v="2"/>
    <m/>
    <m/>
    <n v="270294.03473999997"/>
  </r>
  <r>
    <s v="EU27"/>
    <x v="8"/>
    <n v="2023"/>
    <x v="13"/>
    <x v="1"/>
    <x v="0"/>
    <m/>
    <m/>
    <n v="67206.484479999999"/>
  </r>
  <r>
    <s v="EU27"/>
    <x v="8"/>
    <n v="2023"/>
    <x v="13"/>
    <x v="1"/>
    <x v="1"/>
    <m/>
    <m/>
    <n v="213799.29602000001"/>
  </r>
  <r>
    <s v="EU27"/>
    <x v="8"/>
    <n v="2023"/>
    <x v="13"/>
    <x v="1"/>
    <x v="2"/>
    <m/>
    <m/>
    <n v="280727.5405"/>
  </r>
  <r>
    <s v="EU27"/>
    <x v="8"/>
    <n v="2023"/>
    <x v="13"/>
    <x v="2"/>
    <x v="0"/>
    <m/>
    <m/>
    <n v="1074.71073"/>
  </r>
  <r>
    <s v="EU27"/>
    <x v="8"/>
    <n v="2023"/>
    <x v="13"/>
    <x v="2"/>
    <x v="1"/>
    <m/>
    <m/>
    <n v="732.8"/>
  </r>
  <r>
    <s v="EU27"/>
    <x v="8"/>
    <n v="2023"/>
    <x v="13"/>
    <x v="2"/>
    <x v="2"/>
    <m/>
    <m/>
    <n v="16101.310729999999"/>
  </r>
  <r>
    <s v="EU27"/>
    <x v="8"/>
    <n v="2023"/>
    <x v="14"/>
    <x v="0"/>
    <x v="0"/>
    <m/>
    <m/>
    <n v="361317.56761999999"/>
  </r>
  <r>
    <s v="EU27"/>
    <x v="8"/>
    <n v="2023"/>
    <x v="14"/>
    <x v="0"/>
    <x v="2"/>
    <m/>
    <m/>
    <n v="361317.56761999999"/>
  </r>
  <r>
    <s v="EU27"/>
    <x v="8"/>
    <n v="2023"/>
    <x v="14"/>
    <x v="1"/>
    <x v="0"/>
    <m/>
    <m/>
    <n v="374556.02823"/>
  </r>
  <r>
    <s v="EU27"/>
    <x v="8"/>
    <n v="2023"/>
    <x v="14"/>
    <x v="1"/>
    <x v="2"/>
    <m/>
    <m/>
    <n v="374556.02823"/>
  </r>
  <r>
    <s v="EU27"/>
    <x v="8"/>
    <n v="2023"/>
    <x v="14"/>
    <x v="2"/>
    <x v="0"/>
    <m/>
    <m/>
    <n v="2035.5524"/>
  </r>
  <r>
    <s v="EU27"/>
    <x v="8"/>
    <n v="2023"/>
    <x v="14"/>
    <x v="2"/>
    <x v="2"/>
    <m/>
    <m/>
    <n v="30051.3524"/>
  </r>
  <r>
    <s v="EU27"/>
    <x v="8"/>
    <n v="2023"/>
    <x v="15"/>
    <x v="0"/>
    <x v="2"/>
    <m/>
    <m/>
    <n v="-257437.96617999999"/>
  </r>
  <r>
    <s v="EU27"/>
    <x v="8"/>
    <n v="2023"/>
    <x v="15"/>
    <x v="1"/>
    <x v="2"/>
    <m/>
    <m/>
    <n v="-237860.40281"/>
  </r>
  <r>
    <s v="EU27"/>
    <x v="8"/>
    <n v="2023"/>
    <x v="15"/>
    <x v="2"/>
    <x v="2"/>
    <m/>
    <m/>
    <n v="-19633.93405"/>
  </r>
  <r>
    <s v="EU27"/>
    <x v="8"/>
    <n v="2023"/>
    <x v="16"/>
    <x v="0"/>
    <x v="2"/>
    <m/>
    <m/>
    <n v="-316930.69644000003"/>
  </r>
  <r>
    <s v="EU27"/>
    <x v="8"/>
    <n v="2023"/>
    <x v="16"/>
    <x v="1"/>
    <x v="2"/>
    <m/>
    <m/>
    <n v="-304820.21003000002"/>
  </r>
  <r>
    <s v="EU27"/>
    <x v="8"/>
    <n v="2023"/>
    <x v="16"/>
    <x v="2"/>
    <x v="2"/>
    <m/>
    <m/>
    <n v="-20520.523270000002"/>
  </r>
  <r>
    <s v="EU27"/>
    <x v="8"/>
    <n v="2023"/>
    <x v="17"/>
    <x v="0"/>
    <x v="2"/>
    <m/>
    <m/>
    <n v="31650.04219"/>
  </r>
  <r>
    <s v="EU27"/>
    <x v="8"/>
    <n v="2023"/>
    <x v="17"/>
    <x v="1"/>
    <x v="2"/>
    <m/>
    <m/>
    <n v="36004.239670000003"/>
  </r>
  <r>
    <s v="EU27"/>
    <x v="8"/>
    <n v="2023"/>
    <x v="17"/>
    <x v="2"/>
    <x v="2"/>
    <m/>
    <m/>
    <n v="-2341.4953799999998"/>
  </r>
  <r>
    <s v="EU27"/>
    <x v="8"/>
    <n v="2023"/>
    <x v="18"/>
    <x v="0"/>
    <x v="2"/>
    <m/>
    <m/>
    <n v="14002.27007"/>
  </r>
  <r>
    <s v="EU27"/>
    <x v="8"/>
    <n v="2023"/>
    <x v="18"/>
    <x v="1"/>
    <x v="2"/>
    <m/>
    <m/>
    <n v="15110.1381"/>
  </r>
  <r>
    <s v="EU27"/>
    <x v="8"/>
    <n v="2023"/>
    <x v="18"/>
    <x v="2"/>
    <x v="2"/>
    <m/>
    <m/>
    <n v="1671.8790200000001"/>
  </r>
  <r>
    <s v="EU27"/>
    <x v="8"/>
    <n v="2023"/>
    <x v="19"/>
    <x v="0"/>
    <x v="2"/>
    <m/>
    <m/>
    <n v="13742.33202"/>
  </r>
  <r>
    <s v="EU27"/>
    <x v="8"/>
    <n v="2023"/>
    <x v="19"/>
    <x v="1"/>
    <x v="2"/>
    <m/>
    <m/>
    <n v="14388.06458"/>
  </r>
  <r>
    <s v="EU27"/>
    <x v="8"/>
    <n v="2023"/>
    <x v="19"/>
    <x v="2"/>
    <x v="2"/>
    <m/>
    <m/>
    <n v="767.08648000000005"/>
  </r>
  <r>
    <s v="EU27"/>
    <x v="8"/>
    <n v="2023"/>
    <x v="20"/>
    <x v="0"/>
    <x v="2"/>
    <m/>
    <m/>
    <n v="33553.82819"/>
  </r>
  <r>
    <s v="EU27"/>
    <x v="8"/>
    <n v="2023"/>
    <x v="20"/>
    <x v="1"/>
    <x v="2"/>
    <m/>
    <m/>
    <n v="34263.802880000003"/>
  </r>
  <r>
    <s v="EU27"/>
    <x v="8"/>
    <n v="2023"/>
    <x v="20"/>
    <x v="2"/>
    <x v="2"/>
    <m/>
    <m/>
    <n v="2836.55827"/>
  </r>
  <r>
    <s v="EU27"/>
    <x v="8"/>
    <n v="2023"/>
    <x v="21"/>
    <x v="0"/>
    <x v="2"/>
    <m/>
    <m/>
    <n v="582.50070000000005"/>
  </r>
  <r>
    <s v="EU27"/>
    <x v="8"/>
    <n v="2023"/>
    <x v="21"/>
    <x v="1"/>
    <x v="2"/>
    <m/>
    <m/>
    <n v="494.09246000000007"/>
  </r>
  <r>
    <s v="EU27"/>
    <x v="8"/>
    <n v="2023"/>
    <x v="21"/>
    <x v="2"/>
    <x v="2"/>
    <m/>
    <m/>
    <n v="245.82084"/>
  </r>
  <r>
    <s v="EU27"/>
    <x v="8"/>
    <n v="2023"/>
    <x v="22"/>
    <x v="0"/>
    <x v="2"/>
    <m/>
    <m/>
    <n v="-33809.241199999997"/>
  </r>
  <r>
    <s v="EU27"/>
    <x v="8"/>
    <n v="2023"/>
    <x v="22"/>
    <x v="1"/>
    <x v="2"/>
    <m/>
    <m/>
    <n v="-33556.468780000003"/>
  </r>
  <r>
    <s v="EU27"/>
    <x v="8"/>
    <n v="2023"/>
    <x v="22"/>
    <x v="2"/>
    <x v="2"/>
    <m/>
    <m/>
    <n v="-2293.36"/>
  </r>
  <r>
    <s v="EU27"/>
    <x v="8"/>
    <n v="2023"/>
    <x v="23"/>
    <x v="0"/>
    <x v="2"/>
    <m/>
    <m/>
    <n v="255.857"/>
  </r>
  <r>
    <s v="EU27"/>
    <x v="8"/>
    <n v="2023"/>
    <x v="23"/>
    <x v="1"/>
    <x v="2"/>
    <m/>
    <m/>
    <n v="255.857"/>
  </r>
  <r>
    <s v="EU27"/>
    <x v="8"/>
    <n v="2023"/>
    <x v="24"/>
    <x v="0"/>
    <x v="0"/>
    <m/>
    <m/>
    <n v="94197.792960000006"/>
  </r>
  <r>
    <s v="EU27"/>
    <x v="8"/>
    <n v="2023"/>
    <x v="24"/>
    <x v="0"/>
    <x v="1"/>
    <m/>
    <m/>
    <n v="261.24754000000001"/>
  </r>
  <r>
    <s v="EU27"/>
    <x v="8"/>
    <n v="2023"/>
    <x v="24"/>
    <x v="0"/>
    <x v="2"/>
    <m/>
    <m/>
    <n v="94459.040500000003"/>
  </r>
  <r>
    <s v="EU27"/>
    <x v="8"/>
    <n v="2023"/>
    <x v="24"/>
    <x v="1"/>
    <x v="0"/>
    <m/>
    <m/>
    <n v="95175.607040000003"/>
  </r>
  <r>
    <s v="EU27"/>
    <x v="8"/>
    <n v="2023"/>
    <x v="24"/>
    <x v="1"/>
    <x v="1"/>
    <m/>
    <m/>
    <n v="261.24754000000001"/>
  </r>
  <r>
    <s v="EU27"/>
    <x v="8"/>
    <n v="2023"/>
    <x v="24"/>
    <x v="1"/>
    <x v="2"/>
    <m/>
    <m/>
    <n v="95436.854579999999"/>
  </r>
  <r>
    <s v="EU27"/>
    <x v="8"/>
    <n v="2023"/>
    <x v="24"/>
    <x v="2"/>
    <x v="0"/>
    <m/>
    <m/>
    <n v="1601.89077"/>
  </r>
  <r>
    <s v="EU27"/>
    <x v="8"/>
    <n v="2023"/>
    <x v="24"/>
    <x v="2"/>
    <x v="2"/>
    <m/>
    <m/>
    <n v="10573.39077"/>
  </r>
  <r>
    <s v="EU27"/>
    <x v="8"/>
    <n v="2023"/>
    <x v="25"/>
    <x v="0"/>
    <x v="0"/>
    <m/>
    <m/>
    <n v="129.6"/>
  </r>
  <r>
    <s v="EU27"/>
    <x v="8"/>
    <n v="2023"/>
    <x v="25"/>
    <x v="0"/>
    <x v="2"/>
    <m/>
    <m/>
    <n v="116801.684882659"/>
  </r>
  <r>
    <s v="EU27"/>
    <x v="8"/>
    <n v="2023"/>
    <x v="25"/>
    <x v="1"/>
    <x v="0"/>
    <m/>
    <m/>
    <n v="129.6"/>
  </r>
  <r>
    <s v="EU27"/>
    <x v="8"/>
    <n v="2023"/>
    <x v="25"/>
    <x v="1"/>
    <x v="2"/>
    <m/>
    <m/>
    <n v="121765.80152265901"/>
  </r>
  <r>
    <s v="EU27"/>
    <x v="8"/>
    <n v="2023"/>
    <x v="25"/>
    <x v="2"/>
    <x v="2"/>
    <m/>
    <m/>
    <n v="1001.54068"/>
  </r>
  <r>
    <s v="EU27"/>
    <x v="8"/>
    <n v="2023"/>
    <x v="26"/>
    <x v="0"/>
    <x v="0"/>
    <m/>
    <m/>
    <n v="644"/>
  </r>
  <r>
    <s v="EU27"/>
    <x v="8"/>
    <n v="2023"/>
    <x v="26"/>
    <x v="0"/>
    <x v="2"/>
    <m/>
    <m/>
    <n v="137661.73571389701"/>
  </r>
  <r>
    <s v="EU27"/>
    <x v="8"/>
    <n v="2023"/>
    <x v="26"/>
    <x v="1"/>
    <x v="0"/>
    <m/>
    <m/>
    <n v="644"/>
  </r>
  <r>
    <s v="EU27"/>
    <x v="8"/>
    <n v="2023"/>
    <x v="26"/>
    <x v="1"/>
    <x v="2"/>
    <m/>
    <m/>
    <n v="139414.033963897"/>
  </r>
  <r>
    <s v="EU27"/>
    <x v="8"/>
    <n v="2023"/>
    <x v="26"/>
    <x v="2"/>
    <x v="2"/>
    <m/>
    <m/>
    <n v="749.3"/>
  </r>
  <r>
    <s v="EU27"/>
    <x v="8"/>
    <n v="2023"/>
    <x v="27"/>
    <x v="0"/>
    <x v="0"/>
    <m/>
    <m/>
    <n v="735.51414"/>
  </r>
  <r>
    <s v="EU27"/>
    <x v="8"/>
    <n v="2023"/>
    <x v="27"/>
    <x v="0"/>
    <x v="2"/>
    <m/>
    <m/>
    <n v="879.41413999999997"/>
  </r>
  <r>
    <s v="EU27"/>
    <x v="8"/>
    <n v="2023"/>
    <x v="27"/>
    <x v="1"/>
    <x v="0"/>
    <m/>
    <m/>
    <n v="736.11617000000001"/>
  </r>
  <r>
    <s v="EU27"/>
    <x v="8"/>
    <n v="2023"/>
    <x v="27"/>
    <x v="1"/>
    <x v="2"/>
    <m/>
    <m/>
    <n v="880.01616999999999"/>
  </r>
  <r>
    <s v="EU27"/>
    <x v="8"/>
    <n v="2023"/>
    <x v="28"/>
    <x v="0"/>
    <x v="0"/>
    <m/>
    <m/>
    <n v="1774420.18674"/>
  </r>
  <r>
    <s v="EU27"/>
    <x v="8"/>
    <n v="2023"/>
    <x v="28"/>
    <x v="0"/>
    <x v="1"/>
    <m/>
    <m/>
    <n v="880815.89534000005"/>
  </r>
  <r>
    <s v="EU27"/>
    <x v="8"/>
    <n v="2023"/>
    <x v="28"/>
    <x v="0"/>
    <x v="2"/>
    <m/>
    <m/>
    <n v="2671922.8937499998"/>
  </r>
  <r>
    <s v="EU27"/>
    <x v="8"/>
    <n v="2023"/>
    <x v="28"/>
    <x v="1"/>
    <x v="0"/>
    <m/>
    <m/>
    <n v="1888011.5862400001"/>
  </r>
  <r>
    <s v="EU27"/>
    <x v="8"/>
    <n v="2023"/>
    <x v="28"/>
    <x v="1"/>
    <x v="1"/>
    <m/>
    <m/>
    <n v="963571.18428000004"/>
  </r>
  <r>
    <s v="EU27"/>
    <x v="8"/>
    <n v="2023"/>
    <x v="28"/>
    <x v="1"/>
    <x v="2"/>
    <m/>
    <m/>
    <n v="2869561.3485900001"/>
  </r>
  <r>
    <s v="EU27"/>
    <x v="8"/>
    <n v="2023"/>
    <x v="28"/>
    <x v="2"/>
    <x v="0"/>
    <m/>
    <m/>
    <n v="15675.690199999999"/>
  </r>
  <r>
    <s v="EU27"/>
    <x v="8"/>
    <n v="2023"/>
    <x v="28"/>
    <x v="2"/>
    <x v="1"/>
    <m/>
    <m/>
    <n v="9236.7827100000013"/>
  </r>
  <r>
    <s v="EU27"/>
    <x v="8"/>
    <n v="2023"/>
    <x v="28"/>
    <x v="2"/>
    <x v="2"/>
    <m/>
    <m/>
    <n v="194898.75852"/>
  </r>
  <r>
    <s v="EU27"/>
    <x v="8"/>
    <n v="2023"/>
    <x v="29"/>
    <x v="0"/>
    <x v="0"/>
    <m/>
    <m/>
    <n v="1774420.0867399999"/>
  </r>
  <r>
    <s v="EU27"/>
    <x v="8"/>
    <n v="2023"/>
    <x v="29"/>
    <x v="0"/>
    <x v="1"/>
    <m/>
    <m/>
    <n v="880815.69533999998"/>
  </r>
  <r>
    <s v="EU27"/>
    <x v="8"/>
    <n v="2023"/>
    <x v="29"/>
    <x v="0"/>
    <x v="2"/>
    <m/>
    <m/>
    <n v="2414484.8075899999"/>
  </r>
  <r>
    <s v="EU27"/>
    <x v="8"/>
    <n v="2023"/>
    <x v="29"/>
    <x v="1"/>
    <x v="0"/>
    <m/>
    <m/>
    <n v="1888011.48624"/>
  </r>
  <r>
    <s v="EU27"/>
    <x v="8"/>
    <n v="2023"/>
    <x v="29"/>
    <x v="1"/>
    <x v="1"/>
    <m/>
    <m/>
    <n v="963570.98427999998"/>
  </r>
  <r>
    <s v="EU27"/>
    <x v="8"/>
    <n v="2023"/>
    <x v="29"/>
    <x v="1"/>
    <x v="2"/>
    <m/>
    <m/>
    <n v="2631692.9049399998"/>
  </r>
  <r>
    <s v="EU27"/>
    <x v="8"/>
    <n v="2023"/>
    <x v="29"/>
    <x v="2"/>
    <x v="0"/>
    <m/>
    <m/>
    <n v="15675.690199999999"/>
  </r>
  <r>
    <s v="EU27"/>
    <x v="8"/>
    <n v="2023"/>
    <x v="29"/>
    <x v="2"/>
    <x v="1"/>
    <m/>
    <m/>
    <n v="9236.7827100000013"/>
  </r>
  <r>
    <s v="EU27"/>
    <x v="8"/>
    <n v="2023"/>
    <x v="29"/>
    <x v="2"/>
    <x v="2"/>
    <m/>
    <m/>
    <n v="175570.36447"/>
  </r>
  <r>
    <s v="EU27"/>
    <x v="9"/>
    <n v="2023"/>
    <x v="0"/>
    <x v="0"/>
    <x v="0"/>
    <m/>
    <m/>
    <n v="1207421.1005800001"/>
  </r>
  <r>
    <s v="EU27"/>
    <x v="9"/>
    <n v="2023"/>
    <x v="0"/>
    <x v="0"/>
    <x v="1"/>
    <m/>
    <m/>
    <n v="635179.03767999995"/>
  </r>
  <r>
    <s v="EU27"/>
    <x v="9"/>
    <n v="2023"/>
    <x v="0"/>
    <x v="0"/>
    <x v="2"/>
    <m/>
    <m/>
    <n v="1859635.4403599999"/>
  </r>
  <r>
    <s v="EU27"/>
    <x v="9"/>
    <n v="2023"/>
    <x v="0"/>
    <x v="1"/>
    <x v="0"/>
    <m/>
    <m/>
    <n v="1318927.8643700001"/>
  </r>
  <r>
    <s v="EU27"/>
    <x v="9"/>
    <n v="2023"/>
    <x v="0"/>
    <x v="1"/>
    <x v="1"/>
    <m/>
    <m/>
    <n v="717363.07568000001"/>
  </r>
  <r>
    <s v="EU27"/>
    <x v="9"/>
    <n v="2023"/>
    <x v="0"/>
    <x v="1"/>
    <x v="2"/>
    <m/>
    <m/>
    <n v="2054676.59613"/>
  </r>
  <r>
    <s v="EU27"/>
    <x v="9"/>
    <n v="2023"/>
    <x v="0"/>
    <x v="2"/>
    <x v="0"/>
    <m/>
    <m/>
    <n v="11073.26179"/>
  </r>
  <r>
    <s v="EU27"/>
    <x v="9"/>
    <n v="2023"/>
    <x v="0"/>
    <x v="2"/>
    <x v="1"/>
    <m/>
    <m/>
    <n v="8519.0131099999999"/>
  </r>
  <r>
    <s v="EU27"/>
    <x v="9"/>
    <n v="2023"/>
    <x v="0"/>
    <x v="2"/>
    <x v="2"/>
    <m/>
    <m/>
    <n v="139405.17610000001"/>
  </r>
  <r>
    <s v="EU27"/>
    <x v="9"/>
    <n v="2023"/>
    <x v="1"/>
    <x v="0"/>
    <x v="0"/>
    <m/>
    <m/>
    <n v="50452.805469999999"/>
  </r>
  <r>
    <s v="EU27"/>
    <x v="9"/>
    <n v="2023"/>
    <x v="1"/>
    <x v="0"/>
    <x v="1"/>
    <m/>
    <m/>
    <n v="393625.14438999997"/>
  </r>
  <r>
    <s v="EU27"/>
    <x v="9"/>
    <n v="2023"/>
    <x v="1"/>
    <x v="0"/>
    <x v="2"/>
    <m/>
    <m/>
    <n v="444077.64986"/>
  </r>
  <r>
    <s v="EU27"/>
    <x v="9"/>
    <n v="2023"/>
    <x v="1"/>
    <x v="1"/>
    <x v="0"/>
    <m/>
    <m/>
    <n v="55294.776449999998"/>
  </r>
  <r>
    <s v="EU27"/>
    <x v="9"/>
    <n v="2023"/>
    <x v="1"/>
    <x v="1"/>
    <x v="1"/>
    <m/>
    <m/>
    <n v="450245.94016"/>
  </r>
  <r>
    <s v="EU27"/>
    <x v="9"/>
    <n v="2023"/>
    <x v="1"/>
    <x v="1"/>
    <x v="2"/>
    <m/>
    <m/>
    <n v="505540.31659"/>
  </r>
  <r>
    <s v="EU27"/>
    <x v="9"/>
    <n v="2023"/>
    <x v="1"/>
    <x v="2"/>
    <x v="0"/>
    <m/>
    <m/>
    <n v="105.19306"/>
  </r>
  <r>
    <s v="EU27"/>
    <x v="9"/>
    <n v="2023"/>
    <x v="1"/>
    <x v="2"/>
    <x v="1"/>
    <m/>
    <m/>
    <n v="7073.0131099999999"/>
  </r>
  <r>
    <s v="EU27"/>
    <x v="9"/>
    <n v="2023"/>
    <x v="1"/>
    <x v="2"/>
    <x v="2"/>
    <m/>
    <m/>
    <n v="48151.706169999998"/>
  </r>
  <r>
    <s v="EU27"/>
    <x v="9"/>
    <n v="2023"/>
    <x v="2"/>
    <x v="0"/>
    <x v="0"/>
    <m/>
    <m/>
    <n v="103464.27773"/>
  </r>
  <r>
    <s v="EU27"/>
    <x v="9"/>
    <n v="2023"/>
    <x v="2"/>
    <x v="0"/>
    <x v="1"/>
    <m/>
    <m/>
    <n v="221814.18510999999"/>
  </r>
  <r>
    <s v="EU27"/>
    <x v="9"/>
    <n v="2023"/>
    <x v="2"/>
    <x v="0"/>
    <x v="2"/>
    <m/>
    <m/>
    <n v="325278.36281000002"/>
  </r>
  <r>
    <s v="EU27"/>
    <x v="9"/>
    <n v="2023"/>
    <x v="2"/>
    <x v="1"/>
    <x v="0"/>
    <m/>
    <m/>
    <n v="107515.91645999999"/>
  </r>
  <r>
    <s v="EU27"/>
    <x v="9"/>
    <n v="2023"/>
    <x v="2"/>
    <x v="1"/>
    <x v="1"/>
    <m/>
    <m/>
    <n v="246091.70099000001"/>
  </r>
  <r>
    <s v="EU27"/>
    <x v="9"/>
    <n v="2023"/>
    <x v="2"/>
    <x v="1"/>
    <x v="2"/>
    <m/>
    <m/>
    <n v="353607.81743"/>
  </r>
  <r>
    <s v="EU27"/>
    <x v="9"/>
    <n v="2023"/>
    <x v="2"/>
    <x v="2"/>
    <x v="0"/>
    <m/>
    <m/>
    <n v="1013.04114"/>
  </r>
  <r>
    <s v="EU27"/>
    <x v="9"/>
    <n v="2023"/>
    <x v="2"/>
    <x v="2"/>
    <x v="1"/>
    <m/>
    <m/>
    <n v="1376.1"/>
  </r>
  <r>
    <s v="EU27"/>
    <x v="9"/>
    <n v="2023"/>
    <x v="2"/>
    <x v="2"/>
    <x v="2"/>
    <m/>
    <m/>
    <n v="19410.64114"/>
  </r>
  <r>
    <s v="EU27"/>
    <x v="9"/>
    <n v="2023"/>
    <x v="3"/>
    <x v="0"/>
    <x v="0"/>
    <m/>
    <m/>
    <n v="618532.65552000003"/>
  </r>
  <r>
    <s v="EU27"/>
    <x v="9"/>
    <n v="2023"/>
    <x v="3"/>
    <x v="0"/>
    <x v="1"/>
    <m/>
    <m/>
    <n v="3693.0475499999998"/>
  </r>
  <r>
    <s v="EU27"/>
    <x v="9"/>
    <n v="2023"/>
    <x v="3"/>
    <x v="0"/>
    <x v="2"/>
    <m/>
    <m/>
    <n v="639260.80515000003"/>
  </r>
  <r>
    <s v="EU27"/>
    <x v="9"/>
    <n v="2023"/>
    <x v="3"/>
    <x v="1"/>
    <x v="0"/>
    <m/>
    <m/>
    <n v="676881.43602000002"/>
  </r>
  <r>
    <s v="EU27"/>
    <x v="9"/>
    <n v="2023"/>
    <x v="3"/>
    <x v="1"/>
    <x v="1"/>
    <m/>
    <m/>
    <n v="3798.2949800000001"/>
  </r>
  <r>
    <s v="EU27"/>
    <x v="9"/>
    <n v="2023"/>
    <x v="3"/>
    <x v="1"/>
    <x v="2"/>
    <m/>
    <m/>
    <n v="699064.78703000001"/>
  </r>
  <r>
    <s v="EU27"/>
    <x v="9"/>
    <n v="2023"/>
    <x v="3"/>
    <x v="2"/>
    <x v="0"/>
    <m/>
    <m/>
    <n v="7981.9815399999998"/>
  </r>
  <r>
    <s v="EU27"/>
    <x v="9"/>
    <n v="2023"/>
    <x v="3"/>
    <x v="2"/>
    <x v="1"/>
    <m/>
    <m/>
    <n v="0"/>
  </r>
  <r>
    <s v="EU27"/>
    <x v="9"/>
    <n v="2023"/>
    <x v="3"/>
    <x v="2"/>
    <x v="2"/>
    <m/>
    <m/>
    <n v="34543.082730000002"/>
  </r>
  <r>
    <s v="EU27"/>
    <x v="9"/>
    <n v="2023"/>
    <x v="4"/>
    <x v="0"/>
    <x v="0"/>
    <m/>
    <m/>
    <n v="152.40585999999999"/>
  </r>
  <r>
    <s v="EU27"/>
    <x v="9"/>
    <n v="2023"/>
    <x v="4"/>
    <x v="0"/>
    <x v="2"/>
    <m/>
    <m/>
    <n v="17187.712390000001"/>
  </r>
  <r>
    <s v="EU27"/>
    <x v="9"/>
    <n v="2023"/>
    <x v="4"/>
    <x v="1"/>
    <x v="0"/>
    <m/>
    <m/>
    <n v="161.57410999999999"/>
  </r>
  <r>
    <s v="EU27"/>
    <x v="9"/>
    <n v="2023"/>
    <x v="4"/>
    <x v="1"/>
    <x v="2"/>
    <m/>
    <m/>
    <n v="18546.86678"/>
  </r>
  <r>
    <s v="EU27"/>
    <x v="9"/>
    <n v="2023"/>
    <x v="4"/>
    <x v="2"/>
    <x v="0"/>
    <m/>
    <m/>
    <n v="1.298E-2"/>
  </r>
  <r>
    <s v="EU27"/>
    <x v="9"/>
    <n v="2023"/>
    <x v="4"/>
    <x v="2"/>
    <x v="2"/>
    <m/>
    <m/>
    <n v="398.11417"/>
  </r>
  <r>
    <s v="EU27"/>
    <x v="9"/>
    <n v="2023"/>
    <x v="5"/>
    <x v="0"/>
    <x v="0"/>
    <m/>
    <m/>
    <n v="595914.89422999998"/>
  </r>
  <r>
    <s v="EU27"/>
    <x v="9"/>
    <n v="2023"/>
    <x v="5"/>
    <x v="0"/>
    <x v="1"/>
    <m/>
    <m/>
    <n v="0"/>
  </r>
  <r>
    <s v="EU27"/>
    <x v="9"/>
    <n v="2023"/>
    <x v="5"/>
    <x v="0"/>
    <x v="2"/>
    <m/>
    <m/>
    <n v="595914.89422999998"/>
  </r>
  <r>
    <s v="EU27"/>
    <x v="9"/>
    <n v="2023"/>
    <x v="5"/>
    <x v="1"/>
    <x v="0"/>
    <m/>
    <m/>
    <n v="653230.62162999995"/>
  </r>
  <r>
    <s v="EU27"/>
    <x v="9"/>
    <n v="2023"/>
    <x v="5"/>
    <x v="1"/>
    <x v="1"/>
    <m/>
    <m/>
    <n v="0"/>
  </r>
  <r>
    <s v="EU27"/>
    <x v="9"/>
    <n v="2023"/>
    <x v="5"/>
    <x v="1"/>
    <x v="2"/>
    <m/>
    <m/>
    <n v="653230.62162999995"/>
  </r>
  <r>
    <s v="EU27"/>
    <x v="9"/>
    <n v="2023"/>
    <x v="5"/>
    <x v="2"/>
    <x v="0"/>
    <m/>
    <m/>
    <n v="7888.8229300000003"/>
  </r>
  <r>
    <s v="EU27"/>
    <x v="9"/>
    <n v="2023"/>
    <x v="5"/>
    <x v="2"/>
    <x v="2"/>
    <m/>
    <m/>
    <n v="32600.422930000001"/>
  </r>
  <r>
    <s v="EU27"/>
    <x v="9"/>
    <n v="2023"/>
    <x v="6"/>
    <x v="0"/>
    <x v="0"/>
    <m/>
    <m/>
    <n v="3403.2704699999999"/>
  </r>
  <r>
    <s v="EU27"/>
    <x v="9"/>
    <n v="2023"/>
    <x v="6"/>
    <x v="0"/>
    <x v="1"/>
    <m/>
    <m/>
    <n v="0"/>
  </r>
  <r>
    <s v="EU27"/>
    <x v="9"/>
    <n v="2023"/>
    <x v="6"/>
    <x v="0"/>
    <x v="2"/>
    <m/>
    <m/>
    <n v="3403.2704699999999"/>
  </r>
  <r>
    <s v="EU27"/>
    <x v="9"/>
    <n v="2023"/>
    <x v="6"/>
    <x v="1"/>
    <x v="0"/>
    <m/>
    <m/>
    <n v="3958.4508000000001"/>
  </r>
  <r>
    <s v="EU27"/>
    <x v="9"/>
    <n v="2023"/>
    <x v="6"/>
    <x v="1"/>
    <x v="1"/>
    <m/>
    <m/>
    <n v="0"/>
  </r>
  <r>
    <s v="EU27"/>
    <x v="9"/>
    <n v="2023"/>
    <x v="6"/>
    <x v="1"/>
    <x v="2"/>
    <m/>
    <m/>
    <n v="3958.4508000000001"/>
  </r>
  <r>
    <s v="EU27"/>
    <x v="9"/>
    <n v="2023"/>
    <x v="6"/>
    <x v="2"/>
    <x v="0"/>
    <m/>
    <m/>
    <n v="36"/>
  </r>
  <r>
    <s v="EU27"/>
    <x v="9"/>
    <n v="2023"/>
    <x v="6"/>
    <x v="2"/>
    <x v="2"/>
    <m/>
    <m/>
    <n v="980.8"/>
  </r>
  <r>
    <s v="EU27"/>
    <x v="9"/>
    <n v="2023"/>
    <x v="7"/>
    <x v="0"/>
    <x v="0"/>
    <m/>
    <m/>
    <n v="17793.34519"/>
  </r>
  <r>
    <s v="EU27"/>
    <x v="9"/>
    <n v="2023"/>
    <x v="7"/>
    <x v="0"/>
    <x v="1"/>
    <m/>
    <m/>
    <n v="0"/>
  </r>
  <r>
    <s v="EU27"/>
    <x v="9"/>
    <n v="2023"/>
    <x v="7"/>
    <x v="0"/>
    <x v="2"/>
    <m/>
    <m/>
    <n v="17793.34519"/>
  </r>
  <r>
    <s v="EU27"/>
    <x v="9"/>
    <n v="2023"/>
    <x v="7"/>
    <x v="1"/>
    <x v="0"/>
    <m/>
    <m/>
    <n v="18056.981960000001"/>
  </r>
  <r>
    <s v="EU27"/>
    <x v="9"/>
    <n v="2023"/>
    <x v="7"/>
    <x v="1"/>
    <x v="1"/>
    <m/>
    <m/>
    <n v="0"/>
  </r>
  <r>
    <s v="EU27"/>
    <x v="9"/>
    <n v="2023"/>
    <x v="7"/>
    <x v="1"/>
    <x v="2"/>
    <m/>
    <m/>
    <n v="18056.981960000001"/>
  </r>
  <r>
    <s v="EU27"/>
    <x v="9"/>
    <n v="2023"/>
    <x v="7"/>
    <x v="2"/>
    <x v="0"/>
    <m/>
    <m/>
    <n v="49.945630000000001"/>
  </r>
  <r>
    <s v="EU27"/>
    <x v="9"/>
    <n v="2023"/>
    <x v="7"/>
    <x v="2"/>
    <x v="2"/>
    <m/>
    <m/>
    <n v="319.24563000000001"/>
  </r>
  <r>
    <s v="EU27"/>
    <x v="9"/>
    <n v="2023"/>
    <x v="8"/>
    <x v="0"/>
    <x v="0"/>
    <m/>
    <m/>
    <n v="1269.03531"/>
  </r>
  <r>
    <s v="EU27"/>
    <x v="9"/>
    <n v="2023"/>
    <x v="8"/>
    <x v="0"/>
    <x v="1"/>
    <m/>
    <m/>
    <n v="3693.0475499999998"/>
  </r>
  <r>
    <s v="EU27"/>
    <x v="9"/>
    <n v="2023"/>
    <x v="8"/>
    <x v="0"/>
    <x v="2"/>
    <m/>
    <m/>
    <n v="4961.9828600000001"/>
  </r>
  <r>
    <s v="EU27"/>
    <x v="9"/>
    <n v="2023"/>
    <x v="8"/>
    <x v="1"/>
    <x v="0"/>
    <m/>
    <m/>
    <n v="1473.8708999999999"/>
  </r>
  <r>
    <s v="EU27"/>
    <x v="9"/>
    <n v="2023"/>
    <x v="8"/>
    <x v="1"/>
    <x v="1"/>
    <m/>
    <m/>
    <n v="3798.2949800000001"/>
  </r>
  <r>
    <s v="EU27"/>
    <x v="9"/>
    <n v="2023"/>
    <x v="8"/>
    <x v="1"/>
    <x v="2"/>
    <m/>
    <m/>
    <n v="5272.0658800000001"/>
  </r>
  <r>
    <s v="EU27"/>
    <x v="9"/>
    <n v="2023"/>
    <x v="8"/>
    <x v="2"/>
    <x v="0"/>
    <m/>
    <m/>
    <n v="7.2"/>
  </r>
  <r>
    <s v="EU27"/>
    <x v="9"/>
    <n v="2023"/>
    <x v="8"/>
    <x v="2"/>
    <x v="2"/>
    <m/>
    <m/>
    <n v="244.4"/>
  </r>
  <r>
    <s v="EU27"/>
    <x v="9"/>
    <n v="2023"/>
    <x v="9"/>
    <x v="0"/>
    <x v="0"/>
    <m/>
    <m/>
    <n v="378165.10450999998"/>
  </r>
  <r>
    <s v="EU27"/>
    <x v="9"/>
    <n v="2023"/>
    <x v="9"/>
    <x v="0"/>
    <x v="1"/>
    <m/>
    <m/>
    <n v="1672.3381099999999"/>
  </r>
  <r>
    <s v="EU27"/>
    <x v="9"/>
    <n v="2023"/>
    <x v="9"/>
    <x v="0"/>
    <x v="2"/>
    <m/>
    <m/>
    <n v="379837.64260999998"/>
  </r>
  <r>
    <s v="EU27"/>
    <x v="9"/>
    <n v="2023"/>
    <x v="9"/>
    <x v="1"/>
    <x v="0"/>
    <m/>
    <m/>
    <n v="420519.69546999998"/>
  </r>
  <r>
    <s v="EU27"/>
    <x v="9"/>
    <n v="2023"/>
    <x v="9"/>
    <x v="1"/>
    <x v="1"/>
    <m/>
    <m/>
    <n v="1772.80519"/>
  </r>
  <r>
    <s v="EU27"/>
    <x v="9"/>
    <n v="2023"/>
    <x v="9"/>
    <x v="1"/>
    <x v="2"/>
    <m/>
    <m/>
    <n v="422292.60066"/>
  </r>
  <r>
    <s v="EU27"/>
    <x v="9"/>
    <n v="2023"/>
    <x v="9"/>
    <x v="2"/>
    <x v="0"/>
    <m/>
    <m/>
    <n v="1539.94606"/>
  </r>
  <r>
    <s v="EU27"/>
    <x v="9"/>
    <n v="2023"/>
    <x v="9"/>
    <x v="2"/>
    <x v="2"/>
    <m/>
    <m/>
    <n v="17378.84606"/>
  </r>
  <r>
    <s v="EU27"/>
    <x v="9"/>
    <n v="2023"/>
    <x v="10"/>
    <x v="0"/>
    <x v="0"/>
    <m/>
    <m/>
    <n v="3622.2957299999998"/>
  </r>
  <r>
    <s v="EU27"/>
    <x v="9"/>
    <n v="2023"/>
    <x v="10"/>
    <x v="0"/>
    <x v="1"/>
    <m/>
    <m/>
    <n v="0"/>
  </r>
  <r>
    <s v="EU27"/>
    <x v="9"/>
    <n v="2023"/>
    <x v="10"/>
    <x v="0"/>
    <x v="2"/>
    <m/>
    <m/>
    <n v="3622.2957299999998"/>
  </r>
  <r>
    <s v="EU27"/>
    <x v="9"/>
    <n v="2023"/>
    <x v="10"/>
    <x v="1"/>
    <x v="0"/>
    <m/>
    <m/>
    <n v="3622.29216"/>
  </r>
  <r>
    <s v="EU27"/>
    <x v="9"/>
    <n v="2023"/>
    <x v="10"/>
    <x v="1"/>
    <x v="1"/>
    <m/>
    <m/>
    <n v="0"/>
  </r>
  <r>
    <s v="EU27"/>
    <x v="9"/>
    <n v="2023"/>
    <x v="10"/>
    <x v="1"/>
    <x v="2"/>
    <m/>
    <m/>
    <n v="3622.29216"/>
  </r>
  <r>
    <s v="EU27"/>
    <x v="9"/>
    <n v="2023"/>
    <x v="10"/>
    <x v="2"/>
    <x v="0"/>
    <m/>
    <m/>
    <n v="4.0999999999999996"/>
  </r>
  <r>
    <s v="EU27"/>
    <x v="9"/>
    <n v="2023"/>
    <x v="10"/>
    <x v="2"/>
    <x v="2"/>
    <m/>
    <m/>
    <n v="1246.2"/>
  </r>
  <r>
    <s v="EU27"/>
    <x v="9"/>
    <n v="2023"/>
    <x v="11"/>
    <x v="0"/>
    <x v="0"/>
    <m/>
    <m/>
    <n v="53244.961620000002"/>
  </r>
  <r>
    <s v="EU27"/>
    <x v="9"/>
    <n v="2023"/>
    <x v="11"/>
    <x v="0"/>
    <x v="1"/>
    <m/>
    <m/>
    <n v="14374.52255"/>
  </r>
  <r>
    <s v="EU27"/>
    <x v="9"/>
    <n v="2023"/>
    <x v="11"/>
    <x v="0"/>
    <x v="2"/>
    <m/>
    <m/>
    <n v="67619.484169999996"/>
  </r>
  <r>
    <s v="EU27"/>
    <x v="9"/>
    <n v="2023"/>
    <x v="11"/>
    <x v="1"/>
    <x v="0"/>
    <m/>
    <m/>
    <n v="55155.04782"/>
  </r>
  <r>
    <s v="EU27"/>
    <x v="9"/>
    <n v="2023"/>
    <x v="11"/>
    <x v="1"/>
    <x v="1"/>
    <m/>
    <m/>
    <n v="15454.73438"/>
  </r>
  <r>
    <s v="EU27"/>
    <x v="9"/>
    <n v="2023"/>
    <x v="11"/>
    <x v="1"/>
    <x v="2"/>
    <m/>
    <m/>
    <n v="70609.782200000001"/>
  </r>
  <r>
    <s v="EU27"/>
    <x v="9"/>
    <n v="2023"/>
    <x v="11"/>
    <x v="2"/>
    <x v="0"/>
    <m/>
    <m/>
    <n v="428.9"/>
  </r>
  <r>
    <s v="EU27"/>
    <x v="9"/>
    <n v="2023"/>
    <x v="11"/>
    <x v="2"/>
    <x v="1"/>
    <m/>
    <m/>
    <n v="69.900000000000006"/>
  </r>
  <r>
    <s v="EU27"/>
    <x v="9"/>
    <n v="2023"/>
    <x v="11"/>
    <x v="2"/>
    <x v="2"/>
    <m/>
    <m/>
    <n v="18674.599999999999"/>
  </r>
  <r>
    <s v="EU27"/>
    <x v="9"/>
    <n v="2023"/>
    <x v="12"/>
    <x v="0"/>
    <x v="0"/>
    <m/>
    <m/>
    <n v="0"/>
  </r>
  <r>
    <s v="EU27"/>
    <x v="9"/>
    <n v="2023"/>
    <x v="12"/>
    <x v="0"/>
    <x v="1"/>
    <m/>
    <m/>
    <n v="0"/>
  </r>
  <r>
    <s v="EU27"/>
    <x v="9"/>
    <n v="2023"/>
    <x v="12"/>
    <x v="0"/>
    <x v="2"/>
    <m/>
    <m/>
    <n v="0"/>
  </r>
  <r>
    <s v="EU27"/>
    <x v="9"/>
    <n v="2023"/>
    <x v="12"/>
    <x v="1"/>
    <x v="0"/>
    <m/>
    <m/>
    <n v="0"/>
  </r>
  <r>
    <s v="EU27"/>
    <x v="9"/>
    <n v="2023"/>
    <x v="12"/>
    <x v="1"/>
    <x v="1"/>
    <m/>
    <m/>
    <n v="0"/>
  </r>
  <r>
    <s v="EU27"/>
    <x v="9"/>
    <n v="2023"/>
    <x v="12"/>
    <x v="1"/>
    <x v="2"/>
    <m/>
    <m/>
    <n v="0"/>
  </r>
  <r>
    <s v="EU27"/>
    <x v="9"/>
    <n v="2023"/>
    <x v="13"/>
    <x v="0"/>
    <x v="0"/>
    <m/>
    <m/>
    <n v="62198.348080000003"/>
  </r>
  <r>
    <s v="EU27"/>
    <x v="9"/>
    <n v="2023"/>
    <x v="13"/>
    <x v="0"/>
    <x v="1"/>
    <m/>
    <m/>
    <n v="198707.02097000001"/>
  </r>
  <r>
    <s v="EU27"/>
    <x v="9"/>
    <n v="2023"/>
    <x v="13"/>
    <x v="0"/>
    <x v="2"/>
    <m/>
    <m/>
    <n v="260627.08905000001"/>
  </r>
  <r>
    <s v="EU27"/>
    <x v="9"/>
    <n v="2023"/>
    <x v="13"/>
    <x v="1"/>
    <x v="0"/>
    <m/>
    <m/>
    <n v="64185.476569999999"/>
  </r>
  <r>
    <s v="EU27"/>
    <x v="9"/>
    <n v="2023"/>
    <x v="13"/>
    <x v="1"/>
    <x v="1"/>
    <m/>
    <m/>
    <n v="208793.15166999999"/>
  </r>
  <r>
    <s v="EU27"/>
    <x v="9"/>
    <n v="2023"/>
    <x v="13"/>
    <x v="1"/>
    <x v="2"/>
    <m/>
    <m/>
    <n v="272699.94825000002"/>
  </r>
  <r>
    <s v="EU27"/>
    <x v="9"/>
    <n v="2023"/>
    <x v="13"/>
    <x v="2"/>
    <x v="0"/>
    <m/>
    <m/>
    <n v="1094.0930599999999"/>
  </r>
  <r>
    <s v="EU27"/>
    <x v="9"/>
    <n v="2023"/>
    <x v="13"/>
    <x v="2"/>
    <x v="1"/>
    <m/>
    <m/>
    <n v="735.5"/>
  </r>
  <r>
    <s v="EU27"/>
    <x v="9"/>
    <n v="2023"/>
    <x v="13"/>
    <x v="2"/>
    <x v="2"/>
    <m/>
    <m/>
    <n v="16043.29306"/>
  </r>
  <r>
    <s v="EU27"/>
    <x v="9"/>
    <n v="2023"/>
    <x v="14"/>
    <x v="0"/>
    <x v="0"/>
    <m/>
    <m/>
    <n v="358687.97989000002"/>
  </r>
  <r>
    <s v="EU27"/>
    <x v="9"/>
    <n v="2023"/>
    <x v="14"/>
    <x v="0"/>
    <x v="2"/>
    <m/>
    <m/>
    <n v="358687.97989000002"/>
  </r>
  <r>
    <s v="EU27"/>
    <x v="9"/>
    <n v="2023"/>
    <x v="14"/>
    <x v="1"/>
    <x v="0"/>
    <m/>
    <m/>
    <n v="373463.06335000001"/>
  </r>
  <r>
    <s v="EU27"/>
    <x v="9"/>
    <n v="2023"/>
    <x v="14"/>
    <x v="1"/>
    <x v="2"/>
    <m/>
    <m/>
    <n v="373463.06335000001"/>
  </r>
  <r>
    <s v="EU27"/>
    <x v="9"/>
    <n v="2023"/>
    <x v="14"/>
    <x v="2"/>
    <x v="0"/>
    <m/>
    <m/>
    <n v="2040.2843800000001"/>
  </r>
  <r>
    <s v="EU27"/>
    <x v="9"/>
    <n v="2023"/>
    <x v="14"/>
    <x v="2"/>
    <x v="2"/>
    <m/>
    <m/>
    <n v="30446.184379999999"/>
  </r>
  <r>
    <s v="EU27"/>
    <x v="9"/>
    <n v="2023"/>
    <x v="15"/>
    <x v="0"/>
    <x v="2"/>
    <m/>
    <m/>
    <n v="-260294.27648999999"/>
  </r>
  <r>
    <s v="EU27"/>
    <x v="9"/>
    <n v="2023"/>
    <x v="15"/>
    <x v="1"/>
    <x v="2"/>
    <m/>
    <m/>
    <n v="-239779.19706999999"/>
  </r>
  <r>
    <s v="EU27"/>
    <x v="9"/>
    <n v="2023"/>
    <x v="15"/>
    <x v="2"/>
    <x v="2"/>
    <m/>
    <m/>
    <n v="-19050.000090000001"/>
  </r>
  <r>
    <s v="EU27"/>
    <x v="9"/>
    <n v="2023"/>
    <x v="16"/>
    <x v="0"/>
    <x v="2"/>
    <m/>
    <m/>
    <n v="-315973.89750999998"/>
  </r>
  <r>
    <s v="EU27"/>
    <x v="9"/>
    <n v="2023"/>
    <x v="16"/>
    <x v="1"/>
    <x v="2"/>
    <m/>
    <m/>
    <n v="-303589.67362999998"/>
  </r>
  <r>
    <s v="EU27"/>
    <x v="9"/>
    <n v="2023"/>
    <x v="16"/>
    <x v="2"/>
    <x v="2"/>
    <m/>
    <m/>
    <n v="-20231.223870000002"/>
  </r>
  <r>
    <s v="EU27"/>
    <x v="9"/>
    <n v="2023"/>
    <x v="17"/>
    <x v="0"/>
    <x v="2"/>
    <m/>
    <m/>
    <n v="30218.904050000001"/>
  </r>
  <r>
    <s v="EU27"/>
    <x v="9"/>
    <n v="2023"/>
    <x v="17"/>
    <x v="1"/>
    <x v="2"/>
    <m/>
    <m/>
    <n v="34852.2287"/>
  </r>
  <r>
    <s v="EU27"/>
    <x v="9"/>
    <n v="2023"/>
    <x v="17"/>
    <x v="2"/>
    <x v="2"/>
    <m/>
    <m/>
    <n v="-2335.9121399999999"/>
  </r>
  <r>
    <s v="EU27"/>
    <x v="9"/>
    <n v="2023"/>
    <x v="18"/>
    <x v="0"/>
    <x v="2"/>
    <m/>
    <m/>
    <n v="13170.11839"/>
  </r>
  <r>
    <s v="EU27"/>
    <x v="9"/>
    <n v="2023"/>
    <x v="18"/>
    <x v="1"/>
    <x v="2"/>
    <m/>
    <m/>
    <n v="14455.39753"/>
  </r>
  <r>
    <s v="EU27"/>
    <x v="9"/>
    <n v="2023"/>
    <x v="18"/>
    <x v="2"/>
    <x v="2"/>
    <m/>
    <m/>
    <n v="1878.79982"/>
  </r>
  <r>
    <s v="EU27"/>
    <x v="9"/>
    <n v="2023"/>
    <x v="19"/>
    <x v="0"/>
    <x v="2"/>
    <m/>
    <m/>
    <n v="13319.37859"/>
  </r>
  <r>
    <s v="EU27"/>
    <x v="9"/>
    <n v="2023"/>
    <x v="19"/>
    <x v="1"/>
    <x v="2"/>
    <m/>
    <m/>
    <n v="14159.20334"/>
  </r>
  <r>
    <s v="EU27"/>
    <x v="9"/>
    <n v="2023"/>
    <x v="19"/>
    <x v="2"/>
    <x v="2"/>
    <m/>
    <m/>
    <n v="766.28647999999998"/>
  </r>
  <r>
    <s v="EU27"/>
    <x v="9"/>
    <n v="2023"/>
    <x v="20"/>
    <x v="0"/>
    <x v="2"/>
    <m/>
    <m/>
    <n v="32930.622130000003"/>
  </r>
  <r>
    <s v="EU27"/>
    <x v="9"/>
    <n v="2023"/>
    <x v="20"/>
    <x v="1"/>
    <x v="2"/>
    <m/>
    <m/>
    <n v="33601.147230000002"/>
  </r>
  <r>
    <s v="EU27"/>
    <x v="9"/>
    <n v="2023"/>
    <x v="20"/>
    <x v="2"/>
    <x v="2"/>
    <m/>
    <m/>
    <n v="2865.0560599999999"/>
  </r>
  <r>
    <s v="EU27"/>
    <x v="9"/>
    <n v="2023"/>
    <x v="21"/>
    <x v="0"/>
    <x v="2"/>
    <m/>
    <m/>
    <n v="563.99992000000009"/>
  </r>
  <r>
    <s v="EU27"/>
    <x v="9"/>
    <n v="2023"/>
    <x v="21"/>
    <x v="1"/>
    <x v="2"/>
    <m/>
    <m/>
    <n v="470.79051000000021"/>
  </r>
  <r>
    <s v="EU27"/>
    <x v="9"/>
    <n v="2023"/>
    <x v="21"/>
    <x v="2"/>
    <x v="2"/>
    <m/>
    <m/>
    <n v="248.79356000000001"/>
  </r>
  <r>
    <s v="EU27"/>
    <x v="9"/>
    <n v="2023"/>
    <x v="22"/>
    <x v="0"/>
    <x v="2"/>
    <m/>
    <m/>
    <n v="-34263.652349999997"/>
  </r>
  <r>
    <s v="EU27"/>
    <x v="9"/>
    <n v="2023"/>
    <x v="22"/>
    <x v="1"/>
    <x v="2"/>
    <m/>
    <m/>
    <n v="-33981.941099999996"/>
  </r>
  <r>
    <s v="EU27"/>
    <x v="9"/>
    <n v="2023"/>
    <x v="22"/>
    <x v="2"/>
    <x v="2"/>
    <m/>
    <m/>
    <n v="-2241.9"/>
  </r>
  <r>
    <s v="EU27"/>
    <x v="9"/>
    <n v="2023"/>
    <x v="23"/>
    <x v="0"/>
    <x v="2"/>
    <m/>
    <m/>
    <n v="253.85033000000001"/>
  </r>
  <r>
    <s v="EU27"/>
    <x v="9"/>
    <n v="2023"/>
    <x v="23"/>
    <x v="1"/>
    <x v="2"/>
    <m/>
    <m/>
    <n v="253.85033000000001"/>
  </r>
  <r>
    <s v="EU27"/>
    <x v="9"/>
    <n v="2023"/>
    <x v="24"/>
    <x v="0"/>
    <x v="0"/>
    <m/>
    <m/>
    <n v="91453.823829999994"/>
  </r>
  <r>
    <s v="EU27"/>
    <x v="9"/>
    <n v="2023"/>
    <x v="24"/>
    <x v="0"/>
    <x v="1"/>
    <m/>
    <m/>
    <n v="261.24754000000001"/>
  </r>
  <r>
    <s v="EU27"/>
    <x v="9"/>
    <n v="2023"/>
    <x v="24"/>
    <x v="0"/>
    <x v="2"/>
    <m/>
    <m/>
    <n v="91715.071370000005"/>
  </r>
  <r>
    <s v="EU27"/>
    <x v="9"/>
    <n v="2023"/>
    <x v="24"/>
    <x v="1"/>
    <x v="0"/>
    <m/>
    <m/>
    <n v="92487.882119999995"/>
  </r>
  <r>
    <s v="EU27"/>
    <x v="9"/>
    <n v="2023"/>
    <x v="24"/>
    <x v="1"/>
    <x v="1"/>
    <m/>
    <m/>
    <n v="261.24754000000001"/>
  </r>
  <r>
    <s v="EU27"/>
    <x v="9"/>
    <n v="2023"/>
    <x v="24"/>
    <x v="1"/>
    <x v="2"/>
    <m/>
    <m/>
    <n v="92749.129660000006"/>
  </r>
  <r>
    <s v="EU27"/>
    <x v="9"/>
    <n v="2023"/>
    <x v="24"/>
    <x v="2"/>
    <x v="0"/>
    <m/>
    <m/>
    <n v="1612.7841100000001"/>
  </r>
  <r>
    <s v="EU27"/>
    <x v="9"/>
    <n v="2023"/>
    <x v="24"/>
    <x v="2"/>
    <x v="2"/>
    <m/>
    <m/>
    <n v="10547.884110000001"/>
  </r>
  <r>
    <s v="EU27"/>
    <x v="9"/>
    <n v="2023"/>
    <x v="25"/>
    <x v="0"/>
    <x v="0"/>
    <m/>
    <m/>
    <n v="132.5"/>
  </r>
  <r>
    <s v="EU27"/>
    <x v="9"/>
    <n v="2023"/>
    <x v="25"/>
    <x v="0"/>
    <x v="2"/>
    <m/>
    <m/>
    <n v="117989.7249609602"/>
  </r>
  <r>
    <s v="EU27"/>
    <x v="9"/>
    <n v="2023"/>
    <x v="25"/>
    <x v="1"/>
    <x v="0"/>
    <m/>
    <m/>
    <n v="132.5"/>
  </r>
  <r>
    <s v="EU27"/>
    <x v="9"/>
    <n v="2023"/>
    <x v="25"/>
    <x v="1"/>
    <x v="2"/>
    <m/>
    <m/>
    <n v="123006.85621096021"/>
  </r>
  <r>
    <s v="EU27"/>
    <x v="9"/>
    <n v="2023"/>
    <x v="25"/>
    <x v="2"/>
    <x v="2"/>
    <m/>
    <m/>
    <n v="1118.8649600000001"/>
  </r>
  <r>
    <s v="EU27"/>
    <x v="9"/>
    <n v="2023"/>
    <x v="26"/>
    <x v="0"/>
    <x v="0"/>
    <m/>
    <m/>
    <n v="667.2"/>
  </r>
  <r>
    <s v="EU27"/>
    <x v="9"/>
    <n v="2023"/>
    <x v="26"/>
    <x v="0"/>
    <x v="2"/>
    <m/>
    <m/>
    <n v="137310.55713826211"/>
  </r>
  <r>
    <s v="EU27"/>
    <x v="9"/>
    <n v="2023"/>
    <x v="26"/>
    <x v="1"/>
    <x v="0"/>
    <m/>
    <m/>
    <n v="667.2"/>
  </r>
  <r>
    <s v="EU27"/>
    <x v="9"/>
    <n v="2023"/>
    <x v="26"/>
    <x v="1"/>
    <x v="2"/>
    <m/>
    <m/>
    <n v="139396.15700826209"/>
  </r>
  <r>
    <s v="EU27"/>
    <x v="9"/>
    <n v="2023"/>
    <x v="26"/>
    <x v="2"/>
    <x v="2"/>
    <m/>
    <m/>
    <n v="782.5"/>
  </r>
  <r>
    <s v="EU27"/>
    <x v="9"/>
    <n v="2023"/>
    <x v="27"/>
    <x v="0"/>
    <x v="0"/>
    <m/>
    <m/>
    <n v="732.33125000000007"/>
  </r>
  <r>
    <s v="EU27"/>
    <x v="9"/>
    <n v="2023"/>
    <x v="27"/>
    <x v="0"/>
    <x v="2"/>
    <m/>
    <m/>
    <n v="876.23125000000005"/>
  </r>
  <r>
    <s v="EU27"/>
    <x v="9"/>
    <n v="2023"/>
    <x v="27"/>
    <x v="1"/>
    <x v="0"/>
    <m/>
    <m/>
    <n v="733.13378"/>
  </r>
  <r>
    <s v="EU27"/>
    <x v="9"/>
    <n v="2023"/>
    <x v="27"/>
    <x v="1"/>
    <x v="2"/>
    <m/>
    <m/>
    <n v="877.03377999999998"/>
  </r>
  <r>
    <s v="EU27"/>
    <x v="9"/>
    <n v="2023"/>
    <x v="28"/>
    <x v="0"/>
    <x v="0"/>
    <m/>
    <m/>
    <n v="1720731.1677699999"/>
  </r>
  <r>
    <s v="EU27"/>
    <x v="9"/>
    <n v="2023"/>
    <x v="28"/>
    <x v="0"/>
    <x v="1"/>
    <m/>
    <m/>
    <n v="834147.00620000006"/>
  </r>
  <r>
    <s v="EU27"/>
    <x v="9"/>
    <n v="2023"/>
    <x v="28"/>
    <x v="0"/>
    <x v="2"/>
    <m/>
    <m/>
    <n v="2571635.3960600002"/>
  </r>
  <r>
    <s v="EU27"/>
    <x v="9"/>
    <n v="2023"/>
    <x v="28"/>
    <x v="1"/>
    <x v="0"/>
    <m/>
    <m/>
    <n v="1849797.5201900001"/>
  </r>
  <r>
    <s v="EU27"/>
    <x v="9"/>
    <n v="2023"/>
    <x v="28"/>
    <x v="1"/>
    <x v="1"/>
    <m/>
    <m/>
    <n v="926417.57490999997"/>
  </r>
  <r>
    <s v="EU27"/>
    <x v="9"/>
    <n v="2023"/>
    <x v="28"/>
    <x v="1"/>
    <x v="2"/>
    <m/>
    <m/>
    <n v="2794321.8128"/>
  </r>
  <r>
    <s v="EU27"/>
    <x v="9"/>
    <n v="2023"/>
    <x v="28"/>
    <x v="2"/>
    <x v="0"/>
    <m/>
    <m/>
    <n v="15820.523349999999"/>
  </r>
  <r>
    <s v="EU27"/>
    <x v="9"/>
    <n v="2023"/>
    <x v="28"/>
    <x v="2"/>
    <x v="1"/>
    <m/>
    <m/>
    <n v="9254.4131099999995"/>
  </r>
  <r>
    <s v="EU27"/>
    <x v="9"/>
    <n v="2023"/>
    <x v="28"/>
    <x v="2"/>
    <x v="2"/>
    <m/>
    <m/>
    <n v="196442.53765000001"/>
  </r>
  <r>
    <s v="EU27"/>
    <x v="9"/>
    <n v="2023"/>
    <x v="29"/>
    <x v="0"/>
    <x v="0"/>
    <m/>
    <m/>
    <n v="1720731.1677699999"/>
  </r>
  <r>
    <s v="EU27"/>
    <x v="9"/>
    <n v="2023"/>
    <x v="29"/>
    <x v="0"/>
    <x v="1"/>
    <m/>
    <m/>
    <n v="834147.10620000004"/>
  </r>
  <r>
    <s v="EU27"/>
    <x v="9"/>
    <n v="2023"/>
    <x v="29"/>
    <x v="0"/>
    <x v="2"/>
    <m/>
    <m/>
    <n v="2311341.0195599999"/>
  </r>
  <r>
    <s v="EU27"/>
    <x v="9"/>
    <n v="2023"/>
    <x v="29"/>
    <x v="1"/>
    <x v="0"/>
    <m/>
    <m/>
    <n v="1849797.5201900001"/>
  </r>
  <r>
    <s v="EU27"/>
    <x v="9"/>
    <n v="2023"/>
    <x v="29"/>
    <x v="1"/>
    <x v="1"/>
    <m/>
    <m/>
    <n v="926417.67490999994"/>
  </r>
  <r>
    <s v="EU27"/>
    <x v="9"/>
    <n v="2023"/>
    <x v="29"/>
    <x v="1"/>
    <x v="2"/>
    <m/>
    <m/>
    <n v="2554534.3878100002"/>
  </r>
  <r>
    <s v="EU27"/>
    <x v="9"/>
    <n v="2023"/>
    <x v="29"/>
    <x v="2"/>
    <x v="0"/>
    <m/>
    <m/>
    <n v="15820.523349999999"/>
  </r>
  <r>
    <s v="EU27"/>
    <x v="9"/>
    <n v="2023"/>
    <x v="29"/>
    <x v="2"/>
    <x v="1"/>
    <m/>
    <m/>
    <n v="9254.4131099999995"/>
  </r>
  <r>
    <s v="EU27"/>
    <x v="9"/>
    <n v="2023"/>
    <x v="29"/>
    <x v="2"/>
    <x v="2"/>
    <m/>
    <m/>
    <n v="177699.53756"/>
  </r>
  <r>
    <s v="EU27"/>
    <x v="10"/>
    <n v="2023"/>
    <x v="0"/>
    <x v="0"/>
    <x v="0"/>
    <m/>
    <m/>
    <n v="1172848.2900335391"/>
  </r>
  <r>
    <s v="EU27"/>
    <x v="10"/>
    <n v="2023"/>
    <x v="0"/>
    <x v="0"/>
    <x v="1"/>
    <m/>
    <m/>
    <n v="608426.79902521451"/>
  </r>
  <r>
    <s v="EU27"/>
    <x v="10"/>
    <n v="2023"/>
    <x v="0"/>
    <x v="0"/>
    <x v="2"/>
    <m/>
    <m/>
    <n v="1798228.680116144"/>
  </r>
  <r>
    <s v="EU27"/>
    <x v="10"/>
    <n v="2023"/>
    <x v="0"/>
    <x v="1"/>
    <x v="0"/>
    <m/>
    <m/>
    <n v="1292219.662896581"/>
  </r>
  <r>
    <s v="EU27"/>
    <x v="10"/>
    <n v="2023"/>
    <x v="0"/>
    <x v="1"/>
    <x v="1"/>
    <m/>
    <m/>
    <n v="692284.01819851366"/>
  </r>
  <r>
    <s v="EU27"/>
    <x v="10"/>
    <n v="2023"/>
    <x v="0"/>
    <x v="1"/>
    <x v="2"/>
    <m/>
    <m/>
    <n v="2002821.4520913621"/>
  </r>
  <r>
    <s v="EU27"/>
    <x v="10"/>
    <n v="2023"/>
    <x v="0"/>
    <x v="2"/>
    <x v="0"/>
    <m/>
    <m/>
    <n v="11170.96178"/>
  </r>
  <r>
    <s v="EU27"/>
    <x v="10"/>
    <n v="2023"/>
    <x v="0"/>
    <x v="2"/>
    <x v="1"/>
    <m/>
    <m/>
    <n v="8527.6131100000002"/>
  </r>
  <r>
    <s v="EU27"/>
    <x v="10"/>
    <n v="2023"/>
    <x v="0"/>
    <x v="2"/>
    <x v="2"/>
    <m/>
    <m/>
    <n v="140841.37403000001"/>
  </r>
  <r>
    <s v="EU27"/>
    <x v="10"/>
    <n v="2023"/>
    <x v="1"/>
    <x v="0"/>
    <x v="0"/>
    <m/>
    <m/>
    <n v="48427.605112937978"/>
  </r>
  <r>
    <s v="EU27"/>
    <x v="10"/>
    <n v="2023"/>
    <x v="1"/>
    <x v="0"/>
    <x v="1"/>
    <m/>
    <m/>
    <n v="374218.1117852825"/>
  </r>
  <r>
    <s v="EU27"/>
    <x v="10"/>
    <n v="2023"/>
    <x v="1"/>
    <x v="0"/>
    <x v="2"/>
    <m/>
    <m/>
    <n v="422645.35704273288"/>
  </r>
  <r>
    <s v="EU27"/>
    <x v="10"/>
    <n v="2023"/>
    <x v="1"/>
    <x v="1"/>
    <x v="0"/>
    <m/>
    <m/>
    <n v="53715.500183972057"/>
  </r>
  <r>
    <s v="EU27"/>
    <x v="10"/>
    <n v="2023"/>
    <x v="1"/>
    <x v="1"/>
    <x v="1"/>
    <m/>
    <m/>
    <n v="432293.19203415688"/>
  </r>
  <r>
    <s v="EU27"/>
    <x v="10"/>
    <n v="2023"/>
    <x v="1"/>
    <x v="1"/>
    <x v="2"/>
    <m/>
    <m/>
    <n v="486008.37223829533"/>
  </r>
  <r>
    <s v="EU27"/>
    <x v="10"/>
    <n v="2023"/>
    <x v="1"/>
    <x v="2"/>
    <x v="0"/>
    <m/>
    <m/>
    <n v="100.19306"/>
  </r>
  <r>
    <s v="EU27"/>
    <x v="10"/>
    <n v="2023"/>
    <x v="1"/>
    <x v="2"/>
    <x v="1"/>
    <m/>
    <m/>
    <n v="7073.0131099999999"/>
  </r>
  <r>
    <s v="EU27"/>
    <x v="10"/>
    <n v="2023"/>
    <x v="1"/>
    <x v="2"/>
    <x v="2"/>
    <m/>
    <m/>
    <n v="48146.706169999998"/>
  </r>
  <r>
    <s v="EU27"/>
    <x v="10"/>
    <n v="2023"/>
    <x v="2"/>
    <x v="0"/>
    <x v="0"/>
    <m/>
    <m/>
    <n v="102216.411626863"/>
  </r>
  <r>
    <s v="EU27"/>
    <x v="10"/>
    <n v="2023"/>
    <x v="2"/>
    <x v="0"/>
    <x v="1"/>
    <m/>
    <m/>
    <n v="214862.38807229229"/>
  </r>
  <r>
    <s v="EU27"/>
    <x v="10"/>
    <n v="2023"/>
    <x v="2"/>
    <x v="0"/>
    <x v="2"/>
    <m/>
    <m/>
    <n v="317078.91967916262"/>
  </r>
  <r>
    <s v="EU27"/>
    <x v="10"/>
    <n v="2023"/>
    <x v="2"/>
    <x v="1"/>
    <x v="0"/>
    <m/>
    <m/>
    <n v="106616.8061345115"/>
  </r>
  <r>
    <s v="EU27"/>
    <x v="10"/>
    <n v="2023"/>
    <x v="2"/>
    <x v="1"/>
    <x v="1"/>
    <m/>
    <m/>
    <n v="239228.0886423373"/>
  </r>
  <r>
    <s v="EU27"/>
    <x v="10"/>
    <n v="2023"/>
    <x v="2"/>
    <x v="1"/>
    <x v="2"/>
    <m/>
    <m/>
    <n v="345844.81474682188"/>
  </r>
  <r>
    <s v="EU27"/>
    <x v="10"/>
    <n v="2023"/>
    <x v="2"/>
    <x v="2"/>
    <x v="0"/>
    <m/>
    <m/>
    <n v="1022.34114"/>
  </r>
  <r>
    <s v="EU27"/>
    <x v="10"/>
    <n v="2023"/>
    <x v="2"/>
    <x v="2"/>
    <x v="1"/>
    <m/>
    <m/>
    <n v="1384.7"/>
  </r>
  <r>
    <s v="EU27"/>
    <x v="10"/>
    <n v="2023"/>
    <x v="2"/>
    <x v="2"/>
    <x v="2"/>
    <m/>
    <m/>
    <n v="19656.64114"/>
  </r>
  <r>
    <s v="EU27"/>
    <x v="10"/>
    <n v="2023"/>
    <x v="3"/>
    <x v="0"/>
    <x v="0"/>
    <m/>
    <m/>
    <n v="600477.42261985037"/>
  </r>
  <r>
    <s v="EU27"/>
    <x v="10"/>
    <n v="2023"/>
    <x v="3"/>
    <x v="0"/>
    <x v="1"/>
    <m/>
    <m/>
    <n v="3620.4267602115028"/>
  </r>
  <r>
    <s v="EU27"/>
    <x v="10"/>
    <n v="2023"/>
    <x v="3"/>
    <x v="0"/>
    <x v="2"/>
    <m/>
    <m/>
    <n v="621051.56030256336"/>
  </r>
  <r>
    <s v="EU27"/>
    <x v="10"/>
    <n v="2023"/>
    <x v="3"/>
    <x v="1"/>
    <x v="0"/>
    <m/>
    <m/>
    <n v="663096.34344514855"/>
  </r>
  <r>
    <s v="EU27"/>
    <x v="10"/>
    <n v="2023"/>
    <x v="3"/>
    <x v="1"/>
    <x v="1"/>
    <m/>
    <m/>
    <n v="3754.4574701207689"/>
  </r>
  <r>
    <s v="EU27"/>
    <x v="10"/>
    <n v="2023"/>
    <x v="3"/>
    <x v="1"/>
    <x v="2"/>
    <m/>
    <m/>
    <n v="685168.35187139676"/>
  </r>
  <r>
    <s v="EU27"/>
    <x v="10"/>
    <n v="2023"/>
    <x v="3"/>
    <x v="2"/>
    <x v="0"/>
    <m/>
    <m/>
    <n v="8084.98153"/>
  </r>
  <r>
    <s v="EU27"/>
    <x v="10"/>
    <n v="2023"/>
    <x v="3"/>
    <x v="2"/>
    <x v="1"/>
    <m/>
    <m/>
    <n v="0"/>
  </r>
  <r>
    <s v="EU27"/>
    <x v="10"/>
    <n v="2023"/>
    <x v="3"/>
    <x v="2"/>
    <x v="2"/>
    <m/>
    <m/>
    <n v="35538.580670000003"/>
  </r>
  <r>
    <s v="EU27"/>
    <x v="10"/>
    <n v="2023"/>
    <x v="4"/>
    <x v="0"/>
    <x v="0"/>
    <m/>
    <m/>
    <n v="150.9600167714558"/>
  </r>
  <r>
    <s v="EU27"/>
    <x v="10"/>
    <n v="2023"/>
    <x v="4"/>
    <x v="0"/>
    <x v="1"/>
    <m/>
    <m/>
    <n v="0"/>
  </r>
  <r>
    <s v="EU27"/>
    <x v="10"/>
    <n v="2023"/>
    <x v="4"/>
    <x v="0"/>
    <x v="2"/>
    <m/>
    <m/>
    <n v="17100.963161397729"/>
  </r>
  <r>
    <s v="EU27"/>
    <x v="10"/>
    <n v="2023"/>
    <x v="4"/>
    <x v="1"/>
    <x v="0"/>
    <m/>
    <m/>
    <n v="160.27127285521519"/>
  </r>
  <r>
    <s v="EU27"/>
    <x v="10"/>
    <n v="2023"/>
    <x v="4"/>
    <x v="1"/>
    <x v="1"/>
    <m/>
    <m/>
    <n v="0"/>
  </r>
  <r>
    <s v="EU27"/>
    <x v="10"/>
    <n v="2023"/>
    <x v="4"/>
    <x v="1"/>
    <x v="2"/>
    <m/>
    <m/>
    <n v="18477.294863074781"/>
  </r>
  <r>
    <s v="EU27"/>
    <x v="10"/>
    <n v="2023"/>
    <x v="4"/>
    <x v="2"/>
    <x v="0"/>
    <m/>
    <m/>
    <n v="1.2970000000000001E-2"/>
  </r>
  <r>
    <s v="EU27"/>
    <x v="10"/>
    <n v="2023"/>
    <x v="4"/>
    <x v="2"/>
    <x v="2"/>
    <m/>
    <m/>
    <n v="411.31211000000002"/>
  </r>
  <r>
    <s v="EU27"/>
    <x v="10"/>
    <n v="2023"/>
    <x v="5"/>
    <x v="0"/>
    <x v="0"/>
    <m/>
    <m/>
    <n v="577989.64359733171"/>
  </r>
  <r>
    <s v="EU27"/>
    <x v="10"/>
    <n v="2023"/>
    <x v="5"/>
    <x v="0"/>
    <x v="1"/>
    <m/>
    <m/>
    <n v="0"/>
  </r>
  <r>
    <s v="EU27"/>
    <x v="10"/>
    <n v="2023"/>
    <x v="5"/>
    <x v="0"/>
    <x v="2"/>
    <m/>
    <m/>
    <n v="577989.64359733171"/>
  </r>
  <r>
    <s v="EU27"/>
    <x v="10"/>
    <n v="2023"/>
    <x v="5"/>
    <x v="1"/>
    <x v="0"/>
    <m/>
    <m/>
    <n v="639539.14251485199"/>
  </r>
  <r>
    <s v="EU27"/>
    <x v="10"/>
    <n v="2023"/>
    <x v="5"/>
    <x v="1"/>
    <x v="1"/>
    <m/>
    <m/>
    <n v="0"/>
  </r>
  <r>
    <s v="EU27"/>
    <x v="10"/>
    <n v="2023"/>
    <x v="5"/>
    <x v="1"/>
    <x v="2"/>
    <m/>
    <m/>
    <n v="639539.14251485199"/>
  </r>
  <r>
    <s v="EU27"/>
    <x v="10"/>
    <n v="2023"/>
    <x v="5"/>
    <x v="2"/>
    <x v="0"/>
    <m/>
    <m/>
    <n v="7991.5229300000001"/>
  </r>
  <r>
    <s v="EU27"/>
    <x v="10"/>
    <n v="2023"/>
    <x v="5"/>
    <x v="2"/>
    <x v="2"/>
    <m/>
    <m/>
    <n v="33531.222930000004"/>
  </r>
  <r>
    <s v="EU27"/>
    <x v="10"/>
    <n v="2023"/>
    <x v="6"/>
    <x v="0"/>
    <x v="0"/>
    <m/>
    <m/>
    <n v="3390.4155975190688"/>
  </r>
  <r>
    <s v="EU27"/>
    <x v="10"/>
    <n v="2023"/>
    <x v="6"/>
    <x v="0"/>
    <x v="1"/>
    <m/>
    <m/>
    <n v="0"/>
  </r>
  <r>
    <s v="EU27"/>
    <x v="10"/>
    <n v="2023"/>
    <x v="6"/>
    <x v="0"/>
    <x v="2"/>
    <m/>
    <m/>
    <n v="3390.4155975190688"/>
  </r>
  <r>
    <s v="EU27"/>
    <x v="10"/>
    <n v="2023"/>
    <x v="6"/>
    <x v="1"/>
    <x v="0"/>
    <m/>
    <m/>
    <n v="3978.079075912658"/>
  </r>
  <r>
    <s v="EU27"/>
    <x v="10"/>
    <n v="2023"/>
    <x v="6"/>
    <x v="1"/>
    <x v="1"/>
    <m/>
    <m/>
    <n v="0"/>
  </r>
  <r>
    <s v="EU27"/>
    <x v="10"/>
    <n v="2023"/>
    <x v="6"/>
    <x v="1"/>
    <x v="2"/>
    <m/>
    <m/>
    <n v="3978.079075912658"/>
  </r>
  <r>
    <s v="EU27"/>
    <x v="10"/>
    <n v="2023"/>
    <x v="6"/>
    <x v="2"/>
    <x v="0"/>
    <m/>
    <m/>
    <n v="36.299999999999997"/>
  </r>
  <r>
    <s v="EU27"/>
    <x v="10"/>
    <n v="2023"/>
    <x v="6"/>
    <x v="2"/>
    <x v="2"/>
    <m/>
    <m/>
    <n v="1015.3"/>
  </r>
  <r>
    <s v="EU27"/>
    <x v="10"/>
    <n v="2023"/>
    <x v="7"/>
    <x v="0"/>
    <x v="0"/>
    <m/>
    <m/>
    <n v="17659.496300020299"/>
  </r>
  <r>
    <s v="EU27"/>
    <x v="10"/>
    <n v="2023"/>
    <x v="7"/>
    <x v="0"/>
    <x v="1"/>
    <m/>
    <m/>
    <n v="0"/>
  </r>
  <r>
    <s v="EU27"/>
    <x v="10"/>
    <n v="2023"/>
    <x v="7"/>
    <x v="0"/>
    <x v="2"/>
    <m/>
    <m/>
    <n v="17659.496140020299"/>
  </r>
  <r>
    <s v="EU27"/>
    <x v="10"/>
    <n v="2023"/>
    <x v="7"/>
    <x v="1"/>
    <x v="0"/>
    <m/>
    <m/>
    <n v="17923.306561932619"/>
  </r>
  <r>
    <s v="EU27"/>
    <x v="10"/>
    <n v="2023"/>
    <x v="7"/>
    <x v="1"/>
    <x v="1"/>
    <m/>
    <m/>
    <n v="0"/>
  </r>
  <r>
    <s v="EU27"/>
    <x v="10"/>
    <n v="2023"/>
    <x v="7"/>
    <x v="1"/>
    <x v="2"/>
    <m/>
    <m/>
    <n v="17923.306401932619"/>
  </r>
  <r>
    <s v="EU27"/>
    <x v="10"/>
    <n v="2023"/>
    <x v="7"/>
    <x v="2"/>
    <x v="0"/>
    <m/>
    <m/>
    <n v="49.945630000000001"/>
  </r>
  <r>
    <s v="EU27"/>
    <x v="10"/>
    <n v="2023"/>
    <x v="7"/>
    <x v="2"/>
    <x v="2"/>
    <m/>
    <m/>
    <n v="328.34563000000003"/>
  </r>
  <r>
    <s v="EU27"/>
    <x v="10"/>
    <n v="2023"/>
    <x v="8"/>
    <x v="0"/>
    <x v="0"/>
    <m/>
    <m/>
    <n v="1265.634968207828"/>
  </r>
  <r>
    <s v="EU27"/>
    <x v="10"/>
    <n v="2023"/>
    <x v="8"/>
    <x v="0"/>
    <x v="1"/>
    <m/>
    <m/>
    <n v="3624.298988086794"/>
  </r>
  <r>
    <s v="EU27"/>
    <x v="10"/>
    <n v="2023"/>
    <x v="8"/>
    <x v="0"/>
    <x v="2"/>
    <m/>
    <m/>
    <n v="4889.9339462946218"/>
  </r>
  <r>
    <s v="EU27"/>
    <x v="10"/>
    <n v="2023"/>
    <x v="8"/>
    <x v="1"/>
    <x v="0"/>
    <m/>
    <m/>
    <n v="1474.0182475959621"/>
  </r>
  <r>
    <s v="EU27"/>
    <x v="10"/>
    <n v="2023"/>
    <x v="8"/>
    <x v="1"/>
    <x v="1"/>
    <m/>
    <m/>
    <n v="3755.1628980287542"/>
  </r>
  <r>
    <s v="EU27"/>
    <x v="10"/>
    <n v="2023"/>
    <x v="8"/>
    <x v="1"/>
    <x v="2"/>
    <m/>
    <m/>
    <n v="5229.1811456247169"/>
  </r>
  <r>
    <s v="EU27"/>
    <x v="10"/>
    <n v="2023"/>
    <x v="8"/>
    <x v="2"/>
    <x v="0"/>
    <m/>
    <m/>
    <n v="7.2"/>
  </r>
  <r>
    <s v="EU27"/>
    <x v="10"/>
    <n v="2023"/>
    <x v="8"/>
    <x v="2"/>
    <x v="2"/>
    <m/>
    <m/>
    <n v="252.4"/>
  </r>
  <r>
    <s v="EU27"/>
    <x v="10"/>
    <n v="2023"/>
    <x v="9"/>
    <x v="0"/>
    <x v="0"/>
    <m/>
    <m/>
    <n v="365526.7035540354"/>
  </r>
  <r>
    <s v="EU27"/>
    <x v="10"/>
    <n v="2023"/>
    <x v="9"/>
    <x v="0"/>
    <x v="1"/>
    <m/>
    <m/>
    <n v="1615.113609323038"/>
  </r>
  <r>
    <s v="EU27"/>
    <x v="10"/>
    <n v="2023"/>
    <x v="9"/>
    <x v="0"/>
    <x v="2"/>
    <m/>
    <m/>
    <n v="367142.29714372859"/>
  </r>
  <r>
    <s v="EU27"/>
    <x v="10"/>
    <n v="2023"/>
    <x v="9"/>
    <x v="1"/>
    <x v="0"/>
    <m/>
    <m/>
    <n v="410556.14140111412"/>
  </r>
  <r>
    <s v="EU27"/>
    <x v="10"/>
    <n v="2023"/>
    <x v="9"/>
    <x v="1"/>
    <x v="1"/>
    <m/>
    <m/>
    <n v="1724.1102137337191"/>
  </r>
  <r>
    <s v="EU27"/>
    <x v="10"/>
    <n v="2023"/>
    <x v="9"/>
    <x v="1"/>
    <x v="2"/>
    <m/>
    <m/>
    <n v="412280.55161484779"/>
  </r>
  <r>
    <s v="EU27"/>
    <x v="10"/>
    <n v="2023"/>
    <x v="9"/>
    <x v="2"/>
    <x v="0"/>
    <m/>
    <m/>
    <n v="1530.14606"/>
  </r>
  <r>
    <s v="EU27"/>
    <x v="10"/>
    <n v="2023"/>
    <x v="9"/>
    <x v="2"/>
    <x v="2"/>
    <m/>
    <m/>
    <n v="17578.546060000001"/>
  </r>
  <r>
    <s v="EU27"/>
    <x v="10"/>
    <n v="2023"/>
    <x v="10"/>
    <x v="0"/>
    <x v="0"/>
    <m/>
    <m/>
    <n v="3609.3762999999999"/>
  </r>
  <r>
    <s v="EU27"/>
    <x v="10"/>
    <n v="2023"/>
    <x v="10"/>
    <x v="0"/>
    <x v="1"/>
    <m/>
    <m/>
    <n v="0"/>
  </r>
  <r>
    <s v="EU27"/>
    <x v="10"/>
    <n v="2023"/>
    <x v="10"/>
    <x v="0"/>
    <x v="2"/>
    <m/>
    <m/>
    <n v="3609.3762999999999"/>
  </r>
  <r>
    <s v="EU27"/>
    <x v="10"/>
    <n v="2023"/>
    <x v="10"/>
    <x v="1"/>
    <x v="0"/>
    <m/>
    <m/>
    <n v="3609.6966299999999"/>
  </r>
  <r>
    <s v="EU27"/>
    <x v="10"/>
    <n v="2023"/>
    <x v="10"/>
    <x v="1"/>
    <x v="1"/>
    <m/>
    <m/>
    <n v="0"/>
  </r>
  <r>
    <s v="EU27"/>
    <x v="10"/>
    <n v="2023"/>
    <x v="10"/>
    <x v="1"/>
    <x v="2"/>
    <m/>
    <m/>
    <n v="3609.6966299999999"/>
  </r>
  <r>
    <s v="EU27"/>
    <x v="10"/>
    <n v="2023"/>
    <x v="10"/>
    <x v="2"/>
    <x v="0"/>
    <m/>
    <m/>
    <n v="4.0999999999999996"/>
  </r>
  <r>
    <s v="EU27"/>
    <x v="10"/>
    <n v="2023"/>
    <x v="10"/>
    <x v="2"/>
    <x v="2"/>
    <m/>
    <m/>
    <n v="1246.2"/>
  </r>
  <r>
    <s v="EU27"/>
    <x v="10"/>
    <n v="2023"/>
    <x v="11"/>
    <x v="0"/>
    <x v="0"/>
    <m/>
    <m/>
    <n v="52651.750799851863"/>
  </r>
  <r>
    <s v="EU27"/>
    <x v="10"/>
    <n v="2023"/>
    <x v="11"/>
    <x v="0"/>
    <x v="1"/>
    <m/>
    <m/>
    <n v="14110.378808105121"/>
  </r>
  <r>
    <s v="EU27"/>
    <x v="10"/>
    <n v="2023"/>
    <x v="11"/>
    <x v="0"/>
    <x v="2"/>
    <m/>
    <m/>
    <n v="66762.00962795697"/>
  </r>
  <r>
    <s v="EU27"/>
    <x v="10"/>
    <n v="2023"/>
    <x v="11"/>
    <x v="1"/>
    <x v="0"/>
    <m/>
    <m/>
    <n v="54686.515081835023"/>
  </r>
  <r>
    <s v="EU27"/>
    <x v="10"/>
    <n v="2023"/>
    <x v="11"/>
    <x v="1"/>
    <x v="1"/>
    <m/>
    <m/>
    <n v="15284.14985816497"/>
  </r>
  <r>
    <s v="EU27"/>
    <x v="10"/>
    <n v="2023"/>
    <x v="11"/>
    <x v="1"/>
    <x v="2"/>
    <m/>
    <m/>
    <n v="69970.76496"/>
  </r>
  <r>
    <s v="EU27"/>
    <x v="10"/>
    <n v="2023"/>
    <x v="11"/>
    <x v="2"/>
    <x v="0"/>
    <m/>
    <m/>
    <n v="429.1"/>
  </r>
  <r>
    <s v="EU27"/>
    <x v="10"/>
    <n v="2023"/>
    <x v="11"/>
    <x v="2"/>
    <x v="1"/>
    <m/>
    <m/>
    <n v="69.900000000000006"/>
  </r>
  <r>
    <s v="EU27"/>
    <x v="10"/>
    <n v="2023"/>
    <x v="11"/>
    <x v="2"/>
    <x v="2"/>
    <m/>
    <m/>
    <n v="18674.8"/>
  </r>
  <r>
    <s v="EU27"/>
    <x v="10"/>
    <n v="2023"/>
    <x v="12"/>
    <x v="0"/>
    <x v="0"/>
    <m/>
    <m/>
    <n v="0"/>
  </r>
  <r>
    <s v="EU27"/>
    <x v="10"/>
    <n v="2023"/>
    <x v="12"/>
    <x v="0"/>
    <x v="1"/>
    <m/>
    <m/>
    <n v="0"/>
  </r>
  <r>
    <s v="EU27"/>
    <x v="10"/>
    <n v="2023"/>
    <x v="12"/>
    <x v="0"/>
    <x v="2"/>
    <m/>
    <m/>
    <n v="0"/>
  </r>
  <r>
    <s v="EU27"/>
    <x v="10"/>
    <n v="2023"/>
    <x v="12"/>
    <x v="1"/>
    <x v="0"/>
    <m/>
    <m/>
    <n v="0"/>
  </r>
  <r>
    <s v="EU27"/>
    <x v="10"/>
    <n v="2023"/>
    <x v="12"/>
    <x v="1"/>
    <x v="1"/>
    <m/>
    <m/>
    <n v="0"/>
  </r>
  <r>
    <s v="EU27"/>
    <x v="10"/>
    <n v="2023"/>
    <x v="12"/>
    <x v="1"/>
    <x v="2"/>
    <m/>
    <m/>
    <n v="0"/>
  </r>
  <r>
    <s v="EU27"/>
    <x v="10"/>
    <n v="2023"/>
    <x v="13"/>
    <x v="0"/>
    <x v="0"/>
    <m/>
    <m/>
    <n v="59913.207928529228"/>
  </r>
  <r>
    <s v="EU27"/>
    <x v="10"/>
    <n v="2023"/>
    <x v="13"/>
    <x v="0"/>
    <x v="1"/>
    <m/>
    <m/>
    <n v="194495.42455637691"/>
  </r>
  <r>
    <s v="EU27"/>
    <x v="10"/>
    <n v="2023"/>
    <x v="13"/>
    <x v="0"/>
    <x v="2"/>
    <m/>
    <m/>
    <n v="254148.8392431424"/>
  </r>
  <r>
    <s v="EU27"/>
    <x v="10"/>
    <n v="2023"/>
    <x v="13"/>
    <x v="1"/>
    <x v="0"/>
    <m/>
    <m/>
    <n v="62035.789843219362"/>
  </r>
  <r>
    <s v="EU27"/>
    <x v="10"/>
    <n v="2023"/>
    <x v="13"/>
    <x v="1"/>
    <x v="1"/>
    <m/>
    <m/>
    <n v="204565.40151804531"/>
  </r>
  <r>
    <s v="EU27"/>
    <x v="10"/>
    <n v="2023"/>
    <x v="13"/>
    <x v="1"/>
    <x v="2"/>
    <m/>
    <m/>
    <n v="266342.24247960269"/>
  </r>
  <r>
    <s v="EU27"/>
    <x v="10"/>
    <n v="2023"/>
    <x v="13"/>
    <x v="2"/>
    <x v="0"/>
    <m/>
    <m/>
    <n v="1100.7922000000001"/>
  </r>
  <r>
    <s v="EU27"/>
    <x v="10"/>
    <n v="2023"/>
    <x v="13"/>
    <x v="2"/>
    <x v="1"/>
    <m/>
    <m/>
    <n v="737.9"/>
  </r>
  <r>
    <s v="EU27"/>
    <x v="10"/>
    <n v="2023"/>
    <x v="13"/>
    <x v="2"/>
    <x v="2"/>
    <m/>
    <m/>
    <n v="16171.092199999999"/>
  </r>
  <r>
    <s v="EU27"/>
    <x v="10"/>
    <n v="2023"/>
    <x v="14"/>
    <x v="0"/>
    <x v="0"/>
    <m/>
    <m/>
    <n v="357383.26458313811"/>
  </r>
  <r>
    <s v="EU27"/>
    <x v="10"/>
    <n v="2023"/>
    <x v="14"/>
    <x v="0"/>
    <x v="2"/>
    <m/>
    <m/>
    <n v="357383.26458313811"/>
  </r>
  <r>
    <s v="EU27"/>
    <x v="10"/>
    <n v="2023"/>
    <x v="14"/>
    <x v="1"/>
    <x v="0"/>
    <m/>
    <m/>
    <n v="372423.13937294681"/>
  </r>
  <r>
    <s v="EU27"/>
    <x v="10"/>
    <n v="2023"/>
    <x v="14"/>
    <x v="1"/>
    <x v="2"/>
    <m/>
    <m/>
    <n v="372423.13937294681"/>
  </r>
  <r>
    <s v="EU27"/>
    <x v="10"/>
    <n v="2023"/>
    <x v="14"/>
    <x v="2"/>
    <x v="0"/>
    <m/>
    <m/>
    <n v="2043.47326"/>
  </r>
  <r>
    <s v="EU27"/>
    <x v="10"/>
    <n v="2023"/>
    <x v="14"/>
    <x v="2"/>
    <x v="2"/>
    <m/>
    <m/>
    <n v="30879.473259999999"/>
  </r>
  <r>
    <s v="EU27"/>
    <x v="10"/>
    <n v="2023"/>
    <x v="15"/>
    <x v="0"/>
    <x v="2"/>
    <m/>
    <m/>
    <n v="-259423.2575150565"/>
  </r>
  <r>
    <s v="EU27"/>
    <x v="10"/>
    <n v="2023"/>
    <x v="15"/>
    <x v="1"/>
    <x v="2"/>
    <m/>
    <m/>
    <n v="-237652.4199870787"/>
  </r>
  <r>
    <s v="EU27"/>
    <x v="10"/>
    <n v="2023"/>
    <x v="15"/>
    <x v="2"/>
    <x v="2"/>
    <m/>
    <m/>
    <n v="-18456.029310000002"/>
  </r>
  <r>
    <s v="EU27"/>
    <x v="10"/>
    <n v="2023"/>
    <x v="16"/>
    <x v="0"/>
    <x v="2"/>
    <m/>
    <m/>
    <n v="-313382.92129359808"/>
  </r>
  <r>
    <s v="EU27"/>
    <x v="10"/>
    <n v="2023"/>
    <x v="16"/>
    <x v="1"/>
    <x v="2"/>
    <m/>
    <m/>
    <n v="-299967.23524507991"/>
  </r>
  <r>
    <s v="EU27"/>
    <x v="10"/>
    <n v="2023"/>
    <x v="16"/>
    <x v="2"/>
    <x v="2"/>
    <m/>
    <m/>
    <n v="-19935.501329999999"/>
  </r>
  <r>
    <s v="EU27"/>
    <x v="10"/>
    <n v="2023"/>
    <x v="17"/>
    <x v="0"/>
    <x v="2"/>
    <m/>
    <m/>
    <n v="30095.13095470285"/>
  </r>
  <r>
    <s v="EU27"/>
    <x v="10"/>
    <n v="2023"/>
    <x v="17"/>
    <x v="1"/>
    <x v="2"/>
    <m/>
    <m/>
    <n v="34999.536923962907"/>
  </r>
  <r>
    <s v="EU27"/>
    <x v="10"/>
    <n v="2023"/>
    <x v="17"/>
    <x v="2"/>
    <x v="2"/>
    <m/>
    <m/>
    <n v="-2330.4133700000002"/>
  </r>
  <r>
    <s v="EU27"/>
    <x v="10"/>
    <n v="2023"/>
    <x v="18"/>
    <x v="0"/>
    <x v="2"/>
    <m/>
    <m/>
    <n v="13288.047723282059"/>
  </r>
  <r>
    <s v="EU27"/>
    <x v="10"/>
    <n v="2023"/>
    <x v="18"/>
    <x v="1"/>
    <x v="2"/>
    <m/>
    <m/>
    <n v="14566.73249369151"/>
  </r>
  <r>
    <s v="EU27"/>
    <x v="10"/>
    <n v="2023"/>
    <x v="18"/>
    <x v="2"/>
    <x v="2"/>
    <m/>
    <m/>
    <n v="2090.0931099999998"/>
  </r>
  <r>
    <s v="EU27"/>
    <x v="10"/>
    <n v="2023"/>
    <x v="19"/>
    <x v="0"/>
    <x v="2"/>
    <m/>
    <m/>
    <n v="13200.429397999031"/>
  </r>
  <r>
    <s v="EU27"/>
    <x v="10"/>
    <n v="2023"/>
    <x v="19"/>
    <x v="1"/>
    <x v="2"/>
    <m/>
    <m/>
    <n v="14068.278327999309"/>
  </r>
  <r>
    <s v="EU27"/>
    <x v="10"/>
    <n v="2023"/>
    <x v="19"/>
    <x v="2"/>
    <x v="2"/>
    <m/>
    <m/>
    <n v="765.48648000000003"/>
  </r>
  <r>
    <s v="EU27"/>
    <x v="10"/>
    <n v="2023"/>
    <x v="20"/>
    <x v="0"/>
    <x v="2"/>
    <m/>
    <m/>
    <n v="32422.781188015899"/>
  </r>
  <r>
    <s v="EU27"/>
    <x v="10"/>
    <n v="2023"/>
    <x v="20"/>
    <x v="1"/>
    <x v="2"/>
    <m/>
    <m/>
    <n v="32959.441534804202"/>
  </r>
  <r>
    <s v="EU27"/>
    <x v="10"/>
    <n v="2023"/>
    <x v="20"/>
    <x v="2"/>
    <x v="2"/>
    <m/>
    <m/>
    <n v="2894.1072199999999"/>
  </r>
  <r>
    <s v="EU27"/>
    <x v="10"/>
    <n v="2023"/>
    <x v="21"/>
    <x v="0"/>
    <x v="2"/>
    <m/>
    <m/>
    <n v="561.56036999999992"/>
  </r>
  <r>
    <s v="EU27"/>
    <x v="10"/>
    <n v="2023"/>
    <x v="21"/>
    <x v="1"/>
    <x v="2"/>
    <m/>
    <m/>
    <n v="462.85381999999998"/>
  </r>
  <r>
    <s v="EU27"/>
    <x v="10"/>
    <n v="2023"/>
    <x v="21"/>
    <x v="2"/>
    <x v="2"/>
    <m/>
    <m/>
    <n v="251.65858"/>
  </r>
  <r>
    <s v="EU27"/>
    <x v="10"/>
    <n v="2023"/>
    <x v="22"/>
    <x v="0"/>
    <x v="2"/>
    <m/>
    <m/>
    <n v="-35317.850409999999"/>
  </r>
  <r>
    <s v="EU27"/>
    <x v="10"/>
    <n v="2023"/>
    <x v="22"/>
    <x v="1"/>
    <x v="2"/>
    <m/>
    <m/>
    <n v="-34996.414770000003"/>
  </r>
  <r>
    <s v="EU27"/>
    <x v="10"/>
    <n v="2023"/>
    <x v="22"/>
    <x v="2"/>
    <x v="2"/>
    <m/>
    <m/>
    <n v="-2191.34"/>
  </r>
  <r>
    <s v="EU27"/>
    <x v="10"/>
    <n v="2023"/>
    <x v="23"/>
    <x v="0"/>
    <x v="2"/>
    <m/>
    <m/>
    <n v="253.85033000000001"/>
  </r>
  <r>
    <s v="EU27"/>
    <x v="10"/>
    <n v="2023"/>
    <x v="23"/>
    <x v="1"/>
    <x v="2"/>
    <m/>
    <m/>
    <n v="253.85033000000001"/>
  </r>
  <r>
    <s v="EU27"/>
    <x v="10"/>
    <n v="2023"/>
    <x v="24"/>
    <x v="0"/>
    <x v="0"/>
    <m/>
    <m/>
    <n v="88714.334157288453"/>
  </r>
  <r>
    <s v="EU27"/>
    <x v="10"/>
    <n v="2023"/>
    <x v="24"/>
    <x v="0"/>
    <x v="1"/>
    <m/>
    <m/>
    <n v="257.99302076518183"/>
  </r>
  <r>
    <s v="EU27"/>
    <x v="10"/>
    <n v="2023"/>
    <x v="24"/>
    <x v="0"/>
    <x v="2"/>
    <m/>
    <m/>
    <n v="88972.327178053645"/>
  </r>
  <r>
    <s v="EU27"/>
    <x v="10"/>
    <n v="2023"/>
    <x v="24"/>
    <x v="1"/>
    <x v="0"/>
    <m/>
    <m/>
    <n v="89733.040837289707"/>
  </r>
  <r>
    <s v="EU27"/>
    <x v="10"/>
    <n v="2023"/>
    <x v="24"/>
    <x v="1"/>
    <x v="1"/>
    <m/>
    <m/>
    <n v="257.9930207657074"/>
  </r>
  <r>
    <s v="EU27"/>
    <x v="10"/>
    <n v="2023"/>
    <x v="24"/>
    <x v="1"/>
    <x v="2"/>
    <m/>
    <m/>
    <n v="89991.033858055423"/>
  </r>
  <r>
    <s v="EU27"/>
    <x v="10"/>
    <n v="2023"/>
    <x v="24"/>
    <x v="2"/>
    <x v="0"/>
    <m/>
    <m/>
    <n v="1621.94949"/>
  </r>
  <r>
    <s v="EU27"/>
    <x v="10"/>
    <n v="2023"/>
    <x v="24"/>
    <x v="2"/>
    <x v="2"/>
    <m/>
    <m/>
    <n v="10520.74949"/>
  </r>
  <r>
    <s v="EU27"/>
    <x v="10"/>
    <n v="2023"/>
    <x v="25"/>
    <x v="0"/>
    <x v="0"/>
    <m/>
    <m/>
    <n v="135.5"/>
  </r>
  <r>
    <s v="EU27"/>
    <x v="10"/>
    <n v="2023"/>
    <x v="25"/>
    <x v="0"/>
    <x v="2"/>
    <m/>
    <m/>
    <n v="118583.5294180699"/>
  </r>
  <r>
    <s v="EU27"/>
    <x v="10"/>
    <n v="2023"/>
    <x v="25"/>
    <x v="1"/>
    <x v="0"/>
    <m/>
    <m/>
    <n v="135.5"/>
  </r>
  <r>
    <s v="EU27"/>
    <x v="10"/>
    <n v="2023"/>
    <x v="25"/>
    <x v="1"/>
    <x v="2"/>
    <m/>
    <m/>
    <n v="123959.7839796496"/>
  </r>
  <r>
    <s v="EU27"/>
    <x v="10"/>
    <n v="2023"/>
    <x v="25"/>
    <x v="2"/>
    <x v="2"/>
    <m/>
    <m/>
    <n v="1121.2829300000001"/>
  </r>
  <r>
    <s v="EU27"/>
    <x v="10"/>
    <n v="2023"/>
    <x v="26"/>
    <x v="0"/>
    <x v="0"/>
    <m/>
    <m/>
    <n v="690.6"/>
  </r>
  <r>
    <s v="EU27"/>
    <x v="10"/>
    <n v="2023"/>
    <x v="26"/>
    <x v="0"/>
    <x v="2"/>
    <m/>
    <m/>
    <n v="137673.12183071731"/>
  </r>
  <r>
    <s v="EU27"/>
    <x v="10"/>
    <n v="2023"/>
    <x v="26"/>
    <x v="1"/>
    <x v="0"/>
    <m/>
    <m/>
    <n v="690.6"/>
  </r>
  <r>
    <s v="EU27"/>
    <x v="10"/>
    <n v="2023"/>
    <x v="26"/>
    <x v="1"/>
    <x v="2"/>
    <m/>
    <m/>
    <n v="139779.24791432769"/>
  </r>
  <r>
    <s v="EU27"/>
    <x v="10"/>
    <n v="2023"/>
    <x v="26"/>
    <x v="2"/>
    <x v="2"/>
    <m/>
    <m/>
    <n v="805.9"/>
  </r>
  <r>
    <s v="EU27"/>
    <x v="10"/>
    <n v="2023"/>
    <x v="27"/>
    <x v="0"/>
    <x v="0"/>
    <m/>
    <m/>
    <n v="725.38231999999994"/>
  </r>
  <r>
    <s v="EU27"/>
    <x v="10"/>
    <n v="2023"/>
    <x v="27"/>
    <x v="0"/>
    <x v="2"/>
    <m/>
    <m/>
    <n v="869.28232000000003"/>
  </r>
  <r>
    <s v="EU27"/>
    <x v="10"/>
    <n v="2023"/>
    <x v="27"/>
    <x v="1"/>
    <x v="0"/>
    <m/>
    <m/>
    <n v="726.08569999999997"/>
  </r>
  <r>
    <s v="EU27"/>
    <x v="10"/>
    <n v="2023"/>
    <x v="27"/>
    <x v="1"/>
    <x v="2"/>
    <m/>
    <m/>
    <n v="869.98569999999995"/>
  </r>
  <r>
    <s v="EU27"/>
    <x v="10"/>
    <n v="2023"/>
    <x v="28"/>
    <x v="0"/>
    <x v="0"/>
    <m/>
    <m/>
    <n v="1679815.277062495"/>
  </r>
  <r>
    <s v="EU27"/>
    <x v="10"/>
    <n v="2023"/>
    <x v="28"/>
    <x v="0"/>
    <x v="1"/>
    <m/>
    <m/>
    <n v="803180.35660235654"/>
  </r>
  <r>
    <s v="EU27"/>
    <x v="10"/>
    <n v="2023"/>
    <x v="28"/>
    <x v="0"/>
    <x v="2"/>
    <m/>
    <m/>
    <n v="2499692.9328832431"/>
  </r>
  <r>
    <s v="EU27"/>
    <x v="10"/>
    <n v="2023"/>
    <x v="28"/>
    <x v="1"/>
    <x v="0"/>
    <m/>
    <m/>
    <n v="1817137.7786400369"/>
  </r>
  <r>
    <s v="EU27"/>
    <x v="10"/>
    <n v="2023"/>
    <x v="28"/>
    <x v="1"/>
    <x v="1"/>
    <m/>
    <m/>
    <n v="897107.61273732467"/>
  </r>
  <r>
    <s v="EU27"/>
    <x v="10"/>
    <n v="2023"/>
    <x v="28"/>
    <x v="1"/>
    <x v="2"/>
    <m/>
    <m/>
    <n v="2732304.0091119669"/>
  </r>
  <r>
    <s v="EU27"/>
    <x v="10"/>
    <n v="2023"/>
    <x v="28"/>
    <x v="2"/>
    <x v="0"/>
    <m/>
    <m/>
    <n v="15936.97673"/>
  </r>
  <r>
    <s v="EU27"/>
    <x v="10"/>
    <n v="2023"/>
    <x v="28"/>
    <x v="2"/>
    <x v="1"/>
    <m/>
    <m/>
    <n v="9265.5131099999999"/>
  </r>
  <r>
    <s v="EU27"/>
    <x v="10"/>
    <n v="2023"/>
    <x v="28"/>
    <x v="2"/>
    <x v="2"/>
    <m/>
    <m/>
    <n v="198412.58898"/>
  </r>
  <r>
    <s v="EU27"/>
    <x v="10"/>
    <n v="2023"/>
    <x v="29"/>
    <x v="0"/>
    <x v="0"/>
    <m/>
    <m/>
    <n v="1679815.277062495"/>
  </r>
  <r>
    <s v="EU27"/>
    <x v="10"/>
    <n v="2023"/>
    <x v="29"/>
    <x v="0"/>
    <x v="1"/>
    <m/>
    <m/>
    <n v="803180.25660235656"/>
  </r>
  <r>
    <s v="EU27"/>
    <x v="10"/>
    <n v="2023"/>
    <x v="29"/>
    <x v="0"/>
    <x v="2"/>
    <m/>
    <m/>
    <n v="2240266.313955422"/>
  </r>
  <r>
    <s v="EU27"/>
    <x v="10"/>
    <n v="2023"/>
    <x v="29"/>
    <x v="1"/>
    <x v="0"/>
    <m/>
    <m/>
    <n v="1817137.7786400369"/>
  </r>
  <r>
    <s v="EU27"/>
    <x v="10"/>
    <n v="2023"/>
    <x v="29"/>
    <x v="1"/>
    <x v="1"/>
    <m/>
    <m/>
    <n v="897107.51273732469"/>
  </r>
  <r>
    <s v="EU27"/>
    <x v="10"/>
    <n v="2023"/>
    <x v="29"/>
    <x v="1"/>
    <x v="2"/>
    <m/>
    <m/>
    <n v="2494643.5548348879"/>
  </r>
  <r>
    <s v="EU27"/>
    <x v="10"/>
    <n v="2023"/>
    <x v="29"/>
    <x v="2"/>
    <x v="0"/>
    <m/>
    <m/>
    <n v="15936.97673"/>
  </r>
  <r>
    <s v="EU27"/>
    <x v="10"/>
    <n v="2023"/>
    <x v="29"/>
    <x v="2"/>
    <x v="1"/>
    <m/>
    <m/>
    <n v="9265.5131099999999"/>
  </r>
  <r>
    <s v="EU27"/>
    <x v="10"/>
    <n v="2023"/>
    <x v="29"/>
    <x v="2"/>
    <x v="2"/>
    <m/>
    <m/>
    <n v="180264.31967"/>
  </r>
  <r>
    <s v="EU27"/>
    <x v="11"/>
    <n v="2023"/>
    <x v="0"/>
    <x v="0"/>
    <x v="0"/>
    <m/>
    <m/>
    <n v="1139195.8611843451"/>
  </r>
  <r>
    <s v="EU27"/>
    <x v="11"/>
    <n v="2023"/>
    <x v="0"/>
    <x v="0"/>
    <x v="1"/>
    <m/>
    <m/>
    <n v="582856.84063449479"/>
  </r>
  <r>
    <s v="EU27"/>
    <x v="11"/>
    <n v="2023"/>
    <x v="0"/>
    <x v="0"/>
    <x v="2"/>
    <m/>
    <m/>
    <n v="1738923.8434551761"/>
  </r>
  <r>
    <s v="EU27"/>
    <x v="11"/>
    <n v="2023"/>
    <x v="0"/>
    <x v="1"/>
    <x v="0"/>
    <m/>
    <m/>
    <n v="1267456.992263712"/>
  </r>
  <r>
    <s v="EU27"/>
    <x v="11"/>
    <n v="2023"/>
    <x v="0"/>
    <x v="1"/>
    <x v="1"/>
    <m/>
    <m/>
    <n v="669621.60151142534"/>
  </r>
  <r>
    <s v="EU27"/>
    <x v="11"/>
    <n v="2023"/>
    <x v="0"/>
    <x v="1"/>
    <x v="2"/>
    <m/>
    <m/>
    <n v="1955327.926830482"/>
  </r>
  <r>
    <s v="EU27"/>
    <x v="11"/>
    <n v="2023"/>
    <x v="0"/>
    <x v="2"/>
    <x v="0"/>
    <m/>
    <m/>
    <n v="11268.56177"/>
  </r>
  <r>
    <s v="EU27"/>
    <x v="11"/>
    <n v="2023"/>
    <x v="0"/>
    <x v="2"/>
    <x v="1"/>
    <m/>
    <m/>
    <n v="8536.2131100000006"/>
  </r>
  <r>
    <s v="EU27"/>
    <x v="11"/>
    <n v="2023"/>
    <x v="0"/>
    <x v="2"/>
    <x v="2"/>
    <m/>
    <m/>
    <n v="142277.67197"/>
  </r>
  <r>
    <s v="EU27"/>
    <x v="11"/>
    <n v="2023"/>
    <x v="1"/>
    <x v="0"/>
    <x v="0"/>
    <m/>
    <m/>
    <n v="46734.208905988598"/>
  </r>
  <r>
    <s v="EU27"/>
    <x v="11"/>
    <n v="2023"/>
    <x v="1"/>
    <x v="0"/>
    <x v="1"/>
    <m/>
    <m/>
    <n v="355255.9471313195"/>
  </r>
  <r>
    <s v="EU27"/>
    <x v="11"/>
    <n v="2023"/>
    <x v="1"/>
    <x v="0"/>
    <x v="2"/>
    <m/>
    <m/>
    <n v="401990.0361818205"/>
  </r>
  <r>
    <s v="EU27"/>
    <x v="11"/>
    <n v="2023"/>
    <x v="1"/>
    <x v="1"/>
    <x v="0"/>
    <m/>
    <m/>
    <n v="52677.539778628663"/>
  </r>
  <r>
    <s v="EU27"/>
    <x v="11"/>
    <n v="2023"/>
    <x v="1"/>
    <x v="1"/>
    <x v="1"/>
    <m/>
    <m/>
    <n v="415858.83028762921"/>
  </r>
  <r>
    <s v="EU27"/>
    <x v="11"/>
    <n v="2023"/>
    <x v="1"/>
    <x v="1"/>
    <x v="2"/>
    <m/>
    <m/>
    <n v="468536.53007659072"/>
  </r>
  <r>
    <s v="EU27"/>
    <x v="11"/>
    <n v="2023"/>
    <x v="1"/>
    <x v="2"/>
    <x v="0"/>
    <m/>
    <m/>
    <n v="95.093060000000008"/>
  </r>
  <r>
    <s v="EU27"/>
    <x v="11"/>
    <n v="2023"/>
    <x v="1"/>
    <x v="2"/>
    <x v="1"/>
    <m/>
    <m/>
    <n v="7073.0131099999999"/>
  </r>
  <r>
    <s v="EU27"/>
    <x v="11"/>
    <n v="2023"/>
    <x v="1"/>
    <x v="2"/>
    <x v="2"/>
    <m/>
    <m/>
    <n v="48141.606169999999"/>
  </r>
  <r>
    <s v="EU27"/>
    <x v="11"/>
    <n v="2023"/>
    <x v="2"/>
    <x v="0"/>
    <x v="0"/>
    <m/>
    <m/>
    <n v="101092.5376054618"/>
  </r>
  <r>
    <s v="EU27"/>
    <x v="11"/>
    <n v="2023"/>
    <x v="2"/>
    <x v="0"/>
    <x v="1"/>
    <m/>
    <m/>
    <n v="208609.1666886156"/>
  </r>
  <r>
    <s v="EU27"/>
    <x v="11"/>
    <n v="2023"/>
    <x v="2"/>
    <x v="0"/>
    <x v="2"/>
    <m/>
    <m/>
    <n v="309701.34429409198"/>
  </r>
  <r>
    <s v="EU27"/>
    <x v="11"/>
    <n v="2023"/>
    <x v="2"/>
    <x v="1"/>
    <x v="0"/>
    <m/>
    <m/>
    <n v="105775.56830277821"/>
  </r>
  <r>
    <s v="EU27"/>
    <x v="11"/>
    <n v="2023"/>
    <x v="2"/>
    <x v="1"/>
    <x v="1"/>
    <m/>
    <m/>
    <n v="233222.01035091939"/>
  </r>
  <r>
    <s v="EU27"/>
    <x v="11"/>
    <n v="2023"/>
    <x v="2"/>
    <x v="1"/>
    <x v="2"/>
    <m/>
    <m/>
    <n v="338997.21865364391"/>
  </r>
  <r>
    <s v="EU27"/>
    <x v="11"/>
    <n v="2023"/>
    <x v="2"/>
    <x v="2"/>
    <x v="0"/>
    <m/>
    <m/>
    <n v="1031.7411400000001"/>
  </r>
  <r>
    <s v="EU27"/>
    <x v="11"/>
    <n v="2023"/>
    <x v="2"/>
    <x v="2"/>
    <x v="1"/>
    <m/>
    <m/>
    <n v="1393.3"/>
  </r>
  <r>
    <s v="EU27"/>
    <x v="11"/>
    <n v="2023"/>
    <x v="2"/>
    <x v="2"/>
    <x v="2"/>
    <m/>
    <m/>
    <n v="19902.64114"/>
  </r>
  <r>
    <s v="EU27"/>
    <x v="11"/>
    <n v="2023"/>
    <x v="3"/>
    <x v="0"/>
    <x v="0"/>
    <m/>
    <m/>
    <n v="582943.52438049554"/>
  </r>
  <r>
    <s v="EU27"/>
    <x v="11"/>
    <n v="2023"/>
    <x v="3"/>
    <x v="0"/>
    <x v="1"/>
    <m/>
    <m/>
    <n v="3561.116279112458"/>
  </r>
  <r>
    <s v="EU27"/>
    <x v="11"/>
    <n v="2023"/>
    <x v="3"/>
    <x v="0"/>
    <x v="2"/>
    <m/>
    <m/>
    <n v="603375.92215067754"/>
  </r>
  <r>
    <s v="EU27"/>
    <x v="11"/>
    <n v="2023"/>
    <x v="3"/>
    <x v="1"/>
    <x v="0"/>
    <m/>
    <m/>
    <n v="650139.36631758057"/>
  </r>
  <r>
    <s v="EU27"/>
    <x v="11"/>
    <n v="2023"/>
    <x v="3"/>
    <x v="1"/>
    <x v="1"/>
    <m/>
    <m/>
    <n v="3725.126537905534"/>
  </r>
  <r>
    <s v="EU27"/>
    <x v="11"/>
    <n v="2023"/>
    <x v="3"/>
    <x v="1"/>
    <x v="2"/>
    <m/>
    <m/>
    <n v="672113.68586055236"/>
  </r>
  <r>
    <s v="EU27"/>
    <x v="11"/>
    <n v="2023"/>
    <x v="3"/>
    <x v="2"/>
    <x v="0"/>
    <m/>
    <m/>
    <n v="8187.9815199999994"/>
  </r>
  <r>
    <s v="EU27"/>
    <x v="11"/>
    <n v="2023"/>
    <x v="3"/>
    <x v="2"/>
    <x v="1"/>
    <m/>
    <m/>
    <n v="0"/>
  </r>
  <r>
    <s v="EU27"/>
    <x v="11"/>
    <n v="2023"/>
    <x v="3"/>
    <x v="2"/>
    <x v="2"/>
    <m/>
    <m/>
    <n v="36533.978610000013"/>
  </r>
  <r>
    <s v="EU27"/>
    <x v="11"/>
    <n v="2023"/>
    <x v="4"/>
    <x v="0"/>
    <x v="0"/>
    <m/>
    <m/>
    <n v="149.60859850593911"/>
  </r>
  <r>
    <s v="EU27"/>
    <x v="11"/>
    <n v="2023"/>
    <x v="4"/>
    <x v="0"/>
    <x v="1"/>
    <m/>
    <m/>
    <n v="0"/>
  </r>
  <r>
    <s v="EU27"/>
    <x v="11"/>
    <n v="2023"/>
    <x v="4"/>
    <x v="0"/>
    <x v="2"/>
    <m/>
    <m/>
    <n v="17013.369824061589"/>
  </r>
  <r>
    <s v="EU27"/>
    <x v="11"/>
    <n v="2023"/>
    <x v="4"/>
    <x v="1"/>
    <x v="0"/>
    <m/>
    <m/>
    <n v="159.06832368391869"/>
  </r>
  <r>
    <s v="EU27"/>
    <x v="11"/>
    <n v="2023"/>
    <x v="4"/>
    <x v="1"/>
    <x v="1"/>
    <m/>
    <m/>
    <n v="0"/>
  </r>
  <r>
    <s v="EU27"/>
    <x v="11"/>
    <n v="2023"/>
    <x v="4"/>
    <x v="1"/>
    <x v="2"/>
    <m/>
    <m/>
    <n v="18407.48098614526"/>
  </r>
  <r>
    <s v="EU27"/>
    <x v="11"/>
    <n v="2023"/>
    <x v="4"/>
    <x v="2"/>
    <x v="0"/>
    <m/>
    <m/>
    <n v="1.2959999999999999E-2"/>
  </r>
  <r>
    <s v="EU27"/>
    <x v="11"/>
    <n v="2023"/>
    <x v="4"/>
    <x v="2"/>
    <x v="2"/>
    <m/>
    <m/>
    <n v="424.51004999999998"/>
  </r>
  <r>
    <s v="EU27"/>
    <x v="11"/>
    <n v="2023"/>
    <x v="5"/>
    <x v="0"/>
    <x v="0"/>
    <m/>
    <m/>
    <n v="560586.41356964444"/>
  </r>
  <r>
    <s v="EU27"/>
    <x v="11"/>
    <n v="2023"/>
    <x v="5"/>
    <x v="0"/>
    <x v="1"/>
    <m/>
    <m/>
    <n v="0"/>
  </r>
  <r>
    <s v="EU27"/>
    <x v="11"/>
    <n v="2023"/>
    <x v="5"/>
    <x v="0"/>
    <x v="2"/>
    <m/>
    <m/>
    <n v="560586.41356964444"/>
  </r>
  <r>
    <s v="EU27"/>
    <x v="11"/>
    <n v="2023"/>
    <x v="5"/>
    <x v="1"/>
    <x v="0"/>
    <m/>
    <m/>
    <n v="626671.52624738635"/>
  </r>
  <r>
    <s v="EU27"/>
    <x v="11"/>
    <n v="2023"/>
    <x v="5"/>
    <x v="1"/>
    <x v="1"/>
    <m/>
    <m/>
    <n v="0"/>
  </r>
  <r>
    <s v="EU27"/>
    <x v="11"/>
    <n v="2023"/>
    <x v="5"/>
    <x v="1"/>
    <x v="2"/>
    <m/>
    <m/>
    <n v="626671.52624738635"/>
  </r>
  <r>
    <s v="EU27"/>
    <x v="11"/>
    <n v="2023"/>
    <x v="5"/>
    <x v="2"/>
    <x v="0"/>
    <m/>
    <m/>
    <n v="8094.1229300000005"/>
  </r>
  <r>
    <s v="EU27"/>
    <x v="11"/>
    <n v="2023"/>
    <x v="5"/>
    <x v="2"/>
    <x v="2"/>
    <m/>
    <m/>
    <n v="34461.922930000001"/>
  </r>
  <r>
    <s v="EU27"/>
    <x v="11"/>
    <n v="2023"/>
    <x v="6"/>
    <x v="0"/>
    <x v="0"/>
    <m/>
    <m/>
    <n v="3400.6701043416201"/>
  </r>
  <r>
    <s v="EU27"/>
    <x v="11"/>
    <n v="2023"/>
    <x v="6"/>
    <x v="0"/>
    <x v="1"/>
    <m/>
    <m/>
    <n v="0"/>
  </r>
  <r>
    <s v="EU27"/>
    <x v="11"/>
    <n v="2023"/>
    <x v="6"/>
    <x v="0"/>
    <x v="2"/>
    <m/>
    <m/>
    <n v="3400.6701043416201"/>
  </r>
  <r>
    <s v="EU27"/>
    <x v="11"/>
    <n v="2023"/>
    <x v="6"/>
    <x v="1"/>
    <x v="0"/>
    <m/>
    <m/>
    <n v="4025.8808619061192"/>
  </r>
  <r>
    <s v="EU27"/>
    <x v="11"/>
    <n v="2023"/>
    <x v="6"/>
    <x v="1"/>
    <x v="1"/>
    <m/>
    <m/>
    <n v="0"/>
  </r>
  <r>
    <s v="EU27"/>
    <x v="11"/>
    <n v="2023"/>
    <x v="6"/>
    <x v="1"/>
    <x v="2"/>
    <m/>
    <m/>
    <n v="4025.8808619061192"/>
  </r>
  <r>
    <s v="EU27"/>
    <x v="11"/>
    <n v="2023"/>
    <x v="6"/>
    <x v="2"/>
    <x v="0"/>
    <m/>
    <m/>
    <n v="36.6"/>
  </r>
  <r>
    <s v="EU27"/>
    <x v="11"/>
    <n v="2023"/>
    <x v="6"/>
    <x v="2"/>
    <x v="2"/>
    <m/>
    <m/>
    <n v="1049.8"/>
  </r>
  <r>
    <s v="EU27"/>
    <x v="11"/>
    <n v="2023"/>
    <x v="7"/>
    <x v="0"/>
    <x v="0"/>
    <m/>
    <m/>
    <n v="17535.00442004059"/>
  </r>
  <r>
    <s v="EU27"/>
    <x v="11"/>
    <n v="2023"/>
    <x v="7"/>
    <x v="0"/>
    <x v="1"/>
    <m/>
    <m/>
    <n v="0"/>
  </r>
  <r>
    <s v="EU27"/>
    <x v="11"/>
    <n v="2023"/>
    <x v="7"/>
    <x v="0"/>
    <x v="2"/>
    <m/>
    <m/>
    <n v="17535.00426004059"/>
  </r>
  <r>
    <s v="EU27"/>
    <x v="11"/>
    <n v="2023"/>
    <x v="7"/>
    <x v="1"/>
    <x v="0"/>
    <m/>
    <m/>
    <n v="17798.30034386523"/>
  </r>
  <r>
    <s v="EU27"/>
    <x v="11"/>
    <n v="2023"/>
    <x v="7"/>
    <x v="1"/>
    <x v="1"/>
    <m/>
    <m/>
    <n v="0"/>
  </r>
  <r>
    <s v="EU27"/>
    <x v="11"/>
    <n v="2023"/>
    <x v="7"/>
    <x v="1"/>
    <x v="2"/>
    <m/>
    <m/>
    <n v="17798.300183865231"/>
  </r>
  <r>
    <s v="EU27"/>
    <x v="11"/>
    <n v="2023"/>
    <x v="7"/>
    <x v="2"/>
    <x v="0"/>
    <m/>
    <m/>
    <n v="49.945630000000001"/>
  </r>
  <r>
    <s v="EU27"/>
    <x v="11"/>
    <n v="2023"/>
    <x v="7"/>
    <x v="2"/>
    <x v="2"/>
    <m/>
    <m/>
    <n v="337.34563000000003"/>
  </r>
  <r>
    <s v="EU27"/>
    <x v="11"/>
    <n v="2023"/>
    <x v="8"/>
    <x v="0"/>
    <x v="0"/>
    <m/>
    <m/>
    <n v="1260.587817962976"/>
  </r>
  <r>
    <s v="EU27"/>
    <x v="11"/>
    <n v="2023"/>
    <x v="8"/>
    <x v="0"/>
    <x v="1"/>
    <m/>
    <m/>
    <n v="3568.861024626267"/>
  </r>
  <r>
    <s v="EU27"/>
    <x v="11"/>
    <n v="2023"/>
    <x v="8"/>
    <x v="0"/>
    <x v="2"/>
    <m/>
    <m/>
    <n v="4829.348832589244"/>
  </r>
  <r>
    <s v="EU27"/>
    <x v="11"/>
    <n v="2023"/>
    <x v="8"/>
    <x v="1"/>
    <x v="0"/>
    <m/>
    <m/>
    <n v="1473.07559673893"/>
  </r>
  <r>
    <s v="EU27"/>
    <x v="11"/>
    <n v="2023"/>
    <x v="8"/>
    <x v="1"/>
    <x v="1"/>
    <m/>
    <m/>
    <n v="3726.2264345105032"/>
  </r>
  <r>
    <s v="EU27"/>
    <x v="11"/>
    <n v="2023"/>
    <x v="8"/>
    <x v="1"/>
    <x v="2"/>
    <m/>
    <m/>
    <n v="5199.2020212494344"/>
  </r>
  <r>
    <s v="EU27"/>
    <x v="11"/>
    <n v="2023"/>
    <x v="8"/>
    <x v="2"/>
    <x v="0"/>
    <m/>
    <m/>
    <n v="7.2"/>
  </r>
  <r>
    <s v="EU27"/>
    <x v="11"/>
    <n v="2023"/>
    <x v="8"/>
    <x v="2"/>
    <x v="2"/>
    <m/>
    <m/>
    <n v="260.39999999999998"/>
  </r>
  <r>
    <s v="EU27"/>
    <x v="11"/>
    <n v="2023"/>
    <x v="9"/>
    <x v="0"/>
    <x v="0"/>
    <m/>
    <m/>
    <n v="352776.37780301122"/>
  </r>
  <r>
    <s v="EU27"/>
    <x v="11"/>
    <n v="2023"/>
    <x v="9"/>
    <x v="0"/>
    <x v="1"/>
    <m/>
    <m/>
    <n v="1567.611782846519"/>
  </r>
  <r>
    <s v="EU27"/>
    <x v="11"/>
    <n v="2023"/>
    <x v="9"/>
    <x v="0"/>
    <x v="2"/>
    <m/>
    <m/>
    <n v="354344.34958659811"/>
  </r>
  <r>
    <s v="EU27"/>
    <x v="11"/>
    <n v="2023"/>
    <x v="9"/>
    <x v="1"/>
    <x v="0"/>
    <m/>
    <m/>
    <n v="401052.68717288942"/>
  </r>
  <r>
    <s v="EU27"/>
    <x v="11"/>
    <n v="2023"/>
    <x v="9"/>
    <x v="1"/>
    <x v="1"/>
    <m/>
    <m/>
    <n v="1684.5209068062079"/>
  </r>
  <r>
    <s v="EU27"/>
    <x v="11"/>
    <n v="2023"/>
    <x v="9"/>
    <x v="1"/>
    <x v="2"/>
    <m/>
    <m/>
    <n v="402737.60808969563"/>
  </r>
  <r>
    <s v="EU27"/>
    <x v="11"/>
    <n v="2023"/>
    <x v="9"/>
    <x v="2"/>
    <x v="0"/>
    <m/>
    <m/>
    <n v="1520.2460599999999"/>
  </r>
  <r>
    <s v="EU27"/>
    <x v="11"/>
    <n v="2023"/>
    <x v="9"/>
    <x v="2"/>
    <x v="2"/>
    <m/>
    <m/>
    <n v="17778.046060000001"/>
  </r>
  <r>
    <s v="EU27"/>
    <x v="11"/>
    <n v="2023"/>
    <x v="10"/>
    <x v="0"/>
    <x v="0"/>
    <m/>
    <m/>
    <n v="3595.60637"/>
  </r>
  <r>
    <s v="EU27"/>
    <x v="11"/>
    <n v="2023"/>
    <x v="10"/>
    <x v="0"/>
    <x v="1"/>
    <m/>
    <m/>
    <n v="0"/>
  </r>
  <r>
    <s v="EU27"/>
    <x v="11"/>
    <n v="2023"/>
    <x v="10"/>
    <x v="0"/>
    <x v="2"/>
    <m/>
    <m/>
    <n v="3595.60637"/>
  </r>
  <r>
    <s v="EU27"/>
    <x v="11"/>
    <n v="2023"/>
    <x v="10"/>
    <x v="1"/>
    <x v="0"/>
    <m/>
    <m/>
    <n v="3595.9002"/>
  </r>
  <r>
    <s v="EU27"/>
    <x v="11"/>
    <n v="2023"/>
    <x v="10"/>
    <x v="1"/>
    <x v="1"/>
    <m/>
    <m/>
    <n v="0"/>
  </r>
  <r>
    <s v="EU27"/>
    <x v="11"/>
    <n v="2023"/>
    <x v="10"/>
    <x v="1"/>
    <x v="2"/>
    <m/>
    <m/>
    <n v="3595.9002"/>
  </r>
  <r>
    <s v="EU27"/>
    <x v="11"/>
    <n v="2023"/>
    <x v="10"/>
    <x v="2"/>
    <x v="0"/>
    <m/>
    <m/>
    <n v="4.0999999999999996"/>
  </r>
  <r>
    <s v="EU27"/>
    <x v="11"/>
    <n v="2023"/>
    <x v="10"/>
    <x v="2"/>
    <x v="2"/>
    <m/>
    <m/>
    <n v="1246.2"/>
  </r>
  <r>
    <s v="EU27"/>
    <x v="11"/>
    <n v="2023"/>
    <x v="11"/>
    <x v="0"/>
    <x v="0"/>
    <m/>
    <m/>
    <n v="52114.666109387377"/>
  </r>
  <r>
    <s v="EU27"/>
    <x v="11"/>
    <n v="2023"/>
    <x v="11"/>
    <x v="0"/>
    <x v="1"/>
    <m/>
    <m/>
    <n v="13862.93874260064"/>
  </r>
  <r>
    <s v="EU27"/>
    <x v="11"/>
    <n v="2023"/>
    <x v="11"/>
    <x v="0"/>
    <x v="2"/>
    <m/>
    <m/>
    <n v="65977.76486198802"/>
  </r>
  <r>
    <s v="EU27"/>
    <x v="11"/>
    <n v="2023"/>
    <x v="11"/>
    <x v="1"/>
    <x v="0"/>
    <m/>
    <m/>
    <n v="54276.81047183503"/>
  </r>
  <r>
    <s v="EU27"/>
    <x v="11"/>
    <n v="2023"/>
    <x v="11"/>
    <x v="1"/>
    <x v="1"/>
    <m/>
    <m/>
    <n v="15131.07341816497"/>
  </r>
  <r>
    <s v="EU27"/>
    <x v="11"/>
    <n v="2023"/>
    <x v="11"/>
    <x v="1"/>
    <x v="2"/>
    <m/>
    <m/>
    <n v="69407.783899999995"/>
  </r>
  <r>
    <s v="EU27"/>
    <x v="11"/>
    <n v="2023"/>
    <x v="11"/>
    <x v="2"/>
    <x v="0"/>
    <m/>
    <m/>
    <n v="429.2"/>
  </r>
  <r>
    <s v="EU27"/>
    <x v="11"/>
    <n v="2023"/>
    <x v="11"/>
    <x v="2"/>
    <x v="1"/>
    <m/>
    <m/>
    <n v="69.900000000000006"/>
  </r>
  <r>
    <s v="EU27"/>
    <x v="11"/>
    <n v="2023"/>
    <x v="11"/>
    <x v="2"/>
    <x v="2"/>
    <m/>
    <m/>
    <n v="18674.900000000001"/>
  </r>
  <r>
    <s v="EU27"/>
    <x v="11"/>
    <n v="2023"/>
    <x v="12"/>
    <x v="0"/>
    <x v="0"/>
    <m/>
    <m/>
    <n v="0"/>
  </r>
  <r>
    <s v="EU27"/>
    <x v="11"/>
    <n v="2023"/>
    <x v="12"/>
    <x v="0"/>
    <x v="1"/>
    <m/>
    <m/>
    <n v="0"/>
  </r>
  <r>
    <s v="EU27"/>
    <x v="11"/>
    <n v="2023"/>
    <x v="12"/>
    <x v="0"/>
    <x v="2"/>
    <m/>
    <m/>
    <n v="0"/>
  </r>
  <r>
    <s v="EU27"/>
    <x v="11"/>
    <n v="2023"/>
    <x v="12"/>
    <x v="1"/>
    <x v="0"/>
    <m/>
    <m/>
    <n v="0"/>
  </r>
  <r>
    <s v="EU27"/>
    <x v="11"/>
    <n v="2023"/>
    <x v="12"/>
    <x v="1"/>
    <x v="1"/>
    <m/>
    <m/>
    <n v="0"/>
  </r>
  <r>
    <s v="EU27"/>
    <x v="11"/>
    <n v="2023"/>
    <x v="12"/>
    <x v="1"/>
    <x v="2"/>
    <m/>
    <m/>
    <n v="0"/>
  </r>
  <r>
    <s v="EU27"/>
    <x v="11"/>
    <n v="2023"/>
    <x v="13"/>
    <x v="0"/>
    <x v="0"/>
    <m/>
    <m/>
    <n v="57894.881530505438"/>
  </r>
  <r>
    <s v="EU27"/>
    <x v="11"/>
    <n v="2023"/>
    <x v="13"/>
    <x v="0"/>
    <x v="1"/>
    <m/>
    <m/>
    <n v="190415.6927828622"/>
  </r>
  <r>
    <s v="EU27"/>
    <x v="11"/>
    <n v="2023"/>
    <x v="13"/>
    <x v="0"/>
    <x v="2"/>
    <m/>
    <m/>
    <n v="248050.6032298347"/>
  </r>
  <r>
    <s v="EU27"/>
    <x v="11"/>
    <n v="2023"/>
    <x v="13"/>
    <x v="1"/>
    <x v="0"/>
    <m/>
    <m/>
    <n v="60146.242668510611"/>
  </r>
  <r>
    <s v="EU27"/>
    <x v="11"/>
    <n v="2023"/>
    <x v="13"/>
    <x v="1"/>
    <x v="1"/>
    <m/>
    <m/>
    <n v="200459.98792473541"/>
  </r>
  <r>
    <s v="EU27"/>
    <x v="11"/>
    <n v="2023"/>
    <x v="13"/>
    <x v="1"/>
    <x v="2"/>
    <m/>
    <m/>
    <n v="260347.1822399114"/>
  </r>
  <r>
    <s v="EU27"/>
    <x v="11"/>
    <n v="2023"/>
    <x v="13"/>
    <x v="2"/>
    <x v="0"/>
    <m/>
    <m/>
    <n v="1109.4406899999999"/>
  </r>
  <r>
    <s v="EU27"/>
    <x v="11"/>
    <n v="2023"/>
    <x v="13"/>
    <x v="2"/>
    <x v="1"/>
    <m/>
    <m/>
    <n v="740.4"/>
  </r>
  <r>
    <s v="EU27"/>
    <x v="11"/>
    <n v="2023"/>
    <x v="13"/>
    <x v="2"/>
    <x v="2"/>
    <m/>
    <m/>
    <n v="16301.04069"/>
  </r>
  <r>
    <s v="EU27"/>
    <x v="11"/>
    <n v="2023"/>
    <x v="14"/>
    <x v="0"/>
    <x v="0"/>
    <m/>
    <m/>
    <n v="356324.59556526958"/>
  </r>
  <r>
    <s v="EU27"/>
    <x v="11"/>
    <n v="2023"/>
    <x v="14"/>
    <x v="0"/>
    <x v="2"/>
    <m/>
    <m/>
    <n v="356324.59556526958"/>
  </r>
  <r>
    <s v="EU27"/>
    <x v="11"/>
    <n v="2023"/>
    <x v="14"/>
    <x v="1"/>
    <x v="0"/>
    <m/>
    <m/>
    <n v="371539.50042589358"/>
  </r>
  <r>
    <s v="EU27"/>
    <x v="11"/>
    <n v="2023"/>
    <x v="14"/>
    <x v="1"/>
    <x v="2"/>
    <m/>
    <m/>
    <n v="371539.50042589358"/>
  </r>
  <r>
    <s v="EU27"/>
    <x v="11"/>
    <n v="2023"/>
    <x v="14"/>
    <x v="2"/>
    <x v="0"/>
    <m/>
    <m/>
    <n v="2046.1429599999999"/>
  </r>
  <r>
    <s v="EU27"/>
    <x v="11"/>
    <n v="2023"/>
    <x v="14"/>
    <x v="2"/>
    <x v="2"/>
    <m/>
    <m/>
    <n v="31312.24296"/>
  </r>
  <r>
    <s v="EU27"/>
    <x v="11"/>
    <n v="2023"/>
    <x v="15"/>
    <x v="0"/>
    <x v="2"/>
    <m/>
    <m/>
    <n v="-260056.0748668928"/>
  </r>
  <r>
    <s v="EU27"/>
    <x v="11"/>
    <n v="2023"/>
    <x v="15"/>
    <x v="1"/>
    <x v="2"/>
    <m/>
    <m/>
    <n v="-237571.46877577269"/>
  </r>
  <r>
    <s v="EU27"/>
    <x v="11"/>
    <n v="2023"/>
    <x v="15"/>
    <x v="2"/>
    <x v="2"/>
    <m/>
    <m/>
    <n v="-17826.500250000001"/>
  </r>
  <r>
    <s v="EU27"/>
    <x v="11"/>
    <n v="2023"/>
    <x v="16"/>
    <x v="0"/>
    <x v="2"/>
    <m/>
    <m/>
    <n v="-314569.38274127129"/>
  </r>
  <r>
    <s v="EU27"/>
    <x v="11"/>
    <n v="2023"/>
    <x v="16"/>
    <x v="1"/>
    <x v="2"/>
    <m/>
    <m/>
    <n v="-300718.02436027542"/>
  </r>
  <r>
    <s v="EU27"/>
    <x v="11"/>
    <n v="2023"/>
    <x v="16"/>
    <x v="2"/>
    <x v="2"/>
    <m/>
    <m/>
    <n v="-19647.680260000001"/>
  </r>
  <r>
    <s v="EU27"/>
    <x v="11"/>
    <n v="2023"/>
    <x v="17"/>
    <x v="0"/>
    <x v="2"/>
    <m/>
    <m/>
    <n v="29419.134994906279"/>
  </r>
  <r>
    <s v="EU27"/>
    <x v="11"/>
    <n v="2023"/>
    <x v="17"/>
    <x v="1"/>
    <x v="2"/>
    <m/>
    <m/>
    <n v="34559.427021260053"/>
  </r>
  <r>
    <s v="EU27"/>
    <x v="11"/>
    <n v="2023"/>
    <x v="17"/>
    <x v="2"/>
    <x v="2"/>
    <m/>
    <m/>
    <n v="-2318.3194899999999"/>
  </r>
  <r>
    <s v="EU27"/>
    <x v="11"/>
    <n v="2023"/>
    <x v="18"/>
    <x v="0"/>
    <x v="2"/>
    <m/>
    <m/>
    <n v="13750.030941928841"/>
  </r>
  <r>
    <s v="EU27"/>
    <x v="11"/>
    <n v="2023"/>
    <x v="18"/>
    <x v="1"/>
    <x v="2"/>
    <m/>
    <m/>
    <n v="15024.558812188419"/>
  </r>
  <r>
    <s v="EU27"/>
    <x v="11"/>
    <n v="2023"/>
    <x v="18"/>
    <x v="2"/>
    <x v="2"/>
    <m/>
    <m/>
    <n v="2309.9550199999999"/>
  </r>
  <r>
    <s v="EU27"/>
    <x v="11"/>
    <n v="2023"/>
    <x v="19"/>
    <x v="0"/>
    <x v="2"/>
    <m/>
    <m/>
    <n v="13058.315127342959"/>
  </r>
  <r>
    <s v="EU27"/>
    <x v="11"/>
    <n v="2023"/>
    <x v="19"/>
    <x v="1"/>
    <x v="2"/>
    <m/>
    <m/>
    <n v="13953.071607343731"/>
  </r>
  <r>
    <s v="EU27"/>
    <x v="11"/>
    <n v="2023"/>
    <x v="19"/>
    <x v="2"/>
    <x v="2"/>
    <m/>
    <m/>
    <n v="765.48648000000003"/>
  </r>
  <r>
    <s v="EU27"/>
    <x v="11"/>
    <n v="2023"/>
    <x v="20"/>
    <x v="0"/>
    <x v="2"/>
    <m/>
    <m/>
    <n v="32229.868769049081"/>
  </r>
  <r>
    <s v="EU27"/>
    <x v="11"/>
    <n v="2023"/>
    <x v="20"/>
    <x v="1"/>
    <x v="2"/>
    <m/>
    <m/>
    <n v="32745.508447790249"/>
  </r>
  <r>
    <s v="EU27"/>
    <x v="11"/>
    <n v="2023"/>
    <x v="20"/>
    <x v="2"/>
    <x v="2"/>
    <m/>
    <m/>
    <n v="2919.3131199999998"/>
  </r>
  <r>
    <s v="EU27"/>
    <x v="11"/>
    <n v="2023"/>
    <x v="21"/>
    <x v="0"/>
    <x v="2"/>
    <m/>
    <m/>
    <n v="554.66082999999992"/>
  </r>
  <r>
    <s v="EU27"/>
    <x v="11"/>
    <n v="2023"/>
    <x v="21"/>
    <x v="1"/>
    <x v="2"/>
    <m/>
    <m/>
    <n v="451.15712999999988"/>
  </r>
  <r>
    <s v="EU27"/>
    <x v="11"/>
    <n v="2023"/>
    <x v="21"/>
    <x v="2"/>
    <x v="2"/>
    <m/>
    <m/>
    <n v="286.86488000000003"/>
  </r>
  <r>
    <s v="EU27"/>
    <x v="11"/>
    <n v="2023"/>
    <x v="22"/>
    <x v="0"/>
    <x v="2"/>
    <m/>
    <m/>
    <n v="-34177.086649999997"/>
  </r>
  <r>
    <s v="EU27"/>
    <x v="11"/>
    <n v="2023"/>
    <x v="22"/>
    <x v="1"/>
    <x v="2"/>
    <m/>
    <m/>
    <n v="-33841.296130000002"/>
  </r>
  <r>
    <s v="EU27"/>
    <x v="11"/>
    <n v="2023"/>
    <x v="22"/>
    <x v="2"/>
    <x v="2"/>
    <m/>
    <m/>
    <n v="-2141.98"/>
  </r>
  <r>
    <s v="EU27"/>
    <x v="11"/>
    <n v="2023"/>
    <x v="23"/>
    <x v="0"/>
    <x v="2"/>
    <m/>
    <m/>
    <n v="253.85033000000001"/>
  </r>
  <r>
    <s v="EU27"/>
    <x v="11"/>
    <n v="2023"/>
    <x v="23"/>
    <x v="1"/>
    <x v="2"/>
    <m/>
    <m/>
    <n v="253.85033000000001"/>
  </r>
  <r>
    <s v="EU27"/>
    <x v="11"/>
    <n v="2023"/>
    <x v="24"/>
    <x v="0"/>
    <x v="0"/>
    <m/>
    <m/>
    <n v="86020.954891734291"/>
  </r>
  <r>
    <s v="EU27"/>
    <x v="11"/>
    <n v="2023"/>
    <x v="24"/>
    <x v="0"/>
    <x v="1"/>
    <m/>
    <m/>
    <n v="254.7379043729913"/>
  </r>
  <r>
    <s v="EU27"/>
    <x v="11"/>
    <n v="2023"/>
    <x v="24"/>
    <x v="0"/>
    <x v="2"/>
    <m/>
    <m/>
    <n v="86275.69279610728"/>
  </r>
  <r>
    <s v="EU27"/>
    <x v="11"/>
    <n v="2023"/>
    <x v="24"/>
    <x v="1"/>
    <x v="0"/>
    <m/>
    <m/>
    <n v="87040.69624173679"/>
  </r>
  <r>
    <s v="EU27"/>
    <x v="11"/>
    <n v="2023"/>
    <x v="24"/>
    <x v="1"/>
    <x v="1"/>
    <m/>
    <m/>
    <n v="254.73790437404261"/>
  </r>
  <r>
    <s v="EU27"/>
    <x v="11"/>
    <n v="2023"/>
    <x v="24"/>
    <x v="1"/>
    <x v="2"/>
    <m/>
    <m/>
    <n v="87180.396125900428"/>
  </r>
  <r>
    <s v="EU27"/>
    <x v="11"/>
    <n v="2023"/>
    <x v="24"/>
    <x v="2"/>
    <x v="0"/>
    <m/>
    <m/>
    <n v="1630.4943699999999"/>
  </r>
  <r>
    <s v="EU27"/>
    <x v="11"/>
    <n v="2023"/>
    <x v="24"/>
    <x v="2"/>
    <x v="2"/>
    <m/>
    <m/>
    <n v="10493.094370000001"/>
  </r>
  <r>
    <s v="EU27"/>
    <x v="11"/>
    <n v="2023"/>
    <x v="25"/>
    <x v="0"/>
    <x v="0"/>
    <m/>
    <m/>
    <n v="138.6"/>
  </r>
  <r>
    <s v="EU27"/>
    <x v="11"/>
    <n v="2023"/>
    <x v="25"/>
    <x v="0"/>
    <x v="2"/>
    <m/>
    <m/>
    <n v="119129.3790795251"/>
  </r>
  <r>
    <s v="EU27"/>
    <x v="11"/>
    <n v="2023"/>
    <x v="25"/>
    <x v="1"/>
    <x v="0"/>
    <m/>
    <m/>
    <n v="138.6"/>
  </r>
  <r>
    <s v="EU27"/>
    <x v="11"/>
    <n v="2023"/>
    <x v="25"/>
    <x v="1"/>
    <x v="2"/>
    <m/>
    <m/>
    <n v="124862.62947833911"/>
  </r>
  <r>
    <s v="EU27"/>
    <x v="11"/>
    <n v="2023"/>
    <x v="25"/>
    <x v="2"/>
    <x v="2"/>
    <m/>
    <m/>
    <n v="1123.8009"/>
  </r>
  <r>
    <s v="EU27"/>
    <x v="11"/>
    <n v="2023"/>
    <x v="26"/>
    <x v="0"/>
    <x v="0"/>
    <m/>
    <m/>
    <n v="714.1"/>
  </r>
  <r>
    <s v="EU27"/>
    <x v="11"/>
    <n v="2023"/>
    <x v="26"/>
    <x v="0"/>
    <x v="2"/>
    <m/>
    <m/>
    <n v="138035.30083605839"/>
  </r>
  <r>
    <s v="EU27"/>
    <x v="11"/>
    <n v="2023"/>
    <x v="26"/>
    <x v="1"/>
    <x v="0"/>
    <m/>
    <m/>
    <n v="714.1"/>
  </r>
  <r>
    <s v="EU27"/>
    <x v="11"/>
    <n v="2023"/>
    <x v="26"/>
    <x v="1"/>
    <x v="2"/>
    <m/>
    <m/>
    <n v="140161.9442898609"/>
  </r>
  <r>
    <s v="EU27"/>
    <x v="11"/>
    <n v="2023"/>
    <x v="26"/>
    <x v="2"/>
    <x v="2"/>
    <m/>
    <m/>
    <n v="829.4"/>
  </r>
  <r>
    <s v="EU27"/>
    <x v="11"/>
    <n v="2023"/>
    <x v="27"/>
    <x v="0"/>
    <x v="0"/>
    <m/>
    <m/>
    <n v="722.13337999999999"/>
  </r>
  <r>
    <s v="EU27"/>
    <x v="11"/>
    <n v="2023"/>
    <x v="27"/>
    <x v="0"/>
    <x v="2"/>
    <m/>
    <m/>
    <n v="866.03337999999997"/>
  </r>
  <r>
    <s v="EU27"/>
    <x v="11"/>
    <n v="2023"/>
    <x v="27"/>
    <x v="1"/>
    <x v="0"/>
    <m/>
    <m/>
    <n v="723.13760000000002"/>
  </r>
  <r>
    <s v="EU27"/>
    <x v="11"/>
    <n v="2023"/>
    <x v="27"/>
    <x v="1"/>
    <x v="2"/>
    <m/>
    <m/>
    <n v="867.0376"/>
  </r>
  <r>
    <s v="EU27"/>
    <x v="11"/>
    <n v="2023"/>
    <x v="28"/>
    <x v="0"/>
    <x v="0"/>
    <m/>
    <m/>
    <n v="1640383.4484518541"/>
  </r>
  <r>
    <s v="EU27"/>
    <x v="11"/>
    <n v="2023"/>
    <x v="28"/>
    <x v="0"/>
    <x v="1"/>
    <m/>
    <m/>
    <n v="773527.15135172987"/>
  </r>
  <r>
    <s v="EU27"/>
    <x v="11"/>
    <n v="2023"/>
    <x v="28"/>
    <x v="0"/>
    <x v="2"/>
    <m/>
    <m/>
    <n v="2430522.410356388"/>
  </r>
  <r>
    <s v="EU27"/>
    <x v="11"/>
    <n v="2023"/>
    <x v="28"/>
    <x v="1"/>
    <x v="0"/>
    <m/>
    <m/>
    <n v="1786906.1891898529"/>
  </r>
  <r>
    <s v="EU27"/>
    <x v="11"/>
    <n v="2023"/>
    <x v="28"/>
    <x v="1"/>
    <x v="1"/>
    <m/>
    <m/>
    <n v="870336.52735053468"/>
  </r>
  <r>
    <s v="EU27"/>
    <x v="11"/>
    <n v="2023"/>
    <x v="28"/>
    <x v="1"/>
    <x v="2"/>
    <m/>
    <m/>
    <n v="2675118.2006621882"/>
  </r>
  <r>
    <s v="EU27"/>
    <x v="11"/>
    <n v="2023"/>
    <x v="28"/>
    <x v="2"/>
    <x v="0"/>
    <m/>
    <m/>
    <n v="16054.639789999999"/>
  </r>
  <r>
    <s v="EU27"/>
    <x v="11"/>
    <n v="2023"/>
    <x v="28"/>
    <x v="2"/>
    <x v="1"/>
    <m/>
    <m/>
    <n v="9276.6131100000002"/>
  </r>
  <r>
    <s v="EU27"/>
    <x v="11"/>
    <n v="2023"/>
    <x v="28"/>
    <x v="2"/>
    <x v="2"/>
    <m/>
    <m/>
    <n v="200383.84998999999"/>
  </r>
  <r>
    <s v="EU27"/>
    <x v="11"/>
    <n v="2023"/>
    <x v="29"/>
    <x v="0"/>
    <x v="0"/>
    <m/>
    <m/>
    <n v="1640383.5484518539"/>
  </r>
  <r>
    <s v="EU27"/>
    <x v="11"/>
    <n v="2023"/>
    <x v="29"/>
    <x v="0"/>
    <x v="1"/>
    <m/>
    <m/>
    <n v="773527.15135172987"/>
  </r>
  <r>
    <s v="EU27"/>
    <x v="11"/>
    <n v="2023"/>
    <x v="29"/>
    <x v="0"/>
    <x v="2"/>
    <m/>
    <m/>
    <n v="2170466.7754894951"/>
  </r>
  <r>
    <s v="EU27"/>
    <x v="11"/>
    <n v="2023"/>
    <x v="29"/>
    <x v="1"/>
    <x v="0"/>
    <m/>
    <m/>
    <n v="1786906.289189853"/>
  </r>
  <r>
    <s v="EU27"/>
    <x v="11"/>
    <n v="2023"/>
    <x v="29"/>
    <x v="1"/>
    <x v="1"/>
    <m/>
    <m/>
    <n v="870336.52735053468"/>
  </r>
  <r>
    <s v="EU27"/>
    <x v="11"/>
    <n v="2023"/>
    <x v="29"/>
    <x v="1"/>
    <x v="2"/>
    <m/>
    <m/>
    <n v="2437538.4033764149"/>
  </r>
  <r>
    <s v="EU27"/>
    <x v="11"/>
    <n v="2023"/>
    <x v="29"/>
    <x v="2"/>
    <x v="0"/>
    <m/>
    <m/>
    <n v="16054.639789999999"/>
  </r>
  <r>
    <s v="EU27"/>
    <x v="11"/>
    <n v="2023"/>
    <x v="29"/>
    <x v="2"/>
    <x v="1"/>
    <m/>
    <m/>
    <n v="9276.6131100000002"/>
  </r>
  <r>
    <s v="EU27"/>
    <x v="11"/>
    <n v="2023"/>
    <x v="29"/>
    <x v="2"/>
    <x v="2"/>
    <m/>
    <m/>
    <n v="182865.86973999999"/>
  </r>
  <r>
    <s v="EU27"/>
    <x v="12"/>
    <n v="2023"/>
    <x v="0"/>
    <x v="0"/>
    <x v="0"/>
    <m/>
    <m/>
    <n v="1105855.862206093"/>
  </r>
  <r>
    <s v="EU27"/>
    <x v="12"/>
    <n v="2023"/>
    <x v="0"/>
    <x v="0"/>
    <x v="1"/>
    <m/>
    <m/>
    <n v="558802.54417825339"/>
  </r>
  <r>
    <s v="EU27"/>
    <x v="12"/>
    <n v="2023"/>
    <x v="0"/>
    <x v="0"/>
    <x v="2"/>
    <m/>
    <m/>
    <n v="1681447.4882206609"/>
  </r>
  <r>
    <s v="EU27"/>
    <x v="12"/>
    <n v="2023"/>
    <x v="0"/>
    <x v="1"/>
    <x v="0"/>
    <m/>
    <m/>
    <n v="1241445.9489868099"/>
  </r>
  <r>
    <s v="EU27"/>
    <x v="12"/>
    <n v="2023"/>
    <x v="0"/>
    <x v="1"/>
    <x v="1"/>
    <m/>
    <m/>
    <n v="647688.58847491734"/>
  </r>
  <r>
    <s v="EU27"/>
    <x v="12"/>
    <n v="2023"/>
    <x v="0"/>
    <x v="1"/>
    <x v="2"/>
    <m/>
    <m/>
    <n v="1907316.0541839451"/>
  </r>
  <r>
    <s v="EU27"/>
    <x v="12"/>
    <n v="2023"/>
    <x v="0"/>
    <x v="2"/>
    <x v="0"/>
    <m/>
    <m/>
    <n v="11366.161760000001"/>
  </r>
  <r>
    <s v="EU27"/>
    <x v="12"/>
    <n v="2023"/>
    <x v="0"/>
    <x v="2"/>
    <x v="1"/>
    <m/>
    <m/>
    <n v="8544.813110000001"/>
  </r>
  <r>
    <s v="EU27"/>
    <x v="12"/>
    <n v="2023"/>
    <x v="0"/>
    <x v="2"/>
    <x v="2"/>
    <m/>
    <m/>
    <n v="143713.76991"/>
  </r>
  <r>
    <s v="EU27"/>
    <x v="12"/>
    <n v="2023"/>
    <x v="1"/>
    <x v="0"/>
    <x v="0"/>
    <m/>
    <m/>
    <n v="45003.45634458329"/>
  </r>
  <r>
    <s v="EU27"/>
    <x v="12"/>
    <n v="2023"/>
    <x v="1"/>
    <x v="0"/>
    <x v="1"/>
    <m/>
    <m/>
    <n v="337052.16199873789"/>
  </r>
  <r>
    <s v="EU27"/>
    <x v="12"/>
    <n v="2023"/>
    <x v="1"/>
    <x v="0"/>
    <x v="2"/>
    <m/>
    <m/>
    <n v="382055.53847783362"/>
  </r>
  <r>
    <s v="EU27"/>
    <x v="12"/>
    <n v="2023"/>
    <x v="1"/>
    <x v="1"/>
    <x v="0"/>
    <m/>
    <m/>
    <n v="51540.13151400115"/>
  </r>
  <r>
    <s v="EU27"/>
    <x v="12"/>
    <n v="2023"/>
    <x v="1"/>
    <x v="1"/>
    <x v="1"/>
    <m/>
    <m/>
    <n v="399738.29203629948"/>
  </r>
  <r>
    <s v="EU27"/>
    <x v="12"/>
    <n v="2023"/>
    <x v="1"/>
    <x v="1"/>
    <x v="2"/>
    <m/>
    <m/>
    <n v="451278.36355080007"/>
  </r>
  <r>
    <s v="EU27"/>
    <x v="12"/>
    <n v="2023"/>
    <x v="1"/>
    <x v="2"/>
    <x v="0"/>
    <m/>
    <m/>
    <n v="90.093060000000008"/>
  </r>
  <r>
    <s v="EU27"/>
    <x v="12"/>
    <n v="2023"/>
    <x v="1"/>
    <x v="2"/>
    <x v="1"/>
    <m/>
    <m/>
    <n v="7073.0131099999999"/>
  </r>
  <r>
    <s v="EU27"/>
    <x v="12"/>
    <n v="2023"/>
    <x v="1"/>
    <x v="2"/>
    <x v="2"/>
    <m/>
    <m/>
    <n v="48136.606169999999"/>
  </r>
  <r>
    <s v="EU27"/>
    <x v="12"/>
    <n v="2023"/>
    <x v="2"/>
    <x v="0"/>
    <x v="0"/>
    <m/>
    <m/>
    <n v="99955.700172258832"/>
  </r>
  <r>
    <s v="EU27"/>
    <x v="12"/>
    <n v="2023"/>
    <x v="2"/>
    <x v="0"/>
    <x v="1"/>
    <m/>
    <m/>
    <n v="203091.64611166189"/>
  </r>
  <r>
    <s v="EU27"/>
    <x v="12"/>
    <n v="2023"/>
    <x v="2"/>
    <x v="0"/>
    <x v="2"/>
    <m/>
    <m/>
    <n v="303047.50629394251"/>
  </r>
  <r>
    <s v="EU27"/>
    <x v="12"/>
    <n v="2023"/>
    <x v="2"/>
    <x v="1"/>
    <x v="0"/>
    <m/>
    <m/>
    <n v="104969.836438775"/>
  </r>
  <r>
    <s v="EU27"/>
    <x v="12"/>
    <n v="2023"/>
    <x v="2"/>
    <x v="1"/>
    <x v="1"/>
    <m/>
    <m/>
    <n v="227616.42998265411"/>
  </r>
  <r>
    <s v="EU27"/>
    <x v="12"/>
    <n v="2023"/>
    <x v="2"/>
    <x v="1"/>
    <x v="2"/>
    <m/>
    <m/>
    <n v="332586.42643134849"/>
  </r>
  <r>
    <s v="EU27"/>
    <x v="12"/>
    <n v="2023"/>
    <x v="2"/>
    <x v="2"/>
    <x v="0"/>
    <m/>
    <m/>
    <n v="1041.14114"/>
  </r>
  <r>
    <s v="EU27"/>
    <x v="12"/>
    <n v="2023"/>
    <x v="2"/>
    <x v="2"/>
    <x v="1"/>
    <m/>
    <m/>
    <n v="1401.9"/>
  </r>
  <r>
    <s v="EU27"/>
    <x v="12"/>
    <n v="2023"/>
    <x v="2"/>
    <x v="2"/>
    <x v="2"/>
    <m/>
    <m/>
    <n v="20148.741139999998"/>
  </r>
  <r>
    <s v="EU27"/>
    <x v="12"/>
    <n v="2023"/>
    <x v="3"/>
    <x v="0"/>
    <x v="0"/>
    <m/>
    <m/>
    <n v="565105.90261159558"/>
  </r>
  <r>
    <s v="EU27"/>
    <x v="12"/>
    <n v="2023"/>
    <x v="3"/>
    <x v="0"/>
    <x v="1"/>
    <m/>
    <m/>
    <n v="3501.016688013412"/>
  </r>
  <r>
    <s v="EU27"/>
    <x v="12"/>
    <n v="2023"/>
    <x v="3"/>
    <x v="0"/>
    <x v="2"/>
    <m/>
    <m/>
    <n v="585395.86099027947"/>
  </r>
  <r>
    <s v="EU27"/>
    <x v="12"/>
    <n v="2023"/>
    <x v="3"/>
    <x v="1"/>
    <x v="0"/>
    <m/>
    <m/>
    <n v="635928.67137748573"/>
  </r>
  <r>
    <s v="EU27"/>
    <x v="12"/>
    <n v="2023"/>
    <x v="3"/>
    <x v="1"/>
    <x v="1"/>
    <m/>
    <m/>
    <n v="3692.4378378959759"/>
  </r>
  <r>
    <s v="EU27"/>
    <x v="12"/>
    <n v="2023"/>
    <x v="3"/>
    <x v="1"/>
    <x v="2"/>
    <m/>
    <m/>
    <n v="657802.56589718116"/>
  </r>
  <r>
    <s v="EU27"/>
    <x v="12"/>
    <n v="2023"/>
    <x v="3"/>
    <x v="2"/>
    <x v="0"/>
    <m/>
    <m/>
    <n v="8291.0815000000002"/>
  </r>
  <r>
    <s v="EU27"/>
    <x v="12"/>
    <n v="2023"/>
    <x v="3"/>
    <x v="2"/>
    <x v="1"/>
    <m/>
    <m/>
    <n v="0"/>
  </r>
  <r>
    <s v="EU27"/>
    <x v="12"/>
    <n v="2023"/>
    <x v="3"/>
    <x v="2"/>
    <x v="2"/>
    <m/>
    <m/>
    <n v="37529.476540000003"/>
  </r>
  <r>
    <s v="EU27"/>
    <x v="12"/>
    <n v="2023"/>
    <x v="4"/>
    <x v="0"/>
    <x v="0"/>
    <m/>
    <m/>
    <n v="148.15793218844959"/>
  </r>
  <r>
    <s v="EU27"/>
    <x v="12"/>
    <n v="2023"/>
    <x v="4"/>
    <x v="0"/>
    <x v="1"/>
    <m/>
    <m/>
    <n v="0"/>
  </r>
  <r>
    <s v="EU27"/>
    <x v="12"/>
    <n v="2023"/>
    <x v="4"/>
    <x v="0"/>
    <x v="2"/>
    <m/>
    <m/>
    <n v="16926.066839706618"/>
  </r>
  <r>
    <s v="EU27"/>
    <x v="12"/>
    <n v="2023"/>
    <x v="4"/>
    <x v="1"/>
    <x v="0"/>
    <m/>
    <m/>
    <n v="157.86547451262231"/>
  </r>
  <r>
    <s v="EU27"/>
    <x v="12"/>
    <n v="2023"/>
    <x v="4"/>
    <x v="1"/>
    <x v="1"/>
    <m/>
    <m/>
    <n v="0"/>
  </r>
  <r>
    <s v="EU27"/>
    <x v="12"/>
    <n v="2023"/>
    <x v="4"/>
    <x v="1"/>
    <x v="2"/>
    <m/>
    <m/>
    <n v="18337.776109215749"/>
  </r>
  <r>
    <s v="EU27"/>
    <x v="12"/>
    <n v="2023"/>
    <x v="4"/>
    <x v="2"/>
    <x v="0"/>
    <m/>
    <m/>
    <n v="1.294E-2"/>
  </r>
  <r>
    <s v="EU27"/>
    <x v="12"/>
    <n v="2023"/>
    <x v="4"/>
    <x v="2"/>
    <x v="2"/>
    <m/>
    <m/>
    <n v="437.70799"/>
  </r>
  <r>
    <s v="EU27"/>
    <x v="12"/>
    <n v="2023"/>
    <x v="5"/>
    <x v="0"/>
    <x v="0"/>
    <m/>
    <m/>
    <n v="542878.85085697612"/>
  </r>
  <r>
    <s v="EU27"/>
    <x v="12"/>
    <n v="2023"/>
    <x v="5"/>
    <x v="0"/>
    <x v="1"/>
    <m/>
    <m/>
    <n v="0"/>
  </r>
  <r>
    <s v="EU27"/>
    <x v="12"/>
    <n v="2023"/>
    <x v="5"/>
    <x v="0"/>
    <x v="2"/>
    <m/>
    <m/>
    <n v="542878.85085697612"/>
  </r>
  <r>
    <s v="EU27"/>
    <x v="12"/>
    <n v="2023"/>
    <x v="5"/>
    <x v="1"/>
    <x v="0"/>
    <m/>
    <m/>
    <n v="612552.44779747468"/>
  </r>
  <r>
    <s v="EU27"/>
    <x v="12"/>
    <n v="2023"/>
    <x v="5"/>
    <x v="1"/>
    <x v="1"/>
    <m/>
    <m/>
    <n v="0"/>
  </r>
  <r>
    <s v="EU27"/>
    <x v="12"/>
    <n v="2023"/>
    <x v="5"/>
    <x v="1"/>
    <x v="2"/>
    <m/>
    <m/>
    <n v="612552.44779747468"/>
  </r>
  <r>
    <s v="EU27"/>
    <x v="12"/>
    <n v="2023"/>
    <x v="5"/>
    <x v="2"/>
    <x v="0"/>
    <m/>
    <m/>
    <n v="8196.8229300000003"/>
  </r>
  <r>
    <s v="EU27"/>
    <x v="12"/>
    <n v="2023"/>
    <x v="5"/>
    <x v="2"/>
    <x v="2"/>
    <m/>
    <m/>
    <n v="35392.622929999998"/>
  </r>
  <r>
    <s v="EU27"/>
    <x v="12"/>
    <n v="2023"/>
    <x v="6"/>
    <x v="0"/>
    <x v="0"/>
    <m/>
    <m/>
    <n v="3411.7146918606891"/>
  </r>
  <r>
    <s v="EU27"/>
    <x v="12"/>
    <n v="2023"/>
    <x v="6"/>
    <x v="0"/>
    <x v="1"/>
    <m/>
    <m/>
    <n v="0"/>
  </r>
  <r>
    <s v="EU27"/>
    <x v="12"/>
    <n v="2023"/>
    <x v="6"/>
    <x v="0"/>
    <x v="2"/>
    <m/>
    <m/>
    <n v="3411.7146918606891"/>
  </r>
  <r>
    <s v="EU27"/>
    <x v="12"/>
    <n v="2023"/>
    <x v="6"/>
    <x v="1"/>
    <x v="0"/>
    <m/>
    <m/>
    <n v="4071.6472778187772"/>
  </r>
  <r>
    <s v="EU27"/>
    <x v="12"/>
    <n v="2023"/>
    <x v="6"/>
    <x v="1"/>
    <x v="1"/>
    <m/>
    <m/>
    <n v="0"/>
  </r>
  <r>
    <s v="EU27"/>
    <x v="12"/>
    <n v="2023"/>
    <x v="6"/>
    <x v="1"/>
    <x v="2"/>
    <m/>
    <m/>
    <n v="4071.6472778187772"/>
  </r>
  <r>
    <s v="EU27"/>
    <x v="12"/>
    <n v="2023"/>
    <x v="6"/>
    <x v="2"/>
    <x v="0"/>
    <m/>
    <m/>
    <n v="37"/>
  </r>
  <r>
    <s v="EU27"/>
    <x v="12"/>
    <n v="2023"/>
    <x v="6"/>
    <x v="2"/>
    <x v="2"/>
    <m/>
    <m/>
    <n v="1084.4000000000001"/>
  </r>
  <r>
    <s v="EU27"/>
    <x v="12"/>
    <n v="2023"/>
    <x v="7"/>
    <x v="0"/>
    <x v="0"/>
    <m/>
    <m/>
    <n v="17411.338672852151"/>
  </r>
  <r>
    <s v="EU27"/>
    <x v="12"/>
    <n v="2023"/>
    <x v="7"/>
    <x v="0"/>
    <x v="1"/>
    <m/>
    <m/>
    <n v="0"/>
  </r>
  <r>
    <s v="EU27"/>
    <x v="12"/>
    <n v="2023"/>
    <x v="7"/>
    <x v="0"/>
    <x v="2"/>
    <m/>
    <m/>
    <n v="17411.338512852151"/>
  </r>
  <r>
    <s v="EU27"/>
    <x v="12"/>
    <n v="2023"/>
    <x v="7"/>
    <x v="1"/>
    <x v="0"/>
    <m/>
    <m/>
    <n v="17674.011485797851"/>
  </r>
  <r>
    <s v="EU27"/>
    <x v="12"/>
    <n v="2023"/>
    <x v="7"/>
    <x v="1"/>
    <x v="1"/>
    <m/>
    <m/>
    <n v="0"/>
  </r>
  <r>
    <s v="EU27"/>
    <x v="12"/>
    <n v="2023"/>
    <x v="7"/>
    <x v="1"/>
    <x v="2"/>
    <m/>
    <m/>
    <n v="17674.011325797848"/>
  </r>
  <r>
    <s v="EU27"/>
    <x v="12"/>
    <n v="2023"/>
    <x v="7"/>
    <x v="2"/>
    <x v="0"/>
    <m/>
    <m/>
    <n v="49.945630000000001"/>
  </r>
  <r>
    <s v="EU27"/>
    <x v="12"/>
    <n v="2023"/>
    <x v="7"/>
    <x v="2"/>
    <x v="2"/>
    <m/>
    <m/>
    <n v="346.44562999999999"/>
  </r>
  <r>
    <s v="EU27"/>
    <x v="12"/>
    <n v="2023"/>
    <x v="8"/>
    <x v="0"/>
    <x v="0"/>
    <m/>
    <m/>
    <n v="1254.532867718124"/>
  </r>
  <r>
    <s v="EU27"/>
    <x v="12"/>
    <n v="2023"/>
    <x v="8"/>
    <x v="0"/>
    <x v="1"/>
    <m/>
    <m/>
    <n v="3512.6339511657411"/>
  </r>
  <r>
    <s v="EU27"/>
    <x v="12"/>
    <n v="2023"/>
    <x v="8"/>
    <x v="0"/>
    <x v="2"/>
    <m/>
    <m/>
    <n v="4767.1668088838651"/>
  </r>
  <r>
    <s v="EU27"/>
    <x v="12"/>
    <n v="2023"/>
    <x v="8"/>
    <x v="1"/>
    <x v="0"/>
    <m/>
    <m/>
    <n v="1471.4952258818971"/>
  </r>
  <r>
    <s v="EU27"/>
    <x v="12"/>
    <n v="2023"/>
    <x v="8"/>
    <x v="1"/>
    <x v="1"/>
    <m/>
    <m/>
    <n v="3694.2448909922518"/>
  </r>
  <r>
    <s v="EU27"/>
    <x v="12"/>
    <n v="2023"/>
    <x v="8"/>
    <x v="1"/>
    <x v="2"/>
    <m/>
    <m/>
    <n v="5165.740116874149"/>
  </r>
  <r>
    <s v="EU27"/>
    <x v="12"/>
    <n v="2023"/>
    <x v="8"/>
    <x v="2"/>
    <x v="0"/>
    <m/>
    <m/>
    <n v="7.2"/>
  </r>
  <r>
    <s v="EU27"/>
    <x v="12"/>
    <n v="2023"/>
    <x v="8"/>
    <x v="2"/>
    <x v="2"/>
    <m/>
    <m/>
    <n v="268.3"/>
  </r>
  <r>
    <s v="EU27"/>
    <x v="12"/>
    <n v="2023"/>
    <x v="9"/>
    <x v="0"/>
    <x v="0"/>
    <m/>
    <m/>
    <n v="340709.16978904582"/>
  </r>
  <r>
    <s v="EU27"/>
    <x v="12"/>
    <n v="2023"/>
    <x v="9"/>
    <x v="0"/>
    <x v="1"/>
    <m/>
    <m/>
    <n v="1528.6262485043969"/>
  </r>
  <r>
    <s v="EU27"/>
    <x v="12"/>
    <n v="2023"/>
    <x v="9"/>
    <x v="0"/>
    <x v="2"/>
    <m/>
    <m/>
    <n v="342238.03602866078"/>
  </r>
  <r>
    <s v="EU27"/>
    <x v="12"/>
    <n v="2023"/>
    <x v="9"/>
    <x v="1"/>
    <x v="0"/>
    <m/>
    <m/>
    <n v="391637.22314471292"/>
  </r>
  <r>
    <s v="EU27"/>
    <x v="12"/>
    <n v="2023"/>
    <x v="9"/>
    <x v="1"/>
    <x v="1"/>
    <m/>
    <m/>
    <n v="1652.404919902697"/>
  </r>
  <r>
    <s v="EU27"/>
    <x v="12"/>
    <n v="2023"/>
    <x v="9"/>
    <x v="1"/>
    <x v="2"/>
    <m/>
    <m/>
    <n v="393289.92806461558"/>
  </r>
  <r>
    <s v="EU27"/>
    <x v="12"/>
    <n v="2023"/>
    <x v="9"/>
    <x v="2"/>
    <x v="0"/>
    <m/>
    <m/>
    <n v="1510.44606"/>
  </r>
  <r>
    <s v="EU27"/>
    <x v="12"/>
    <n v="2023"/>
    <x v="9"/>
    <x v="2"/>
    <x v="2"/>
    <m/>
    <m/>
    <n v="17977.746060000001"/>
  </r>
  <r>
    <s v="EU27"/>
    <x v="12"/>
    <n v="2023"/>
    <x v="10"/>
    <x v="0"/>
    <x v="0"/>
    <m/>
    <m/>
    <n v="3581.6391199999998"/>
  </r>
  <r>
    <s v="EU27"/>
    <x v="12"/>
    <n v="2023"/>
    <x v="10"/>
    <x v="0"/>
    <x v="1"/>
    <m/>
    <m/>
    <n v="0"/>
  </r>
  <r>
    <s v="EU27"/>
    <x v="12"/>
    <n v="2023"/>
    <x v="10"/>
    <x v="0"/>
    <x v="2"/>
    <m/>
    <m/>
    <n v="3581.6391199999998"/>
  </r>
  <r>
    <s v="EU27"/>
    <x v="12"/>
    <n v="2023"/>
    <x v="10"/>
    <x v="1"/>
    <x v="0"/>
    <m/>
    <m/>
    <n v="3581.9038"/>
  </r>
  <r>
    <s v="EU27"/>
    <x v="12"/>
    <n v="2023"/>
    <x v="10"/>
    <x v="1"/>
    <x v="1"/>
    <m/>
    <m/>
    <n v="0"/>
  </r>
  <r>
    <s v="EU27"/>
    <x v="12"/>
    <n v="2023"/>
    <x v="10"/>
    <x v="1"/>
    <x v="2"/>
    <m/>
    <m/>
    <n v="3581.9038"/>
  </r>
  <r>
    <s v="EU27"/>
    <x v="12"/>
    <n v="2023"/>
    <x v="10"/>
    <x v="2"/>
    <x v="0"/>
    <m/>
    <m/>
    <n v="4.0999999999999996"/>
  </r>
  <r>
    <s v="EU27"/>
    <x v="12"/>
    <n v="2023"/>
    <x v="10"/>
    <x v="2"/>
    <x v="2"/>
    <m/>
    <m/>
    <n v="1246.2"/>
  </r>
  <r>
    <s v="EU27"/>
    <x v="12"/>
    <n v="2023"/>
    <x v="11"/>
    <x v="0"/>
    <x v="0"/>
    <m/>
    <m/>
    <n v="51561.034178609203"/>
  </r>
  <r>
    <s v="EU27"/>
    <x v="12"/>
    <n v="2023"/>
    <x v="11"/>
    <x v="0"/>
    <x v="1"/>
    <m/>
    <m/>
    <n v="13628.7531213358"/>
  </r>
  <r>
    <s v="EU27"/>
    <x v="12"/>
    <n v="2023"/>
    <x v="11"/>
    <x v="0"/>
    <x v="2"/>
    <m/>
    <m/>
    <n v="65189.827309944987"/>
  </r>
  <r>
    <s v="EU27"/>
    <x v="12"/>
    <n v="2023"/>
    <x v="11"/>
    <x v="1"/>
    <x v="0"/>
    <m/>
    <m/>
    <n v="53849.302721835033"/>
  </r>
  <r>
    <s v="EU27"/>
    <x v="12"/>
    <n v="2023"/>
    <x v="11"/>
    <x v="1"/>
    <x v="1"/>
    <m/>
    <m/>
    <n v="14988.863688164971"/>
  </r>
  <r>
    <s v="EU27"/>
    <x v="12"/>
    <n v="2023"/>
    <x v="11"/>
    <x v="1"/>
    <x v="2"/>
    <m/>
    <m/>
    <n v="68838.166419999994"/>
  </r>
  <r>
    <s v="EU27"/>
    <x v="12"/>
    <n v="2023"/>
    <x v="11"/>
    <x v="2"/>
    <x v="0"/>
    <m/>
    <m/>
    <n v="429.4"/>
  </r>
  <r>
    <s v="EU27"/>
    <x v="12"/>
    <n v="2023"/>
    <x v="11"/>
    <x v="2"/>
    <x v="1"/>
    <m/>
    <m/>
    <n v="69.900000000000006"/>
  </r>
  <r>
    <s v="EU27"/>
    <x v="12"/>
    <n v="2023"/>
    <x v="11"/>
    <x v="2"/>
    <x v="2"/>
    <m/>
    <m/>
    <n v="18675.099999999999"/>
  </r>
  <r>
    <s v="EU27"/>
    <x v="12"/>
    <n v="2023"/>
    <x v="12"/>
    <x v="0"/>
    <x v="0"/>
    <m/>
    <m/>
    <n v="0"/>
  </r>
  <r>
    <s v="EU27"/>
    <x v="12"/>
    <n v="2023"/>
    <x v="12"/>
    <x v="0"/>
    <x v="1"/>
    <m/>
    <m/>
    <n v="0"/>
  </r>
  <r>
    <s v="EU27"/>
    <x v="12"/>
    <n v="2023"/>
    <x v="12"/>
    <x v="0"/>
    <x v="2"/>
    <m/>
    <m/>
    <n v="0"/>
  </r>
  <r>
    <s v="EU27"/>
    <x v="12"/>
    <n v="2023"/>
    <x v="12"/>
    <x v="1"/>
    <x v="0"/>
    <m/>
    <m/>
    <n v="0"/>
  </r>
  <r>
    <s v="EU27"/>
    <x v="12"/>
    <n v="2023"/>
    <x v="12"/>
    <x v="1"/>
    <x v="1"/>
    <m/>
    <m/>
    <n v="0"/>
  </r>
  <r>
    <s v="EU27"/>
    <x v="12"/>
    <n v="2023"/>
    <x v="12"/>
    <x v="1"/>
    <x v="2"/>
    <m/>
    <m/>
    <n v="0"/>
  </r>
  <r>
    <s v="EU27"/>
    <x v="12"/>
    <n v="2023"/>
    <x v="13"/>
    <x v="0"/>
    <x v="0"/>
    <m/>
    <m/>
    <n v="55868.599920076522"/>
  </r>
  <r>
    <s v="EU27"/>
    <x v="12"/>
    <n v="2023"/>
    <x v="13"/>
    <x v="0"/>
    <x v="1"/>
    <m/>
    <m/>
    <n v="186491.56458728921"/>
  </r>
  <r>
    <s v="EU27"/>
    <x v="12"/>
    <n v="2023"/>
    <x v="13"/>
    <x v="0"/>
    <x v="2"/>
    <m/>
    <m/>
    <n v="242100.1155920637"/>
  </r>
  <r>
    <s v="EU27"/>
    <x v="12"/>
    <n v="2023"/>
    <x v="13"/>
    <x v="1"/>
    <x v="0"/>
    <m/>
    <m/>
    <n v="58243.241884700772"/>
  </r>
  <r>
    <s v="EU27"/>
    <x v="12"/>
    <n v="2023"/>
    <x v="13"/>
    <x v="1"/>
    <x v="1"/>
    <m/>
    <m/>
    <n v="196503.79926980991"/>
  </r>
  <r>
    <s v="EU27"/>
    <x v="12"/>
    <n v="2023"/>
    <x v="13"/>
    <x v="1"/>
    <x v="2"/>
    <m/>
    <m/>
    <n v="254488.19332951409"/>
  </r>
  <r>
    <s v="EU27"/>
    <x v="12"/>
    <n v="2023"/>
    <x v="13"/>
    <x v="2"/>
    <x v="0"/>
    <m/>
    <m/>
    <n v="1118.49945"/>
  </r>
  <r>
    <s v="EU27"/>
    <x v="12"/>
    <n v="2023"/>
    <x v="13"/>
    <x v="2"/>
    <x v="1"/>
    <m/>
    <m/>
    <n v="742.9"/>
  </r>
  <r>
    <s v="EU27"/>
    <x v="12"/>
    <n v="2023"/>
    <x v="13"/>
    <x v="2"/>
    <x v="2"/>
    <m/>
    <m/>
    <n v="16431.099450000002"/>
  </r>
  <r>
    <s v="EU27"/>
    <x v="12"/>
    <n v="2023"/>
    <x v="14"/>
    <x v="0"/>
    <x v="0"/>
    <m/>
    <m/>
    <n v="355246.04335152038"/>
  </r>
  <r>
    <s v="EU27"/>
    <x v="12"/>
    <n v="2023"/>
    <x v="14"/>
    <x v="0"/>
    <x v="2"/>
    <m/>
    <m/>
    <n v="355246.04335152038"/>
  </r>
  <r>
    <s v="EU27"/>
    <x v="12"/>
    <n v="2023"/>
    <x v="14"/>
    <x v="1"/>
    <x v="0"/>
    <m/>
    <m/>
    <n v="370647.40866783092"/>
  </r>
  <r>
    <s v="EU27"/>
    <x v="12"/>
    <n v="2023"/>
    <x v="14"/>
    <x v="1"/>
    <x v="2"/>
    <m/>
    <m/>
    <n v="370647.40866783092"/>
  </r>
  <r>
    <s v="EU27"/>
    <x v="12"/>
    <n v="2023"/>
    <x v="14"/>
    <x v="2"/>
    <x v="0"/>
    <m/>
    <m/>
    <n v="2048.8363199999999"/>
  </r>
  <r>
    <s v="EU27"/>
    <x v="12"/>
    <n v="2023"/>
    <x v="14"/>
    <x v="2"/>
    <x v="2"/>
    <m/>
    <m/>
    <n v="31745.036319999999"/>
  </r>
  <r>
    <s v="EU27"/>
    <x v="12"/>
    <n v="2023"/>
    <x v="15"/>
    <x v="0"/>
    <x v="2"/>
    <m/>
    <m/>
    <n v="-259325.364639181"/>
  </r>
  <r>
    <s v="EU27"/>
    <x v="12"/>
    <n v="2023"/>
    <x v="15"/>
    <x v="1"/>
    <x v="2"/>
    <m/>
    <m/>
    <n v="-233341.2407995378"/>
  </r>
  <r>
    <s v="EU27"/>
    <x v="12"/>
    <n v="2023"/>
    <x v="15"/>
    <x v="2"/>
    <x v="2"/>
    <m/>
    <m/>
    <n v="-17287.35269"/>
  </r>
  <r>
    <s v="EU27"/>
    <x v="12"/>
    <n v="2023"/>
    <x v="16"/>
    <x v="0"/>
    <x v="2"/>
    <m/>
    <m/>
    <n v="-315634.29725976847"/>
  </r>
  <r>
    <s v="EU27"/>
    <x v="12"/>
    <n v="2023"/>
    <x v="16"/>
    <x v="1"/>
    <x v="2"/>
    <m/>
    <m/>
    <n v="-298642.99378141639"/>
  </r>
  <r>
    <s v="EU27"/>
    <x v="12"/>
    <n v="2023"/>
    <x v="16"/>
    <x v="2"/>
    <x v="2"/>
    <m/>
    <m/>
    <n v="-19377.761630000001"/>
  </r>
  <r>
    <s v="EU27"/>
    <x v="12"/>
    <n v="2023"/>
    <x v="17"/>
    <x v="0"/>
    <x v="2"/>
    <m/>
    <m/>
    <n v="28903.188492880319"/>
  </r>
  <r>
    <s v="EU27"/>
    <x v="12"/>
    <n v="2023"/>
    <x v="17"/>
    <x v="1"/>
    <x v="2"/>
    <m/>
    <m/>
    <n v="34358.171724632091"/>
  </r>
  <r>
    <s v="EU27"/>
    <x v="12"/>
    <n v="2023"/>
    <x v="17"/>
    <x v="2"/>
    <x v="2"/>
    <m/>
    <m/>
    <n v="-2306.2166200000001"/>
  </r>
  <r>
    <s v="EU27"/>
    <x v="12"/>
    <n v="2023"/>
    <x v="18"/>
    <x v="0"/>
    <x v="2"/>
    <m/>
    <m/>
    <n v="15626.06191443165"/>
  </r>
  <r>
    <s v="EU27"/>
    <x v="12"/>
    <n v="2023"/>
    <x v="18"/>
    <x v="1"/>
    <x v="2"/>
    <m/>
    <m/>
    <n v="16894.31544524393"/>
  </r>
  <r>
    <s v="EU27"/>
    <x v="12"/>
    <n v="2023"/>
    <x v="18"/>
    <x v="2"/>
    <x v="2"/>
    <m/>
    <m/>
    <n v="2534.0836399999998"/>
  </r>
  <r>
    <s v="EU27"/>
    <x v="12"/>
    <n v="2023"/>
    <x v="19"/>
    <x v="0"/>
    <x v="2"/>
    <m/>
    <m/>
    <n v="12923.046260779271"/>
  </r>
  <r>
    <s v="EU27"/>
    <x v="12"/>
    <n v="2023"/>
    <x v="19"/>
    <x v="1"/>
    <x v="2"/>
    <m/>
    <m/>
    <n v="13845.15103077682"/>
  </r>
  <r>
    <s v="EU27"/>
    <x v="12"/>
    <n v="2023"/>
    <x v="19"/>
    <x v="2"/>
    <x v="2"/>
    <m/>
    <m/>
    <n v="765.48648000000003"/>
  </r>
  <r>
    <s v="EU27"/>
    <x v="12"/>
    <n v="2023"/>
    <x v="20"/>
    <x v="0"/>
    <x v="2"/>
    <m/>
    <m/>
    <n v="32037.54421098992"/>
  </r>
  <r>
    <s v="EU27"/>
    <x v="12"/>
    <n v="2023"/>
    <x v="20"/>
    <x v="1"/>
    <x v="2"/>
    <m/>
    <m/>
    <n v="32539.73201460909"/>
  </r>
  <r>
    <s v="EU27"/>
    <x v="12"/>
    <n v="2023"/>
    <x v="20"/>
    <x v="2"/>
    <x v="2"/>
    <m/>
    <m/>
    <n v="2944.6530699999998"/>
  </r>
  <r>
    <s v="EU27"/>
    <x v="12"/>
    <n v="2023"/>
    <x v="21"/>
    <x v="0"/>
    <x v="2"/>
    <m/>
    <m/>
    <n v="544.13162000000011"/>
  </r>
  <r>
    <s v="EU27"/>
    <x v="12"/>
    <n v="2023"/>
    <x v="21"/>
    <x v="1"/>
    <x v="2"/>
    <m/>
    <m/>
    <n v="435.23077000000012"/>
  </r>
  <r>
    <s v="EU27"/>
    <x v="12"/>
    <n v="2023"/>
    <x v="21"/>
    <x v="2"/>
    <x v="2"/>
    <m/>
    <m/>
    <n v="245.98237"/>
  </r>
  <r>
    <s v="EU27"/>
    <x v="12"/>
    <n v="2023"/>
    <x v="22"/>
    <x v="0"/>
    <x v="2"/>
    <m/>
    <m/>
    <n v="-33372.342620000003"/>
  </r>
  <r>
    <s v="EU27"/>
    <x v="12"/>
    <n v="2023"/>
    <x v="22"/>
    <x v="1"/>
    <x v="2"/>
    <m/>
    <m/>
    <n v="-33024.603369999997"/>
  </r>
  <r>
    <s v="EU27"/>
    <x v="12"/>
    <n v="2023"/>
    <x v="22"/>
    <x v="2"/>
    <x v="2"/>
    <m/>
    <m/>
    <n v="-2093.52"/>
  </r>
  <r>
    <s v="EU27"/>
    <x v="12"/>
    <n v="2023"/>
    <x v="23"/>
    <x v="0"/>
    <x v="2"/>
    <m/>
    <m/>
    <n v="253.85033000000001"/>
  </r>
  <r>
    <s v="EU27"/>
    <x v="12"/>
    <n v="2023"/>
    <x v="23"/>
    <x v="1"/>
    <x v="2"/>
    <m/>
    <m/>
    <n v="253.85033000000001"/>
  </r>
  <r>
    <s v="EU27"/>
    <x v="12"/>
    <n v="2023"/>
    <x v="24"/>
    <x v="0"/>
    <x v="0"/>
    <m/>
    <m/>
    <n v="83428.629686180124"/>
  </r>
  <r>
    <s v="EU27"/>
    <x v="12"/>
    <n v="2023"/>
    <x v="24"/>
    <x v="0"/>
    <x v="1"/>
    <m/>
    <m/>
    <n v="251.48278798080079"/>
  </r>
  <r>
    <s v="EU27"/>
    <x v="12"/>
    <n v="2023"/>
    <x v="24"/>
    <x v="0"/>
    <x v="2"/>
    <m/>
    <m/>
    <n v="83680.112474160924"/>
  </r>
  <r>
    <s v="EU27"/>
    <x v="12"/>
    <n v="2023"/>
    <x v="24"/>
    <x v="1"/>
    <x v="0"/>
    <m/>
    <m/>
    <n v="84443.321226183878"/>
  </r>
  <r>
    <s v="EU27"/>
    <x v="12"/>
    <n v="2023"/>
    <x v="24"/>
    <x v="1"/>
    <x v="1"/>
    <m/>
    <m/>
    <n v="251.48278798237769"/>
  </r>
  <r>
    <s v="EU27"/>
    <x v="12"/>
    <n v="2023"/>
    <x v="24"/>
    <x v="1"/>
    <x v="2"/>
    <m/>
    <m/>
    <n v="84581.235983850653"/>
  </r>
  <r>
    <s v="EU27"/>
    <x v="12"/>
    <n v="2023"/>
    <x v="24"/>
    <x v="2"/>
    <x v="0"/>
    <m/>
    <m/>
    <n v="1638.5032699999999"/>
  </r>
  <r>
    <s v="EU27"/>
    <x v="12"/>
    <n v="2023"/>
    <x v="24"/>
    <x v="2"/>
    <x v="2"/>
    <m/>
    <m/>
    <n v="10464.80327"/>
  </r>
  <r>
    <s v="EU27"/>
    <x v="12"/>
    <n v="2023"/>
    <x v="25"/>
    <x v="0"/>
    <x v="0"/>
    <m/>
    <m/>
    <n v="141.69999999999999"/>
  </r>
  <r>
    <s v="EU27"/>
    <x v="12"/>
    <n v="2023"/>
    <x v="25"/>
    <x v="0"/>
    <x v="2"/>
    <m/>
    <m/>
    <n v="119664.8984866348"/>
  </r>
  <r>
    <s v="EU27"/>
    <x v="12"/>
    <n v="2023"/>
    <x v="25"/>
    <x v="1"/>
    <x v="0"/>
    <m/>
    <m/>
    <n v="141.69999999999999"/>
  </r>
  <r>
    <s v="EU27"/>
    <x v="12"/>
    <n v="2023"/>
    <x v="25"/>
    <x v="1"/>
    <x v="2"/>
    <m/>
    <m/>
    <n v="125755.19662702861"/>
  </r>
  <r>
    <s v="EU27"/>
    <x v="12"/>
    <n v="2023"/>
    <x v="25"/>
    <x v="2"/>
    <x v="2"/>
    <m/>
    <m/>
    <n v="1126.3188700000001"/>
  </r>
  <r>
    <s v="EU27"/>
    <x v="12"/>
    <n v="2023"/>
    <x v="26"/>
    <x v="0"/>
    <x v="0"/>
    <m/>
    <m/>
    <n v="737.5"/>
  </r>
  <r>
    <s v="EU27"/>
    <x v="12"/>
    <n v="2023"/>
    <x v="26"/>
    <x v="0"/>
    <x v="2"/>
    <m/>
    <m/>
    <n v="138397.84111139961"/>
  </r>
  <r>
    <s v="EU27"/>
    <x v="12"/>
    <n v="2023"/>
    <x v="26"/>
    <x v="1"/>
    <x v="0"/>
    <m/>
    <m/>
    <n v="737.5"/>
  </r>
  <r>
    <s v="EU27"/>
    <x v="12"/>
    <n v="2023"/>
    <x v="26"/>
    <x v="1"/>
    <x v="2"/>
    <m/>
    <m/>
    <n v="140545.00195539411"/>
  </r>
  <r>
    <s v="EU27"/>
    <x v="12"/>
    <n v="2023"/>
    <x v="26"/>
    <x v="2"/>
    <x v="2"/>
    <m/>
    <m/>
    <n v="852.8"/>
  </r>
  <r>
    <s v="EU27"/>
    <x v="12"/>
    <n v="2023"/>
    <x v="27"/>
    <x v="0"/>
    <x v="0"/>
    <m/>
    <m/>
    <n v="718.48444999999992"/>
  </r>
  <r>
    <s v="EU27"/>
    <x v="12"/>
    <n v="2023"/>
    <x v="27"/>
    <x v="0"/>
    <x v="2"/>
    <m/>
    <m/>
    <n v="862.38445000000002"/>
  </r>
  <r>
    <s v="EU27"/>
    <x v="12"/>
    <n v="2023"/>
    <x v="27"/>
    <x v="1"/>
    <x v="0"/>
    <m/>
    <m/>
    <n v="719.48951999999997"/>
  </r>
  <r>
    <s v="EU27"/>
    <x v="12"/>
    <n v="2023"/>
    <x v="27"/>
    <x v="1"/>
    <x v="2"/>
    <m/>
    <m/>
    <n v="863.38952000000006"/>
  </r>
  <r>
    <s v="EU27"/>
    <x v="12"/>
    <n v="2023"/>
    <x v="28"/>
    <x v="0"/>
    <x v="0"/>
    <m/>
    <m/>
    <n v="1601338.1507738701"/>
  </r>
  <r>
    <s v="EU27"/>
    <x v="12"/>
    <n v="2023"/>
    <x v="28"/>
    <x v="0"/>
    <x v="1"/>
    <m/>
    <m/>
    <n v="745545.41155352339"/>
  </r>
  <r>
    <s v="EU27"/>
    <x v="12"/>
    <n v="2023"/>
    <x v="28"/>
    <x v="0"/>
    <x v="2"/>
    <m/>
    <m/>
    <n v="2363412.8552784058"/>
  </r>
  <r>
    <s v="EU27"/>
    <x v="12"/>
    <n v="2023"/>
    <x v="28"/>
    <x v="1"/>
    <x v="0"/>
    <m/>
    <m/>
    <n v="1755499.5903055251"/>
  </r>
  <r>
    <s v="EU27"/>
    <x v="12"/>
    <n v="2023"/>
    <x v="28"/>
    <x v="1"/>
    <x v="1"/>
    <m/>
    <m/>
    <n v="844443.97053270962"/>
  </r>
  <r>
    <s v="EU27"/>
    <x v="12"/>
    <n v="2023"/>
    <x v="28"/>
    <x v="1"/>
    <x v="2"/>
    <m/>
    <m/>
    <n v="2617752.656085141"/>
  </r>
  <r>
    <s v="EU27"/>
    <x v="12"/>
    <n v="2023"/>
    <x v="28"/>
    <x v="2"/>
    <x v="0"/>
    <m/>
    <m/>
    <n v="16172.1008"/>
  </r>
  <r>
    <s v="EU27"/>
    <x v="12"/>
    <n v="2023"/>
    <x v="28"/>
    <x v="2"/>
    <x v="1"/>
    <m/>
    <m/>
    <n v="9287.7131100000006"/>
  </r>
  <r>
    <s v="EU27"/>
    <x v="12"/>
    <n v="2023"/>
    <x v="28"/>
    <x v="2"/>
    <x v="2"/>
    <m/>
    <m/>
    <n v="202354.70895"/>
  </r>
  <r>
    <s v="EU27"/>
    <x v="12"/>
    <n v="2023"/>
    <x v="29"/>
    <x v="0"/>
    <x v="0"/>
    <m/>
    <m/>
    <n v="1601338.05077387"/>
  </r>
  <r>
    <s v="EU27"/>
    <x v="12"/>
    <n v="2023"/>
    <x v="29"/>
    <x v="0"/>
    <x v="1"/>
    <m/>
    <m/>
    <n v="745545.41155352339"/>
  </r>
  <r>
    <s v="EU27"/>
    <x v="12"/>
    <n v="2023"/>
    <x v="29"/>
    <x v="0"/>
    <x v="2"/>
    <m/>
    <m/>
    <n v="2104087.5506092249"/>
  </r>
  <r>
    <s v="EU27"/>
    <x v="12"/>
    <n v="2023"/>
    <x v="29"/>
    <x v="1"/>
    <x v="0"/>
    <m/>
    <m/>
    <n v="1755499.490305525"/>
  </r>
  <r>
    <s v="EU27"/>
    <x v="12"/>
    <n v="2023"/>
    <x v="29"/>
    <x v="1"/>
    <x v="1"/>
    <m/>
    <m/>
    <n v="844443.97053270962"/>
  </r>
  <r>
    <s v="EU27"/>
    <x v="12"/>
    <n v="2023"/>
    <x v="29"/>
    <x v="1"/>
    <x v="2"/>
    <m/>
    <m/>
    <n v="2384402.8773956029"/>
  </r>
  <r>
    <s v="EU27"/>
    <x v="12"/>
    <n v="2023"/>
    <x v="29"/>
    <x v="2"/>
    <x v="0"/>
    <m/>
    <m/>
    <n v="16172.1008"/>
  </r>
  <r>
    <s v="EU27"/>
    <x v="12"/>
    <n v="2023"/>
    <x v="29"/>
    <x v="2"/>
    <x v="1"/>
    <m/>
    <m/>
    <n v="9287.7131100000006"/>
  </r>
  <r>
    <s v="EU27"/>
    <x v="12"/>
    <n v="2023"/>
    <x v="29"/>
    <x v="2"/>
    <x v="2"/>
    <m/>
    <m/>
    <n v="185376.63626"/>
  </r>
  <r>
    <s v="EU27"/>
    <x v="13"/>
    <n v="2023"/>
    <x v="0"/>
    <x v="0"/>
    <x v="0"/>
    <m/>
    <m/>
    <n v="1072880.9809382751"/>
  </r>
  <r>
    <s v="EU27"/>
    <x v="13"/>
    <n v="2023"/>
    <x v="0"/>
    <x v="0"/>
    <x v="1"/>
    <m/>
    <m/>
    <n v="535957.48427578132"/>
  </r>
  <r>
    <s v="EU27"/>
    <x v="13"/>
    <n v="2023"/>
    <x v="0"/>
    <x v="0"/>
    <x v="2"/>
    <m/>
    <m/>
    <n v="1625545.244421286"/>
  </r>
  <r>
    <s v="EU27"/>
    <x v="13"/>
    <n v="2023"/>
    <x v="0"/>
    <x v="1"/>
    <x v="0"/>
    <m/>
    <m/>
    <n v="1215176.8018714141"/>
  </r>
  <r>
    <s v="EU27"/>
    <x v="13"/>
    <n v="2023"/>
    <x v="0"/>
    <x v="1"/>
    <x v="1"/>
    <m/>
    <m/>
    <n v="627211.05121003464"/>
  </r>
  <r>
    <s v="EU27"/>
    <x v="13"/>
    <n v="2023"/>
    <x v="0"/>
    <x v="1"/>
    <x v="2"/>
    <m/>
    <m/>
    <n v="1860501.489210539"/>
  </r>
  <r>
    <s v="EU27"/>
    <x v="13"/>
    <n v="2023"/>
    <x v="0"/>
    <x v="2"/>
    <x v="0"/>
    <m/>
    <m/>
    <n v="11463.76175"/>
  </r>
  <r>
    <s v="EU27"/>
    <x v="13"/>
    <n v="2023"/>
    <x v="0"/>
    <x v="2"/>
    <x v="1"/>
    <m/>
    <m/>
    <n v="8553.4131099999995"/>
  </r>
  <r>
    <s v="EU27"/>
    <x v="13"/>
    <n v="2023"/>
    <x v="0"/>
    <x v="2"/>
    <x v="2"/>
    <m/>
    <m/>
    <n v="145149.96784999999"/>
  </r>
  <r>
    <s v="EU27"/>
    <x v="13"/>
    <n v="2023"/>
    <x v="1"/>
    <x v="0"/>
    <x v="0"/>
    <m/>
    <m/>
    <n v="43362.18358763391"/>
  </r>
  <r>
    <s v="EU27"/>
    <x v="13"/>
    <n v="2023"/>
    <x v="1"/>
    <x v="0"/>
    <x v="1"/>
    <m/>
    <m/>
    <n v="319447.53352967207"/>
  </r>
  <r>
    <s v="EU27"/>
    <x v="13"/>
    <n v="2023"/>
    <x v="1"/>
    <x v="0"/>
    <x v="2"/>
    <m/>
    <m/>
    <n v="362809.57727181847"/>
  </r>
  <r>
    <s v="EU27"/>
    <x v="13"/>
    <n v="2023"/>
    <x v="1"/>
    <x v="1"/>
    <x v="0"/>
    <m/>
    <m/>
    <n v="50232.523408657747"/>
  </r>
  <r>
    <s v="EU27"/>
    <x v="13"/>
    <n v="2023"/>
    <x v="1"/>
    <x v="1"/>
    <x v="1"/>
    <m/>
    <m/>
    <n v="384146.63817977189"/>
  </r>
  <r>
    <s v="EU27"/>
    <x v="13"/>
    <n v="2023"/>
    <x v="1"/>
    <x v="1"/>
    <x v="2"/>
    <m/>
    <m/>
    <n v="434379.08161909552"/>
  </r>
  <r>
    <s v="EU27"/>
    <x v="13"/>
    <n v="2023"/>
    <x v="1"/>
    <x v="2"/>
    <x v="0"/>
    <m/>
    <m/>
    <n v="84.99306"/>
  </r>
  <r>
    <s v="EU27"/>
    <x v="13"/>
    <n v="2023"/>
    <x v="1"/>
    <x v="2"/>
    <x v="1"/>
    <m/>
    <m/>
    <n v="7073.0131099999999"/>
  </r>
  <r>
    <s v="EU27"/>
    <x v="13"/>
    <n v="2023"/>
    <x v="1"/>
    <x v="2"/>
    <x v="2"/>
    <m/>
    <m/>
    <n v="48131.506170000001"/>
  </r>
  <r>
    <s v="EU27"/>
    <x v="13"/>
    <n v="2023"/>
    <x v="2"/>
    <x v="0"/>
    <x v="0"/>
    <m/>
    <m/>
    <n v="98990.278810198346"/>
  </r>
  <r>
    <s v="EU27"/>
    <x v="13"/>
    <n v="2023"/>
    <x v="2"/>
    <x v="0"/>
    <x v="1"/>
    <m/>
    <m/>
    <n v="198173.26229287771"/>
  </r>
  <r>
    <s v="EU27"/>
    <x v="13"/>
    <n v="2023"/>
    <x v="2"/>
    <x v="0"/>
    <x v="2"/>
    <m/>
    <m/>
    <n v="297163.52109310508"/>
  </r>
  <r>
    <s v="EU27"/>
    <x v="13"/>
    <n v="2023"/>
    <x v="2"/>
    <x v="1"/>
    <x v="0"/>
    <m/>
    <m/>
    <n v="104266.8746570418"/>
  </r>
  <r>
    <s v="EU27"/>
    <x v="13"/>
    <n v="2023"/>
    <x v="2"/>
    <x v="1"/>
    <x v="1"/>
    <m/>
    <m/>
    <n v="222931.44981123621"/>
  </r>
  <r>
    <s v="EU27"/>
    <x v="13"/>
    <n v="2023"/>
    <x v="2"/>
    <x v="1"/>
    <x v="2"/>
    <m/>
    <m/>
    <n v="327198.30445817037"/>
  </r>
  <r>
    <s v="EU27"/>
    <x v="13"/>
    <n v="2023"/>
    <x v="2"/>
    <x v="2"/>
    <x v="0"/>
    <m/>
    <m/>
    <n v="1050.4411399999999"/>
  </r>
  <r>
    <s v="EU27"/>
    <x v="13"/>
    <n v="2023"/>
    <x v="2"/>
    <x v="2"/>
    <x v="1"/>
    <m/>
    <m/>
    <n v="1410.6"/>
  </r>
  <r>
    <s v="EU27"/>
    <x v="13"/>
    <n v="2023"/>
    <x v="2"/>
    <x v="2"/>
    <x v="2"/>
    <m/>
    <m/>
    <n v="20394.741139999998"/>
  </r>
  <r>
    <s v="EU27"/>
    <x v="13"/>
    <n v="2023"/>
    <x v="3"/>
    <x v="0"/>
    <x v="0"/>
    <m/>
    <m/>
    <n v="547421.74256315047"/>
  </r>
  <r>
    <s v="EU27"/>
    <x v="13"/>
    <n v="2023"/>
    <x v="3"/>
    <x v="0"/>
    <x v="1"/>
    <m/>
    <m/>
    <n v="3445.626686914366"/>
  </r>
  <r>
    <s v="EU27"/>
    <x v="13"/>
    <n v="2023"/>
    <x v="3"/>
    <x v="0"/>
    <x v="2"/>
    <m/>
    <m/>
    <n v="567574.22830127215"/>
  </r>
  <r>
    <s v="EU27"/>
    <x v="13"/>
    <n v="2023"/>
    <x v="3"/>
    <x v="1"/>
    <x v="0"/>
    <m/>
    <m/>
    <n v="621534.53445739101"/>
  </r>
  <r>
    <s v="EU27"/>
    <x v="13"/>
    <n v="2023"/>
    <x v="3"/>
    <x v="1"/>
    <x v="1"/>
    <m/>
    <m/>
    <n v="3657.1681778864181"/>
  </r>
  <r>
    <s v="EU27"/>
    <x v="13"/>
    <n v="2023"/>
    <x v="3"/>
    <x v="1"/>
    <x v="2"/>
    <m/>
    <m/>
    <n v="643305.45872380992"/>
  </r>
  <r>
    <s v="EU27"/>
    <x v="13"/>
    <n v="2023"/>
    <x v="3"/>
    <x v="2"/>
    <x v="0"/>
    <m/>
    <m/>
    <n v="8394.0814900000005"/>
  </r>
  <r>
    <s v="EU27"/>
    <x v="13"/>
    <n v="2023"/>
    <x v="3"/>
    <x v="2"/>
    <x v="1"/>
    <m/>
    <m/>
    <n v="0"/>
  </r>
  <r>
    <s v="EU27"/>
    <x v="13"/>
    <n v="2023"/>
    <x v="3"/>
    <x v="2"/>
    <x v="2"/>
    <m/>
    <m/>
    <n v="38524.874479999999"/>
  </r>
  <r>
    <s v="EU27"/>
    <x v="13"/>
    <n v="2023"/>
    <x v="4"/>
    <x v="0"/>
    <x v="0"/>
    <m/>
    <m/>
    <n v="146.8070306878048"/>
  </r>
  <r>
    <s v="EU27"/>
    <x v="13"/>
    <n v="2023"/>
    <x v="4"/>
    <x v="0"/>
    <x v="1"/>
    <m/>
    <m/>
    <n v="0"/>
  </r>
  <r>
    <s v="EU27"/>
    <x v="13"/>
    <n v="2023"/>
    <x v="4"/>
    <x v="0"/>
    <x v="2"/>
    <m/>
    <m/>
    <n v="16838.52077110434"/>
  </r>
  <r>
    <s v="EU27"/>
    <x v="13"/>
    <n v="2023"/>
    <x v="4"/>
    <x v="1"/>
    <x v="0"/>
    <m/>
    <m/>
    <n v="156.66301534132589"/>
  </r>
  <r>
    <s v="EU27"/>
    <x v="13"/>
    <n v="2023"/>
    <x v="4"/>
    <x v="1"/>
    <x v="1"/>
    <m/>
    <m/>
    <n v="0"/>
  </r>
  <r>
    <s v="EU27"/>
    <x v="13"/>
    <n v="2023"/>
    <x v="4"/>
    <x v="1"/>
    <x v="2"/>
    <m/>
    <m/>
    <n v="18268.007352286229"/>
  </r>
  <r>
    <s v="EU27"/>
    <x v="13"/>
    <n v="2023"/>
    <x v="4"/>
    <x v="2"/>
    <x v="0"/>
    <m/>
    <m/>
    <n v="1.2930000000000001E-2"/>
  </r>
  <r>
    <s v="EU27"/>
    <x v="13"/>
    <n v="2023"/>
    <x v="4"/>
    <x v="2"/>
    <x v="2"/>
    <m/>
    <m/>
    <n v="450.90591999999998"/>
  </r>
  <r>
    <s v="EU27"/>
    <x v="13"/>
    <n v="2023"/>
    <x v="5"/>
    <x v="0"/>
    <x v="0"/>
    <m/>
    <m/>
    <n v="525324.35250928893"/>
  </r>
  <r>
    <s v="EU27"/>
    <x v="13"/>
    <n v="2023"/>
    <x v="5"/>
    <x v="0"/>
    <x v="1"/>
    <m/>
    <m/>
    <n v="0"/>
  </r>
  <r>
    <s v="EU27"/>
    <x v="13"/>
    <n v="2023"/>
    <x v="5"/>
    <x v="0"/>
    <x v="2"/>
    <m/>
    <m/>
    <n v="525324.35250928893"/>
  </r>
  <r>
    <s v="EU27"/>
    <x v="13"/>
    <n v="2023"/>
    <x v="5"/>
    <x v="1"/>
    <x v="0"/>
    <m/>
    <m/>
    <n v="598250.1871075629"/>
  </r>
  <r>
    <s v="EU27"/>
    <x v="13"/>
    <n v="2023"/>
    <x v="5"/>
    <x v="1"/>
    <x v="1"/>
    <m/>
    <m/>
    <n v="0"/>
  </r>
  <r>
    <s v="EU27"/>
    <x v="13"/>
    <n v="2023"/>
    <x v="5"/>
    <x v="1"/>
    <x v="2"/>
    <m/>
    <m/>
    <n v="598250.1871075629"/>
  </r>
  <r>
    <s v="EU27"/>
    <x v="13"/>
    <n v="2023"/>
    <x v="5"/>
    <x v="2"/>
    <x v="0"/>
    <m/>
    <m/>
    <n v="8299.5229299999992"/>
  </r>
  <r>
    <s v="EU27"/>
    <x v="13"/>
    <n v="2023"/>
    <x v="5"/>
    <x v="2"/>
    <x v="2"/>
    <m/>
    <m/>
    <n v="36323.422930000001"/>
  </r>
  <r>
    <s v="EU27"/>
    <x v="13"/>
    <n v="2023"/>
    <x v="6"/>
    <x v="0"/>
    <x v="0"/>
    <m/>
    <m/>
    <n v="3421.985809379757"/>
  </r>
  <r>
    <s v="EU27"/>
    <x v="13"/>
    <n v="2023"/>
    <x v="6"/>
    <x v="0"/>
    <x v="1"/>
    <m/>
    <m/>
    <n v="0"/>
  </r>
  <r>
    <s v="EU27"/>
    <x v="13"/>
    <n v="2023"/>
    <x v="6"/>
    <x v="0"/>
    <x v="2"/>
    <m/>
    <m/>
    <n v="3421.985809379757"/>
  </r>
  <r>
    <s v="EU27"/>
    <x v="13"/>
    <n v="2023"/>
    <x v="6"/>
    <x v="1"/>
    <x v="0"/>
    <m/>
    <m/>
    <n v="4116.3718337314349"/>
  </r>
  <r>
    <s v="EU27"/>
    <x v="13"/>
    <n v="2023"/>
    <x v="6"/>
    <x v="1"/>
    <x v="1"/>
    <m/>
    <m/>
    <n v="0"/>
  </r>
  <r>
    <s v="EU27"/>
    <x v="13"/>
    <n v="2023"/>
    <x v="6"/>
    <x v="1"/>
    <x v="2"/>
    <m/>
    <m/>
    <n v="4116.3718337314349"/>
  </r>
  <r>
    <s v="EU27"/>
    <x v="13"/>
    <n v="2023"/>
    <x v="6"/>
    <x v="2"/>
    <x v="0"/>
    <m/>
    <m/>
    <n v="37.299999999999997"/>
  </r>
  <r>
    <s v="EU27"/>
    <x v="13"/>
    <n v="2023"/>
    <x v="6"/>
    <x v="2"/>
    <x v="2"/>
    <m/>
    <m/>
    <n v="1118.8"/>
  </r>
  <r>
    <s v="EU27"/>
    <x v="13"/>
    <n v="2023"/>
    <x v="7"/>
    <x v="0"/>
    <x v="0"/>
    <m/>
    <m/>
    <n v="17287.787972872451"/>
  </r>
  <r>
    <s v="EU27"/>
    <x v="13"/>
    <n v="2023"/>
    <x v="7"/>
    <x v="0"/>
    <x v="1"/>
    <m/>
    <m/>
    <n v="0"/>
  </r>
  <r>
    <s v="EU27"/>
    <x v="13"/>
    <n v="2023"/>
    <x v="7"/>
    <x v="0"/>
    <x v="2"/>
    <m/>
    <m/>
    <n v="17287.787812872451"/>
  </r>
  <r>
    <s v="EU27"/>
    <x v="13"/>
    <n v="2023"/>
    <x v="7"/>
    <x v="1"/>
    <x v="0"/>
    <m/>
    <m/>
    <n v="17549.946447730461"/>
  </r>
  <r>
    <s v="EU27"/>
    <x v="13"/>
    <n v="2023"/>
    <x v="7"/>
    <x v="1"/>
    <x v="1"/>
    <m/>
    <m/>
    <n v="0"/>
  </r>
  <r>
    <s v="EU27"/>
    <x v="13"/>
    <n v="2023"/>
    <x v="7"/>
    <x v="1"/>
    <x v="2"/>
    <m/>
    <m/>
    <n v="17549.946287730461"/>
  </r>
  <r>
    <s v="EU27"/>
    <x v="13"/>
    <n v="2023"/>
    <x v="7"/>
    <x v="2"/>
    <x v="0"/>
    <m/>
    <m/>
    <n v="49.945630000000001"/>
  </r>
  <r>
    <s v="EU27"/>
    <x v="13"/>
    <n v="2023"/>
    <x v="7"/>
    <x v="2"/>
    <x v="2"/>
    <m/>
    <m/>
    <n v="355.44562999999999"/>
  </r>
  <r>
    <s v="EU27"/>
    <x v="13"/>
    <n v="2023"/>
    <x v="8"/>
    <x v="0"/>
    <x v="0"/>
    <m/>
    <m/>
    <n v="1249.4339209215491"/>
  </r>
  <r>
    <s v="EU27"/>
    <x v="13"/>
    <n v="2023"/>
    <x v="8"/>
    <x v="0"/>
    <x v="1"/>
    <m/>
    <m/>
    <n v="3461.1164677052138"/>
  </r>
  <r>
    <s v="EU27"/>
    <x v="13"/>
    <n v="2023"/>
    <x v="8"/>
    <x v="0"/>
    <x v="2"/>
    <m/>
    <m/>
    <n v="4710.450388626763"/>
  </r>
  <r>
    <s v="EU27"/>
    <x v="13"/>
    <n v="2023"/>
    <x v="8"/>
    <x v="1"/>
    <x v="0"/>
    <m/>
    <m/>
    <n v="1470.172755024864"/>
  </r>
  <r>
    <s v="EU27"/>
    <x v="13"/>
    <n v="2023"/>
    <x v="8"/>
    <x v="1"/>
    <x v="1"/>
    <m/>
    <m/>
    <n v="3659.6823874740021"/>
  </r>
  <r>
    <s v="EU27"/>
    <x v="13"/>
    <n v="2023"/>
    <x v="8"/>
    <x v="1"/>
    <x v="2"/>
    <m/>
    <m/>
    <n v="5129.755142498866"/>
  </r>
  <r>
    <s v="EU27"/>
    <x v="13"/>
    <n v="2023"/>
    <x v="8"/>
    <x v="2"/>
    <x v="0"/>
    <m/>
    <m/>
    <n v="7.2"/>
  </r>
  <r>
    <s v="EU27"/>
    <x v="13"/>
    <n v="2023"/>
    <x v="8"/>
    <x v="2"/>
    <x v="2"/>
    <m/>
    <m/>
    <n v="276.3"/>
  </r>
  <r>
    <s v="EU27"/>
    <x v="13"/>
    <n v="2023"/>
    <x v="9"/>
    <x v="0"/>
    <x v="0"/>
    <m/>
    <m/>
    <n v="328585.33135227632"/>
  </r>
  <r>
    <s v="EU27"/>
    <x v="13"/>
    <n v="2023"/>
    <x v="9"/>
    <x v="0"/>
    <x v="1"/>
    <m/>
    <m/>
    <n v="1491.058759401101"/>
  </r>
  <r>
    <s v="EU27"/>
    <x v="13"/>
    <n v="2023"/>
    <x v="9"/>
    <x v="0"/>
    <x v="2"/>
    <m/>
    <m/>
    <n v="330076.51012315822"/>
  </r>
  <r>
    <s v="EU27"/>
    <x v="13"/>
    <n v="2023"/>
    <x v="9"/>
    <x v="1"/>
    <x v="0"/>
    <m/>
    <m/>
    <n v="382211.14592648821"/>
  </r>
  <r>
    <s v="EU27"/>
    <x v="13"/>
    <n v="2023"/>
    <x v="9"/>
    <x v="1"/>
    <x v="1"/>
    <m/>
    <m/>
    <n v="1622.8798529751859"/>
  </r>
  <r>
    <s v="EU27"/>
    <x v="13"/>
    <n v="2023"/>
    <x v="9"/>
    <x v="1"/>
    <x v="2"/>
    <m/>
    <m/>
    <n v="383834.1257894634"/>
  </r>
  <r>
    <s v="EU27"/>
    <x v="13"/>
    <n v="2023"/>
    <x v="9"/>
    <x v="2"/>
    <x v="0"/>
    <m/>
    <m/>
    <n v="1500.64606"/>
  </r>
  <r>
    <s v="EU27"/>
    <x v="13"/>
    <n v="2023"/>
    <x v="9"/>
    <x v="2"/>
    <x v="2"/>
    <m/>
    <m/>
    <n v="18177.446059999998"/>
  </r>
  <r>
    <s v="EU27"/>
    <x v="13"/>
    <n v="2023"/>
    <x v="10"/>
    <x v="0"/>
    <x v="0"/>
    <m/>
    <m/>
    <n v="3566.4691899999998"/>
  </r>
  <r>
    <s v="EU27"/>
    <x v="13"/>
    <n v="2023"/>
    <x v="10"/>
    <x v="0"/>
    <x v="1"/>
    <m/>
    <m/>
    <n v="0"/>
  </r>
  <r>
    <s v="EU27"/>
    <x v="13"/>
    <n v="2023"/>
    <x v="10"/>
    <x v="0"/>
    <x v="2"/>
    <m/>
    <m/>
    <n v="3566.4691899999998"/>
  </r>
  <r>
    <s v="EU27"/>
    <x v="13"/>
    <n v="2023"/>
    <x v="10"/>
    <x v="1"/>
    <x v="0"/>
    <m/>
    <m/>
    <n v="3566.80737"/>
  </r>
  <r>
    <s v="EU27"/>
    <x v="13"/>
    <n v="2023"/>
    <x v="10"/>
    <x v="1"/>
    <x v="1"/>
    <m/>
    <m/>
    <n v="0"/>
  </r>
  <r>
    <s v="EU27"/>
    <x v="13"/>
    <n v="2023"/>
    <x v="10"/>
    <x v="1"/>
    <x v="2"/>
    <m/>
    <m/>
    <n v="3566.80737"/>
  </r>
  <r>
    <s v="EU27"/>
    <x v="13"/>
    <n v="2023"/>
    <x v="10"/>
    <x v="2"/>
    <x v="0"/>
    <m/>
    <m/>
    <n v="4.0999999999999996"/>
  </r>
  <r>
    <s v="EU27"/>
    <x v="13"/>
    <n v="2023"/>
    <x v="10"/>
    <x v="2"/>
    <x v="2"/>
    <m/>
    <m/>
    <n v="1246.2"/>
  </r>
  <r>
    <s v="EU27"/>
    <x v="13"/>
    <n v="2023"/>
    <x v="11"/>
    <x v="0"/>
    <x v="0"/>
    <m/>
    <m/>
    <n v="51015.795415015818"/>
  </r>
  <r>
    <s v="EU27"/>
    <x v="13"/>
    <n v="2023"/>
    <x v="11"/>
    <x v="0"/>
    <x v="1"/>
    <m/>
    <m/>
    <n v="13400.183016916"/>
  </r>
  <r>
    <s v="EU27"/>
    <x v="13"/>
    <n v="2023"/>
    <x v="11"/>
    <x v="0"/>
    <x v="2"/>
    <m/>
    <m/>
    <n v="64415.898431931819"/>
  </r>
  <r>
    <s v="EU27"/>
    <x v="13"/>
    <n v="2023"/>
    <x v="11"/>
    <x v="1"/>
    <x v="0"/>
    <m/>
    <m/>
    <n v="53425.776051835033"/>
  </r>
  <r>
    <s v="EU27"/>
    <x v="13"/>
    <n v="2023"/>
    <x v="11"/>
    <x v="1"/>
    <x v="1"/>
    <m/>
    <m/>
    <n v="14853.03516816497"/>
  </r>
  <r>
    <s v="EU27"/>
    <x v="13"/>
    <n v="2023"/>
    <x v="11"/>
    <x v="1"/>
    <x v="2"/>
    <m/>
    <m/>
    <n v="68278.711219999997"/>
  </r>
  <r>
    <s v="EU27"/>
    <x v="13"/>
    <n v="2023"/>
    <x v="11"/>
    <x v="2"/>
    <x v="0"/>
    <m/>
    <m/>
    <n v="429.5"/>
  </r>
  <r>
    <s v="EU27"/>
    <x v="13"/>
    <n v="2023"/>
    <x v="11"/>
    <x v="2"/>
    <x v="1"/>
    <m/>
    <m/>
    <n v="69.900000000000006"/>
  </r>
  <r>
    <s v="EU27"/>
    <x v="13"/>
    <n v="2023"/>
    <x v="11"/>
    <x v="2"/>
    <x v="2"/>
    <m/>
    <m/>
    <n v="18675.2"/>
  </r>
  <r>
    <s v="EU27"/>
    <x v="13"/>
    <n v="2023"/>
    <x v="12"/>
    <x v="0"/>
    <x v="0"/>
    <m/>
    <m/>
    <n v="0"/>
  </r>
  <r>
    <s v="EU27"/>
    <x v="13"/>
    <n v="2023"/>
    <x v="12"/>
    <x v="0"/>
    <x v="1"/>
    <m/>
    <m/>
    <n v="0"/>
  </r>
  <r>
    <s v="EU27"/>
    <x v="13"/>
    <n v="2023"/>
    <x v="12"/>
    <x v="0"/>
    <x v="2"/>
    <m/>
    <m/>
    <n v="0"/>
  </r>
  <r>
    <s v="EU27"/>
    <x v="13"/>
    <n v="2023"/>
    <x v="12"/>
    <x v="1"/>
    <x v="0"/>
    <m/>
    <m/>
    <n v="0"/>
  </r>
  <r>
    <s v="EU27"/>
    <x v="13"/>
    <n v="2023"/>
    <x v="12"/>
    <x v="1"/>
    <x v="1"/>
    <m/>
    <m/>
    <n v="0"/>
  </r>
  <r>
    <s v="EU27"/>
    <x v="13"/>
    <n v="2023"/>
    <x v="12"/>
    <x v="1"/>
    <x v="2"/>
    <m/>
    <m/>
    <n v="0"/>
  </r>
  <r>
    <s v="EU27"/>
    <x v="13"/>
    <n v="2023"/>
    <x v="13"/>
    <x v="0"/>
    <x v="0"/>
    <m/>
    <m/>
    <n v="53845.851323589908"/>
  </r>
  <r>
    <s v="EU27"/>
    <x v="13"/>
    <n v="2023"/>
    <x v="13"/>
    <x v="0"/>
    <x v="1"/>
    <m/>
    <m/>
    <n v="182737.8420363219"/>
  </r>
  <r>
    <s v="EU27"/>
    <x v="13"/>
    <n v="2023"/>
    <x v="13"/>
    <x v="0"/>
    <x v="2"/>
    <m/>
    <m/>
    <n v="236323.6666428406"/>
  </r>
  <r>
    <s v="EU27"/>
    <x v="13"/>
    <n v="2023"/>
    <x v="13"/>
    <x v="1"/>
    <x v="0"/>
    <m/>
    <m/>
    <n v="56435.212460890929"/>
  </r>
  <r>
    <s v="EU27"/>
    <x v="13"/>
    <n v="2023"/>
    <x v="13"/>
    <x v="1"/>
    <x v="1"/>
    <m/>
    <m/>
    <n v="192713.35232488441"/>
  </r>
  <r>
    <s v="EU27"/>
    <x v="13"/>
    <n v="2023"/>
    <x v="13"/>
    <x v="1"/>
    <x v="2"/>
    <m/>
    <m/>
    <n v="248889.21750911689"/>
  </r>
  <r>
    <s v="EU27"/>
    <x v="13"/>
    <n v="2023"/>
    <x v="13"/>
    <x v="2"/>
    <x v="0"/>
    <m/>
    <m/>
    <n v="1127.26819"/>
  </r>
  <r>
    <s v="EU27"/>
    <x v="13"/>
    <n v="2023"/>
    <x v="13"/>
    <x v="2"/>
    <x v="1"/>
    <m/>
    <m/>
    <n v="745.4"/>
  </r>
  <r>
    <s v="EU27"/>
    <x v="13"/>
    <n v="2023"/>
    <x v="13"/>
    <x v="2"/>
    <x v="2"/>
    <m/>
    <m/>
    <n v="16561.068190000002"/>
  </r>
  <r>
    <s v="EU27"/>
    <x v="13"/>
    <n v="2023"/>
    <x v="14"/>
    <x v="0"/>
    <x v="0"/>
    <m/>
    <m/>
    <n v="354173.93399860541"/>
  </r>
  <r>
    <s v="EU27"/>
    <x v="13"/>
    <n v="2023"/>
    <x v="14"/>
    <x v="0"/>
    <x v="2"/>
    <m/>
    <m/>
    <n v="354173.93399860541"/>
  </r>
  <r>
    <s v="EU27"/>
    <x v="13"/>
    <n v="2023"/>
    <x v="14"/>
    <x v="1"/>
    <x v="0"/>
    <m/>
    <m/>
    <n v="369766.54277077783"/>
  </r>
  <r>
    <s v="EU27"/>
    <x v="13"/>
    <n v="2023"/>
    <x v="14"/>
    <x v="1"/>
    <x v="2"/>
    <m/>
    <m/>
    <n v="369766.54277077783"/>
  </r>
  <r>
    <s v="EU27"/>
    <x v="13"/>
    <n v="2023"/>
    <x v="14"/>
    <x v="2"/>
    <x v="0"/>
    <m/>
    <m/>
    <n v="2051.8330299999998"/>
  </r>
  <r>
    <s v="EU27"/>
    <x v="13"/>
    <n v="2023"/>
    <x v="14"/>
    <x v="2"/>
    <x v="2"/>
    <m/>
    <m/>
    <n v="32178.133030000001"/>
  </r>
  <r>
    <s v="EU27"/>
    <x v="13"/>
    <n v="2023"/>
    <x v="15"/>
    <x v="0"/>
    <x v="2"/>
    <m/>
    <m/>
    <n v="-257190.32969433541"/>
  </r>
  <r>
    <s v="EU27"/>
    <x v="13"/>
    <n v="2023"/>
    <x v="15"/>
    <x v="1"/>
    <x v="2"/>
    <m/>
    <m/>
    <n v="-231840.98626121509"/>
  </r>
  <r>
    <s v="EU27"/>
    <x v="13"/>
    <n v="2023"/>
    <x v="15"/>
    <x v="2"/>
    <x v="2"/>
    <m/>
    <m/>
    <n v="-16654.423279999999"/>
  </r>
  <r>
    <s v="EU27"/>
    <x v="13"/>
    <n v="2023"/>
    <x v="16"/>
    <x v="0"/>
    <x v="2"/>
    <m/>
    <m/>
    <n v="-311641.70644942869"/>
  </r>
  <r>
    <s v="EU27"/>
    <x v="13"/>
    <n v="2023"/>
    <x v="16"/>
    <x v="1"/>
    <x v="2"/>
    <m/>
    <m/>
    <n v="-295572.53656194819"/>
  </r>
  <r>
    <s v="EU27"/>
    <x v="13"/>
    <n v="2023"/>
    <x v="16"/>
    <x v="2"/>
    <x v="2"/>
    <m/>
    <m/>
    <n v="-19109.942070000001"/>
  </r>
  <r>
    <s v="EU27"/>
    <x v="13"/>
    <n v="2023"/>
    <x v="17"/>
    <x v="0"/>
    <x v="2"/>
    <m/>
    <m/>
    <n v="28492.659461372779"/>
  </r>
  <r>
    <s v="EU27"/>
    <x v="13"/>
    <n v="2023"/>
    <x v="17"/>
    <x v="1"/>
    <x v="2"/>
    <m/>
    <m/>
    <n v="34217.399409185477"/>
  </r>
  <r>
    <s v="EU27"/>
    <x v="13"/>
    <n v="2023"/>
    <x v="17"/>
    <x v="2"/>
    <x v="2"/>
    <m/>
    <m/>
    <n v="-2294.1154000000001"/>
  </r>
  <r>
    <s v="EU27"/>
    <x v="13"/>
    <n v="2023"/>
    <x v="18"/>
    <x v="0"/>
    <x v="2"/>
    <m/>
    <m/>
    <n v="16193.06219402766"/>
  </r>
  <r>
    <s v="EU27"/>
    <x v="13"/>
    <n v="2023"/>
    <x v="18"/>
    <x v="1"/>
    <x v="2"/>
    <m/>
    <m/>
    <n v="17495.542819180981"/>
  </r>
  <r>
    <s v="EU27"/>
    <x v="13"/>
    <n v="2023"/>
    <x v="18"/>
    <x v="2"/>
    <x v="2"/>
    <m/>
    <m/>
    <n v="2762.64212"/>
  </r>
  <r>
    <s v="EU27"/>
    <x v="13"/>
    <n v="2023"/>
    <x v="19"/>
    <x v="0"/>
    <x v="2"/>
    <m/>
    <m/>
    <n v="12753.46555307941"/>
  </r>
  <r>
    <s v="EU27"/>
    <x v="13"/>
    <n v="2023"/>
    <x v="19"/>
    <x v="1"/>
    <x v="2"/>
    <m/>
    <m/>
    <n v="13694.699653080581"/>
  </r>
  <r>
    <s v="EU27"/>
    <x v="13"/>
    <n v="2023"/>
    <x v="19"/>
    <x v="2"/>
    <x v="2"/>
    <m/>
    <m/>
    <n v="765.48648000000003"/>
  </r>
  <r>
    <s v="EU27"/>
    <x v="13"/>
    <n v="2023"/>
    <x v="20"/>
    <x v="0"/>
    <x v="2"/>
    <m/>
    <m/>
    <n v="31878.741492614419"/>
  </r>
  <r>
    <s v="EU27"/>
    <x v="13"/>
    <n v="2023"/>
    <x v="20"/>
    <x v="1"/>
    <x v="2"/>
    <m/>
    <m/>
    <n v="32370.68249411905"/>
  </r>
  <r>
    <s v="EU27"/>
    <x v="13"/>
    <n v="2023"/>
    <x v="20"/>
    <x v="2"/>
    <x v="2"/>
    <m/>
    <m/>
    <n v="2970.3615500000001"/>
  </r>
  <r>
    <s v="EU27"/>
    <x v="13"/>
    <n v="2023"/>
    <x v="21"/>
    <x v="0"/>
    <x v="2"/>
    <m/>
    <m/>
    <n v="538.74317000000008"/>
  </r>
  <r>
    <s v="EU27"/>
    <x v="13"/>
    <n v="2023"/>
    <x v="21"/>
    <x v="1"/>
    <x v="2"/>
    <m/>
    <m/>
    <n v="424.54518999999999"/>
  </r>
  <r>
    <s v="EU27"/>
    <x v="13"/>
    <n v="2023"/>
    <x v="21"/>
    <x v="2"/>
    <x v="2"/>
    <m/>
    <m/>
    <n v="297.38405"/>
  </r>
  <r>
    <s v="EU27"/>
    <x v="13"/>
    <n v="2023"/>
    <x v="22"/>
    <x v="0"/>
    <x v="2"/>
    <m/>
    <m/>
    <n v="-35015.636129999999"/>
  </r>
  <r>
    <s v="EU27"/>
    <x v="13"/>
    <n v="2023"/>
    <x v="22"/>
    <x v="1"/>
    <x v="2"/>
    <m/>
    <m/>
    <n v="-34718.830650000004"/>
  </r>
  <r>
    <s v="EU27"/>
    <x v="13"/>
    <n v="2023"/>
    <x v="22"/>
    <x v="2"/>
    <x v="2"/>
    <m/>
    <m/>
    <n v="-2046.26"/>
  </r>
  <r>
    <s v="EU27"/>
    <x v="13"/>
    <n v="2023"/>
    <x v="23"/>
    <x v="0"/>
    <x v="2"/>
    <m/>
    <m/>
    <n v="253.85033000000001"/>
  </r>
  <r>
    <s v="EU27"/>
    <x v="13"/>
    <n v="2023"/>
    <x v="23"/>
    <x v="1"/>
    <x v="2"/>
    <m/>
    <m/>
    <n v="253.85033000000001"/>
  </r>
  <r>
    <s v="EU27"/>
    <x v="13"/>
    <n v="2023"/>
    <x v="24"/>
    <x v="0"/>
    <x v="0"/>
    <m/>
    <m/>
    <n v="80875.092720625951"/>
  </r>
  <r>
    <s v="EU27"/>
    <x v="13"/>
    <n v="2023"/>
    <x v="24"/>
    <x v="0"/>
    <x v="1"/>
    <m/>
    <m/>
    <n v="248.22767158861029"/>
  </r>
  <r>
    <s v="EU27"/>
    <x v="13"/>
    <n v="2023"/>
    <x v="24"/>
    <x v="0"/>
    <x v="2"/>
    <m/>
    <m/>
    <n v="81123.320392214562"/>
  </r>
  <r>
    <s v="EU27"/>
    <x v="13"/>
    <n v="2023"/>
    <x v="24"/>
    <x v="1"/>
    <x v="0"/>
    <m/>
    <m/>
    <n v="81891.498560630964"/>
  </r>
  <r>
    <s v="EU27"/>
    <x v="13"/>
    <n v="2023"/>
    <x v="24"/>
    <x v="1"/>
    <x v="1"/>
    <m/>
    <m/>
    <n v="248.2276715907129"/>
  </r>
  <r>
    <s v="EU27"/>
    <x v="13"/>
    <n v="2023"/>
    <x v="24"/>
    <x v="1"/>
    <x v="2"/>
    <m/>
    <m/>
    <n v="82027.628191800861"/>
  </r>
  <r>
    <s v="EU27"/>
    <x v="13"/>
    <n v="2023"/>
    <x v="24"/>
    <x v="2"/>
    <x v="0"/>
    <m/>
    <m/>
    <n v="1646.16158"/>
  </r>
  <r>
    <s v="EU27"/>
    <x v="13"/>
    <n v="2023"/>
    <x v="24"/>
    <x v="2"/>
    <x v="2"/>
    <m/>
    <m/>
    <n v="10436.16158"/>
  </r>
  <r>
    <s v="EU27"/>
    <x v="13"/>
    <n v="2023"/>
    <x v="25"/>
    <x v="0"/>
    <x v="0"/>
    <m/>
    <m/>
    <n v="144.69999999999999"/>
  </r>
  <r>
    <s v="EU27"/>
    <x v="13"/>
    <n v="2023"/>
    <x v="25"/>
    <x v="0"/>
    <x v="2"/>
    <m/>
    <m/>
    <n v="120190.5150337446"/>
  </r>
  <r>
    <s v="EU27"/>
    <x v="13"/>
    <n v="2023"/>
    <x v="25"/>
    <x v="1"/>
    <x v="0"/>
    <m/>
    <m/>
    <n v="144.69999999999999"/>
  </r>
  <r>
    <s v="EU27"/>
    <x v="13"/>
    <n v="2023"/>
    <x v="25"/>
    <x v="1"/>
    <x v="2"/>
    <m/>
    <m/>
    <n v="126637.8576347894"/>
  </r>
  <r>
    <s v="EU27"/>
    <x v="13"/>
    <n v="2023"/>
    <x v="25"/>
    <x v="2"/>
    <x v="2"/>
    <m/>
    <m/>
    <n v="1128.73684"/>
  </r>
  <r>
    <s v="EU27"/>
    <x v="13"/>
    <n v="2023"/>
    <x v="26"/>
    <x v="0"/>
    <x v="0"/>
    <m/>
    <m/>
    <n v="761"/>
  </r>
  <r>
    <s v="EU27"/>
    <x v="13"/>
    <n v="2023"/>
    <x v="26"/>
    <x v="0"/>
    <x v="2"/>
    <m/>
    <m/>
    <n v="138761.34966674069"/>
  </r>
  <r>
    <s v="EU27"/>
    <x v="13"/>
    <n v="2023"/>
    <x v="26"/>
    <x v="1"/>
    <x v="0"/>
    <m/>
    <m/>
    <n v="761"/>
  </r>
  <r>
    <s v="EU27"/>
    <x v="13"/>
    <n v="2023"/>
    <x v="26"/>
    <x v="1"/>
    <x v="2"/>
    <m/>
    <m/>
    <n v="140929.02788092729"/>
  </r>
  <r>
    <s v="EU27"/>
    <x v="13"/>
    <n v="2023"/>
    <x v="26"/>
    <x v="2"/>
    <x v="2"/>
    <m/>
    <m/>
    <n v="876.3"/>
  </r>
  <r>
    <s v="EU27"/>
    <x v="13"/>
    <n v="2023"/>
    <x v="27"/>
    <x v="0"/>
    <x v="0"/>
    <m/>
    <m/>
    <n v="714.93552"/>
  </r>
  <r>
    <s v="EU27"/>
    <x v="13"/>
    <n v="2023"/>
    <x v="27"/>
    <x v="0"/>
    <x v="2"/>
    <m/>
    <m/>
    <n v="858.83552000000009"/>
  </r>
  <r>
    <s v="EU27"/>
    <x v="13"/>
    <n v="2023"/>
    <x v="27"/>
    <x v="1"/>
    <x v="0"/>
    <m/>
    <m/>
    <n v="715.94142999999997"/>
  </r>
  <r>
    <s v="EU27"/>
    <x v="13"/>
    <n v="2023"/>
    <x v="27"/>
    <x v="1"/>
    <x v="2"/>
    <m/>
    <m/>
    <n v="859.84143000000006"/>
  </r>
  <r>
    <s v="EU27"/>
    <x v="13"/>
    <n v="2023"/>
    <x v="28"/>
    <x v="0"/>
    <x v="0"/>
    <m/>
    <m/>
    <n v="1562706.7398110961"/>
  </r>
  <r>
    <s v="EU27"/>
    <x v="13"/>
    <n v="2023"/>
    <x v="28"/>
    <x v="0"/>
    <x v="1"/>
    <m/>
    <m/>
    <n v="718943.41401369183"/>
  </r>
  <r>
    <s v="EU27"/>
    <x v="13"/>
    <n v="2023"/>
    <x v="28"/>
    <x v="0"/>
    <x v="2"/>
    <m/>
    <m/>
    <n v="2298097.1862849458"/>
  </r>
  <r>
    <s v="EU27"/>
    <x v="13"/>
    <n v="2023"/>
    <x v="28"/>
    <x v="1"/>
    <x v="0"/>
    <m/>
    <m/>
    <n v="1723985.837123713"/>
  </r>
  <r>
    <s v="EU27"/>
    <x v="13"/>
    <n v="2023"/>
    <x v="28"/>
    <x v="1"/>
    <x v="1"/>
    <m/>
    <m/>
    <n v="820172.63121650985"/>
  </r>
  <r>
    <s v="EU27"/>
    <x v="13"/>
    <n v="2023"/>
    <x v="28"/>
    <x v="1"/>
    <x v="2"/>
    <m/>
    <m/>
    <n v="2561901.0745122349"/>
  </r>
  <r>
    <s v="EU27"/>
    <x v="13"/>
    <n v="2023"/>
    <x v="28"/>
    <x v="2"/>
    <x v="0"/>
    <m/>
    <m/>
    <n v="16289.02455"/>
  </r>
  <r>
    <s v="EU27"/>
    <x v="13"/>
    <n v="2023"/>
    <x v="28"/>
    <x v="2"/>
    <x v="1"/>
    <m/>
    <m/>
    <n v="9298.8131099999991"/>
  </r>
  <r>
    <s v="EU27"/>
    <x v="13"/>
    <n v="2023"/>
    <x v="28"/>
    <x v="2"/>
    <x v="2"/>
    <m/>
    <m/>
    <n v="204325.33064999999"/>
  </r>
  <r>
    <s v="EU27"/>
    <x v="13"/>
    <n v="2023"/>
    <x v="29"/>
    <x v="0"/>
    <x v="0"/>
    <m/>
    <m/>
    <n v="1562706.839811096"/>
  </r>
  <r>
    <s v="EU27"/>
    <x v="13"/>
    <n v="2023"/>
    <x v="29"/>
    <x v="0"/>
    <x v="1"/>
    <m/>
    <m/>
    <n v="718943.41401369171"/>
  </r>
  <r>
    <s v="EU27"/>
    <x v="13"/>
    <n v="2023"/>
    <x v="29"/>
    <x v="0"/>
    <x v="2"/>
    <m/>
    <m/>
    <n v="2040907.036580611"/>
  </r>
  <r>
    <s v="EU27"/>
    <x v="13"/>
    <n v="2023"/>
    <x v="29"/>
    <x v="1"/>
    <x v="0"/>
    <m/>
    <m/>
    <n v="1723985.9371237131"/>
  </r>
  <r>
    <s v="EU27"/>
    <x v="13"/>
    <n v="2023"/>
    <x v="29"/>
    <x v="1"/>
    <x v="1"/>
    <m/>
    <m/>
    <n v="820172.63121650985"/>
  </r>
  <r>
    <s v="EU27"/>
    <x v="13"/>
    <n v="2023"/>
    <x v="29"/>
    <x v="1"/>
    <x v="2"/>
    <m/>
    <m/>
    <n v="2330051.67701102"/>
  </r>
  <r>
    <s v="EU27"/>
    <x v="13"/>
    <n v="2023"/>
    <x v="29"/>
    <x v="2"/>
    <x v="0"/>
    <m/>
    <m/>
    <n v="16289.02455"/>
  </r>
  <r>
    <s v="EU27"/>
    <x v="13"/>
    <n v="2023"/>
    <x v="29"/>
    <x v="2"/>
    <x v="1"/>
    <m/>
    <m/>
    <n v="9298.8131099999991"/>
  </r>
  <r>
    <s v="EU27"/>
    <x v="13"/>
    <n v="2023"/>
    <x v="29"/>
    <x v="2"/>
    <x v="2"/>
    <m/>
    <m/>
    <n v="187980.94737000001"/>
  </r>
  <r>
    <s v="EU27"/>
    <x v="14"/>
    <n v="2023"/>
    <x v="0"/>
    <x v="0"/>
    <x v="0"/>
    <m/>
    <m/>
    <n v="1039686.260694192"/>
  </r>
  <r>
    <s v="EU27"/>
    <x v="14"/>
    <n v="2023"/>
    <x v="0"/>
    <x v="0"/>
    <x v="1"/>
    <m/>
    <m/>
    <n v="511714.28943524871"/>
  </r>
  <r>
    <s v="EU27"/>
    <x v="14"/>
    <n v="2023"/>
    <x v="0"/>
    <x v="0"/>
    <x v="2"/>
    <m/>
    <m/>
    <n v="1568025.1932875849"/>
  </r>
  <r>
    <s v="EU27"/>
    <x v="14"/>
    <n v="2023"/>
    <x v="0"/>
    <x v="1"/>
    <x v="0"/>
    <m/>
    <m/>
    <n v="1188668.3430078111"/>
  </r>
  <r>
    <s v="EU27"/>
    <x v="14"/>
    <n v="2023"/>
    <x v="0"/>
    <x v="1"/>
    <x v="1"/>
    <m/>
    <m/>
    <n v="606911.92282512074"/>
  </r>
  <r>
    <s v="EU27"/>
    <x v="14"/>
    <n v="2023"/>
    <x v="0"/>
    <x v="1"/>
    <x v="2"/>
    <m/>
    <m/>
    <n v="1813626.4879589509"/>
  </r>
  <r>
    <s v="EU27"/>
    <x v="14"/>
    <n v="2023"/>
    <x v="0"/>
    <x v="2"/>
    <x v="0"/>
    <m/>
    <m/>
    <n v="11569.972599999999"/>
  </r>
  <r>
    <s v="EU27"/>
    <x v="14"/>
    <n v="2023"/>
    <x v="0"/>
    <x v="2"/>
    <x v="1"/>
    <m/>
    <m/>
    <n v="8606.1566300000013"/>
  </r>
  <r>
    <s v="EU27"/>
    <x v="14"/>
    <n v="2023"/>
    <x v="0"/>
    <x v="2"/>
    <x v="2"/>
    <m/>
    <m/>
    <n v="146638.92017"/>
  </r>
  <r>
    <s v="EU27"/>
    <x v="14"/>
    <n v="2023"/>
    <x v="1"/>
    <x v="0"/>
    <x v="0"/>
    <m/>
    <m/>
    <n v="41750.485812409977"/>
  </r>
  <r>
    <s v="EU27"/>
    <x v="14"/>
    <n v="2023"/>
    <x v="1"/>
    <x v="0"/>
    <x v="1"/>
    <m/>
    <m/>
    <n v="300591.00818462978"/>
  </r>
  <r>
    <s v="EU27"/>
    <x v="14"/>
    <n v="2023"/>
    <x v="1"/>
    <x v="0"/>
    <x v="2"/>
    <m/>
    <m/>
    <n v="342341.49415155221"/>
  </r>
  <r>
    <s v="EU27"/>
    <x v="14"/>
    <n v="2023"/>
    <x v="1"/>
    <x v="1"/>
    <x v="0"/>
    <m/>
    <m/>
    <n v="48947.434253314343"/>
  </r>
  <r>
    <s v="EU27"/>
    <x v="14"/>
    <n v="2023"/>
    <x v="1"/>
    <x v="1"/>
    <x v="1"/>
    <m/>
    <m/>
    <n v="368609.46473324421"/>
  </r>
  <r>
    <s v="EU27"/>
    <x v="14"/>
    <n v="2023"/>
    <x v="1"/>
    <x v="1"/>
    <x v="2"/>
    <m/>
    <m/>
    <n v="417557.19901739078"/>
  </r>
  <r>
    <s v="EU27"/>
    <x v="14"/>
    <n v="2023"/>
    <x v="1"/>
    <x v="2"/>
    <x v="0"/>
    <m/>
    <m/>
    <n v="77.315659999999994"/>
  </r>
  <r>
    <s v="EU27"/>
    <x v="14"/>
    <n v="2023"/>
    <x v="1"/>
    <x v="2"/>
    <x v="1"/>
    <m/>
    <m/>
    <n v="7117.05663"/>
  </r>
  <r>
    <s v="EU27"/>
    <x v="14"/>
    <n v="2023"/>
    <x v="1"/>
    <x v="2"/>
    <x v="2"/>
    <m/>
    <m/>
    <n v="48167.772290000001"/>
  </r>
  <r>
    <s v="EU27"/>
    <x v="14"/>
    <n v="2023"/>
    <x v="2"/>
    <x v="0"/>
    <x v="0"/>
    <m/>
    <m/>
    <n v="97993.283038137874"/>
  </r>
  <r>
    <s v="EU27"/>
    <x v="14"/>
    <n v="2023"/>
    <x v="2"/>
    <x v="0"/>
    <x v="1"/>
    <m/>
    <m/>
    <n v="193098.74088409339"/>
  </r>
  <r>
    <s v="EU27"/>
    <x v="14"/>
    <n v="2023"/>
    <x v="2"/>
    <x v="0"/>
    <x v="2"/>
    <m/>
    <m/>
    <n v="291091.92390226759"/>
  </r>
  <r>
    <s v="EU27"/>
    <x v="14"/>
    <n v="2023"/>
    <x v="2"/>
    <x v="1"/>
    <x v="0"/>
    <m/>
    <m/>
    <n v="103535.7231953085"/>
  </r>
  <r>
    <s v="EU27"/>
    <x v="14"/>
    <n v="2023"/>
    <x v="2"/>
    <x v="1"/>
    <x v="1"/>
    <m/>
    <m/>
    <n v="218370.86894981831"/>
  </r>
  <r>
    <s v="EU27"/>
    <x v="14"/>
    <n v="2023"/>
    <x v="2"/>
    <x v="1"/>
    <x v="2"/>
    <m/>
    <m/>
    <n v="321906.59212499228"/>
  </r>
  <r>
    <s v="EU27"/>
    <x v="14"/>
    <n v="2023"/>
    <x v="2"/>
    <x v="2"/>
    <x v="0"/>
    <m/>
    <m/>
    <n v="1060.9286999999999"/>
  </r>
  <r>
    <s v="EU27"/>
    <x v="14"/>
    <n v="2023"/>
    <x v="2"/>
    <x v="2"/>
    <x v="1"/>
    <m/>
    <m/>
    <n v="1419.2"/>
  </r>
  <r>
    <s v="EU27"/>
    <x v="14"/>
    <n v="2023"/>
    <x v="2"/>
    <x v="2"/>
    <x v="2"/>
    <m/>
    <m/>
    <n v="20641.828699999998"/>
  </r>
  <r>
    <s v="EU27"/>
    <x v="14"/>
    <n v="2023"/>
    <x v="3"/>
    <x v="0"/>
    <x v="0"/>
    <m/>
    <m/>
    <n v="528488.91686942976"/>
  </r>
  <r>
    <s v="EU27"/>
    <x v="14"/>
    <n v="2023"/>
    <x v="3"/>
    <x v="0"/>
    <x v="1"/>
    <m/>
    <m/>
    <n v="3392.8733258153211"/>
  </r>
  <r>
    <s v="EU27"/>
    <x v="14"/>
    <n v="2023"/>
    <x v="3"/>
    <x v="0"/>
    <x v="2"/>
    <m/>
    <m/>
    <n v="548506.53321698937"/>
  </r>
  <r>
    <s v="EU27"/>
    <x v="14"/>
    <n v="2023"/>
    <x v="3"/>
    <x v="1"/>
    <x v="0"/>
    <m/>
    <m/>
    <n v="606206.84110904171"/>
  </r>
  <r>
    <s v="EU27"/>
    <x v="14"/>
    <n v="2023"/>
    <x v="3"/>
    <x v="1"/>
    <x v="1"/>
    <m/>
    <m/>
    <n v="3619.0075178216671"/>
  </r>
  <r>
    <s v="EU27"/>
    <x v="14"/>
    <n v="2023"/>
    <x v="3"/>
    <x v="1"/>
    <x v="2"/>
    <m/>
    <m/>
    <n v="627871.97076218412"/>
  </r>
  <r>
    <s v="EU27"/>
    <x v="14"/>
    <n v="2023"/>
    <x v="3"/>
    <x v="2"/>
    <x v="0"/>
    <m/>
    <m/>
    <n v="8508.1984800000009"/>
  </r>
  <r>
    <s v="EU27"/>
    <x v="14"/>
    <n v="2023"/>
    <x v="3"/>
    <x v="2"/>
    <x v="1"/>
    <m/>
    <m/>
    <n v="0"/>
  </r>
  <r>
    <s v="EU27"/>
    <x v="14"/>
    <n v="2023"/>
    <x v="3"/>
    <x v="2"/>
    <x v="2"/>
    <m/>
    <m/>
    <n v="39531.589419999997"/>
  </r>
  <r>
    <s v="EU27"/>
    <x v="14"/>
    <n v="2023"/>
    <x v="4"/>
    <x v="0"/>
    <x v="0"/>
    <m/>
    <m/>
    <n v="145.55681918715999"/>
  </r>
  <r>
    <s v="EU27"/>
    <x v="14"/>
    <n v="2023"/>
    <x v="4"/>
    <x v="0"/>
    <x v="1"/>
    <m/>
    <m/>
    <n v="0"/>
  </r>
  <r>
    <s v="EU27"/>
    <x v="14"/>
    <n v="2023"/>
    <x v="4"/>
    <x v="0"/>
    <x v="2"/>
    <m/>
    <m/>
    <n v="16751.142002502071"/>
  </r>
  <r>
    <s v="EU27"/>
    <x v="14"/>
    <n v="2023"/>
    <x v="4"/>
    <x v="1"/>
    <x v="0"/>
    <m/>
    <m/>
    <n v="155.4612461700294"/>
  </r>
  <r>
    <s v="EU27"/>
    <x v="14"/>
    <n v="2023"/>
    <x v="4"/>
    <x v="1"/>
    <x v="1"/>
    <m/>
    <m/>
    <n v="0"/>
  </r>
  <r>
    <s v="EU27"/>
    <x v="14"/>
    <n v="2023"/>
    <x v="4"/>
    <x v="1"/>
    <x v="2"/>
    <m/>
    <m/>
    <n v="18198.305895356709"/>
  </r>
  <r>
    <s v="EU27"/>
    <x v="14"/>
    <n v="2023"/>
    <x v="4"/>
    <x v="2"/>
    <x v="0"/>
    <m/>
    <m/>
    <n v="1.2919999999999999E-2"/>
  </r>
  <r>
    <s v="EU27"/>
    <x v="14"/>
    <n v="2023"/>
    <x v="4"/>
    <x v="2"/>
    <x v="2"/>
    <m/>
    <m/>
    <n v="464.10386"/>
  </r>
  <r>
    <s v="EU27"/>
    <x v="14"/>
    <n v="2023"/>
    <x v="5"/>
    <x v="0"/>
    <x v="0"/>
    <m/>
    <m/>
    <n v="506536.09718226158"/>
  </r>
  <r>
    <s v="EU27"/>
    <x v="14"/>
    <n v="2023"/>
    <x v="5"/>
    <x v="0"/>
    <x v="1"/>
    <m/>
    <m/>
    <n v="0"/>
  </r>
  <r>
    <s v="EU27"/>
    <x v="14"/>
    <n v="2023"/>
    <x v="5"/>
    <x v="0"/>
    <x v="2"/>
    <m/>
    <m/>
    <n v="506536.09718226158"/>
  </r>
  <r>
    <s v="EU27"/>
    <x v="14"/>
    <n v="2023"/>
    <x v="5"/>
    <x v="1"/>
    <x v="0"/>
    <m/>
    <m/>
    <n v="583016.19367931585"/>
  </r>
  <r>
    <s v="EU27"/>
    <x v="14"/>
    <n v="2023"/>
    <x v="5"/>
    <x v="1"/>
    <x v="1"/>
    <m/>
    <m/>
    <n v="0"/>
  </r>
  <r>
    <s v="EU27"/>
    <x v="14"/>
    <n v="2023"/>
    <x v="5"/>
    <x v="1"/>
    <x v="2"/>
    <m/>
    <m/>
    <n v="583016.19367931585"/>
  </r>
  <r>
    <s v="EU27"/>
    <x v="14"/>
    <n v="2023"/>
    <x v="5"/>
    <x v="2"/>
    <x v="0"/>
    <m/>
    <m/>
    <n v="8412.7487000000001"/>
  </r>
  <r>
    <s v="EU27"/>
    <x v="14"/>
    <n v="2023"/>
    <x v="5"/>
    <x v="2"/>
    <x v="2"/>
    <m/>
    <m/>
    <n v="37264.648700000012"/>
  </r>
  <r>
    <s v="EU27"/>
    <x v="14"/>
    <n v="2023"/>
    <x v="6"/>
    <x v="0"/>
    <x v="0"/>
    <m/>
    <m/>
    <n v="3428.3256268988262"/>
  </r>
  <r>
    <s v="EU27"/>
    <x v="14"/>
    <n v="2023"/>
    <x v="6"/>
    <x v="0"/>
    <x v="1"/>
    <m/>
    <m/>
    <n v="0"/>
  </r>
  <r>
    <s v="EU27"/>
    <x v="14"/>
    <n v="2023"/>
    <x v="6"/>
    <x v="0"/>
    <x v="2"/>
    <m/>
    <m/>
    <n v="3428.3256268988262"/>
  </r>
  <r>
    <s v="EU27"/>
    <x v="14"/>
    <n v="2023"/>
    <x v="6"/>
    <x v="1"/>
    <x v="0"/>
    <m/>
    <m/>
    <n v="4159.2604197248966"/>
  </r>
  <r>
    <s v="EU27"/>
    <x v="14"/>
    <n v="2023"/>
    <x v="6"/>
    <x v="1"/>
    <x v="1"/>
    <m/>
    <m/>
    <n v="0"/>
  </r>
  <r>
    <s v="EU27"/>
    <x v="14"/>
    <n v="2023"/>
    <x v="6"/>
    <x v="1"/>
    <x v="2"/>
    <m/>
    <m/>
    <n v="4159.2604197248966"/>
  </r>
  <r>
    <s v="EU27"/>
    <x v="14"/>
    <n v="2023"/>
    <x v="6"/>
    <x v="2"/>
    <x v="0"/>
    <m/>
    <m/>
    <n v="37.6"/>
  </r>
  <r>
    <s v="EU27"/>
    <x v="14"/>
    <n v="2023"/>
    <x v="6"/>
    <x v="2"/>
    <x v="2"/>
    <m/>
    <m/>
    <n v="1153.3"/>
  </r>
  <r>
    <s v="EU27"/>
    <x v="14"/>
    <n v="2023"/>
    <x v="7"/>
    <x v="0"/>
    <x v="0"/>
    <m/>
    <m/>
    <n v="17155.446182892741"/>
  </r>
  <r>
    <s v="EU27"/>
    <x v="14"/>
    <n v="2023"/>
    <x v="7"/>
    <x v="0"/>
    <x v="1"/>
    <m/>
    <m/>
    <n v="0"/>
  </r>
  <r>
    <s v="EU27"/>
    <x v="14"/>
    <n v="2023"/>
    <x v="7"/>
    <x v="0"/>
    <x v="2"/>
    <m/>
    <m/>
    <n v="17155.446182892741"/>
  </r>
  <r>
    <s v="EU27"/>
    <x v="14"/>
    <n v="2023"/>
    <x v="7"/>
    <x v="1"/>
    <x v="0"/>
    <m/>
    <m/>
    <n v="17425.612819663082"/>
  </r>
  <r>
    <s v="EU27"/>
    <x v="14"/>
    <n v="2023"/>
    <x v="7"/>
    <x v="1"/>
    <x v="1"/>
    <m/>
    <m/>
    <n v="0"/>
  </r>
  <r>
    <s v="EU27"/>
    <x v="14"/>
    <n v="2023"/>
    <x v="7"/>
    <x v="1"/>
    <x v="2"/>
    <m/>
    <m/>
    <n v="17425.612819663082"/>
  </r>
  <r>
    <s v="EU27"/>
    <x v="14"/>
    <n v="2023"/>
    <x v="7"/>
    <x v="2"/>
    <x v="0"/>
    <m/>
    <m/>
    <n v="50.536859999999997"/>
  </r>
  <r>
    <s v="EU27"/>
    <x v="14"/>
    <n v="2023"/>
    <x v="7"/>
    <x v="2"/>
    <x v="2"/>
    <m/>
    <m/>
    <n v="365.03685999999999"/>
  </r>
  <r>
    <s v="EU27"/>
    <x v="14"/>
    <n v="2023"/>
    <x v="8"/>
    <x v="0"/>
    <x v="0"/>
    <m/>
    <m/>
    <n v="1241.9480281893871"/>
  </r>
  <r>
    <s v="EU27"/>
    <x v="14"/>
    <n v="2023"/>
    <x v="8"/>
    <x v="0"/>
    <x v="1"/>
    <m/>
    <m/>
    <n v="3412.2356242446881"/>
  </r>
  <r>
    <s v="EU27"/>
    <x v="14"/>
    <n v="2023"/>
    <x v="8"/>
    <x v="0"/>
    <x v="2"/>
    <m/>
    <m/>
    <n v="4654.1836624340749"/>
  </r>
  <r>
    <s v="EU27"/>
    <x v="14"/>
    <n v="2023"/>
    <x v="8"/>
    <x v="1"/>
    <x v="0"/>
    <m/>
    <m/>
    <n v="1468.9305041678319"/>
  </r>
  <r>
    <s v="EU27"/>
    <x v="14"/>
    <n v="2023"/>
    <x v="8"/>
    <x v="1"/>
    <x v="1"/>
    <m/>
    <m/>
    <n v="3622.2288839557509"/>
  </r>
  <r>
    <s v="EU27"/>
    <x v="14"/>
    <n v="2023"/>
    <x v="8"/>
    <x v="1"/>
    <x v="2"/>
    <m/>
    <m/>
    <n v="5091.1593881235822"/>
  </r>
  <r>
    <s v="EU27"/>
    <x v="14"/>
    <n v="2023"/>
    <x v="8"/>
    <x v="2"/>
    <x v="0"/>
    <m/>
    <m/>
    <n v="7.2"/>
  </r>
  <r>
    <s v="EU27"/>
    <x v="14"/>
    <n v="2023"/>
    <x v="8"/>
    <x v="2"/>
    <x v="2"/>
    <m/>
    <m/>
    <n v="284.3"/>
  </r>
  <r>
    <s v="EU27"/>
    <x v="14"/>
    <n v="2023"/>
    <x v="9"/>
    <x v="0"/>
    <x v="0"/>
    <m/>
    <m/>
    <n v="317482.37354997691"/>
  </r>
  <r>
    <s v="EU27"/>
    <x v="14"/>
    <n v="2023"/>
    <x v="9"/>
    <x v="0"/>
    <x v="1"/>
    <m/>
    <m/>
    <n v="1457.357975058979"/>
  </r>
  <r>
    <s v="EU27"/>
    <x v="14"/>
    <n v="2023"/>
    <x v="9"/>
    <x v="0"/>
    <x v="2"/>
    <m/>
    <m/>
    <n v="318939.53150688682"/>
  </r>
  <r>
    <s v="EU27"/>
    <x v="14"/>
    <n v="2023"/>
    <x v="9"/>
    <x v="1"/>
    <x v="0"/>
    <m/>
    <m/>
    <n v="373485.08875831182"/>
  </r>
  <r>
    <s v="EU27"/>
    <x v="14"/>
    <n v="2023"/>
    <x v="9"/>
    <x v="1"/>
    <x v="1"/>
    <m/>
    <m/>
    <n v="1594.557986071675"/>
  </r>
  <r>
    <s v="EU27"/>
    <x v="14"/>
    <n v="2023"/>
    <x v="9"/>
    <x v="1"/>
    <x v="2"/>
    <m/>
    <m/>
    <n v="375079.74674438348"/>
  </r>
  <r>
    <s v="EU27"/>
    <x v="14"/>
    <n v="2023"/>
    <x v="9"/>
    <x v="2"/>
    <x v="0"/>
    <m/>
    <m/>
    <n v="1489.8297500000001"/>
  </r>
  <r>
    <s v="EU27"/>
    <x v="14"/>
    <n v="2023"/>
    <x v="9"/>
    <x v="2"/>
    <x v="2"/>
    <m/>
    <m/>
    <n v="18376.029750000002"/>
  </r>
  <r>
    <s v="EU27"/>
    <x v="14"/>
    <n v="2023"/>
    <x v="10"/>
    <x v="0"/>
    <x v="0"/>
    <m/>
    <m/>
    <n v="3550.29664"/>
  </r>
  <r>
    <s v="EU27"/>
    <x v="14"/>
    <n v="2023"/>
    <x v="10"/>
    <x v="0"/>
    <x v="1"/>
    <m/>
    <m/>
    <n v="0"/>
  </r>
  <r>
    <s v="EU27"/>
    <x v="14"/>
    <n v="2023"/>
    <x v="10"/>
    <x v="0"/>
    <x v="2"/>
    <m/>
    <m/>
    <n v="3550.29664"/>
  </r>
  <r>
    <s v="EU27"/>
    <x v="14"/>
    <n v="2023"/>
    <x v="10"/>
    <x v="1"/>
    <x v="0"/>
    <m/>
    <m/>
    <n v="3550.6109700000002"/>
  </r>
  <r>
    <s v="EU27"/>
    <x v="14"/>
    <n v="2023"/>
    <x v="10"/>
    <x v="1"/>
    <x v="1"/>
    <m/>
    <m/>
    <n v="0"/>
  </r>
  <r>
    <s v="EU27"/>
    <x v="14"/>
    <n v="2023"/>
    <x v="10"/>
    <x v="1"/>
    <x v="2"/>
    <m/>
    <m/>
    <n v="3550.6109700000002"/>
  </r>
  <r>
    <s v="EU27"/>
    <x v="14"/>
    <n v="2023"/>
    <x v="10"/>
    <x v="2"/>
    <x v="0"/>
    <m/>
    <m/>
    <n v="4.0999999999999996"/>
  </r>
  <r>
    <s v="EU27"/>
    <x v="14"/>
    <n v="2023"/>
    <x v="10"/>
    <x v="2"/>
    <x v="2"/>
    <m/>
    <m/>
    <n v="1246.2"/>
  </r>
  <r>
    <s v="EU27"/>
    <x v="14"/>
    <n v="2023"/>
    <x v="11"/>
    <x v="0"/>
    <x v="0"/>
    <m/>
    <m/>
    <n v="50481.704764237627"/>
  </r>
  <r>
    <s v="EU27"/>
    <x v="14"/>
    <n v="2023"/>
    <x v="11"/>
    <x v="0"/>
    <x v="1"/>
    <m/>
    <m/>
    <n v="13174.609095651151"/>
  </r>
  <r>
    <s v="EU27"/>
    <x v="14"/>
    <n v="2023"/>
    <x v="11"/>
    <x v="0"/>
    <x v="2"/>
    <m/>
    <m/>
    <n v="63656.313849888793"/>
  </r>
  <r>
    <s v="EU27"/>
    <x v="14"/>
    <n v="2023"/>
    <x v="11"/>
    <x v="1"/>
    <x v="0"/>
    <m/>
    <m/>
    <n v="53003.044681835017"/>
  </r>
  <r>
    <s v="EU27"/>
    <x v="14"/>
    <n v="2023"/>
    <x v="11"/>
    <x v="1"/>
    <x v="1"/>
    <m/>
    <m/>
    <n v="14718.22366816497"/>
  </r>
  <r>
    <s v="EU27"/>
    <x v="14"/>
    <n v="2023"/>
    <x v="11"/>
    <x v="1"/>
    <x v="2"/>
    <m/>
    <m/>
    <n v="67721.368340000001"/>
  </r>
  <r>
    <s v="EU27"/>
    <x v="14"/>
    <n v="2023"/>
    <x v="11"/>
    <x v="2"/>
    <x v="0"/>
    <m/>
    <m/>
    <n v="429.7"/>
  </r>
  <r>
    <s v="EU27"/>
    <x v="14"/>
    <n v="2023"/>
    <x v="11"/>
    <x v="2"/>
    <x v="1"/>
    <m/>
    <m/>
    <n v="69.900000000000006"/>
  </r>
  <r>
    <s v="EU27"/>
    <x v="14"/>
    <n v="2023"/>
    <x v="11"/>
    <x v="2"/>
    <x v="2"/>
    <m/>
    <m/>
    <n v="18675.400000000001"/>
  </r>
  <r>
    <s v="EU27"/>
    <x v="14"/>
    <n v="2023"/>
    <x v="12"/>
    <x v="0"/>
    <x v="0"/>
    <m/>
    <m/>
    <n v="0"/>
  </r>
  <r>
    <s v="EU27"/>
    <x v="14"/>
    <n v="2023"/>
    <x v="12"/>
    <x v="0"/>
    <x v="1"/>
    <m/>
    <m/>
    <n v="0"/>
  </r>
  <r>
    <s v="EU27"/>
    <x v="14"/>
    <n v="2023"/>
    <x v="12"/>
    <x v="0"/>
    <x v="2"/>
    <m/>
    <m/>
    <n v="0"/>
  </r>
  <r>
    <s v="EU27"/>
    <x v="14"/>
    <n v="2023"/>
    <x v="12"/>
    <x v="1"/>
    <x v="0"/>
    <m/>
    <m/>
    <n v="0"/>
  </r>
  <r>
    <s v="EU27"/>
    <x v="14"/>
    <n v="2023"/>
    <x v="12"/>
    <x v="1"/>
    <x v="1"/>
    <m/>
    <m/>
    <n v="0"/>
  </r>
  <r>
    <s v="EU27"/>
    <x v="14"/>
    <n v="2023"/>
    <x v="12"/>
    <x v="1"/>
    <x v="2"/>
    <m/>
    <m/>
    <n v="0"/>
  </r>
  <r>
    <s v="EU27"/>
    <x v="14"/>
    <n v="2023"/>
    <x v="13"/>
    <x v="0"/>
    <x v="0"/>
    <m/>
    <m/>
    <n v="51865.00151992881"/>
  </r>
  <r>
    <s v="EU27"/>
    <x v="14"/>
    <n v="2023"/>
    <x v="13"/>
    <x v="0"/>
    <x v="1"/>
    <m/>
    <m/>
    <n v="179053.48490111841"/>
  </r>
  <r>
    <s v="EU27"/>
    <x v="14"/>
    <n v="2023"/>
    <x v="13"/>
    <x v="0"/>
    <x v="2"/>
    <m/>
    <m/>
    <n v="230658.5818322069"/>
  </r>
  <r>
    <s v="EU27"/>
    <x v="14"/>
    <n v="2023"/>
    <x v="13"/>
    <x v="1"/>
    <x v="0"/>
    <m/>
    <m/>
    <n v="54657.776687081103"/>
  </r>
  <r>
    <s v="EU27"/>
    <x v="14"/>
    <n v="2023"/>
    <x v="13"/>
    <x v="1"/>
    <x v="1"/>
    <m/>
    <m/>
    <n v="188990.31658995899"/>
  </r>
  <r>
    <s v="EU27"/>
    <x v="14"/>
    <n v="2023"/>
    <x v="13"/>
    <x v="1"/>
    <x v="2"/>
    <m/>
    <m/>
    <n v="243389.04649871969"/>
  </r>
  <r>
    <s v="EU27"/>
    <x v="14"/>
    <n v="2023"/>
    <x v="13"/>
    <x v="2"/>
    <x v="0"/>
    <m/>
    <m/>
    <n v="1136.1532"/>
  </r>
  <r>
    <s v="EU27"/>
    <x v="14"/>
    <n v="2023"/>
    <x v="13"/>
    <x v="2"/>
    <x v="1"/>
    <m/>
    <m/>
    <n v="747.8"/>
  </r>
  <r>
    <s v="EU27"/>
    <x v="14"/>
    <n v="2023"/>
    <x v="13"/>
    <x v="2"/>
    <x v="2"/>
    <m/>
    <m/>
    <n v="16691.053199999998"/>
  </r>
  <r>
    <s v="EU27"/>
    <x v="14"/>
    <n v="2023"/>
    <x v="14"/>
    <x v="0"/>
    <x v="0"/>
    <m/>
    <m/>
    <n v="353086.52179679013"/>
  </r>
  <r>
    <s v="EU27"/>
    <x v="14"/>
    <n v="2023"/>
    <x v="14"/>
    <x v="0"/>
    <x v="2"/>
    <m/>
    <m/>
    <n v="353086.52179679013"/>
  </r>
  <r>
    <s v="EU27"/>
    <x v="14"/>
    <n v="2023"/>
    <x v="14"/>
    <x v="1"/>
    <x v="0"/>
    <m/>
    <m/>
    <n v="368869.55833271513"/>
  </r>
  <r>
    <s v="EU27"/>
    <x v="14"/>
    <n v="2023"/>
    <x v="14"/>
    <x v="1"/>
    <x v="2"/>
    <m/>
    <m/>
    <n v="368869.55833271513"/>
  </r>
  <r>
    <s v="EU27"/>
    <x v="14"/>
    <n v="2023"/>
    <x v="14"/>
    <x v="2"/>
    <x v="0"/>
    <m/>
    <m/>
    <n v="2054.4911000000002"/>
  </r>
  <r>
    <s v="EU27"/>
    <x v="14"/>
    <n v="2023"/>
    <x v="14"/>
    <x v="2"/>
    <x v="2"/>
    <m/>
    <m/>
    <n v="32610.891100000001"/>
  </r>
  <r>
    <s v="EU27"/>
    <x v="14"/>
    <n v="2023"/>
    <x v="15"/>
    <x v="0"/>
    <x v="2"/>
    <m/>
    <m/>
    <n v="-257250.27275336269"/>
  </r>
  <r>
    <s v="EU27"/>
    <x v="14"/>
    <n v="2023"/>
    <x v="15"/>
    <x v="1"/>
    <x v="2"/>
    <m/>
    <m/>
    <n v="-230840.8407265296"/>
  </r>
  <r>
    <s v="EU27"/>
    <x v="14"/>
    <n v="2023"/>
    <x v="15"/>
    <x v="2"/>
    <x v="2"/>
    <m/>
    <m/>
    <n v="-16084.70112"/>
  </r>
  <r>
    <s v="EU27"/>
    <x v="14"/>
    <n v="2023"/>
    <x v="16"/>
    <x v="0"/>
    <x v="2"/>
    <m/>
    <m/>
    <n v="-312624.40177655732"/>
  </r>
  <r>
    <s v="EU27"/>
    <x v="14"/>
    <n v="2023"/>
    <x v="16"/>
    <x v="1"/>
    <x v="2"/>
    <m/>
    <m/>
    <n v="-295800.09488313372"/>
  </r>
  <r>
    <s v="EU27"/>
    <x v="14"/>
    <n v="2023"/>
    <x v="16"/>
    <x v="2"/>
    <x v="2"/>
    <m/>
    <m/>
    <n v="-18839.721829999999"/>
  </r>
  <r>
    <s v="EU27"/>
    <x v="14"/>
    <n v="2023"/>
    <x v="17"/>
    <x v="0"/>
    <x v="2"/>
    <m/>
    <m/>
    <n v="28251.107261063909"/>
  </r>
  <r>
    <s v="EU27"/>
    <x v="14"/>
    <n v="2023"/>
    <x v="17"/>
    <x v="1"/>
    <x v="2"/>
    <m/>
    <m/>
    <n v="34261.828374471828"/>
  </r>
  <r>
    <s v="EU27"/>
    <x v="14"/>
    <n v="2023"/>
    <x v="17"/>
    <x v="2"/>
    <x v="2"/>
    <m/>
    <m/>
    <n v="-2282.1154099999999"/>
  </r>
  <r>
    <s v="EU27"/>
    <x v="14"/>
    <n v="2023"/>
    <x v="18"/>
    <x v="0"/>
    <x v="2"/>
    <m/>
    <m/>
    <n v="16554.822725725939"/>
  </r>
  <r>
    <s v="EU27"/>
    <x v="14"/>
    <n v="2023"/>
    <x v="18"/>
    <x v="1"/>
    <x v="2"/>
    <m/>
    <m/>
    <n v="17822.420529349562"/>
  </r>
  <r>
    <s v="EU27"/>
    <x v="14"/>
    <n v="2023"/>
    <x v="18"/>
    <x v="2"/>
    <x v="2"/>
    <m/>
    <m/>
    <n v="2994.0147400000001"/>
  </r>
  <r>
    <s v="EU27"/>
    <x v="14"/>
    <n v="2023"/>
    <x v="19"/>
    <x v="0"/>
    <x v="2"/>
    <m/>
    <m/>
    <n v="12571.80084313628"/>
  </r>
  <r>
    <s v="EU27"/>
    <x v="14"/>
    <n v="2023"/>
    <x v="19"/>
    <x v="1"/>
    <x v="2"/>
    <m/>
    <m/>
    <n v="13528.01369313579"/>
  </r>
  <r>
    <s v="EU27"/>
    <x v="14"/>
    <n v="2023"/>
    <x v="19"/>
    <x v="2"/>
    <x v="2"/>
    <m/>
    <m/>
    <n v="765.48648000000003"/>
  </r>
  <r>
    <s v="EU27"/>
    <x v="14"/>
    <n v="2023"/>
    <x v="20"/>
    <x v="0"/>
    <x v="2"/>
    <m/>
    <m/>
    <n v="31702.025264638571"/>
  </r>
  <r>
    <s v="EU27"/>
    <x v="14"/>
    <n v="2023"/>
    <x v="20"/>
    <x v="1"/>
    <x v="2"/>
    <m/>
    <m/>
    <n v="32190.24919598765"/>
  </r>
  <r>
    <s v="EU27"/>
    <x v="14"/>
    <n v="2023"/>
    <x v="20"/>
    <x v="2"/>
    <x v="2"/>
    <m/>
    <m/>
    <n v="2995.0581999999999"/>
  </r>
  <r>
    <s v="EU27"/>
    <x v="14"/>
    <n v="2023"/>
    <x v="21"/>
    <x v="0"/>
    <x v="2"/>
    <m/>
    <m/>
    <n v="524.59789999999998"/>
  </r>
  <r>
    <s v="EU27"/>
    <x v="14"/>
    <n v="2023"/>
    <x v="21"/>
    <x v="1"/>
    <x v="2"/>
    <m/>
    <m/>
    <n v="405.7027700000001"/>
  </r>
  <r>
    <s v="EU27"/>
    <x v="14"/>
    <n v="2023"/>
    <x v="21"/>
    <x v="2"/>
    <x v="2"/>
    <m/>
    <m/>
    <n v="282.77668999999997"/>
  </r>
  <r>
    <s v="EU27"/>
    <x v="14"/>
    <n v="2023"/>
    <x v="22"/>
    <x v="0"/>
    <x v="2"/>
    <m/>
    <m/>
    <n v="-33809.883679999999"/>
  </r>
  <r>
    <s v="EU27"/>
    <x v="14"/>
    <n v="2023"/>
    <x v="22"/>
    <x v="1"/>
    <x v="2"/>
    <m/>
    <m/>
    <n v="-33496.707309999998"/>
  </r>
  <r>
    <s v="EU27"/>
    <x v="14"/>
    <n v="2023"/>
    <x v="22"/>
    <x v="2"/>
    <x v="2"/>
    <m/>
    <m/>
    <n v="-2000"/>
  </r>
  <r>
    <s v="EU27"/>
    <x v="14"/>
    <n v="2023"/>
    <x v="23"/>
    <x v="0"/>
    <x v="2"/>
    <m/>
    <m/>
    <n v="253.85033000000001"/>
  </r>
  <r>
    <s v="EU27"/>
    <x v="14"/>
    <n v="2023"/>
    <x v="23"/>
    <x v="1"/>
    <x v="2"/>
    <m/>
    <m/>
    <n v="253.85033000000001"/>
  </r>
  <r>
    <s v="EU27"/>
    <x v="14"/>
    <n v="2023"/>
    <x v="24"/>
    <x v="0"/>
    <x v="0"/>
    <m/>
    <m/>
    <n v="78355.06190507178"/>
  </r>
  <r>
    <s v="EU27"/>
    <x v="14"/>
    <n v="2023"/>
    <x v="24"/>
    <x v="0"/>
    <x v="1"/>
    <m/>
    <m/>
    <n v="244.97255519641979"/>
  </r>
  <r>
    <s v="EU27"/>
    <x v="14"/>
    <n v="2023"/>
    <x v="24"/>
    <x v="0"/>
    <x v="2"/>
    <m/>
    <m/>
    <n v="78600.034460268202"/>
  </r>
  <r>
    <s v="EU27"/>
    <x v="14"/>
    <n v="2023"/>
    <x v="24"/>
    <x v="1"/>
    <x v="0"/>
    <m/>
    <m/>
    <n v="79380.149815078054"/>
  </r>
  <r>
    <s v="EU27"/>
    <x v="14"/>
    <n v="2023"/>
    <x v="24"/>
    <x v="1"/>
    <x v="1"/>
    <m/>
    <m/>
    <n v="244.972555199048"/>
  </r>
  <r>
    <s v="EU27"/>
    <x v="14"/>
    <n v="2023"/>
    <x v="24"/>
    <x v="1"/>
    <x v="2"/>
    <m/>
    <m/>
    <n v="79514.494319751087"/>
  </r>
  <r>
    <s v="EU27"/>
    <x v="14"/>
    <n v="2023"/>
    <x v="24"/>
    <x v="2"/>
    <x v="0"/>
    <m/>
    <m/>
    <n v="1653.4554800000001"/>
  </r>
  <r>
    <s v="EU27"/>
    <x v="14"/>
    <n v="2023"/>
    <x v="24"/>
    <x v="2"/>
    <x v="2"/>
    <m/>
    <m/>
    <n v="10407.25548"/>
  </r>
  <r>
    <s v="EU27"/>
    <x v="14"/>
    <n v="2023"/>
    <x v="25"/>
    <x v="0"/>
    <x v="0"/>
    <m/>
    <m/>
    <n v="147.80000000000001"/>
  </r>
  <r>
    <s v="EU27"/>
    <x v="14"/>
    <n v="2023"/>
    <x v="25"/>
    <x v="0"/>
    <x v="2"/>
    <m/>
    <m/>
    <n v="120707.6404408543"/>
  </r>
  <r>
    <s v="EU27"/>
    <x v="14"/>
    <n v="2023"/>
    <x v="25"/>
    <x v="1"/>
    <x v="0"/>
    <m/>
    <m/>
    <n v="147.80000000000001"/>
  </r>
  <r>
    <s v="EU27"/>
    <x v="14"/>
    <n v="2023"/>
    <x v="25"/>
    <x v="1"/>
    <x v="2"/>
    <m/>
    <m/>
    <n v="127511.8911234789"/>
  </r>
  <r>
    <s v="EU27"/>
    <x v="14"/>
    <n v="2023"/>
    <x v="25"/>
    <x v="2"/>
    <x v="2"/>
    <m/>
    <m/>
    <n v="1131.2548099999999"/>
  </r>
  <r>
    <s v="EU27"/>
    <x v="14"/>
    <n v="2023"/>
    <x v="26"/>
    <x v="0"/>
    <x v="0"/>
    <m/>
    <m/>
    <n v="784.5"/>
  </r>
  <r>
    <s v="EU27"/>
    <x v="14"/>
    <n v="2023"/>
    <x v="26"/>
    <x v="0"/>
    <x v="2"/>
    <m/>
    <m/>
    <n v="139125.8320220818"/>
  </r>
  <r>
    <s v="EU27"/>
    <x v="14"/>
    <n v="2023"/>
    <x v="26"/>
    <x v="1"/>
    <x v="0"/>
    <m/>
    <m/>
    <n v="784.5"/>
  </r>
  <r>
    <s v="EU27"/>
    <x v="14"/>
    <n v="2023"/>
    <x v="26"/>
    <x v="1"/>
    <x v="2"/>
    <m/>
    <m/>
    <n v="141314.0276269929"/>
  </r>
  <r>
    <s v="EU27"/>
    <x v="14"/>
    <n v="2023"/>
    <x v="26"/>
    <x v="2"/>
    <x v="2"/>
    <m/>
    <m/>
    <n v="899.8"/>
  </r>
  <r>
    <s v="EU27"/>
    <x v="14"/>
    <n v="2023"/>
    <x v="27"/>
    <x v="0"/>
    <x v="0"/>
    <m/>
    <m/>
    <n v="711.78656999999998"/>
  </r>
  <r>
    <s v="EU27"/>
    <x v="14"/>
    <n v="2023"/>
    <x v="27"/>
    <x v="0"/>
    <x v="2"/>
    <m/>
    <m/>
    <n v="855.68656999999996"/>
  </r>
  <r>
    <s v="EU27"/>
    <x v="14"/>
    <n v="2023"/>
    <x v="27"/>
    <x v="1"/>
    <x v="0"/>
    <m/>
    <m/>
    <n v="712.89333999999997"/>
  </r>
  <r>
    <s v="EU27"/>
    <x v="14"/>
    <n v="2023"/>
    <x v="27"/>
    <x v="1"/>
    <x v="2"/>
    <m/>
    <m/>
    <n v="856.79333999999994"/>
  </r>
  <r>
    <s v="EU27"/>
    <x v="14"/>
    <n v="2023"/>
    <x v="28"/>
    <x v="0"/>
    <x v="0"/>
    <m/>
    <m/>
    <n v="1523916.4770559829"/>
  </r>
  <r>
    <s v="EU27"/>
    <x v="14"/>
    <n v="2023"/>
    <x v="28"/>
    <x v="0"/>
    <x v="1"/>
    <m/>
    <m/>
    <n v="691012.94689156348"/>
  </r>
  <r>
    <s v="EU27"/>
    <x v="14"/>
    <n v="2023"/>
    <x v="28"/>
    <x v="0"/>
    <x v="2"/>
    <m/>
    <m/>
    <n v="2231294.0625468502"/>
  </r>
  <r>
    <s v="EU27"/>
    <x v="14"/>
    <n v="2023"/>
    <x v="28"/>
    <x v="1"/>
    <x v="0"/>
    <m/>
    <m/>
    <n v="1692288.621132686"/>
  </r>
  <r>
    <s v="EU27"/>
    <x v="14"/>
    <n v="2023"/>
    <x v="28"/>
    <x v="1"/>
    <x v="1"/>
    <m/>
    <m/>
    <n v="796147.7119902788"/>
  </r>
  <r>
    <s v="EU27"/>
    <x v="14"/>
    <n v="2023"/>
    <x v="28"/>
    <x v="1"/>
    <x v="2"/>
    <m/>
    <m/>
    <n v="2506112.4367301371"/>
  </r>
  <r>
    <s v="EU27"/>
    <x v="14"/>
    <n v="2023"/>
    <x v="28"/>
    <x v="2"/>
    <x v="0"/>
    <m/>
    <m/>
    <n v="16414.072380000001"/>
  </r>
  <r>
    <s v="EU27"/>
    <x v="14"/>
    <n v="2023"/>
    <x v="28"/>
    <x v="2"/>
    <x v="1"/>
    <m/>
    <m/>
    <n v="9353.9566300000006"/>
  </r>
  <r>
    <s v="EU27"/>
    <x v="14"/>
    <n v="2023"/>
    <x v="28"/>
    <x v="2"/>
    <x v="2"/>
    <m/>
    <m/>
    <n v="206348.01994999999"/>
  </r>
  <r>
    <s v="EU27"/>
    <x v="14"/>
    <n v="2023"/>
    <x v="29"/>
    <x v="0"/>
    <x v="0"/>
    <m/>
    <m/>
    <n v="1523916.4770559829"/>
  </r>
  <r>
    <s v="EU27"/>
    <x v="14"/>
    <n v="2023"/>
    <x v="29"/>
    <x v="0"/>
    <x v="1"/>
    <m/>
    <m/>
    <n v="691012.94689156348"/>
  </r>
  <r>
    <s v="EU27"/>
    <x v="14"/>
    <n v="2023"/>
    <x v="29"/>
    <x v="0"/>
    <x v="2"/>
    <m/>
    <m/>
    <n v="1974044.2897934869"/>
  </r>
  <r>
    <s v="EU27"/>
    <x v="14"/>
    <n v="2023"/>
    <x v="29"/>
    <x v="1"/>
    <x v="0"/>
    <m/>
    <m/>
    <n v="1692288.621132686"/>
  </r>
  <r>
    <s v="EU27"/>
    <x v="14"/>
    <n v="2023"/>
    <x v="29"/>
    <x v="1"/>
    <x v="1"/>
    <m/>
    <m/>
    <n v="796147.7119902788"/>
  </r>
  <r>
    <s v="EU27"/>
    <x v="14"/>
    <n v="2023"/>
    <x v="29"/>
    <x v="1"/>
    <x v="2"/>
    <m/>
    <m/>
    <n v="2275263.4914236069"/>
  </r>
  <r>
    <s v="EU27"/>
    <x v="14"/>
    <n v="2023"/>
    <x v="29"/>
    <x v="2"/>
    <x v="0"/>
    <m/>
    <m/>
    <n v="16414.072380000001"/>
  </r>
  <r>
    <s v="EU27"/>
    <x v="14"/>
    <n v="2023"/>
    <x v="29"/>
    <x v="2"/>
    <x v="1"/>
    <m/>
    <m/>
    <n v="9353.9566300000006"/>
  </r>
  <r>
    <s v="EU27"/>
    <x v="14"/>
    <n v="2023"/>
    <x v="29"/>
    <x v="2"/>
    <x v="2"/>
    <m/>
    <m/>
    <n v="190574.01882"/>
  </r>
  <r>
    <s v="EU27"/>
    <x v="15"/>
    <n v="2023"/>
    <x v="0"/>
    <x v="0"/>
    <x v="0"/>
    <m/>
    <m/>
    <n v="1006704.797843578"/>
  </r>
  <r>
    <s v="EU27"/>
    <x v="15"/>
    <n v="2023"/>
    <x v="0"/>
    <x v="0"/>
    <x v="1"/>
    <m/>
    <m/>
    <n v="499697.52679311298"/>
  </r>
  <r>
    <s v="EU27"/>
    <x v="15"/>
    <n v="2023"/>
    <x v="0"/>
    <x v="0"/>
    <x v="2"/>
    <m/>
    <m/>
    <n v="1523123.3159200661"/>
  </r>
  <r>
    <s v="EU27"/>
    <x v="15"/>
    <n v="2023"/>
    <x v="0"/>
    <x v="1"/>
    <x v="0"/>
    <m/>
    <m/>
    <n v="1162691.910716129"/>
  </r>
  <r>
    <s v="EU27"/>
    <x v="15"/>
    <n v="2023"/>
    <x v="0"/>
    <x v="1"/>
    <x v="1"/>
    <m/>
    <m/>
    <n v="589915.32942051208"/>
  </r>
  <r>
    <s v="EU27"/>
    <x v="15"/>
    <n v="2023"/>
    <x v="0"/>
    <x v="1"/>
    <x v="2"/>
    <m/>
    <m/>
    <n v="1770773.333921398"/>
  </r>
  <r>
    <s v="EU27"/>
    <x v="15"/>
    <n v="2023"/>
    <x v="0"/>
    <x v="2"/>
    <x v="0"/>
    <m/>
    <m/>
    <n v="11736.27262"/>
  </r>
  <r>
    <s v="EU27"/>
    <x v="15"/>
    <n v="2023"/>
    <x v="0"/>
    <x v="2"/>
    <x v="1"/>
    <m/>
    <m/>
    <n v="8614.3566300000002"/>
  </r>
  <r>
    <s v="EU27"/>
    <x v="15"/>
    <n v="2023"/>
    <x v="0"/>
    <x v="2"/>
    <x v="2"/>
    <m/>
    <m/>
    <n v="148203.32465"/>
  </r>
  <r>
    <s v="EU27"/>
    <x v="15"/>
    <n v="2023"/>
    <x v="1"/>
    <x v="0"/>
    <x v="0"/>
    <m/>
    <m/>
    <n v="41031.014395082617"/>
  </r>
  <r>
    <s v="EU27"/>
    <x v="15"/>
    <n v="2023"/>
    <x v="1"/>
    <x v="0"/>
    <x v="1"/>
    <m/>
    <m/>
    <n v="292826.32082758931"/>
  </r>
  <r>
    <s v="EU27"/>
    <x v="15"/>
    <n v="2023"/>
    <x v="1"/>
    <x v="0"/>
    <x v="2"/>
    <m/>
    <m/>
    <n v="333857.11536718428"/>
  </r>
  <r>
    <s v="EU27"/>
    <x v="15"/>
    <n v="2023"/>
    <x v="1"/>
    <x v="1"/>
    <x v="0"/>
    <m/>
    <m/>
    <n v="47555.112495513531"/>
  </r>
  <r>
    <s v="EU27"/>
    <x v="15"/>
    <n v="2023"/>
    <x v="1"/>
    <x v="1"/>
    <x v="1"/>
    <m/>
    <m/>
    <n v="355763.2165867032"/>
  </r>
  <r>
    <s v="EU27"/>
    <x v="15"/>
    <n v="2023"/>
    <x v="1"/>
    <x v="1"/>
    <x v="2"/>
    <m/>
    <m/>
    <n v="403318.16910295008"/>
  </r>
  <r>
    <s v="EU27"/>
    <x v="15"/>
    <n v="2023"/>
    <x v="1"/>
    <x v="2"/>
    <x v="0"/>
    <m/>
    <m/>
    <n v="72.915660000000003"/>
  </r>
  <r>
    <s v="EU27"/>
    <x v="15"/>
    <n v="2023"/>
    <x v="1"/>
    <x v="2"/>
    <x v="1"/>
    <m/>
    <m/>
    <n v="7117.05663"/>
  </r>
  <r>
    <s v="EU27"/>
    <x v="15"/>
    <n v="2023"/>
    <x v="1"/>
    <x v="2"/>
    <x v="2"/>
    <m/>
    <m/>
    <n v="48163.472289999998"/>
  </r>
  <r>
    <s v="EU27"/>
    <x v="15"/>
    <n v="2023"/>
    <x v="2"/>
    <x v="0"/>
    <x v="0"/>
    <m/>
    <m/>
    <n v="96867.680224078009"/>
  </r>
  <r>
    <s v="EU27"/>
    <x v="15"/>
    <n v="2023"/>
    <x v="2"/>
    <x v="0"/>
    <x v="1"/>
    <m/>
    <m/>
    <n v="189044.16949110539"/>
  </r>
  <r>
    <s v="EU27"/>
    <x v="15"/>
    <n v="2023"/>
    <x v="2"/>
    <x v="0"/>
    <x v="2"/>
    <m/>
    <m/>
    <n v="285912.18965523638"/>
  </r>
  <r>
    <s v="EU27"/>
    <x v="15"/>
    <n v="2023"/>
    <x v="2"/>
    <x v="1"/>
    <x v="0"/>
    <m/>
    <m/>
    <n v="102612.5092823642"/>
  </r>
  <r>
    <s v="EU27"/>
    <x v="15"/>
    <n v="2023"/>
    <x v="2"/>
    <x v="1"/>
    <x v="1"/>
    <m/>
    <m/>
    <n v="214435.15365668951"/>
  </r>
  <r>
    <s v="EU27"/>
    <x v="15"/>
    <n v="2023"/>
    <x v="2"/>
    <x v="1"/>
    <x v="2"/>
    <m/>
    <m/>
    <n v="317047.80289890128"/>
  </r>
  <r>
    <s v="EU27"/>
    <x v="15"/>
    <n v="2023"/>
    <x v="2"/>
    <x v="2"/>
    <x v="0"/>
    <m/>
    <m/>
    <n v="1069.3287"/>
  </r>
  <r>
    <s v="EU27"/>
    <x v="15"/>
    <n v="2023"/>
    <x v="2"/>
    <x v="2"/>
    <x v="1"/>
    <m/>
    <m/>
    <n v="1427.4"/>
  </r>
  <r>
    <s v="EU27"/>
    <x v="15"/>
    <n v="2023"/>
    <x v="2"/>
    <x v="2"/>
    <x v="2"/>
    <m/>
    <m/>
    <n v="20824.828699999998"/>
  </r>
  <r>
    <s v="EU27"/>
    <x v="15"/>
    <n v="2023"/>
    <x v="3"/>
    <x v="0"/>
    <x v="0"/>
    <m/>
    <m/>
    <n v="507138.36317377572"/>
  </r>
  <r>
    <s v="EU27"/>
    <x v="15"/>
    <n v="2023"/>
    <x v="3"/>
    <x v="0"/>
    <x v="1"/>
    <m/>
    <m/>
    <n v="3361.8403211922209"/>
  </r>
  <r>
    <s v="EU27"/>
    <x v="15"/>
    <n v="2023"/>
    <x v="3"/>
    <x v="0"/>
    <x v="2"/>
    <m/>
    <m/>
    <n v="527221.55466159142"/>
  </r>
  <r>
    <s v="EU27"/>
    <x v="15"/>
    <n v="2023"/>
    <x v="3"/>
    <x v="1"/>
    <x v="0"/>
    <m/>
    <m/>
    <n v="590180.85296552221"/>
  </r>
  <r>
    <s v="EU27"/>
    <x v="15"/>
    <n v="2023"/>
    <x v="3"/>
    <x v="1"/>
    <x v="1"/>
    <m/>
    <m/>
    <n v="3586.0406936845411"/>
  </r>
  <r>
    <s v="EU27"/>
    <x v="15"/>
    <n v="2023"/>
    <x v="3"/>
    <x v="1"/>
    <x v="2"/>
    <m/>
    <m/>
    <n v="611933.28745338286"/>
  </r>
  <r>
    <s v="EU27"/>
    <x v="15"/>
    <n v="2023"/>
    <x v="3"/>
    <x v="2"/>
    <x v="0"/>
    <m/>
    <m/>
    <n v="8673.2985100000005"/>
  </r>
  <r>
    <s v="EU27"/>
    <x v="15"/>
    <n v="2023"/>
    <x v="3"/>
    <x v="2"/>
    <x v="1"/>
    <m/>
    <m/>
    <n v="0"/>
  </r>
  <r>
    <s v="EU27"/>
    <x v="15"/>
    <n v="2023"/>
    <x v="3"/>
    <x v="2"/>
    <x v="2"/>
    <m/>
    <m/>
    <n v="40689.393900000003"/>
  </r>
  <r>
    <s v="EU27"/>
    <x v="15"/>
    <n v="2023"/>
    <x v="4"/>
    <x v="0"/>
    <x v="0"/>
    <m/>
    <m/>
    <n v="146.0045570029437"/>
  </r>
  <r>
    <s v="EU27"/>
    <x v="15"/>
    <n v="2023"/>
    <x v="4"/>
    <x v="0"/>
    <x v="1"/>
    <m/>
    <m/>
    <n v="0"/>
  </r>
  <r>
    <s v="EU27"/>
    <x v="15"/>
    <n v="2023"/>
    <x v="4"/>
    <x v="0"/>
    <x v="2"/>
    <m/>
    <m/>
    <n v="16844.83328272256"/>
  </r>
  <r>
    <s v="EU27"/>
    <x v="15"/>
    <n v="2023"/>
    <x v="4"/>
    <x v="1"/>
    <x v="0"/>
    <m/>
    <m/>
    <n v="156.41550269402791"/>
  </r>
  <r>
    <s v="EU27"/>
    <x v="15"/>
    <n v="2023"/>
    <x v="4"/>
    <x v="1"/>
    <x v="1"/>
    <m/>
    <m/>
    <n v="0"/>
  </r>
  <r>
    <s v="EU27"/>
    <x v="15"/>
    <n v="2023"/>
    <x v="4"/>
    <x v="1"/>
    <x v="2"/>
    <m/>
    <m/>
    <n v="18318.610343274901"/>
  </r>
  <r>
    <s v="EU27"/>
    <x v="15"/>
    <n v="2023"/>
    <x v="4"/>
    <x v="2"/>
    <x v="0"/>
    <m/>
    <m/>
    <n v="1.295E-2"/>
  </r>
  <r>
    <s v="EU27"/>
    <x v="15"/>
    <n v="2023"/>
    <x v="4"/>
    <x v="2"/>
    <x v="2"/>
    <m/>
    <m/>
    <n v="478.80833999999999"/>
  </r>
  <r>
    <s v="EU27"/>
    <x v="15"/>
    <n v="2023"/>
    <x v="5"/>
    <x v="0"/>
    <x v="0"/>
    <m/>
    <m/>
    <n v="485192.39587223099"/>
  </r>
  <r>
    <s v="EU27"/>
    <x v="15"/>
    <n v="2023"/>
    <x v="5"/>
    <x v="0"/>
    <x v="1"/>
    <m/>
    <m/>
    <n v="0"/>
  </r>
  <r>
    <s v="EU27"/>
    <x v="15"/>
    <n v="2023"/>
    <x v="5"/>
    <x v="0"/>
    <x v="2"/>
    <m/>
    <m/>
    <n v="485192.39587223099"/>
  </r>
  <r>
    <s v="EU27"/>
    <x v="15"/>
    <n v="2023"/>
    <x v="5"/>
    <x v="1"/>
    <x v="0"/>
    <m/>
    <m/>
    <n v="566919.09150439664"/>
  </r>
  <r>
    <s v="EU27"/>
    <x v="15"/>
    <n v="2023"/>
    <x v="5"/>
    <x v="1"/>
    <x v="1"/>
    <m/>
    <m/>
    <n v="0"/>
  </r>
  <r>
    <s v="EU27"/>
    <x v="15"/>
    <n v="2023"/>
    <x v="5"/>
    <x v="1"/>
    <x v="2"/>
    <m/>
    <m/>
    <n v="566919.09150439664"/>
  </r>
  <r>
    <s v="EU27"/>
    <x v="15"/>
    <n v="2023"/>
    <x v="5"/>
    <x v="2"/>
    <x v="0"/>
    <m/>
    <m/>
    <n v="8577.4487000000008"/>
  </r>
  <r>
    <s v="EU27"/>
    <x v="15"/>
    <n v="2023"/>
    <x v="5"/>
    <x v="2"/>
    <x v="2"/>
    <m/>
    <m/>
    <n v="38346.248699999996"/>
  </r>
  <r>
    <s v="EU27"/>
    <x v="15"/>
    <n v="2023"/>
    <x v="6"/>
    <x v="0"/>
    <x v="0"/>
    <m/>
    <m/>
    <n v="3413.631974970046"/>
  </r>
  <r>
    <s v="EU27"/>
    <x v="15"/>
    <n v="2023"/>
    <x v="6"/>
    <x v="0"/>
    <x v="1"/>
    <m/>
    <m/>
    <n v="0"/>
  </r>
  <r>
    <s v="EU27"/>
    <x v="15"/>
    <n v="2023"/>
    <x v="6"/>
    <x v="0"/>
    <x v="2"/>
    <m/>
    <m/>
    <n v="3413.631974970046"/>
  </r>
  <r>
    <s v="EU27"/>
    <x v="15"/>
    <n v="2023"/>
    <x v="6"/>
    <x v="1"/>
    <x v="0"/>
    <m/>
    <m/>
    <n v="4192.5774393089332"/>
  </r>
  <r>
    <s v="EU27"/>
    <x v="15"/>
    <n v="2023"/>
    <x v="6"/>
    <x v="1"/>
    <x v="1"/>
    <m/>
    <m/>
    <n v="0"/>
  </r>
  <r>
    <s v="EU27"/>
    <x v="15"/>
    <n v="2023"/>
    <x v="6"/>
    <x v="1"/>
    <x v="2"/>
    <m/>
    <m/>
    <n v="4192.5774393089332"/>
  </r>
  <r>
    <s v="EU27"/>
    <x v="15"/>
    <n v="2023"/>
    <x v="6"/>
    <x v="2"/>
    <x v="0"/>
    <m/>
    <m/>
    <n v="38"/>
  </r>
  <r>
    <s v="EU27"/>
    <x v="15"/>
    <n v="2023"/>
    <x v="6"/>
    <x v="2"/>
    <x v="2"/>
    <m/>
    <m/>
    <n v="1196.2"/>
  </r>
  <r>
    <s v="EU27"/>
    <x v="15"/>
    <n v="2023"/>
    <x v="7"/>
    <x v="0"/>
    <x v="0"/>
    <m/>
    <m/>
    <n v="17171.368816983741"/>
  </r>
  <r>
    <s v="EU27"/>
    <x v="15"/>
    <n v="2023"/>
    <x v="7"/>
    <x v="0"/>
    <x v="1"/>
    <m/>
    <m/>
    <n v="0"/>
  </r>
  <r>
    <s v="EU27"/>
    <x v="15"/>
    <n v="2023"/>
    <x v="7"/>
    <x v="0"/>
    <x v="2"/>
    <m/>
    <m/>
    <n v="17171.368656983741"/>
  </r>
  <r>
    <s v="EU27"/>
    <x v="15"/>
    <n v="2023"/>
    <x v="7"/>
    <x v="1"/>
    <x v="0"/>
    <m/>
    <m/>
    <n v="17461.35394919906"/>
  </r>
  <r>
    <s v="EU27"/>
    <x v="15"/>
    <n v="2023"/>
    <x v="7"/>
    <x v="1"/>
    <x v="1"/>
    <m/>
    <m/>
    <n v="0"/>
  </r>
  <r>
    <s v="EU27"/>
    <x v="15"/>
    <n v="2023"/>
    <x v="7"/>
    <x v="1"/>
    <x v="2"/>
    <m/>
    <m/>
    <n v="17461.35378919906"/>
  </r>
  <r>
    <s v="EU27"/>
    <x v="15"/>
    <n v="2023"/>
    <x v="7"/>
    <x v="2"/>
    <x v="0"/>
    <m/>
    <m/>
    <n v="50.536859999999997"/>
  </r>
  <r>
    <s v="EU27"/>
    <x v="15"/>
    <n v="2023"/>
    <x v="7"/>
    <x v="2"/>
    <x v="2"/>
    <m/>
    <m/>
    <n v="375.03685999999999"/>
  </r>
  <r>
    <s v="EU27"/>
    <x v="15"/>
    <n v="2023"/>
    <x v="8"/>
    <x v="0"/>
    <x v="0"/>
    <m/>
    <m/>
    <n v="1233.658922587982"/>
  </r>
  <r>
    <s v="EU27"/>
    <x v="15"/>
    <n v="2023"/>
    <x v="8"/>
    <x v="0"/>
    <x v="1"/>
    <m/>
    <m/>
    <n v="3384.2872320960719"/>
  </r>
  <r>
    <s v="EU27"/>
    <x v="15"/>
    <n v="2023"/>
    <x v="8"/>
    <x v="0"/>
    <x v="2"/>
    <m/>
    <m/>
    <n v="4617.9461546840539"/>
  </r>
  <r>
    <s v="EU27"/>
    <x v="15"/>
    <n v="2023"/>
    <x v="8"/>
    <x v="1"/>
    <x v="0"/>
    <m/>
    <m/>
    <n v="1469.8501679235319"/>
  </r>
  <r>
    <s v="EU27"/>
    <x v="15"/>
    <n v="2023"/>
    <x v="8"/>
    <x v="1"/>
    <x v="1"/>
    <m/>
    <m/>
    <n v="3589.9654992797459"/>
  </r>
  <r>
    <s v="EU27"/>
    <x v="15"/>
    <n v="2023"/>
    <x v="8"/>
    <x v="1"/>
    <x v="2"/>
    <m/>
    <m/>
    <n v="5059.8156572032776"/>
  </r>
  <r>
    <s v="EU27"/>
    <x v="15"/>
    <n v="2023"/>
    <x v="8"/>
    <x v="2"/>
    <x v="0"/>
    <m/>
    <m/>
    <n v="7.2"/>
  </r>
  <r>
    <s v="EU27"/>
    <x v="15"/>
    <n v="2023"/>
    <x v="8"/>
    <x v="2"/>
    <x v="2"/>
    <m/>
    <m/>
    <n v="293.10000000000002"/>
  </r>
  <r>
    <s v="EU27"/>
    <x v="15"/>
    <n v="2023"/>
    <x v="9"/>
    <x v="0"/>
    <x v="0"/>
    <m/>
    <m/>
    <n v="308169.85519283748"/>
  </r>
  <r>
    <s v="EU27"/>
    <x v="15"/>
    <n v="2023"/>
    <x v="9"/>
    <x v="0"/>
    <x v="1"/>
    <m/>
    <m/>
    <n v="1421.3998212150229"/>
  </r>
  <r>
    <s v="EU27"/>
    <x v="15"/>
    <n v="2023"/>
    <x v="9"/>
    <x v="0"/>
    <x v="2"/>
    <m/>
    <m/>
    <n v="309591.35501623829"/>
  </r>
  <r>
    <s v="EU27"/>
    <x v="15"/>
    <n v="2023"/>
    <x v="9"/>
    <x v="1"/>
    <x v="0"/>
    <m/>
    <m/>
    <n v="366452.66968089412"/>
  </r>
  <r>
    <s v="EU27"/>
    <x v="15"/>
    <n v="2023"/>
    <x v="9"/>
    <x v="1"/>
    <x v="1"/>
    <m/>
    <m/>
    <n v="1564.948755269905"/>
  </r>
  <r>
    <s v="EU27"/>
    <x v="15"/>
    <n v="2023"/>
    <x v="9"/>
    <x v="1"/>
    <x v="2"/>
    <m/>
    <m/>
    <n v="368017.61842616397"/>
  </r>
  <r>
    <s v="EU27"/>
    <x v="15"/>
    <n v="2023"/>
    <x v="9"/>
    <x v="2"/>
    <x v="0"/>
    <m/>
    <m/>
    <n v="1486.72975"/>
  </r>
  <r>
    <s v="EU27"/>
    <x v="15"/>
    <n v="2023"/>
    <x v="9"/>
    <x v="2"/>
    <x v="2"/>
    <m/>
    <m/>
    <n v="18603.729749999999"/>
  </r>
  <r>
    <s v="EU27"/>
    <x v="15"/>
    <n v="2023"/>
    <x v="10"/>
    <x v="0"/>
    <x v="0"/>
    <m/>
    <m/>
    <n v="3546.2292200000002"/>
  </r>
  <r>
    <s v="EU27"/>
    <x v="15"/>
    <n v="2023"/>
    <x v="10"/>
    <x v="0"/>
    <x v="1"/>
    <m/>
    <m/>
    <n v="0"/>
  </r>
  <r>
    <s v="EU27"/>
    <x v="15"/>
    <n v="2023"/>
    <x v="10"/>
    <x v="0"/>
    <x v="2"/>
    <m/>
    <m/>
    <n v="3546.2292200000002"/>
  </r>
  <r>
    <s v="EU27"/>
    <x v="15"/>
    <n v="2023"/>
    <x v="10"/>
    <x v="1"/>
    <x v="0"/>
    <m/>
    <m/>
    <n v="3546.5170600000001"/>
  </r>
  <r>
    <s v="EU27"/>
    <x v="15"/>
    <n v="2023"/>
    <x v="10"/>
    <x v="1"/>
    <x v="1"/>
    <m/>
    <m/>
    <n v="0"/>
  </r>
  <r>
    <s v="EU27"/>
    <x v="15"/>
    <n v="2023"/>
    <x v="10"/>
    <x v="1"/>
    <x v="2"/>
    <m/>
    <m/>
    <n v="3546.5170600000001"/>
  </r>
  <r>
    <s v="EU27"/>
    <x v="15"/>
    <n v="2023"/>
    <x v="10"/>
    <x v="2"/>
    <x v="0"/>
    <m/>
    <m/>
    <n v="4.0999999999999996"/>
  </r>
  <r>
    <s v="EU27"/>
    <x v="15"/>
    <n v="2023"/>
    <x v="10"/>
    <x v="2"/>
    <x v="2"/>
    <m/>
    <m/>
    <n v="1246.2"/>
  </r>
  <r>
    <s v="EU27"/>
    <x v="15"/>
    <n v="2023"/>
    <x v="11"/>
    <x v="0"/>
    <x v="0"/>
    <m/>
    <m/>
    <n v="50012.135637804509"/>
  </r>
  <r>
    <s v="EU27"/>
    <x v="15"/>
    <n v="2023"/>
    <x v="11"/>
    <x v="0"/>
    <x v="1"/>
    <m/>
    <m/>
    <n v="13043.81633201116"/>
  </r>
  <r>
    <s v="EU27"/>
    <x v="15"/>
    <n v="2023"/>
    <x v="11"/>
    <x v="0"/>
    <x v="2"/>
    <m/>
    <m/>
    <n v="63056.051969815671"/>
  </r>
  <r>
    <s v="EU27"/>
    <x v="15"/>
    <n v="2023"/>
    <x v="11"/>
    <x v="1"/>
    <x v="0"/>
    <m/>
    <m/>
    <n v="52404.989231835018"/>
  </r>
  <r>
    <s v="EU27"/>
    <x v="15"/>
    <n v="2023"/>
    <x v="11"/>
    <x v="1"/>
    <x v="1"/>
    <m/>
    <m/>
    <n v="14566.16972816497"/>
  </r>
  <r>
    <s v="EU27"/>
    <x v="15"/>
    <n v="2023"/>
    <x v="11"/>
    <x v="1"/>
    <x v="2"/>
    <m/>
    <m/>
    <n v="66971.058969999998"/>
  </r>
  <r>
    <s v="EU27"/>
    <x v="15"/>
    <n v="2023"/>
    <x v="11"/>
    <x v="2"/>
    <x v="0"/>
    <m/>
    <m/>
    <n v="429.9"/>
  </r>
  <r>
    <s v="EU27"/>
    <x v="15"/>
    <n v="2023"/>
    <x v="11"/>
    <x v="2"/>
    <x v="1"/>
    <m/>
    <m/>
    <n v="69.900000000000006"/>
  </r>
  <r>
    <s v="EU27"/>
    <x v="15"/>
    <n v="2023"/>
    <x v="11"/>
    <x v="2"/>
    <x v="2"/>
    <m/>
    <m/>
    <n v="18675.599999999999"/>
  </r>
  <r>
    <s v="EU27"/>
    <x v="15"/>
    <n v="2023"/>
    <x v="12"/>
    <x v="0"/>
    <x v="0"/>
    <m/>
    <m/>
    <n v="0"/>
  </r>
  <r>
    <s v="EU27"/>
    <x v="15"/>
    <n v="2023"/>
    <x v="12"/>
    <x v="0"/>
    <x v="1"/>
    <m/>
    <m/>
    <n v="0"/>
  </r>
  <r>
    <s v="EU27"/>
    <x v="15"/>
    <n v="2023"/>
    <x v="12"/>
    <x v="0"/>
    <x v="2"/>
    <m/>
    <m/>
    <n v="0"/>
  </r>
  <r>
    <s v="EU27"/>
    <x v="15"/>
    <n v="2023"/>
    <x v="12"/>
    <x v="1"/>
    <x v="0"/>
    <m/>
    <m/>
    <n v="0"/>
  </r>
  <r>
    <s v="EU27"/>
    <x v="15"/>
    <n v="2023"/>
    <x v="12"/>
    <x v="1"/>
    <x v="1"/>
    <m/>
    <m/>
    <n v="0"/>
  </r>
  <r>
    <s v="EU27"/>
    <x v="15"/>
    <n v="2023"/>
    <x v="12"/>
    <x v="1"/>
    <x v="2"/>
    <m/>
    <m/>
    <n v="0"/>
  </r>
  <r>
    <s v="EU27"/>
    <x v="15"/>
    <n v="2023"/>
    <x v="13"/>
    <x v="0"/>
    <x v="0"/>
    <m/>
    <m/>
    <n v="50717.952522773841"/>
  </r>
  <r>
    <s v="EU27"/>
    <x v="15"/>
    <n v="2023"/>
    <x v="13"/>
    <x v="0"/>
    <x v="1"/>
    <m/>
    <m/>
    <n v="176150.2026275628"/>
  </r>
  <r>
    <s v="EU27"/>
    <x v="15"/>
    <n v="2023"/>
    <x v="13"/>
    <x v="0"/>
    <x v="2"/>
    <m/>
    <m/>
    <n v="226607.9567296023"/>
  </r>
  <r>
    <s v="EU27"/>
    <x v="15"/>
    <n v="2023"/>
    <x v="13"/>
    <x v="1"/>
    <x v="0"/>
    <m/>
    <m/>
    <n v="53600.522838389377"/>
  </r>
  <r>
    <s v="EU27"/>
    <x v="15"/>
    <n v="2023"/>
    <x v="13"/>
    <x v="1"/>
    <x v="1"/>
    <m/>
    <m/>
    <n v="186032.40954915329"/>
  </r>
  <r>
    <s v="EU27"/>
    <x v="15"/>
    <n v="2023"/>
    <x v="13"/>
    <x v="1"/>
    <x v="2"/>
    <m/>
    <m/>
    <n v="239373.58026674591"/>
  </r>
  <r>
    <s v="EU27"/>
    <x v="15"/>
    <n v="2023"/>
    <x v="13"/>
    <x v="2"/>
    <x v="0"/>
    <m/>
    <m/>
    <n v="1145.40048"/>
  </r>
  <r>
    <s v="EU27"/>
    <x v="15"/>
    <n v="2023"/>
    <x v="13"/>
    <x v="2"/>
    <x v="1"/>
    <m/>
    <m/>
    <n v="750.3"/>
  </r>
  <r>
    <s v="EU27"/>
    <x v="15"/>
    <n v="2023"/>
    <x v="13"/>
    <x v="2"/>
    <x v="2"/>
    <m/>
    <m/>
    <n v="16784.800480000002"/>
  </r>
  <r>
    <s v="EU27"/>
    <x v="15"/>
    <n v="2023"/>
    <x v="14"/>
    <x v="0"/>
    <x v="0"/>
    <m/>
    <m/>
    <n v="352562.06083161832"/>
  </r>
  <r>
    <s v="EU27"/>
    <x v="15"/>
    <n v="2023"/>
    <x v="14"/>
    <x v="0"/>
    <x v="2"/>
    <m/>
    <m/>
    <n v="352562.06083161832"/>
  </r>
  <r>
    <s v="EU27"/>
    <x v="15"/>
    <n v="2023"/>
    <x v="14"/>
    <x v="1"/>
    <x v="0"/>
    <m/>
    <m/>
    <n v="368614.79006064148"/>
  </r>
  <r>
    <s v="EU27"/>
    <x v="15"/>
    <n v="2023"/>
    <x v="14"/>
    <x v="1"/>
    <x v="2"/>
    <m/>
    <m/>
    <n v="368614.79006064148"/>
  </r>
  <r>
    <s v="EU27"/>
    <x v="15"/>
    <n v="2023"/>
    <x v="14"/>
    <x v="2"/>
    <x v="0"/>
    <m/>
    <m/>
    <n v="2057.32843"/>
  </r>
  <r>
    <s v="EU27"/>
    <x v="15"/>
    <n v="2023"/>
    <x v="14"/>
    <x v="2"/>
    <x v="2"/>
    <m/>
    <m/>
    <n v="33328.528429999998"/>
  </r>
  <r>
    <s v="EU27"/>
    <x v="15"/>
    <n v="2023"/>
    <x v="15"/>
    <x v="0"/>
    <x v="2"/>
    <m/>
    <m/>
    <n v="-254459.46817734349"/>
  </r>
  <r>
    <s v="EU27"/>
    <x v="15"/>
    <n v="2023"/>
    <x v="15"/>
    <x v="1"/>
    <x v="2"/>
    <m/>
    <m/>
    <n v="-227783.99080211221"/>
  </r>
  <r>
    <s v="EU27"/>
    <x v="15"/>
    <n v="2023"/>
    <x v="15"/>
    <x v="2"/>
    <x v="2"/>
    <m/>
    <m/>
    <n v="-15492.88133"/>
  </r>
  <r>
    <s v="EU27"/>
    <x v="15"/>
    <n v="2023"/>
    <x v="16"/>
    <x v="0"/>
    <x v="2"/>
    <m/>
    <m/>
    <n v="-305755.87395323289"/>
  </r>
  <r>
    <s v="EU27"/>
    <x v="15"/>
    <n v="2023"/>
    <x v="16"/>
    <x v="1"/>
    <x v="2"/>
    <m/>
    <m/>
    <n v="-288930.45345726021"/>
  </r>
  <r>
    <s v="EU27"/>
    <x v="15"/>
    <n v="2023"/>
    <x v="16"/>
    <x v="2"/>
    <x v="2"/>
    <m/>
    <m/>
    <n v="-18565.80143"/>
  </r>
  <r>
    <s v="EU27"/>
    <x v="15"/>
    <n v="2023"/>
    <x v="17"/>
    <x v="0"/>
    <x v="2"/>
    <m/>
    <m/>
    <n v="27356.929650643269"/>
  </r>
  <r>
    <s v="EU27"/>
    <x v="15"/>
    <n v="2023"/>
    <x v="17"/>
    <x v="1"/>
    <x v="2"/>
    <m/>
    <m/>
    <n v="33641.105719291692"/>
  </r>
  <r>
    <s v="EU27"/>
    <x v="15"/>
    <n v="2023"/>
    <x v="17"/>
    <x v="2"/>
    <x v="2"/>
    <m/>
    <m/>
    <n v="-2270.2360600000002"/>
  </r>
  <r>
    <s v="EU27"/>
    <x v="15"/>
    <n v="2023"/>
    <x v="18"/>
    <x v="0"/>
    <x v="2"/>
    <m/>
    <m/>
    <n v="14236.019869090829"/>
  </r>
  <r>
    <s v="EU27"/>
    <x v="15"/>
    <n v="2023"/>
    <x v="18"/>
    <x v="1"/>
    <x v="2"/>
    <m/>
    <m/>
    <n v="15525.709549074711"/>
  </r>
  <r>
    <s v="EU27"/>
    <x v="15"/>
    <n v="2023"/>
    <x v="18"/>
    <x v="2"/>
    <x v="2"/>
    <m/>
    <m/>
    <n v="3229.6577299999999"/>
  </r>
  <r>
    <s v="EU27"/>
    <x v="15"/>
    <n v="2023"/>
    <x v="19"/>
    <x v="0"/>
    <x v="2"/>
    <m/>
    <m/>
    <n v="12428.11766726725"/>
  </r>
  <r>
    <s v="EU27"/>
    <x v="15"/>
    <n v="2023"/>
    <x v="19"/>
    <x v="1"/>
    <x v="2"/>
    <m/>
    <m/>
    <n v="13410.986697264671"/>
  </r>
  <r>
    <s v="EU27"/>
    <x v="15"/>
    <n v="2023"/>
    <x v="19"/>
    <x v="2"/>
    <x v="2"/>
    <m/>
    <m/>
    <n v="765.38648000000001"/>
  </r>
  <r>
    <s v="EU27"/>
    <x v="15"/>
    <n v="2023"/>
    <x v="20"/>
    <x v="0"/>
    <x v="2"/>
    <m/>
    <m/>
    <n v="31090.109234380849"/>
  </r>
  <r>
    <s v="EU27"/>
    <x v="15"/>
    <n v="2023"/>
    <x v="20"/>
    <x v="1"/>
    <x v="2"/>
    <m/>
    <m/>
    <n v="31491.499304115459"/>
  </r>
  <r>
    <s v="EU27"/>
    <x v="15"/>
    <n v="2023"/>
    <x v="20"/>
    <x v="2"/>
    <x v="2"/>
    <m/>
    <m/>
    <n v="3020.05863"/>
  </r>
  <r>
    <s v="EU27"/>
    <x v="15"/>
    <n v="2023"/>
    <x v="21"/>
    <x v="0"/>
    <x v="2"/>
    <m/>
    <m/>
    <n v="513.64713999999992"/>
  </r>
  <r>
    <s v="EU27"/>
    <x v="15"/>
    <n v="2023"/>
    <x v="21"/>
    <x v="1"/>
    <x v="2"/>
    <m/>
    <m/>
    <n v="389.45103999999992"/>
  </r>
  <r>
    <s v="EU27"/>
    <x v="15"/>
    <n v="2023"/>
    <x v="21"/>
    <x v="2"/>
    <x v="2"/>
    <m/>
    <m/>
    <n v="282.77330999999998"/>
  </r>
  <r>
    <s v="EU27"/>
    <x v="15"/>
    <n v="2023"/>
    <x v="22"/>
    <x v="0"/>
    <x v="2"/>
    <m/>
    <m/>
    <n v="-33879.0769"/>
  </r>
  <r>
    <s v="EU27"/>
    <x v="15"/>
    <n v="2023"/>
    <x v="22"/>
    <x v="1"/>
    <x v="2"/>
    <m/>
    <m/>
    <n v="-33559.702080000003"/>
  </r>
  <r>
    <s v="EU27"/>
    <x v="15"/>
    <n v="2023"/>
    <x v="22"/>
    <x v="2"/>
    <x v="2"/>
    <m/>
    <m/>
    <n v="-1954.74"/>
  </r>
  <r>
    <s v="EU27"/>
    <x v="15"/>
    <n v="2023"/>
    <x v="23"/>
    <x v="0"/>
    <x v="2"/>
    <m/>
    <m/>
    <n v="253.85033000000001"/>
  </r>
  <r>
    <s v="EU27"/>
    <x v="15"/>
    <n v="2023"/>
    <x v="23"/>
    <x v="1"/>
    <x v="2"/>
    <m/>
    <m/>
    <n v="253.85033000000001"/>
  </r>
  <r>
    <s v="EU27"/>
    <x v="15"/>
    <n v="2023"/>
    <x v="24"/>
    <x v="0"/>
    <x v="0"/>
    <m/>
    <m/>
    <n v="76276.86942847124"/>
  </r>
  <r>
    <s v="EU27"/>
    <x v="15"/>
    <n v="2023"/>
    <x v="24"/>
    <x v="0"/>
    <x v="1"/>
    <m/>
    <m/>
    <n v="242.9081730783237"/>
  </r>
  <r>
    <s v="EU27"/>
    <x v="15"/>
    <n v="2023"/>
    <x v="24"/>
    <x v="0"/>
    <x v="2"/>
    <m/>
    <m/>
    <n v="76519.777601549562"/>
  </r>
  <r>
    <s v="EU27"/>
    <x v="15"/>
    <n v="2023"/>
    <x v="24"/>
    <x v="1"/>
    <x v="0"/>
    <m/>
    <m/>
    <n v="77297.813628439326"/>
  </r>
  <r>
    <s v="EU27"/>
    <x v="15"/>
    <n v="2023"/>
    <x v="24"/>
    <x v="1"/>
    <x v="1"/>
    <m/>
    <m/>
    <n v="242.90817306493011"/>
  </r>
  <r>
    <s v="EU27"/>
    <x v="15"/>
    <n v="2023"/>
    <x v="24"/>
    <x v="1"/>
    <x v="2"/>
    <m/>
    <m/>
    <n v="77431.026012842645"/>
  </r>
  <r>
    <s v="EU27"/>
    <x v="15"/>
    <n v="2023"/>
    <x v="24"/>
    <x v="2"/>
    <x v="0"/>
    <m/>
    <m/>
    <n v="1660.17183"/>
  </r>
  <r>
    <s v="EU27"/>
    <x v="15"/>
    <n v="2023"/>
    <x v="24"/>
    <x v="2"/>
    <x v="2"/>
    <m/>
    <m/>
    <n v="10380.97183"/>
  </r>
  <r>
    <s v="EU27"/>
    <x v="15"/>
    <n v="2023"/>
    <x v="25"/>
    <x v="0"/>
    <x v="0"/>
    <m/>
    <m/>
    <n v="150.9"/>
  </r>
  <r>
    <s v="EU27"/>
    <x v="15"/>
    <n v="2023"/>
    <x v="25"/>
    <x v="0"/>
    <x v="2"/>
    <m/>
    <m/>
    <n v="121308.87503889381"/>
  </r>
  <r>
    <s v="EU27"/>
    <x v="15"/>
    <n v="2023"/>
    <x v="25"/>
    <x v="1"/>
    <x v="0"/>
    <m/>
    <m/>
    <n v="150.9"/>
  </r>
  <r>
    <s v="EU27"/>
    <x v="15"/>
    <n v="2023"/>
    <x v="25"/>
    <x v="1"/>
    <x v="2"/>
    <m/>
    <m/>
    <n v="128347.83660292591"/>
  </r>
  <r>
    <s v="EU27"/>
    <x v="15"/>
    <n v="2023"/>
    <x v="25"/>
    <x v="2"/>
    <x v="2"/>
    <m/>
    <m/>
    <n v="1250.6186499999999"/>
  </r>
  <r>
    <s v="EU27"/>
    <x v="15"/>
    <n v="2023"/>
    <x v="26"/>
    <x v="0"/>
    <x v="0"/>
    <m/>
    <m/>
    <n v="796.5"/>
  </r>
  <r>
    <s v="EU27"/>
    <x v="15"/>
    <n v="2023"/>
    <x v="26"/>
    <x v="0"/>
    <x v="2"/>
    <m/>
    <m/>
    <n v="139573.32610212491"/>
  </r>
  <r>
    <s v="EU27"/>
    <x v="15"/>
    <n v="2023"/>
    <x v="26"/>
    <x v="1"/>
    <x v="0"/>
    <m/>
    <m/>
    <n v="796.5"/>
  </r>
  <r>
    <s v="EU27"/>
    <x v="15"/>
    <n v="2023"/>
    <x v="26"/>
    <x v="1"/>
    <x v="2"/>
    <m/>
    <m/>
    <n v="141787.9899934805"/>
  </r>
  <r>
    <s v="EU27"/>
    <x v="15"/>
    <n v="2023"/>
    <x v="26"/>
    <x v="2"/>
    <x v="2"/>
    <m/>
    <m/>
    <n v="931.8"/>
  </r>
  <r>
    <s v="EU27"/>
    <x v="15"/>
    <n v="2023"/>
    <x v="27"/>
    <x v="0"/>
    <x v="0"/>
    <m/>
    <m/>
    <n v="708.70348000000001"/>
  </r>
  <r>
    <s v="EU27"/>
    <x v="15"/>
    <n v="2023"/>
    <x v="27"/>
    <x v="0"/>
    <x v="2"/>
    <m/>
    <m/>
    <n v="852.60347999999999"/>
  </r>
  <r>
    <s v="EU27"/>
    <x v="15"/>
    <n v="2023"/>
    <x v="27"/>
    <x v="1"/>
    <x v="0"/>
    <m/>
    <m/>
    <n v="709.91037999999992"/>
  </r>
  <r>
    <s v="EU27"/>
    <x v="15"/>
    <n v="2023"/>
    <x v="27"/>
    <x v="1"/>
    <x v="2"/>
    <m/>
    <m/>
    <n v="853.81038000000001"/>
  </r>
  <r>
    <s v="EU27"/>
    <x v="15"/>
    <n v="2023"/>
    <x v="28"/>
    <x v="0"/>
    <x v="0"/>
    <m/>
    <m/>
    <n v="1487178.068166442"/>
  </r>
  <r>
    <s v="EU27"/>
    <x v="15"/>
    <n v="2023"/>
    <x v="28"/>
    <x v="0"/>
    <x v="1"/>
    <m/>
    <m/>
    <n v="676090.61759375408"/>
  </r>
  <r>
    <s v="EU27"/>
    <x v="15"/>
    <n v="2023"/>
    <x v="28"/>
    <x v="0"/>
    <x v="2"/>
    <m/>
    <m/>
    <n v="2179730.058662836"/>
  </r>
  <r>
    <s v="EU27"/>
    <x v="15"/>
    <n v="2023"/>
    <x v="28"/>
    <x v="1"/>
    <x v="0"/>
    <m/>
    <m/>
    <n v="1662914.8676135989"/>
  </r>
  <r>
    <s v="EU27"/>
    <x v="15"/>
    <n v="2023"/>
    <x v="28"/>
    <x v="1"/>
    <x v="1"/>
    <m/>
    <m/>
    <n v="776190.62714273029"/>
  </r>
  <r>
    <s v="EU27"/>
    <x v="15"/>
    <n v="2023"/>
    <x v="28"/>
    <x v="1"/>
    <x v="2"/>
    <m/>
    <m/>
    <n v="2456902.925411629"/>
  </r>
  <r>
    <s v="EU27"/>
    <x v="15"/>
    <n v="2023"/>
    <x v="28"/>
    <x v="2"/>
    <x v="0"/>
    <m/>
    <m/>
    <n v="16599.17337"/>
  </r>
  <r>
    <s v="EU27"/>
    <x v="15"/>
    <n v="2023"/>
    <x v="28"/>
    <x v="2"/>
    <x v="1"/>
    <m/>
    <m/>
    <n v="9364.7566299999999"/>
  </r>
  <r>
    <s v="EU27"/>
    <x v="15"/>
    <n v="2023"/>
    <x v="28"/>
    <x v="2"/>
    <x v="2"/>
    <m/>
    <m/>
    <n v="208697.72539000001"/>
  </r>
  <r>
    <s v="EU27"/>
    <x v="15"/>
    <n v="2023"/>
    <x v="29"/>
    <x v="0"/>
    <x v="0"/>
    <m/>
    <m/>
    <n v="1487178.068166442"/>
  </r>
  <r>
    <s v="EU27"/>
    <x v="15"/>
    <n v="2023"/>
    <x v="29"/>
    <x v="0"/>
    <x v="1"/>
    <m/>
    <m/>
    <n v="676090.61759375408"/>
  </r>
  <r>
    <s v="EU27"/>
    <x v="15"/>
    <n v="2023"/>
    <x v="29"/>
    <x v="0"/>
    <x v="2"/>
    <m/>
    <m/>
    <n v="1925270.6504654931"/>
  </r>
  <r>
    <s v="EU27"/>
    <x v="15"/>
    <n v="2023"/>
    <x v="29"/>
    <x v="1"/>
    <x v="0"/>
    <m/>
    <m/>
    <n v="1662914.8676135989"/>
  </r>
  <r>
    <s v="EU27"/>
    <x v="15"/>
    <n v="2023"/>
    <x v="29"/>
    <x v="1"/>
    <x v="1"/>
    <m/>
    <m/>
    <n v="776190.62714273029"/>
  </r>
  <r>
    <s v="EU27"/>
    <x v="15"/>
    <n v="2023"/>
    <x v="29"/>
    <x v="1"/>
    <x v="2"/>
    <m/>
    <m/>
    <n v="2229110.320859516"/>
  </r>
  <r>
    <s v="EU27"/>
    <x v="15"/>
    <n v="2023"/>
    <x v="29"/>
    <x v="2"/>
    <x v="0"/>
    <m/>
    <m/>
    <n v="16599.17337"/>
  </r>
  <r>
    <s v="EU27"/>
    <x v="15"/>
    <n v="2023"/>
    <x v="29"/>
    <x v="2"/>
    <x v="1"/>
    <m/>
    <m/>
    <n v="9364.7566299999999"/>
  </r>
  <r>
    <s v="EU27"/>
    <x v="15"/>
    <n v="2023"/>
    <x v="29"/>
    <x v="2"/>
    <x v="2"/>
    <m/>
    <m/>
    <n v="193515.92405999999"/>
  </r>
  <r>
    <s v="EU27"/>
    <x v="16"/>
    <n v="2023"/>
    <x v="0"/>
    <x v="0"/>
    <x v="0"/>
    <m/>
    <m/>
    <n v="976146.74609510729"/>
  </r>
  <r>
    <s v="EU27"/>
    <x v="16"/>
    <n v="2023"/>
    <x v="0"/>
    <x v="0"/>
    <x v="1"/>
    <m/>
    <m/>
    <n v="488615.70884788752"/>
  </r>
  <r>
    <s v="EU27"/>
    <x v="16"/>
    <n v="2023"/>
    <x v="0"/>
    <x v="0"/>
    <x v="2"/>
    <m/>
    <m/>
    <n v="1481579.8709735691"/>
  </r>
  <r>
    <s v="EU27"/>
    <x v="16"/>
    <n v="2023"/>
    <x v="0"/>
    <x v="1"/>
    <x v="0"/>
    <m/>
    <m/>
    <n v="1138938.3007454281"/>
  </r>
  <r>
    <s v="EU27"/>
    <x v="16"/>
    <n v="2023"/>
    <x v="0"/>
    <x v="1"/>
    <x v="1"/>
    <m/>
    <m/>
    <n v="574752.04296062619"/>
  </r>
  <r>
    <s v="EU27"/>
    <x v="16"/>
    <n v="2023"/>
    <x v="0"/>
    <x v="1"/>
    <x v="2"/>
    <m/>
    <m/>
    <n v="1731976.283589605"/>
  </r>
  <r>
    <s v="EU27"/>
    <x v="16"/>
    <n v="2023"/>
    <x v="0"/>
    <x v="2"/>
    <x v="0"/>
    <m/>
    <m/>
    <n v="11902.57265"/>
  </r>
  <r>
    <s v="EU27"/>
    <x v="16"/>
    <n v="2023"/>
    <x v="0"/>
    <x v="2"/>
    <x v="1"/>
    <m/>
    <m/>
    <n v="8622.6566300000013"/>
  </r>
  <r>
    <s v="EU27"/>
    <x v="16"/>
    <n v="2023"/>
    <x v="0"/>
    <x v="2"/>
    <x v="2"/>
    <m/>
    <m/>
    <n v="149767.82913"/>
  </r>
  <r>
    <s v="EU27"/>
    <x v="16"/>
    <n v="2023"/>
    <x v="1"/>
    <x v="0"/>
    <x v="0"/>
    <m/>
    <m/>
    <n v="40316.251766723923"/>
  </r>
  <r>
    <s v="EU27"/>
    <x v="16"/>
    <n v="2023"/>
    <x v="1"/>
    <x v="0"/>
    <x v="1"/>
    <m/>
    <m/>
    <n v="285192.20119414612"/>
  </r>
  <r>
    <s v="EU27"/>
    <x v="16"/>
    <n v="2023"/>
    <x v="1"/>
    <x v="0"/>
    <x v="2"/>
    <m/>
    <m/>
    <n v="325508.11309538252"/>
  </r>
  <r>
    <s v="EU27"/>
    <x v="16"/>
    <n v="2023"/>
    <x v="1"/>
    <x v="1"/>
    <x v="0"/>
    <m/>
    <m/>
    <n v="46179.744246996823"/>
  </r>
  <r>
    <s v="EU27"/>
    <x v="16"/>
    <n v="2023"/>
    <x v="1"/>
    <x v="1"/>
    <x v="1"/>
    <m/>
    <m/>
    <n v="344019.47333496407"/>
  </r>
  <r>
    <s v="EU27"/>
    <x v="16"/>
    <n v="2023"/>
    <x v="1"/>
    <x v="1"/>
    <x v="2"/>
    <m/>
    <m/>
    <n v="390199.19759259548"/>
  </r>
  <r>
    <s v="EU27"/>
    <x v="16"/>
    <n v="2023"/>
    <x v="1"/>
    <x v="2"/>
    <x v="0"/>
    <m/>
    <m/>
    <n v="68.615660000000005"/>
  </r>
  <r>
    <s v="EU27"/>
    <x v="16"/>
    <n v="2023"/>
    <x v="1"/>
    <x v="2"/>
    <x v="1"/>
    <m/>
    <m/>
    <n v="7117.05663"/>
  </r>
  <r>
    <s v="EU27"/>
    <x v="16"/>
    <n v="2023"/>
    <x v="1"/>
    <x v="2"/>
    <x v="2"/>
    <m/>
    <m/>
    <n v="48159.172290000002"/>
  </r>
  <r>
    <s v="EU27"/>
    <x v="16"/>
    <n v="2023"/>
    <x v="2"/>
    <x v="0"/>
    <x v="0"/>
    <m/>
    <m/>
    <n v="95980.891501066435"/>
  </r>
  <r>
    <s v="EU27"/>
    <x v="16"/>
    <n v="2023"/>
    <x v="2"/>
    <x v="0"/>
    <x v="1"/>
    <m/>
    <m/>
    <n v="185782.14549432529"/>
  </r>
  <r>
    <s v="EU27"/>
    <x v="16"/>
    <n v="2023"/>
    <x v="2"/>
    <x v="0"/>
    <x v="2"/>
    <m/>
    <m/>
    <n v="281762.91697546141"/>
  </r>
  <r>
    <s v="EU27"/>
    <x v="16"/>
    <n v="2023"/>
    <x v="2"/>
    <x v="1"/>
    <x v="0"/>
    <m/>
    <m/>
    <n v="101905.31517941981"/>
  </r>
  <r>
    <s v="EU27"/>
    <x v="16"/>
    <n v="2023"/>
    <x v="2"/>
    <x v="1"/>
    <x v="1"/>
    <m/>
    <m/>
    <n v="211212.50420356079"/>
  </r>
  <r>
    <s v="EU27"/>
    <x v="16"/>
    <n v="2023"/>
    <x v="2"/>
    <x v="1"/>
    <x v="2"/>
    <m/>
    <m/>
    <n v="313117.89936281007"/>
  </r>
  <r>
    <s v="EU27"/>
    <x v="16"/>
    <n v="2023"/>
    <x v="2"/>
    <x v="2"/>
    <x v="0"/>
    <m/>
    <m/>
    <n v="1077.7286999999999"/>
  </r>
  <r>
    <s v="EU27"/>
    <x v="16"/>
    <n v="2023"/>
    <x v="2"/>
    <x v="2"/>
    <x v="1"/>
    <m/>
    <m/>
    <n v="1435.7"/>
  </r>
  <r>
    <s v="EU27"/>
    <x v="16"/>
    <n v="2023"/>
    <x v="2"/>
    <x v="2"/>
    <x v="2"/>
    <m/>
    <m/>
    <n v="21007.9287"/>
  </r>
  <r>
    <s v="EU27"/>
    <x v="16"/>
    <n v="2023"/>
    <x v="3"/>
    <x v="0"/>
    <x v="0"/>
    <m/>
    <m/>
    <n v="487284.83333389543"/>
  </r>
  <r>
    <s v="EU27"/>
    <x v="16"/>
    <n v="2023"/>
    <x v="3"/>
    <x v="0"/>
    <x v="1"/>
    <m/>
    <m/>
    <n v="3333.7228665691218"/>
  </r>
  <r>
    <s v="EU27"/>
    <x v="16"/>
    <n v="2023"/>
    <x v="3"/>
    <x v="0"/>
    <x v="2"/>
    <m/>
    <m/>
    <n v="507436.0921139362"/>
  </r>
  <r>
    <s v="EU27"/>
    <x v="16"/>
    <n v="2023"/>
    <x v="3"/>
    <x v="1"/>
    <x v="0"/>
    <m/>
    <m/>
    <n v="575699.61087374832"/>
  </r>
  <r>
    <s v="EU27"/>
    <x v="16"/>
    <n v="2023"/>
    <x v="3"/>
    <x v="1"/>
    <x v="1"/>
    <m/>
    <m/>
    <n v="3554.3564594922232"/>
  </r>
  <r>
    <s v="EU27"/>
    <x v="16"/>
    <n v="2023"/>
    <x v="3"/>
    <x v="1"/>
    <x v="2"/>
    <m/>
    <m/>
    <n v="597540.10719632707"/>
  </r>
  <r>
    <s v="EU27"/>
    <x v="16"/>
    <n v="2023"/>
    <x v="3"/>
    <x v="2"/>
    <x v="0"/>
    <m/>
    <m/>
    <n v="8838.3985300000004"/>
  </r>
  <r>
    <s v="EU27"/>
    <x v="16"/>
    <n v="2023"/>
    <x v="3"/>
    <x v="2"/>
    <x v="1"/>
    <m/>
    <m/>
    <n v="0"/>
  </r>
  <r>
    <s v="EU27"/>
    <x v="16"/>
    <n v="2023"/>
    <x v="3"/>
    <x v="2"/>
    <x v="2"/>
    <m/>
    <m/>
    <n v="41847.29838"/>
  </r>
  <r>
    <s v="EU27"/>
    <x v="16"/>
    <n v="2023"/>
    <x v="4"/>
    <x v="0"/>
    <x v="0"/>
    <m/>
    <m/>
    <n v="146.45308158359919"/>
  </r>
  <r>
    <s v="EU27"/>
    <x v="16"/>
    <n v="2023"/>
    <x v="4"/>
    <x v="0"/>
    <x v="1"/>
    <m/>
    <m/>
    <n v="0"/>
  </r>
  <r>
    <s v="EU27"/>
    <x v="16"/>
    <n v="2023"/>
    <x v="4"/>
    <x v="0"/>
    <x v="2"/>
    <m/>
    <m/>
    <n v="16938.601941676901"/>
  </r>
  <r>
    <s v="EU27"/>
    <x v="16"/>
    <n v="2023"/>
    <x v="4"/>
    <x v="1"/>
    <x v="0"/>
    <m/>
    <m/>
    <n v="157.27053921802641"/>
  </r>
  <r>
    <s v="EU27"/>
    <x v="16"/>
    <n v="2023"/>
    <x v="4"/>
    <x v="1"/>
    <x v="1"/>
    <m/>
    <m/>
    <n v="0"/>
  </r>
  <r>
    <s v="EU27"/>
    <x v="16"/>
    <n v="2023"/>
    <x v="4"/>
    <x v="1"/>
    <x v="2"/>
    <m/>
    <m/>
    <n v="18438.890001193089"/>
  </r>
  <r>
    <s v="EU27"/>
    <x v="16"/>
    <n v="2023"/>
    <x v="4"/>
    <x v="2"/>
    <x v="0"/>
    <m/>
    <m/>
    <n v="1.2970000000000001E-2"/>
  </r>
  <r>
    <s v="EU27"/>
    <x v="16"/>
    <n v="2023"/>
    <x v="4"/>
    <x v="2"/>
    <x v="2"/>
    <m/>
    <m/>
    <n v="493.41282000000001"/>
  </r>
  <r>
    <s v="EU27"/>
    <x v="16"/>
    <n v="2023"/>
    <x v="5"/>
    <x v="0"/>
    <x v="0"/>
    <m/>
    <m/>
    <n v="465352.75768784143"/>
  </r>
  <r>
    <s v="EU27"/>
    <x v="16"/>
    <n v="2023"/>
    <x v="5"/>
    <x v="0"/>
    <x v="1"/>
    <m/>
    <m/>
    <n v="0"/>
  </r>
  <r>
    <s v="EU27"/>
    <x v="16"/>
    <n v="2023"/>
    <x v="5"/>
    <x v="0"/>
    <x v="2"/>
    <m/>
    <m/>
    <n v="465352.75768784143"/>
  </r>
  <r>
    <s v="EU27"/>
    <x v="16"/>
    <n v="2023"/>
    <x v="5"/>
    <x v="1"/>
    <x v="0"/>
    <m/>
    <m/>
    <n v="552372.56305114215"/>
  </r>
  <r>
    <s v="EU27"/>
    <x v="16"/>
    <n v="2023"/>
    <x v="5"/>
    <x v="1"/>
    <x v="1"/>
    <m/>
    <m/>
    <n v="0"/>
  </r>
  <r>
    <s v="EU27"/>
    <x v="16"/>
    <n v="2023"/>
    <x v="5"/>
    <x v="1"/>
    <x v="2"/>
    <m/>
    <m/>
    <n v="552372.56305114215"/>
  </r>
  <r>
    <s v="EU27"/>
    <x v="16"/>
    <n v="2023"/>
    <x v="5"/>
    <x v="2"/>
    <x v="0"/>
    <m/>
    <m/>
    <n v="8742.2487000000001"/>
  </r>
  <r>
    <s v="EU27"/>
    <x v="16"/>
    <n v="2023"/>
    <x v="5"/>
    <x v="2"/>
    <x v="2"/>
    <m/>
    <m/>
    <n v="39427.948700000001"/>
  </r>
  <r>
    <s v="EU27"/>
    <x v="16"/>
    <n v="2023"/>
    <x v="6"/>
    <x v="0"/>
    <x v="0"/>
    <m/>
    <m/>
    <n v="3389.6723623447479"/>
  </r>
  <r>
    <s v="EU27"/>
    <x v="16"/>
    <n v="2023"/>
    <x v="6"/>
    <x v="0"/>
    <x v="1"/>
    <m/>
    <m/>
    <n v="0"/>
  </r>
  <r>
    <s v="EU27"/>
    <x v="16"/>
    <n v="2023"/>
    <x v="6"/>
    <x v="0"/>
    <x v="2"/>
    <m/>
    <m/>
    <n v="3389.6723623447479"/>
  </r>
  <r>
    <s v="EU27"/>
    <x v="16"/>
    <n v="2023"/>
    <x v="6"/>
    <x v="1"/>
    <x v="0"/>
    <m/>
    <m/>
    <n v="4219.3213089737746"/>
  </r>
  <r>
    <s v="EU27"/>
    <x v="16"/>
    <n v="2023"/>
    <x v="6"/>
    <x v="1"/>
    <x v="1"/>
    <m/>
    <m/>
    <n v="0"/>
  </r>
  <r>
    <s v="EU27"/>
    <x v="16"/>
    <n v="2023"/>
    <x v="6"/>
    <x v="1"/>
    <x v="2"/>
    <m/>
    <m/>
    <n v="4219.3213089737746"/>
  </r>
  <r>
    <s v="EU27"/>
    <x v="16"/>
    <n v="2023"/>
    <x v="6"/>
    <x v="2"/>
    <x v="0"/>
    <m/>
    <m/>
    <n v="38.299999999999997"/>
  </r>
  <r>
    <s v="EU27"/>
    <x v="16"/>
    <n v="2023"/>
    <x v="6"/>
    <x v="2"/>
    <x v="2"/>
    <m/>
    <m/>
    <n v="1238.9000000000001"/>
  </r>
  <r>
    <s v="EU27"/>
    <x v="16"/>
    <n v="2023"/>
    <x v="7"/>
    <x v="0"/>
    <x v="0"/>
    <m/>
    <m/>
    <n v="17189.056821074741"/>
  </r>
  <r>
    <s v="EU27"/>
    <x v="16"/>
    <n v="2023"/>
    <x v="7"/>
    <x v="0"/>
    <x v="1"/>
    <m/>
    <m/>
    <n v="0"/>
  </r>
  <r>
    <s v="EU27"/>
    <x v="16"/>
    <n v="2023"/>
    <x v="7"/>
    <x v="0"/>
    <x v="2"/>
    <m/>
    <m/>
    <n v="17189.056661074741"/>
  </r>
  <r>
    <s v="EU27"/>
    <x v="16"/>
    <n v="2023"/>
    <x v="7"/>
    <x v="1"/>
    <x v="0"/>
    <m/>
    <m/>
    <n v="17497.56046873505"/>
  </r>
  <r>
    <s v="EU27"/>
    <x v="16"/>
    <n v="2023"/>
    <x v="7"/>
    <x v="1"/>
    <x v="1"/>
    <m/>
    <m/>
    <n v="0"/>
  </r>
  <r>
    <s v="EU27"/>
    <x v="16"/>
    <n v="2023"/>
    <x v="7"/>
    <x v="1"/>
    <x v="2"/>
    <m/>
    <m/>
    <n v="17497.560308735039"/>
  </r>
  <r>
    <s v="EU27"/>
    <x v="16"/>
    <n v="2023"/>
    <x v="7"/>
    <x v="2"/>
    <x v="0"/>
    <m/>
    <m/>
    <n v="50.536859999999997"/>
  </r>
  <r>
    <s v="EU27"/>
    <x v="16"/>
    <n v="2023"/>
    <x v="7"/>
    <x v="2"/>
    <x v="2"/>
    <m/>
    <m/>
    <n v="385.03685999999999"/>
  </r>
  <r>
    <s v="EU27"/>
    <x v="16"/>
    <n v="2023"/>
    <x v="8"/>
    <x v="0"/>
    <x v="0"/>
    <m/>
    <m/>
    <n v="1225.43032105099"/>
  </r>
  <r>
    <s v="EU27"/>
    <x v="16"/>
    <n v="2023"/>
    <x v="8"/>
    <x v="0"/>
    <x v="1"/>
    <m/>
    <m/>
    <n v="3359.2543899474572"/>
  </r>
  <r>
    <s v="EU27"/>
    <x v="16"/>
    <n v="2023"/>
    <x v="8"/>
    <x v="0"/>
    <x v="2"/>
    <m/>
    <m/>
    <n v="4584.584710998447"/>
  </r>
  <r>
    <s v="EU27"/>
    <x v="16"/>
    <n v="2023"/>
    <x v="8"/>
    <x v="1"/>
    <x v="0"/>
    <m/>
    <m/>
    <n v="1470.949081679232"/>
  </r>
  <r>
    <s v="EU27"/>
    <x v="16"/>
    <n v="2023"/>
    <x v="8"/>
    <x v="1"/>
    <x v="1"/>
    <m/>
    <m/>
    <n v="3558.9847046037412"/>
  </r>
  <r>
    <s v="EU27"/>
    <x v="16"/>
    <n v="2023"/>
    <x v="8"/>
    <x v="1"/>
    <x v="2"/>
    <m/>
    <m/>
    <n v="5029.8337862829731"/>
  </r>
  <r>
    <s v="EU27"/>
    <x v="16"/>
    <n v="2023"/>
    <x v="8"/>
    <x v="2"/>
    <x v="0"/>
    <m/>
    <m/>
    <n v="7.2"/>
  </r>
  <r>
    <s v="EU27"/>
    <x v="16"/>
    <n v="2023"/>
    <x v="8"/>
    <x v="2"/>
    <x v="2"/>
    <m/>
    <m/>
    <n v="301.89999999999998"/>
  </r>
  <r>
    <s v="EU27"/>
    <x v="16"/>
    <n v="2023"/>
    <x v="9"/>
    <x v="0"/>
    <x v="0"/>
    <m/>
    <m/>
    <n v="299533.93926173652"/>
  </r>
  <r>
    <s v="EU27"/>
    <x v="16"/>
    <n v="2023"/>
    <x v="9"/>
    <x v="0"/>
    <x v="1"/>
    <m/>
    <m/>
    <n v="1389.1343287154621"/>
  </r>
  <r>
    <s v="EU27"/>
    <x v="16"/>
    <n v="2023"/>
    <x v="9"/>
    <x v="0"/>
    <x v="2"/>
    <m/>
    <m/>
    <n v="300922.8735729726"/>
  </r>
  <r>
    <s v="EU27"/>
    <x v="16"/>
    <n v="2023"/>
    <x v="9"/>
    <x v="1"/>
    <x v="0"/>
    <m/>
    <m/>
    <n v="359810.08528342808"/>
  </r>
  <r>
    <s v="EU27"/>
    <x v="16"/>
    <n v="2023"/>
    <x v="9"/>
    <x v="1"/>
    <x v="1"/>
    <m/>
    <m/>
    <n v="1537.524324444136"/>
  </r>
  <r>
    <s v="EU27"/>
    <x v="16"/>
    <n v="2023"/>
    <x v="9"/>
    <x v="1"/>
    <x v="2"/>
    <m/>
    <m/>
    <n v="361347.50960787223"/>
  </r>
  <r>
    <s v="EU27"/>
    <x v="16"/>
    <n v="2023"/>
    <x v="9"/>
    <x v="2"/>
    <x v="0"/>
    <m/>
    <m/>
    <n v="1483.5297499999999"/>
  </r>
  <r>
    <s v="EU27"/>
    <x v="16"/>
    <n v="2023"/>
    <x v="9"/>
    <x v="2"/>
    <x v="2"/>
    <m/>
    <m/>
    <n v="18831.329750000001"/>
  </r>
  <r>
    <s v="EU27"/>
    <x v="16"/>
    <n v="2023"/>
    <x v="10"/>
    <x v="0"/>
    <x v="0"/>
    <m/>
    <m/>
    <n v="3542.35916"/>
  </r>
  <r>
    <s v="EU27"/>
    <x v="16"/>
    <n v="2023"/>
    <x v="10"/>
    <x v="0"/>
    <x v="1"/>
    <m/>
    <m/>
    <n v="0"/>
  </r>
  <r>
    <s v="EU27"/>
    <x v="16"/>
    <n v="2023"/>
    <x v="10"/>
    <x v="0"/>
    <x v="2"/>
    <m/>
    <m/>
    <n v="3542.35916"/>
  </r>
  <r>
    <s v="EU27"/>
    <x v="16"/>
    <n v="2023"/>
    <x v="10"/>
    <x v="1"/>
    <x v="0"/>
    <m/>
    <m/>
    <n v="3542.7231400000001"/>
  </r>
  <r>
    <s v="EU27"/>
    <x v="16"/>
    <n v="2023"/>
    <x v="10"/>
    <x v="1"/>
    <x v="1"/>
    <m/>
    <m/>
    <n v="0"/>
  </r>
  <r>
    <s v="EU27"/>
    <x v="16"/>
    <n v="2023"/>
    <x v="10"/>
    <x v="1"/>
    <x v="2"/>
    <m/>
    <m/>
    <n v="3542.7231400000001"/>
  </r>
  <r>
    <s v="EU27"/>
    <x v="16"/>
    <n v="2023"/>
    <x v="10"/>
    <x v="2"/>
    <x v="0"/>
    <m/>
    <m/>
    <n v="4.0999999999999996"/>
  </r>
  <r>
    <s v="EU27"/>
    <x v="16"/>
    <n v="2023"/>
    <x v="10"/>
    <x v="2"/>
    <x v="2"/>
    <m/>
    <m/>
    <n v="1246.2"/>
  </r>
  <r>
    <s v="EU27"/>
    <x v="16"/>
    <n v="2023"/>
    <x v="11"/>
    <x v="0"/>
    <x v="0"/>
    <m/>
    <m/>
    <n v="49549.331051685091"/>
  </r>
  <r>
    <s v="EU27"/>
    <x v="16"/>
    <n v="2023"/>
    <x v="11"/>
    <x v="0"/>
    <x v="1"/>
    <m/>
    <m/>
    <n v="12918.74495413154"/>
  </r>
  <r>
    <s v="EU27"/>
    <x v="16"/>
    <n v="2023"/>
    <x v="11"/>
    <x v="0"/>
    <x v="2"/>
    <m/>
    <m/>
    <n v="62468.076025816626"/>
  </r>
  <r>
    <s v="EU27"/>
    <x v="16"/>
    <n v="2023"/>
    <x v="11"/>
    <x v="1"/>
    <x v="0"/>
    <m/>
    <m/>
    <n v="51861.602011835028"/>
  </r>
  <r>
    <s v="EU27"/>
    <x v="16"/>
    <n v="2023"/>
    <x v="11"/>
    <x v="1"/>
    <x v="1"/>
    <m/>
    <m/>
    <n v="14428.48463816497"/>
  </r>
  <r>
    <s v="EU27"/>
    <x v="16"/>
    <n v="2023"/>
    <x v="11"/>
    <x v="1"/>
    <x v="2"/>
    <m/>
    <m/>
    <n v="66290.086660000001"/>
  </r>
  <r>
    <s v="EU27"/>
    <x v="16"/>
    <n v="2023"/>
    <x v="11"/>
    <x v="2"/>
    <x v="0"/>
    <m/>
    <m/>
    <n v="430.1"/>
  </r>
  <r>
    <s v="EU27"/>
    <x v="16"/>
    <n v="2023"/>
    <x v="11"/>
    <x v="2"/>
    <x v="1"/>
    <m/>
    <m/>
    <n v="69.900000000000006"/>
  </r>
  <r>
    <s v="EU27"/>
    <x v="16"/>
    <n v="2023"/>
    <x v="11"/>
    <x v="2"/>
    <x v="2"/>
    <m/>
    <m/>
    <n v="18675.8"/>
  </r>
  <r>
    <s v="EU27"/>
    <x v="16"/>
    <n v="2023"/>
    <x v="12"/>
    <x v="0"/>
    <x v="0"/>
    <m/>
    <m/>
    <n v="0"/>
  </r>
  <r>
    <s v="EU27"/>
    <x v="16"/>
    <n v="2023"/>
    <x v="12"/>
    <x v="0"/>
    <x v="1"/>
    <m/>
    <m/>
    <n v="0"/>
  </r>
  <r>
    <s v="EU27"/>
    <x v="16"/>
    <n v="2023"/>
    <x v="12"/>
    <x v="0"/>
    <x v="2"/>
    <m/>
    <m/>
    <n v="0"/>
  </r>
  <r>
    <s v="EU27"/>
    <x v="16"/>
    <n v="2023"/>
    <x v="12"/>
    <x v="1"/>
    <x v="0"/>
    <m/>
    <m/>
    <n v="0"/>
  </r>
  <r>
    <s v="EU27"/>
    <x v="16"/>
    <n v="2023"/>
    <x v="12"/>
    <x v="1"/>
    <x v="1"/>
    <m/>
    <m/>
    <n v="0"/>
  </r>
  <r>
    <s v="EU27"/>
    <x v="16"/>
    <n v="2023"/>
    <x v="12"/>
    <x v="1"/>
    <x v="2"/>
    <m/>
    <m/>
    <n v="0"/>
  </r>
  <r>
    <s v="EU27"/>
    <x v="16"/>
    <n v="2023"/>
    <x v="13"/>
    <x v="0"/>
    <x v="0"/>
    <m/>
    <m/>
    <n v="49550.526988186313"/>
  </r>
  <r>
    <s v="EU27"/>
    <x v="16"/>
    <n v="2023"/>
    <x v="13"/>
    <x v="0"/>
    <x v="1"/>
    <m/>
    <m/>
    <n v="173590.71914114649"/>
  </r>
  <r>
    <s v="EU27"/>
    <x v="16"/>
    <n v="2023"/>
    <x v="13"/>
    <x v="0"/>
    <x v="2"/>
    <m/>
    <m/>
    <n v="222881.05392670451"/>
  </r>
  <r>
    <s v="EU27"/>
    <x v="16"/>
    <n v="2023"/>
    <x v="13"/>
    <x v="1"/>
    <x v="0"/>
    <m/>
    <m/>
    <n v="52536.22911969768"/>
  </r>
  <r>
    <s v="EU27"/>
    <x v="16"/>
    <n v="2023"/>
    <x v="13"/>
    <x v="1"/>
    <x v="1"/>
    <m/>
    <m/>
    <n v="183416.6426483476"/>
  </r>
  <r>
    <s v="EU27"/>
    <x v="16"/>
    <n v="2023"/>
    <x v="13"/>
    <x v="1"/>
    <x v="2"/>
    <m/>
    <m/>
    <n v="235693.6142747722"/>
  </r>
  <r>
    <s v="EU27"/>
    <x v="16"/>
    <n v="2023"/>
    <x v="13"/>
    <x v="2"/>
    <x v="0"/>
    <m/>
    <m/>
    <n v="1155.1715799999999"/>
  </r>
  <r>
    <s v="EU27"/>
    <x v="16"/>
    <n v="2023"/>
    <x v="13"/>
    <x v="2"/>
    <x v="1"/>
    <m/>
    <m/>
    <n v="752.8"/>
  </r>
  <r>
    <s v="EU27"/>
    <x v="16"/>
    <n v="2023"/>
    <x v="13"/>
    <x v="2"/>
    <x v="2"/>
    <m/>
    <m/>
    <n v="16879.07158"/>
  </r>
  <r>
    <s v="EU27"/>
    <x v="16"/>
    <n v="2023"/>
    <x v="14"/>
    <x v="0"/>
    <x v="0"/>
    <m/>
    <m/>
    <n v="352061.72638149309"/>
  </r>
  <r>
    <s v="EU27"/>
    <x v="16"/>
    <n v="2023"/>
    <x v="14"/>
    <x v="0"/>
    <x v="2"/>
    <m/>
    <m/>
    <n v="352061.72638149309"/>
  </r>
  <r>
    <s v="EU27"/>
    <x v="16"/>
    <n v="2023"/>
    <x v="14"/>
    <x v="1"/>
    <x v="0"/>
    <m/>
    <m/>
    <n v="368344.98555856792"/>
  </r>
  <r>
    <s v="EU27"/>
    <x v="16"/>
    <n v="2023"/>
    <x v="14"/>
    <x v="1"/>
    <x v="2"/>
    <m/>
    <m/>
    <n v="368344.98555856792"/>
  </r>
  <r>
    <s v="EU27"/>
    <x v="16"/>
    <n v="2023"/>
    <x v="14"/>
    <x v="2"/>
    <x v="0"/>
    <m/>
    <m/>
    <n v="2060.2996699999999"/>
  </r>
  <r>
    <s v="EU27"/>
    <x v="16"/>
    <n v="2023"/>
    <x v="14"/>
    <x v="2"/>
    <x v="2"/>
    <m/>
    <m/>
    <n v="34046.399669999999"/>
  </r>
  <r>
    <s v="EU27"/>
    <x v="16"/>
    <n v="2023"/>
    <x v="15"/>
    <x v="0"/>
    <x v="2"/>
    <m/>
    <m/>
    <n v="-251280.3295440948"/>
  </r>
  <r>
    <s v="EU27"/>
    <x v="16"/>
    <n v="2023"/>
    <x v="15"/>
    <x v="1"/>
    <x v="2"/>
    <m/>
    <m/>
    <n v="-223509.77453868589"/>
  </r>
  <r>
    <s v="EU27"/>
    <x v="16"/>
    <n v="2023"/>
    <x v="15"/>
    <x v="2"/>
    <x v="2"/>
    <m/>
    <m/>
    <n v="-14892.04774"/>
  </r>
  <r>
    <s v="EU27"/>
    <x v="16"/>
    <n v="2023"/>
    <x v="16"/>
    <x v="0"/>
    <x v="2"/>
    <m/>
    <m/>
    <n v="-301633.18513204431"/>
  </r>
  <r>
    <s v="EU27"/>
    <x v="16"/>
    <n v="2023"/>
    <x v="16"/>
    <x v="1"/>
    <x v="2"/>
    <m/>
    <m/>
    <n v="-284003.0909767712"/>
  </r>
  <r>
    <s v="EU27"/>
    <x v="16"/>
    <n v="2023"/>
    <x v="16"/>
    <x v="2"/>
    <x v="2"/>
    <m/>
    <m/>
    <n v="-18289.381440000001"/>
  </r>
  <r>
    <s v="EU27"/>
    <x v="16"/>
    <n v="2023"/>
    <x v="17"/>
    <x v="0"/>
    <x v="2"/>
    <m/>
    <m/>
    <n v="26730.007553906889"/>
  </r>
  <r>
    <s v="EU27"/>
    <x v="16"/>
    <n v="2023"/>
    <x v="17"/>
    <x v="1"/>
    <x v="2"/>
    <m/>
    <m/>
    <n v="33276.329546654342"/>
  </r>
  <r>
    <s v="EU27"/>
    <x v="16"/>
    <n v="2023"/>
    <x v="17"/>
    <x v="2"/>
    <x v="2"/>
    <m/>
    <m/>
    <n v="-2258.2566000000002"/>
  </r>
  <r>
    <s v="EU27"/>
    <x v="16"/>
    <n v="2023"/>
    <x v="18"/>
    <x v="0"/>
    <x v="2"/>
    <m/>
    <m/>
    <n v="14351.310197043509"/>
  </r>
  <r>
    <s v="EU27"/>
    <x v="16"/>
    <n v="2023"/>
    <x v="18"/>
    <x v="1"/>
    <x v="2"/>
    <m/>
    <m/>
    <n v="15625.51178144137"/>
  </r>
  <r>
    <s v="EU27"/>
    <x v="16"/>
    <n v="2023"/>
    <x v="18"/>
    <x v="2"/>
    <x v="2"/>
    <m/>
    <m/>
    <n v="3469.6946499999999"/>
  </r>
  <r>
    <s v="EU27"/>
    <x v="16"/>
    <n v="2023"/>
    <x v="19"/>
    <x v="0"/>
    <x v="2"/>
    <m/>
    <m/>
    <n v="12267.386325395501"/>
  </r>
  <r>
    <s v="EU27"/>
    <x v="16"/>
    <n v="2023"/>
    <x v="19"/>
    <x v="1"/>
    <x v="2"/>
    <m/>
    <m/>
    <n v="13280.531045394689"/>
  </r>
  <r>
    <s v="EU27"/>
    <x v="16"/>
    <n v="2023"/>
    <x v="19"/>
    <x v="2"/>
    <x v="2"/>
    <m/>
    <m/>
    <n v="765.38648000000001"/>
  </r>
  <r>
    <s v="EU27"/>
    <x v="16"/>
    <n v="2023"/>
    <x v="20"/>
    <x v="0"/>
    <x v="2"/>
    <m/>
    <m/>
    <n v="30805.626019116178"/>
  </r>
  <r>
    <s v="EU27"/>
    <x v="16"/>
    <n v="2023"/>
    <x v="20"/>
    <x v="1"/>
    <x v="2"/>
    <m/>
    <m/>
    <n v="31196.663193296339"/>
  </r>
  <r>
    <s v="EU27"/>
    <x v="16"/>
    <n v="2023"/>
    <x v="20"/>
    <x v="2"/>
    <x v="2"/>
    <m/>
    <m/>
    <n v="3045.37291"/>
  </r>
  <r>
    <s v="EU27"/>
    <x v="16"/>
    <n v="2023"/>
    <x v="21"/>
    <x v="0"/>
    <x v="2"/>
    <m/>
    <m/>
    <n v="504.15152999999998"/>
  </r>
  <r>
    <s v="EU27"/>
    <x v="16"/>
    <n v="2023"/>
    <x v="21"/>
    <x v="1"/>
    <x v="2"/>
    <m/>
    <m/>
    <n v="375.15445000000011"/>
  </r>
  <r>
    <s v="EU27"/>
    <x v="16"/>
    <n v="2023"/>
    <x v="21"/>
    <x v="2"/>
    <x v="2"/>
    <m/>
    <m/>
    <n v="285.77625999999998"/>
  </r>
  <r>
    <s v="EU27"/>
    <x v="16"/>
    <n v="2023"/>
    <x v="22"/>
    <x v="0"/>
    <x v="2"/>
    <m/>
    <m/>
    <n v="-33827.284249999997"/>
  </r>
  <r>
    <s v="EU27"/>
    <x v="16"/>
    <n v="2023"/>
    <x v="22"/>
    <x v="1"/>
    <x v="2"/>
    <m/>
    <m/>
    <n v="-33508.645259999998"/>
  </r>
  <r>
    <s v="EU27"/>
    <x v="16"/>
    <n v="2023"/>
    <x v="22"/>
    <x v="2"/>
    <x v="2"/>
    <m/>
    <m/>
    <n v="-1910.58"/>
  </r>
  <r>
    <s v="EU27"/>
    <x v="16"/>
    <n v="2023"/>
    <x v="23"/>
    <x v="0"/>
    <x v="2"/>
    <m/>
    <m/>
    <n v="253.85033000000001"/>
  </r>
  <r>
    <s v="EU27"/>
    <x v="16"/>
    <n v="2023"/>
    <x v="23"/>
    <x v="1"/>
    <x v="2"/>
    <m/>
    <m/>
    <n v="253.85033000000001"/>
  </r>
  <r>
    <s v="EU27"/>
    <x v="16"/>
    <n v="2023"/>
    <x v="24"/>
    <x v="0"/>
    <x v="0"/>
    <m/>
    <m/>
    <n v="74231.895501870691"/>
  </r>
  <r>
    <s v="EU27"/>
    <x v="16"/>
    <n v="2023"/>
    <x v="24"/>
    <x v="0"/>
    <x v="1"/>
    <m/>
    <m/>
    <n v="240.84379096022761"/>
  </r>
  <r>
    <s v="EU27"/>
    <x v="16"/>
    <n v="2023"/>
    <x v="24"/>
    <x v="0"/>
    <x v="2"/>
    <m/>
    <m/>
    <n v="74472.739292830927"/>
  </r>
  <r>
    <s v="EU27"/>
    <x v="16"/>
    <n v="2023"/>
    <x v="24"/>
    <x v="1"/>
    <x v="0"/>
    <m/>
    <m/>
    <n v="75252.860011872239"/>
  </r>
  <r>
    <s v="EU27"/>
    <x v="16"/>
    <n v="2023"/>
    <x v="24"/>
    <x v="1"/>
    <x v="1"/>
    <m/>
    <m/>
    <n v="240.8437909608752"/>
  </r>
  <r>
    <s v="EU27"/>
    <x v="16"/>
    <n v="2023"/>
    <x v="24"/>
    <x v="1"/>
    <x v="2"/>
    <m/>
    <m/>
    <n v="75384.940276022331"/>
  </r>
  <r>
    <s v="EU27"/>
    <x v="16"/>
    <n v="2023"/>
    <x v="24"/>
    <x v="2"/>
    <x v="0"/>
    <m/>
    <m/>
    <n v="1666.5981899999999"/>
  </r>
  <r>
    <s v="EU27"/>
    <x v="16"/>
    <n v="2023"/>
    <x v="24"/>
    <x v="2"/>
    <x v="2"/>
    <m/>
    <m/>
    <n v="10354.39819"/>
  </r>
  <r>
    <s v="EU27"/>
    <x v="16"/>
    <n v="2023"/>
    <x v="25"/>
    <x v="0"/>
    <x v="0"/>
    <m/>
    <m/>
    <n v="153.9"/>
  </r>
  <r>
    <s v="EU27"/>
    <x v="16"/>
    <n v="2023"/>
    <x v="25"/>
    <x v="0"/>
    <x v="2"/>
    <m/>
    <m/>
    <n v="121797.9027069334"/>
  </r>
  <r>
    <s v="EU27"/>
    <x v="16"/>
    <n v="2023"/>
    <x v="25"/>
    <x v="1"/>
    <x v="0"/>
    <m/>
    <m/>
    <n v="153.9"/>
  </r>
  <r>
    <s v="EU27"/>
    <x v="16"/>
    <n v="2023"/>
    <x v="25"/>
    <x v="1"/>
    <x v="2"/>
    <m/>
    <m/>
    <n v="129071.93517330159"/>
  </r>
  <r>
    <s v="EU27"/>
    <x v="16"/>
    <n v="2023"/>
    <x v="25"/>
    <x v="2"/>
    <x v="2"/>
    <m/>
    <m/>
    <n v="1254.88248"/>
  </r>
  <r>
    <s v="EU27"/>
    <x v="16"/>
    <n v="2023"/>
    <x v="26"/>
    <x v="0"/>
    <x v="0"/>
    <m/>
    <m/>
    <n v="808.5"/>
  </r>
  <r>
    <s v="EU27"/>
    <x v="16"/>
    <n v="2023"/>
    <x v="26"/>
    <x v="0"/>
    <x v="2"/>
    <m/>
    <m/>
    <n v="140002.376982168"/>
  </r>
  <r>
    <s v="EU27"/>
    <x v="16"/>
    <n v="2023"/>
    <x v="26"/>
    <x v="1"/>
    <x v="0"/>
    <m/>
    <m/>
    <n v="808.5"/>
  </r>
  <r>
    <s v="EU27"/>
    <x v="16"/>
    <n v="2023"/>
    <x v="26"/>
    <x v="1"/>
    <x v="2"/>
    <m/>
    <m/>
    <n v="142243.50916996819"/>
  </r>
  <r>
    <s v="EU27"/>
    <x v="16"/>
    <n v="2023"/>
    <x v="26"/>
    <x v="2"/>
    <x v="2"/>
    <m/>
    <m/>
    <n v="943.8"/>
  </r>
  <r>
    <s v="EU27"/>
    <x v="16"/>
    <n v="2023"/>
    <x v="27"/>
    <x v="0"/>
    <x v="0"/>
    <m/>
    <m/>
    <n v="705.82038"/>
  </r>
  <r>
    <s v="EU27"/>
    <x v="16"/>
    <n v="2023"/>
    <x v="27"/>
    <x v="0"/>
    <x v="2"/>
    <m/>
    <m/>
    <n v="849.72037999999998"/>
  </r>
  <r>
    <s v="EU27"/>
    <x v="16"/>
    <n v="2023"/>
    <x v="27"/>
    <x v="1"/>
    <x v="0"/>
    <m/>
    <m/>
    <n v="707.32740000000001"/>
  </r>
  <r>
    <s v="EU27"/>
    <x v="16"/>
    <n v="2023"/>
    <x v="27"/>
    <x v="1"/>
    <x v="2"/>
    <m/>
    <m/>
    <n v="851.22739999999999"/>
  </r>
  <r>
    <s v="EU27"/>
    <x v="16"/>
    <n v="2023"/>
    <x v="28"/>
    <x v="0"/>
    <x v="0"/>
    <m/>
    <m/>
    <n v="1452900.6618266569"/>
  </r>
  <r>
    <s v="EU27"/>
    <x v="16"/>
    <n v="2023"/>
    <x v="28"/>
    <x v="0"/>
    <x v="1"/>
    <m/>
    <m/>
    <n v="662447.23178999429"/>
  </r>
  <r>
    <s v="EU27"/>
    <x v="16"/>
    <n v="2023"/>
    <x v="28"/>
    <x v="0"/>
    <x v="2"/>
    <m/>
    <m/>
    <n v="2131905.8774045981"/>
  </r>
  <r>
    <s v="EU27"/>
    <x v="16"/>
    <n v="2023"/>
    <x v="28"/>
    <x v="1"/>
    <x v="0"/>
    <m/>
    <m/>
    <n v="1635779.3428455661"/>
  </r>
  <r>
    <s v="EU27"/>
    <x v="16"/>
    <n v="2023"/>
    <x v="28"/>
    <x v="1"/>
    <x v="1"/>
    <m/>
    <m/>
    <n v="758409.48939993477"/>
  </r>
  <r>
    <s v="EU27"/>
    <x v="16"/>
    <n v="2023"/>
    <x v="28"/>
    <x v="1"/>
    <x v="2"/>
    <m/>
    <m/>
    <n v="2412107.3782989671"/>
  </r>
  <r>
    <s v="EU27"/>
    <x v="16"/>
    <n v="2023"/>
    <x v="28"/>
    <x v="2"/>
    <x v="0"/>
    <m/>
    <m/>
    <n v="16784.542079999999"/>
  </r>
  <r>
    <s v="EU27"/>
    <x v="16"/>
    <n v="2023"/>
    <x v="28"/>
    <x v="2"/>
    <x v="1"/>
    <m/>
    <m/>
    <n v="9375.4566300000006"/>
  </r>
  <r>
    <s v="EU27"/>
    <x v="16"/>
    <n v="2023"/>
    <x v="28"/>
    <x v="2"/>
    <x v="2"/>
    <m/>
    <m/>
    <n v="211047.59856000001"/>
  </r>
  <r>
    <s v="EU27"/>
    <x v="16"/>
    <n v="2023"/>
    <x v="29"/>
    <x v="0"/>
    <x v="0"/>
    <m/>
    <m/>
    <n v="1452900.761826657"/>
  </r>
  <r>
    <s v="EU27"/>
    <x v="16"/>
    <n v="2023"/>
    <x v="29"/>
    <x v="0"/>
    <x v="1"/>
    <m/>
    <m/>
    <n v="662447.23178999429"/>
  </r>
  <r>
    <s v="EU27"/>
    <x v="16"/>
    <n v="2023"/>
    <x v="29"/>
    <x v="0"/>
    <x v="2"/>
    <m/>
    <m/>
    <n v="1880625.4678605029"/>
  </r>
  <r>
    <s v="EU27"/>
    <x v="16"/>
    <n v="2023"/>
    <x v="29"/>
    <x v="1"/>
    <x v="0"/>
    <m/>
    <m/>
    <n v="1635779.442845566"/>
  </r>
  <r>
    <s v="EU27"/>
    <x v="16"/>
    <n v="2023"/>
    <x v="29"/>
    <x v="1"/>
    <x v="1"/>
    <m/>
    <m/>
    <n v="758409.48939993477"/>
  </r>
  <r>
    <s v="EU27"/>
    <x v="16"/>
    <n v="2023"/>
    <x v="29"/>
    <x v="1"/>
    <x v="2"/>
    <m/>
    <m/>
    <n v="2188589.066930281"/>
  </r>
  <r>
    <s v="EU27"/>
    <x v="16"/>
    <n v="2023"/>
    <x v="29"/>
    <x v="2"/>
    <x v="0"/>
    <m/>
    <m/>
    <n v="16784.542079999999"/>
  </r>
  <r>
    <s v="EU27"/>
    <x v="16"/>
    <n v="2023"/>
    <x v="29"/>
    <x v="2"/>
    <x v="1"/>
    <m/>
    <m/>
    <n v="9375.4566300000006"/>
  </r>
  <r>
    <s v="EU27"/>
    <x v="16"/>
    <n v="2023"/>
    <x v="29"/>
    <x v="2"/>
    <x v="2"/>
    <m/>
    <m/>
    <n v="196467.01082"/>
  </r>
  <r>
    <s v="EU27"/>
    <x v="17"/>
    <n v="2023"/>
    <x v="0"/>
    <x v="0"/>
    <x v="0"/>
    <m/>
    <m/>
    <n v="947441.34224778158"/>
  </r>
  <r>
    <s v="EU27"/>
    <x v="17"/>
    <n v="2023"/>
    <x v="0"/>
    <x v="0"/>
    <x v="1"/>
    <m/>
    <m/>
    <n v="478647.19268163538"/>
  </r>
  <r>
    <s v="EU27"/>
    <x v="17"/>
    <n v="2023"/>
    <x v="0"/>
    <x v="0"/>
    <x v="2"/>
    <m/>
    <m/>
    <n v="1443002.439255222"/>
  </r>
  <r>
    <s v="EU27"/>
    <x v="17"/>
    <n v="2023"/>
    <x v="0"/>
    <x v="1"/>
    <x v="0"/>
    <m/>
    <m/>
    <n v="1116343.7196753379"/>
  </r>
  <r>
    <s v="EU27"/>
    <x v="17"/>
    <n v="2023"/>
    <x v="0"/>
    <x v="1"/>
    <x v="1"/>
    <m/>
    <m/>
    <n v="560559.00690596132"/>
  </r>
  <r>
    <s v="EU27"/>
    <x v="17"/>
    <n v="2023"/>
    <x v="0"/>
    <x v="1"/>
    <x v="2"/>
    <m/>
    <m/>
    <n v="1695309.0782436449"/>
  </r>
  <r>
    <s v="EU27"/>
    <x v="17"/>
    <n v="2023"/>
    <x v="0"/>
    <x v="2"/>
    <x v="0"/>
    <m/>
    <m/>
    <n v="12068.77268"/>
  </r>
  <r>
    <s v="EU27"/>
    <x v="17"/>
    <n v="2023"/>
    <x v="0"/>
    <x v="2"/>
    <x v="1"/>
    <m/>
    <m/>
    <n v="8630.8566300000002"/>
  </r>
  <r>
    <s v="EU27"/>
    <x v="17"/>
    <n v="2023"/>
    <x v="0"/>
    <x v="2"/>
    <x v="2"/>
    <m/>
    <m/>
    <n v="151332.33360000001"/>
  </r>
  <r>
    <s v="EU27"/>
    <x v="17"/>
    <n v="2023"/>
    <x v="1"/>
    <x v="0"/>
    <x v="0"/>
    <m/>
    <m/>
    <n v="39582.229049396563"/>
  </r>
  <r>
    <s v="EU27"/>
    <x v="17"/>
    <n v="2023"/>
    <x v="1"/>
    <x v="0"/>
    <x v="1"/>
    <m/>
    <m/>
    <n v="278388.57727084809"/>
  </r>
  <r>
    <s v="EU27"/>
    <x v="17"/>
    <n v="2023"/>
    <x v="1"/>
    <x v="0"/>
    <x v="2"/>
    <m/>
    <m/>
    <n v="317970.74647475709"/>
  </r>
  <r>
    <s v="EU27"/>
    <x v="17"/>
    <n v="2023"/>
    <x v="1"/>
    <x v="1"/>
    <x v="0"/>
    <m/>
    <m/>
    <n v="44776.471569196008"/>
  </r>
  <r>
    <s v="EU27"/>
    <x v="17"/>
    <n v="2023"/>
    <x v="1"/>
    <x v="1"/>
    <x v="1"/>
    <m/>
    <m/>
    <n v="332959.63776842313"/>
  </r>
  <r>
    <s v="EU27"/>
    <x v="17"/>
    <n v="2023"/>
    <x v="1"/>
    <x v="1"/>
    <x v="2"/>
    <m/>
    <m/>
    <n v="377736.22935815487"/>
  </r>
  <r>
    <s v="EU27"/>
    <x v="17"/>
    <n v="2023"/>
    <x v="1"/>
    <x v="2"/>
    <x v="0"/>
    <m/>
    <m/>
    <n v="64.315660000000008"/>
  </r>
  <r>
    <s v="EU27"/>
    <x v="17"/>
    <n v="2023"/>
    <x v="1"/>
    <x v="2"/>
    <x v="1"/>
    <m/>
    <m/>
    <n v="7117.05663"/>
  </r>
  <r>
    <s v="EU27"/>
    <x v="17"/>
    <n v="2023"/>
    <x v="1"/>
    <x v="2"/>
    <x v="2"/>
    <m/>
    <m/>
    <n v="48154.872289999999"/>
  </r>
  <r>
    <s v="EU27"/>
    <x v="17"/>
    <n v="2023"/>
    <x v="2"/>
    <x v="0"/>
    <x v="0"/>
    <m/>
    <m/>
    <n v="95162.452026253013"/>
  </r>
  <r>
    <s v="EU27"/>
    <x v="17"/>
    <n v="2023"/>
    <x v="2"/>
    <x v="0"/>
    <x v="1"/>
    <m/>
    <m/>
    <n v="182790.58109426819"/>
  </r>
  <r>
    <s v="EU27"/>
    <x v="17"/>
    <n v="2023"/>
    <x v="2"/>
    <x v="0"/>
    <x v="2"/>
    <m/>
    <m/>
    <n v="277952.95313060749"/>
  </r>
  <r>
    <s v="EU27"/>
    <x v="17"/>
    <n v="2023"/>
    <x v="2"/>
    <x v="1"/>
    <x v="0"/>
    <m/>
    <m/>
    <n v="101258.2518964755"/>
  </r>
  <r>
    <s v="EU27"/>
    <x v="17"/>
    <n v="2023"/>
    <x v="2"/>
    <x v="1"/>
    <x v="1"/>
    <m/>
    <m/>
    <n v="208268.00083043211"/>
  </r>
  <r>
    <s v="EU27"/>
    <x v="17"/>
    <n v="2023"/>
    <x v="2"/>
    <x v="1"/>
    <x v="2"/>
    <m/>
    <m/>
    <n v="309525.97270671901"/>
  </r>
  <r>
    <s v="EU27"/>
    <x v="17"/>
    <n v="2023"/>
    <x v="2"/>
    <x v="2"/>
    <x v="0"/>
    <m/>
    <m/>
    <n v="1086.1287"/>
  </r>
  <r>
    <s v="EU27"/>
    <x v="17"/>
    <n v="2023"/>
    <x v="2"/>
    <x v="2"/>
    <x v="1"/>
    <m/>
    <m/>
    <n v="1443.9"/>
  </r>
  <r>
    <s v="EU27"/>
    <x v="17"/>
    <n v="2023"/>
    <x v="2"/>
    <x v="2"/>
    <x v="2"/>
    <m/>
    <m/>
    <n v="21190.9287"/>
  </r>
  <r>
    <s v="EU27"/>
    <x v="17"/>
    <n v="2023"/>
    <x v="3"/>
    <x v="0"/>
    <x v="0"/>
    <m/>
    <m/>
    <n v="468477.89034824137"/>
  </r>
  <r>
    <s v="EU27"/>
    <x v="17"/>
    <n v="2023"/>
    <x v="3"/>
    <x v="0"/>
    <x v="1"/>
    <m/>
    <m/>
    <n v="3308.341181946023"/>
  </r>
  <r>
    <s v="EU27"/>
    <x v="17"/>
    <n v="2023"/>
    <x v="3"/>
    <x v="0"/>
    <x v="2"/>
    <m/>
    <m/>
    <n v="488700.41571853828"/>
  </r>
  <r>
    <s v="EU27"/>
    <x v="17"/>
    <n v="2023"/>
    <x v="3"/>
    <x v="1"/>
    <x v="0"/>
    <m/>
    <m/>
    <n v="562037.03730182094"/>
  </r>
  <r>
    <s v="EU27"/>
    <x v="17"/>
    <n v="2023"/>
    <x v="3"/>
    <x v="1"/>
    <x v="1"/>
    <m/>
    <m/>
    <n v="3522.9334952988802"/>
  </r>
  <r>
    <s v="EU27"/>
    <x v="17"/>
    <n v="2023"/>
    <x v="3"/>
    <x v="1"/>
    <x v="2"/>
    <m/>
    <m/>
    <n v="583966.42242911796"/>
  </r>
  <r>
    <s v="EU27"/>
    <x v="17"/>
    <n v="2023"/>
    <x v="3"/>
    <x v="2"/>
    <x v="0"/>
    <m/>
    <m/>
    <n v="9003.49856"/>
  </r>
  <r>
    <s v="EU27"/>
    <x v="17"/>
    <n v="2023"/>
    <x v="3"/>
    <x v="2"/>
    <x v="1"/>
    <m/>
    <m/>
    <n v="0"/>
  </r>
  <r>
    <s v="EU27"/>
    <x v="17"/>
    <n v="2023"/>
    <x v="3"/>
    <x v="2"/>
    <x v="2"/>
    <m/>
    <m/>
    <n v="43005.102859999999"/>
  </r>
  <r>
    <s v="EU27"/>
    <x v="17"/>
    <n v="2023"/>
    <x v="4"/>
    <x v="0"/>
    <x v="0"/>
    <m/>
    <m/>
    <n v="146.90229939938291"/>
  </r>
  <r>
    <s v="EU27"/>
    <x v="17"/>
    <n v="2023"/>
    <x v="4"/>
    <x v="0"/>
    <x v="1"/>
    <m/>
    <m/>
    <n v="0"/>
  </r>
  <r>
    <s v="EU27"/>
    <x v="17"/>
    <n v="2023"/>
    <x v="4"/>
    <x v="0"/>
    <x v="2"/>
    <m/>
    <m/>
    <n v="17032.43483189739"/>
  </r>
  <r>
    <s v="EU27"/>
    <x v="17"/>
    <n v="2023"/>
    <x v="4"/>
    <x v="1"/>
    <x v="0"/>
    <m/>
    <m/>
    <n v="158.22626574202491"/>
  </r>
  <r>
    <s v="EU27"/>
    <x v="17"/>
    <n v="2023"/>
    <x v="4"/>
    <x v="1"/>
    <x v="1"/>
    <m/>
    <m/>
    <n v="0"/>
  </r>
  <r>
    <s v="EU27"/>
    <x v="17"/>
    <n v="2023"/>
    <x v="4"/>
    <x v="1"/>
    <x v="2"/>
    <m/>
    <m/>
    <n v="18559.336069111279"/>
  </r>
  <r>
    <s v="EU27"/>
    <x v="17"/>
    <n v="2023"/>
    <x v="4"/>
    <x v="2"/>
    <x v="0"/>
    <m/>
    <m/>
    <n v="1.2999999999999999E-2"/>
  </r>
  <r>
    <s v="EU27"/>
    <x v="17"/>
    <n v="2023"/>
    <x v="4"/>
    <x v="2"/>
    <x v="2"/>
    <m/>
    <m/>
    <n v="508.01729999999998"/>
  </r>
  <r>
    <s v="EU27"/>
    <x v="17"/>
    <n v="2023"/>
    <x v="5"/>
    <x v="0"/>
    <x v="0"/>
    <m/>
    <m/>
    <n v="446558.10885781067"/>
  </r>
  <r>
    <s v="EU27"/>
    <x v="17"/>
    <n v="2023"/>
    <x v="5"/>
    <x v="0"/>
    <x v="1"/>
    <m/>
    <m/>
    <n v="0"/>
  </r>
  <r>
    <s v="EU27"/>
    <x v="17"/>
    <n v="2023"/>
    <x v="5"/>
    <x v="0"/>
    <x v="2"/>
    <m/>
    <m/>
    <n v="446558.10885781067"/>
  </r>
  <r>
    <s v="EU27"/>
    <x v="17"/>
    <n v="2023"/>
    <x v="5"/>
    <x v="1"/>
    <x v="0"/>
    <m/>
    <m/>
    <n v="538642.19981788762"/>
  </r>
  <r>
    <s v="EU27"/>
    <x v="17"/>
    <n v="2023"/>
    <x v="5"/>
    <x v="1"/>
    <x v="1"/>
    <m/>
    <m/>
    <n v="0"/>
  </r>
  <r>
    <s v="EU27"/>
    <x v="17"/>
    <n v="2023"/>
    <x v="5"/>
    <x v="1"/>
    <x v="2"/>
    <m/>
    <m/>
    <n v="538642.19981788762"/>
  </r>
  <r>
    <s v="EU27"/>
    <x v="17"/>
    <n v="2023"/>
    <x v="5"/>
    <x v="2"/>
    <x v="0"/>
    <m/>
    <m/>
    <n v="8907.0486999999994"/>
  </r>
  <r>
    <s v="EU27"/>
    <x v="17"/>
    <n v="2023"/>
    <x v="5"/>
    <x v="2"/>
    <x v="2"/>
    <m/>
    <m/>
    <n v="40509.548699999999"/>
  </r>
  <r>
    <s v="EU27"/>
    <x v="17"/>
    <n v="2023"/>
    <x v="6"/>
    <x v="0"/>
    <x v="0"/>
    <m/>
    <m/>
    <n v="3366.6291604159678"/>
  </r>
  <r>
    <s v="EU27"/>
    <x v="17"/>
    <n v="2023"/>
    <x v="6"/>
    <x v="0"/>
    <x v="1"/>
    <m/>
    <m/>
    <n v="0"/>
  </r>
  <r>
    <s v="EU27"/>
    <x v="17"/>
    <n v="2023"/>
    <x v="6"/>
    <x v="0"/>
    <x v="2"/>
    <m/>
    <m/>
    <n v="3366.6291604159678"/>
  </r>
  <r>
    <s v="EU27"/>
    <x v="17"/>
    <n v="2023"/>
    <x v="6"/>
    <x v="1"/>
    <x v="0"/>
    <m/>
    <m/>
    <n v="4249.4605485578113"/>
  </r>
  <r>
    <s v="EU27"/>
    <x v="17"/>
    <n v="2023"/>
    <x v="6"/>
    <x v="1"/>
    <x v="1"/>
    <m/>
    <m/>
    <n v="0"/>
  </r>
  <r>
    <s v="EU27"/>
    <x v="17"/>
    <n v="2023"/>
    <x v="6"/>
    <x v="1"/>
    <x v="2"/>
    <m/>
    <m/>
    <n v="4249.4605485578113"/>
  </r>
  <r>
    <s v="EU27"/>
    <x v="17"/>
    <n v="2023"/>
    <x v="6"/>
    <x v="2"/>
    <x v="0"/>
    <m/>
    <m/>
    <n v="38.700000000000003"/>
  </r>
  <r>
    <s v="EU27"/>
    <x v="17"/>
    <n v="2023"/>
    <x v="6"/>
    <x v="2"/>
    <x v="2"/>
    <m/>
    <m/>
    <n v="1281.7"/>
  </r>
  <r>
    <s v="EU27"/>
    <x v="17"/>
    <n v="2023"/>
    <x v="7"/>
    <x v="0"/>
    <x v="0"/>
    <m/>
    <m/>
    <n v="17208.938045165742"/>
  </r>
  <r>
    <s v="EU27"/>
    <x v="17"/>
    <n v="2023"/>
    <x v="7"/>
    <x v="0"/>
    <x v="1"/>
    <m/>
    <m/>
    <n v="0"/>
  </r>
  <r>
    <s v="EU27"/>
    <x v="17"/>
    <n v="2023"/>
    <x v="7"/>
    <x v="0"/>
    <x v="2"/>
    <m/>
    <m/>
    <n v="17208.937885165738"/>
  </r>
  <r>
    <s v="EU27"/>
    <x v="17"/>
    <n v="2023"/>
    <x v="7"/>
    <x v="1"/>
    <x v="0"/>
    <m/>
    <m/>
    <n v="17534.660198198551"/>
  </r>
  <r>
    <s v="EU27"/>
    <x v="17"/>
    <n v="2023"/>
    <x v="7"/>
    <x v="1"/>
    <x v="1"/>
    <m/>
    <m/>
    <n v="0"/>
  </r>
  <r>
    <s v="EU27"/>
    <x v="17"/>
    <n v="2023"/>
    <x v="7"/>
    <x v="1"/>
    <x v="2"/>
    <m/>
    <m/>
    <n v="17534.660038198552"/>
  </r>
  <r>
    <s v="EU27"/>
    <x v="17"/>
    <n v="2023"/>
    <x v="7"/>
    <x v="2"/>
    <x v="0"/>
    <m/>
    <m/>
    <n v="50.536859999999997"/>
  </r>
  <r>
    <s v="EU27"/>
    <x v="17"/>
    <n v="2023"/>
    <x v="7"/>
    <x v="2"/>
    <x v="2"/>
    <m/>
    <m/>
    <n v="395.03685999999999"/>
  </r>
  <r>
    <s v="EU27"/>
    <x v="17"/>
    <n v="2023"/>
    <x v="8"/>
    <x v="0"/>
    <x v="0"/>
    <m/>
    <m/>
    <n v="1216.288935449584"/>
  </r>
  <r>
    <s v="EU27"/>
    <x v="17"/>
    <n v="2023"/>
    <x v="8"/>
    <x v="0"/>
    <x v="1"/>
    <m/>
    <m/>
    <n v="3336.9573177988418"/>
  </r>
  <r>
    <s v="EU27"/>
    <x v="17"/>
    <n v="2023"/>
    <x v="8"/>
    <x v="0"/>
    <x v="2"/>
    <m/>
    <m/>
    <n v="4553.2462432484263"/>
  </r>
  <r>
    <s v="EU27"/>
    <x v="17"/>
    <n v="2023"/>
    <x v="8"/>
    <x v="1"/>
    <x v="0"/>
    <m/>
    <m/>
    <n v="1471.362055434932"/>
  </r>
  <r>
    <s v="EU27"/>
    <x v="17"/>
    <n v="2023"/>
    <x v="8"/>
    <x v="1"/>
    <x v="1"/>
    <m/>
    <m/>
    <n v="3528.265179927736"/>
  </r>
  <r>
    <s v="EU27"/>
    <x v="17"/>
    <n v="2023"/>
    <x v="8"/>
    <x v="1"/>
    <x v="2"/>
    <m/>
    <m/>
    <n v="4999.6272253626694"/>
  </r>
  <r>
    <s v="EU27"/>
    <x v="17"/>
    <n v="2023"/>
    <x v="8"/>
    <x v="2"/>
    <x v="0"/>
    <m/>
    <m/>
    <n v="7.2"/>
  </r>
  <r>
    <s v="EU27"/>
    <x v="17"/>
    <n v="2023"/>
    <x v="8"/>
    <x v="2"/>
    <x v="2"/>
    <m/>
    <m/>
    <n v="310.7"/>
  </r>
  <r>
    <s v="EU27"/>
    <x v="17"/>
    <n v="2023"/>
    <x v="9"/>
    <x v="0"/>
    <x v="0"/>
    <m/>
    <m/>
    <n v="291651.58460863872"/>
  </r>
  <r>
    <s v="EU27"/>
    <x v="17"/>
    <n v="2023"/>
    <x v="9"/>
    <x v="0"/>
    <x v="1"/>
    <m/>
    <m/>
    <n v="1360.035684081505"/>
  </r>
  <r>
    <s v="EU27"/>
    <x v="17"/>
    <n v="2023"/>
    <x v="9"/>
    <x v="0"/>
    <x v="2"/>
    <m/>
    <m/>
    <n v="293011.62029557559"/>
  </r>
  <r>
    <s v="EU27"/>
    <x v="17"/>
    <n v="2023"/>
    <x v="9"/>
    <x v="1"/>
    <x v="0"/>
    <m/>
    <m/>
    <n v="353474.56444601039"/>
  </r>
  <r>
    <s v="EU27"/>
    <x v="17"/>
    <n v="2023"/>
    <x v="9"/>
    <x v="1"/>
    <x v="1"/>
    <m/>
    <m/>
    <n v="1512.260363642366"/>
  </r>
  <r>
    <s v="EU27"/>
    <x v="17"/>
    <n v="2023"/>
    <x v="9"/>
    <x v="1"/>
    <x v="2"/>
    <m/>
    <m/>
    <n v="354986.82481965277"/>
  </r>
  <r>
    <s v="EU27"/>
    <x v="17"/>
    <n v="2023"/>
    <x v="9"/>
    <x v="2"/>
    <x v="0"/>
    <m/>
    <m/>
    <n v="1480.42975"/>
  </r>
  <r>
    <s v="EU27"/>
    <x v="17"/>
    <n v="2023"/>
    <x v="9"/>
    <x v="2"/>
    <x v="2"/>
    <m/>
    <m/>
    <n v="19059.029750000002"/>
  </r>
  <r>
    <s v="EU27"/>
    <x v="17"/>
    <n v="2023"/>
    <x v="10"/>
    <x v="0"/>
    <x v="0"/>
    <m/>
    <m/>
    <n v="3537.5917599999998"/>
  </r>
  <r>
    <s v="EU27"/>
    <x v="17"/>
    <n v="2023"/>
    <x v="10"/>
    <x v="0"/>
    <x v="1"/>
    <m/>
    <m/>
    <n v="0"/>
  </r>
  <r>
    <s v="EU27"/>
    <x v="17"/>
    <n v="2023"/>
    <x v="10"/>
    <x v="0"/>
    <x v="2"/>
    <m/>
    <m/>
    <n v="3537.5917599999998"/>
  </r>
  <r>
    <s v="EU27"/>
    <x v="17"/>
    <n v="2023"/>
    <x v="10"/>
    <x v="1"/>
    <x v="0"/>
    <m/>
    <m/>
    <n v="3537.9292399999999"/>
  </r>
  <r>
    <s v="EU27"/>
    <x v="17"/>
    <n v="2023"/>
    <x v="10"/>
    <x v="1"/>
    <x v="1"/>
    <m/>
    <m/>
    <n v="0"/>
  </r>
  <r>
    <s v="EU27"/>
    <x v="17"/>
    <n v="2023"/>
    <x v="10"/>
    <x v="1"/>
    <x v="2"/>
    <m/>
    <m/>
    <n v="3537.9292399999999"/>
  </r>
  <r>
    <s v="EU27"/>
    <x v="17"/>
    <n v="2023"/>
    <x v="10"/>
    <x v="2"/>
    <x v="0"/>
    <m/>
    <m/>
    <n v="4.0999999999999996"/>
  </r>
  <r>
    <s v="EU27"/>
    <x v="17"/>
    <n v="2023"/>
    <x v="10"/>
    <x v="2"/>
    <x v="2"/>
    <m/>
    <m/>
    <n v="1246.2"/>
  </r>
  <r>
    <s v="EU27"/>
    <x v="17"/>
    <n v="2023"/>
    <x v="11"/>
    <x v="0"/>
    <x v="0"/>
    <m/>
    <m/>
    <n v="49090.434435251969"/>
  </r>
  <r>
    <s v="EU27"/>
    <x v="17"/>
    <n v="2023"/>
    <x v="11"/>
    <x v="0"/>
    <x v="1"/>
    <m/>
    <m/>
    <n v="12799.91743049155"/>
  </r>
  <r>
    <s v="EU27"/>
    <x v="17"/>
    <n v="2023"/>
    <x v="11"/>
    <x v="0"/>
    <x v="2"/>
    <m/>
    <m/>
    <n v="61890.351865743512"/>
  </r>
  <r>
    <s v="EU27"/>
    <x v="17"/>
    <n v="2023"/>
    <x v="11"/>
    <x v="1"/>
    <x v="0"/>
    <m/>
    <m/>
    <n v="51320.285201835031"/>
  </r>
  <r>
    <s v="EU27"/>
    <x v="17"/>
    <n v="2023"/>
    <x v="11"/>
    <x v="1"/>
    <x v="1"/>
    <m/>
    <m/>
    <n v="14296.37445816497"/>
  </r>
  <r>
    <s v="EU27"/>
    <x v="17"/>
    <n v="2023"/>
    <x v="11"/>
    <x v="1"/>
    <x v="2"/>
    <m/>
    <m/>
    <n v="65616.759650000007"/>
  </r>
  <r>
    <s v="EU27"/>
    <x v="17"/>
    <n v="2023"/>
    <x v="11"/>
    <x v="2"/>
    <x v="0"/>
    <m/>
    <m/>
    <n v="430.3"/>
  </r>
  <r>
    <s v="EU27"/>
    <x v="17"/>
    <n v="2023"/>
    <x v="11"/>
    <x v="2"/>
    <x v="1"/>
    <m/>
    <m/>
    <n v="69.900000000000006"/>
  </r>
  <r>
    <s v="EU27"/>
    <x v="17"/>
    <n v="2023"/>
    <x v="11"/>
    <x v="2"/>
    <x v="2"/>
    <m/>
    <m/>
    <n v="18676"/>
  </r>
  <r>
    <s v="EU27"/>
    <x v="17"/>
    <n v="2023"/>
    <x v="12"/>
    <x v="0"/>
    <x v="0"/>
    <m/>
    <m/>
    <n v="0"/>
  </r>
  <r>
    <s v="EU27"/>
    <x v="17"/>
    <n v="2023"/>
    <x v="12"/>
    <x v="0"/>
    <x v="1"/>
    <m/>
    <m/>
    <n v="0"/>
  </r>
  <r>
    <s v="EU27"/>
    <x v="17"/>
    <n v="2023"/>
    <x v="12"/>
    <x v="0"/>
    <x v="2"/>
    <m/>
    <m/>
    <n v="0"/>
  </r>
  <r>
    <s v="EU27"/>
    <x v="17"/>
    <n v="2023"/>
    <x v="12"/>
    <x v="1"/>
    <x v="0"/>
    <m/>
    <m/>
    <n v="0"/>
  </r>
  <r>
    <s v="EU27"/>
    <x v="17"/>
    <n v="2023"/>
    <x v="12"/>
    <x v="1"/>
    <x v="1"/>
    <m/>
    <m/>
    <n v="0"/>
  </r>
  <r>
    <s v="EU27"/>
    <x v="17"/>
    <n v="2023"/>
    <x v="12"/>
    <x v="1"/>
    <x v="2"/>
    <m/>
    <m/>
    <n v="0"/>
  </r>
  <r>
    <s v="EU27"/>
    <x v="17"/>
    <n v="2023"/>
    <x v="13"/>
    <x v="0"/>
    <x v="0"/>
    <m/>
    <m/>
    <n v="48365.92398108849"/>
  </r>
  <r>
    <s v="EU27"/>
    <x v="17"/>
    <n v="2023"/>
    <x v="13"/>
    <x v="0"/>
    <x v="1"/>
    <m/>
    <m/>
    <n v="171226.85655203651"/>
  </r>
  <r>
    <s v="EU27"/>
    <x v="17"/>
    <n v="2023"/>
    <x v="13"/>
    <x v="0"/>
    <x v="2"/>
    <m/>
    <m/>
    <n v="219332.79446860249"/>
  </r>
  <r>
    <s v="EU27"/>
    <x v="17"/>
    <n v="2023"/>
    <x v="13"/>
    <x v="1"/>
    <x v="0"/>
    <m/>
    <m/>
    <n v="51451.206711005972"/>
  </r>
  <r>
    <s v="EU27"/>
    <x v="17"/>
    <n v="2023"/>
    <x v="13"/>
    <x v="1"/>
    <x v="1"/>
    <m/>
    <m/>
    <n v="181001.368387542"/>
  </r>
  <r>
    <s v="EU27"/>
    <x v="17"/>
    <n v="2023"/>
    <x v="13"/>
    <x v="1"/>
    <x v="2"/>
    <m/>
    <m/>
    <n v="232193.21226279839"/>
  </r>
  <r>
    <s v="EU27"/>
    <x v="17"/>
    <n v="2023"/>
    <x v="13"/>
    <x v="2"/>
    <x v="0"/>
    <m/>
    <m/>
    <n v="1164.5503900000001"/>
  </r>
  <r>
    <s v="EU27"/>
    <x v="17"/>
    <n v="2023"/>
    <x v="13"/>
    <x v="2"/>
    <x v="1"/>
    <m/>
    <m/>
    <n v="755.3"/>
  </r>
  <r>
    <s v="EU27"/>
    <x v="17"/>
    <n v="2023"/>
    <x v="13"/>
    <x v="2"/>
    <x v="2"/>
    <m/>
    <m/>
    <n v="16972.950390000002"/>
  </r>
  <r>
    <s v="EU27"/>
    <x v="17"/>
    <n v="2023"/>
    <x v="14"/>
    <x v="0"/>
    <x v="0"/>
    <m/>
    <m/>
    <n v="351526.93545136781"/>
  </r>
  <r>
    <s v="EU27"/>
    <x v="17"/>
    <n v="2023"/>
    <x v="14"/>
    <x v="0"/>
    <x v="2"/>
    <m/>
    <m/>
    <n v="351526.93545136781"/>
  </r>
  <r>
    <s v="EU27"/>
    <x v="17"/>
    <n v="2023"/>
    <x v="14"/>
    <x v="1"/>
    <x v="0"/>
    <m/>
    <m/>
    <n v="368070.9273854848"/>
  </r>
  <r>
    <s v="EU27"/>
    <x v="17"/>
    <n v="2023"/>
    <x v="14"/>
    <x v="1"/>
    <x v="2"/>
    <m/>
    <m/>
    <n v="368070.9273854848"/>
  </r>
  <r>
    <s v="EU27"/>
    <x v="17"/>
    <n v="2023"/>
    <x v="14"/>
    <x v="2"/>
    <x v="0"/>
    <m/>
    <m/>
    <n v="2062.9721"/>
  </r>
  <r>
    <s v="EU27"/>
    <x v="17"/>
    <n v="2023"/>
    <x v="14"/>
    <x v="2"/>
    <x v="2"/>
    <m/>
    <m/>
    <n v="34763.972099999999"/>
  </r>
  <r>
    <s v="EU27"/>
    <x v="17"/>
    <n v="2023"/>
    <x v="15"/>
    <x v="0"/>
    <x v="2"/>
    <m/>
    <m/>
    <n v="-247076.37417711969"/>
  </r>
  <r>
    <s v="EU27"/>
    <x v="17"/>
    <n v="2023"/>
    <x v="15"/>
    <x v="1"/>
    <x v="2"/>
    <m/>
    <m/>
    <n v="-217879.79839345629"/>
  </r>
  <r>
    <s v="EU27"/>
    <x v="17"/>
    <n v="2023"/>
    <x v="15"/>
    <x v="2"/>
    <x v="2"/>
    <m/>
    <m/>
    <n v="-14289.729230000001"/>
  </r>
  <r>
    <s v="EU27"/>
    <x v="17"/>
    <n v="2023"/>
    <x v="16"/>
    <x v="0"/>
    <x v="2"/>
    <m/>
    <m/>
    <n v="-297411.14490114391"/>
  </r>
  <r>
    <s v="EU27"/>
    <x v="17"/>
    <n v="2023"/>
    <x v="16"/>
    <x v="1"/>
    <x v="2"/>
    <m/>
    <m/>
    <n v="-278444.72067040409"/>
  </r>
  <r>
    <s v="EU27"/>
    <x v="17"/>
    <n v="2023"/>
    <x v="16"/>
    <x v="2"/>
    <x v="2"/>
    <m/>
    <m/>
    <n v="-18015.061679999999"/>
  </r>
  <r>
    <s v="EU27"/>
    <x v="17"/>
    <n v="2023"/>
    <x v="17"/>
    <x v="0"/>
    <x v="2"/>
    <m/>
    <m/>
    <n v="26137.13444530611"/>
  </r>
  <r>
    <s v="EU27"/>
    <x v="17"/>
    <n v="2023"/>
    <x v="17"/>
    <x v="1"/>
    <x v="2"/>
    <m/>
    <m/>
    <n v="32950.274262076593"/>
  </r>
  <r>
    <s v="EU27"/>
    <x v="17"/>
    <n v="2023"/>
    <x v="17"/>
    <x v="2"/>
    <x v="2"/>
    <m/>
    <m/>
    <n v="-2246.2760199999998"/>
  </r>
  <r>
    <s v="EU27"/>
    <x v="17"/>
    <n v="2023"/>
    <x v="18"/>
    <x v="0"/>
    <x v="2"/>
    <m/>
    <m/>
    <n v="14648.62734876001"/>
  </r>
  <r>
    <s v="EU27"/>
    <x v="17"/>
    <n v="2023"/>
    <x v="18"/>
    <x v="1"/>
    <x v="2"/>
    <m/>
    <m/>
    <n v="15671.327033401591"/>
  </r>
  <r>
    <s v="EU27"/>
    <x v="17"/>
    <n v="2023"/>
    <x v="18"/>
    <x v="2"/>
    <x v="2"/>
    <m/>
    <m/>
    <n v="3714.13058"/>
  </r>
  <r>
    <s v="EU27"/>
    <x v="17"/>
    <n v="2023"/>
    <x v="19"/>
    <x v="0"/>
    <x v="2"/>
    <m/>
    <m/>
    <n v="12098.32664307455"/>
  </r>
  <r>
    <s v="EU27"/>
    <x v="17"/>
    <n v="2023"/>
    <x v="19"/>
    <x v="1"/>
    <x v="2"/>
    <m/>
    <m/>
    <n v="13137.931063075481"/>
  </r>
  <r>
    <s v="EU27"/>
    <x v="17"/>
    <n v="2023"/>
    <x v="19"/>
    <x v="2"/>
    <x v="2"/>
    <m/>
    <m/>
    <n v="765.28647999999998"/>
  </r>
  <r>
    <s v="EU27"/>
    <x v="17"/>
    <n v="2023"/>
    <x v="20"/>
    <x v="0"/>
    <x v="2"/>
    <m/>
    <m/>
    <n v="30436.704194313072"/>
  </r>
  <r>
    <s v="EU27"/>
    <x v="17"/>
    <n v="2023"/>
    <x v="20"/>
    <x v="1"/>
    <x v="2"/>
    <m/>
    <m/>
    <n v="30853.931875271759"/>
  </r>
  <r>
    <s v="EU27"/>
    <x v="17"/>
    <n v="2023"/>
    <x v="20"/>
    <x v="2"/>
    <x v="2"/>
    <m/>
    <m/>
    <n v="3070.8728700000001"/>
  </r>
  <r>
    <s v="EU27"/>
    <x v="17"/>
    <n v="2023"/>
    <x v="21"/>
    <x v="0"/>
    <x v="2"/>
    <m/>
    <m/>
    <n v="492.59462000000002"/>
  </r>
  <r>
    <s v="EU27"/>
    <x v="17"/>
    <n v="2023"/>
    <x v="21"/>
    <x v="1"/>
    <x v="2"/>
    <m/>
    <m/>
    <n v="358.39657"/>
  </r>
  <r>
    <s v="EU27"/>
    <x v="17"/>
    <n v="2023"/>
    <x v="21"/>
    <x v="2"/>
    <x v="2"/>
    <m/>
    <m/>
    <n v="288.67854"/>
  </r>
  <r>
    <s v="EU27"/>
    <x v="17"/>
    <n v="2023"/>
    <x v="22"/>
    <x v="0"/>
    <x v="2"/>
    <m/>
    <m/>
    <n v="-32971.273880000001"/>
  </r>
  <r>
    <s v="EU27"/>
    <x v="17"/>
    <n v="2023"/>
    <x v="22"/>
    <x v="1"/>
    <x v="2"/>
    <m/>
    <m/>
    <n v="-32654.56955"/>
  </r>
  <r>
    <s v="EU27"/>
    <x v="17"/>
    <n v="2023"/>
    <x v="22"/>
    <x v="2"/>
    <x v="2"/>
    <m/>
    <m/>
    <n v="-1867.42"/>
  </r>
  <r>
    <s v="EU27"/>
    <x v="17"/>
    <n v="2023"/>
    <x v="23"/>
    <x v="0"/>
    <x v="2"/>
    <m/>
    <m/>
    <n v="253.85033000000001"/>
  </r>
  <r>
    <s v="EU27"/>
    <x v="17"/>
    <n v="2023"/>
    <x v="23"/>
    <x v="1"/>
    <x v="2"/>
    <m/>
    <m/>
    <n v="253.85033000000001"/>
  </r>
  <r>
    <s v="EU27"/>
    <x v="17"/>
    <n v="2023"/>
    <x v="24"/>
    <x v="0"/>
    <x v="0"/>
    <m/>
    <m/>
    <n v="72221.695935270152"/>
  </r>
  <r>
    <s v="EU27"/>
    <x v="17"/>
    <n v="2023"/>
    <x v="24"/>
    <x v="0"/>
    <x v="1"/>
    <m/>
    <m/>
    <n v="238.77940884213149"/>
  </r>
  <r>
    <s v="EU27"/>
    <x v="17"/>
    <n v="2023"/>
    <x v="24"/>
    <x v="0"/>
    <x v="2"/>
    <m/>
    <m/>
    <n v="72460.475344112288"/>
  </r>
  <r>
    <s v="EU27"/>
    <x v="17"/>
    <n v="2023"/>
    <x v="24"/>
    <x v="1"/>
    <x v="0"/>
    <m/>
    <m/>
    <n v="73240.063545233512"/>
  </r>
  <r>
    <s v="EU27"/>
    <x v="17"/>
    <n v="2023"/>
    <x v="24"/>
    <x v="1"/>
    <x v="1"/>
    <m/>
    <m/>
    <n v="238.7794088267573"/>
  </r>
  <r>
    <s v="EU27"/>
    <x v="17"/>
    <n v="2023"/>
    <x v="24"/>
    <x v="1"/>
    <x v="2"/>
    <m/>
    <m/>
    <n v="73371.01168911389"/>
  </r>
  <r>
    <s v="EU27"/>
    <x v="17"/>
    <n v="2023"/>
    <x v="24"/>
    <x v="2"/>
    <x v="0"/>
    <m/>
    <m/>
    <n v="1672.8228899999999"/>
  </r>
  <r>
    <s v="EU27"/>
    <x v="17"/>
    <n v="2023"/>
    <x v="24"/>
    <x v="2"/>
    <x v="2"/>
    <m/>
    <m/>
    <n v="10327.622890000001"/>
  </r>
  <r>
    <s v="EU27"/>
    <x v="17"/>
    <n v="2023"/>
    <x v="25"/>
    <x v="0"/>
    <x v="0"/>
    <m/>
    <m/>
    <n v="157"/>
  </r>
  <r>
    <s v="EU27"/>
    <x v="17"/>
    <n v="2023"/>
    <x v="25"/>
    <x v="0"/>
    <x v="2"/>
    <m/>
    <m/>
    <n v="122278.57297497299"/>
  </r>
  <r>
    <s v="EU27"/>
    <x v="17"/>
    <n v="2023"/>
    <x v="25"/>
    <x v="1"/>
    <x v="0"/>
    <m/>
    <m/>
    <n v="157"/>
  </r>
  <r>
    <s v="EU27"/>
    <x v="17"/>
    <n v="2023"/>
    <x v="25"/>
    <x v="1"/>
    <x v="2"/>
    <m/>
    <m/>
    <n v="129787.6015027487"/>
  </r>
  <r>
    <s v="EU27"/>
    <x v="17"/>
    <n v="2023"/>
    <x v="25"/>
    <x v="2"/>
    <x v="2"/>
    <m/>
    <m/>
    <n v="1259.24632"/>
  </r>
  <r>
    <s v="EU27"/>
    <x v="17"/>
    <n v="2023"/>
    <x v="26"/>
    <x v="0"/>
    <x v="0"/>
    <m/>
    <m/>
    <n v="820.5"/>
  </r>
  <r>
    <s v="EU27"/>
    <x v="17"/>
    <n v="2023"/>
    <x v="26"/>
    <x v="0"/>
    <x v="2"/>
    <m/>
    <m/>
    <n v="140431.82276221109"/>
  </r>
  <r>
    <s v="EU27"/>
    <x v="17"/>
    <n v="2023"/>
    <x v="26"/>
    <x v="1"/>
    <x v="0"/>
    <m/>
    <m/>
    <n v="820.5"/>
  </r>
  <r>
    <s v="EU27"/>
    <x v="17"/>
    <n v="2023"/>
    <x v="26"/>
    <x v="1"/>
    <x v="2"/>
    <m/>
    <m/>
    <n v="142699.42324698821"/>
  </r>
  <r>
    <s v="EU27"/>
    <x v="17"/>
    <n v="2023"/>
    <x v="26"/>
    <x v="2"/>
    <x v="2"/>
    <m/>
    <m/>
    <n v="955.8"/>
  </r>
  <r>
    <s v="EU27"/>
    <x v="17"/>
    <n v="2023"/>
    <x v="27"/>
    <x v="0"/>
    <x v="0"/>
    <m/>
    <m/>
    <n v="702.63729000000001"/>
  </r>
  <r>
    <s v="EU27"/>
    <x v="17"/>
    <n v="2023"/>
    <x v="27"/>
    <x v="0"/>
    <x v="2"/>
    <m/>
    <m/>
    <n v="846.53728999999998"/>
  </r>
  <r>
    <s v="EU27"/>
    <x v="17"/>
    <n v="2023"/>
    <x v="27"/>
    <x v="1"/>
    <x v="0"/>
    <m/>
    <m/>
    <n v="704.44443999999999"/>
  </r>
  <r>
    <s v="EU27"/>
    <x v="17"/>
    <n v="2023"/>
    <x v="27"/>
    <x v="1"/>
    <x v="2"/>
    <m/>
    <m/>
    <n v="848.34443999999996"/>
  </r>
  <r>
    <s v="EU27"/>
    <x v="17"/>
    <n v="2023"/>
    <x v="28"/>
    <x v="0"/>
    <x v="0"/>
    <m/>
    <m/>
    <n v="1420459.5596955081"/>
  </r>
  <r>
    <s v="EU27"/>
    <x v="17"/>
    <n v="2023"/>
    <x v="28"/>
    <x v="0"/>
    <x v="1"/>
    <m/>
    <m/>
    <n v="650112.86864251399"/>
  </r>
  <r>
    <s v="EU27"/>
    <x v="17"/>
    <n v="2023"/>
    <x v="28"/>
    <x v="0"/>
    <x v="2"/>
    <m/>
    <m/>
    <n v="2087226.4865993049"/>
  </r>
  <r>
    <s v="EU27"/>
    <x v="17"/>
    <n v="2023"/>
    <x v="28"/>
    <x v="1"/>
    <x v="0"/>
    <m/>
    <m/>
    <n v="1609810.5217370619"/>
  </r>
  <r>
    <s v="EU27"/>
    <x v="17"/>
    <n v="2023"/>
    <x v="28"/>
    <x v="1"/>
    <x v="1"/>
    <m/>
    <m/>
    <n v="741799.49470233009"/>
  </r>
  <r>
    <s v="EU27"/>
    <x v="17"/>
    <n v="2023"/>
    <x v="28"/>
    <x v="1"/>
    <x v="2"/>
    <m/>
    <m/>
    <n v="2369648.9457810419"/>
  </r>
  <r>
    <s v="EU27"/>
    <x v="17"/>
    <n v="2023"/>
    <x v="28"/>
    <x v="2"/>
    <x v="0"/>
    <m/>
    <m/>
    <n v="16969.118060000001"/>
  </r>
  <r>
    <s v="EU27"/>
    <x v="17"/>
    <n v="2023"/>
    <x v="28"/>
    <x v="2"/>
    <x v="1"/>
    <m/>
    <m/>
    <n v="9386.2566299999999"/>
  </r>
  <r>
    <s v="EU27"/>
    <x v="17"/>
    <n v="2023"/>
    <x v="28"/>
    <x v="2"/>
    <x v="2"/>
    <m/>
    <m/>
    <n v="213396.77898999999"/>
  </r>
  <r>
    <s v="EU27"/>
    <x v="17"/>
    <n v="2023"/>
    <x v="29"/>
    <x v="0"/>
    <x v="0"/>
    <m/>
    <m/>
    <n v="1420459.459695508"/>
  </r>
  <r>
    <s v="EU27"/>
    <x v="17"/>
    <n v="2023"/>
    <x v="29"/>
    <x v="0"/>
    <x v="1"/>
    <m/>
    <m/>
    <n v="650112.7686425139"/>
  </r>
  <r>
    <s v="EU27"/>
    <x v="17"/>
    <n v="2023"/>
    <x v="29"/>
    <x v="0"/>
    <x v="2"/>
    <m/>
    <m/>
    <n v="1840150.3924321849"/>
  </r>
  <r>
    <s v="EU27"/>
    <x v="17"/>
    <n v="2023"/>
    <x v="29"/>
    <x v="1"/>
    <x v="0"/>
    <m/>
    <m/>
    <n v="1609810.421737062"/>
  </r>
  <r>
    <s v="EU27"/>
    <x v="17"/>
    <n v="2023"/>
    <x v="29"/>
    <x v="1"/>
    <x v="1"/>
    <m/>
    <m/>
    <n v="741799.39470233012"/>
  </r>
  <r>
    <s v="EU27"/>
    <x v="17"/>
    <n v="2023"/>
    <x v="29"/>
    <x v="1"/>
    <x v="2"/>
    <m/>
    <m/>
    <n v="2151760.485317586"/>
  </r>
  <r>
    <s v="EU27"/>
    <x v="17"/>
    <n v="2023"/>
    <x v="29"/>
    <x v="2"/>
    <x v="0"/>
    <m/>
    <m/>
    <n v="16969.118060000001"/>
  </r>
  <r>
    <s v="EU27"/>
    <x v="17"/>
    <n v="2023"/>
    <x v="29"/>
    <x v="2"/>
    <x v="1"/>
    <m/>
    <m/>
    <n v="9386.2566299999999"/>
  </r>
  <r>
    <s v="EU27"/>
    <x v="17"/>
    <n v="2023"/>
    <x v="29"/>
    <x v="2"/>
    <x v="2"/>
    <m/>
    <m/>
    <n v="199418.68976000001"/>
  </r>
  <r>
    <s v="EU27"/>
    <x v="18"/>
    <n v="2023"/>
    <x v="0"/>
    <x v="0"/>
    <x v="0"/>
    <m/>
    <m/>
    <n v="920559.42852518964"/>
  </r>
  <r>
    <s v="EU27"/>
    <x v="18"/>
    <n v="2023"/>
    <x v="0"/>
    <x v="0"/>
    <x v="1"/>
    <m/>
    <m/>
    <n v="468066.93290227151"/>
  </r>
  <r>
    <s v="EU27"/>
    <x v="18"/>
    <n v="2023"/>
    <x v="0"/>
    <x v="0"/>
    <x v="2"/>
    <m/>
    <m/>
    <n v="1405637.2006704661"/>
  </r>
  <r>
    <s v="EU27"/>
    <x v="18"/>
    <n v="2023"/>
    <x v="0"/>
    <x v="1"/>
    <x v="0"/>
    <m/>
    <m/>
    <n v="1095495.389033606"/>
  </r>
  <r>
    <s v="EU27"/>
    <x v="18"/>
    <n v="2023"/>
    <x v="0"/>
    <x v="1"/>
    <x v="1"/>
    <m/>
    <m/>
    <n v="546144.5822913287"/>
  </r>
  <r>
    <s v="EU27"/>
    <x v="18"/>
    <n v="2023"/>
    <x v="0"/>
    <x v="1"/>
    <x v="2"/>
    <m/>
    <m/>
    <n v="1660166.679266016"/>
  </r>
  <r>
    <s v="EU27"/>
    <x v="18"/>
    <n v="2023"/>
    <x v="0"/>
    <x v="2"/>
    <x v="0"/>
    <m/>
    <m/>
    <n v="12235.072700000001"/>
  </r>
  <r>
    <s v="EU27"/>
    <x v="18"/>
    <n v="2023"/>
    <x v="0"/>
    <x v="2"/>
    <x v="1"/>
    <m/>
    <m/>
    <n v="8639.1566300000013"/>
  </r>
  <r>
    <s v="EU27"/>
    <x v="18"/>
    <n v="2023"/>
    <x v="0"/>
    <x v="2"/>
    <x v="2"/>
    <m/>
    <m/>
    <n v="152896.73808000001"/>
  </r>
  <r>
    <s v="EU27"/>
    <x v="18"/>
    <n v="2023"/>
    <x v="1"/>
    <x v="0"/>
    <x v="0"/>
    <m/>
    <m/>
    <n v="38800.755801037849"/>
  </r>
  <r>
    <s v="EU27"/>
    <x v="18"/>
    <n v="2023"/>
    <x v="1"/>
    <x v="0"/>
    <x v="1"/>
    <m/>
    <m/>
    <n v="270965.66409876518"/>
  </r>
  <r>
    <s v="EU27"/>
    <x v="18"/>
    <n v="2023"/>
    <x v="1"/>
    <x v="0"/>
    <x v="2"/>
    <m/>
    <m/>
    <n v="309766.24007431552"/>
  </r>
  <r>
    <s v="EU27"/>
    <x v="18"/>
    <n v="2023"/>
    <x v="1"/>
    <x v="1"/>
    <x v="0"/>
    <m/>
    <m/>
    <n v="43368.369721395196"/>
  </r>
  <r>
    <s v="EU27"/>
    <x v="18"/>
    <n v="2023"/>
    <x v="1"/>
    <x v="1"/>
    <x v="1"/>
    <m/>
    <m/>
    <n v="321529.9510718821"/>
  </r>
  <r>
    <s v="EU27"/>
    <x v="18"/>
    <n v="2023"/>
    <x v="1"/>
    <x v="1"/>
    <x v="2"/>
    <m/>
    <m/>
    <n v="364898.2808137142"/>
  </r>
  <r>
    <s v="EU27"/>
    <x v="18"/>
    <n v="2023"/>
    <x v="1"/>
    <x v="2"/>
    <x v="0"/>
    <m/>
    <m/>
    <n v="60.015659999999997"/>
  </r>
  <r>
    <s v="EU27"/>
    <x v="18"/>
    <n v="2023"/>
    <x v="1"/>
    <x v="2"/>
    <x v="1"/>
    <m/>
    <m/>
    <n v="7117.05663"/>
  </r>
  <r>
    <s v="EU27"/>
    <x v="18"/>
    <n v="2023"/>
    <x v="1"/>
    <x v="2"/>
    <x v="2"/>
    <m/>
    <m/>
    <n v="48150.572289999996"/>
  </r>
  <r>
    <s v="EU27"/>
    <x v="18"/>
    <n v="2023"/>
    <x v="2"/>
    <x v="0"/>
    <x v="0"/>
    <m/>
    <m/>
    <n v="94355.902883241433"/>
  </r>
  <r>
    <s v="EU27"/>
    <x v="18"/>
    <n v="2023"/>
    <x v="2"/>
    <x v="0"/>
    <x v="1"/>
    <m/>
    <m/>
    <n v="179799.74068748811"/>
  </r>
  <r>
    <s v="EU27"/>
    <x v="18"/>
    <n v="2023"/>
    <x v="2"/>
    <x v="0"/>
    <x v="2"/>
    <m/>
    <m/>
    <n v="274155.40359083249"/>
  </r>
  <r>
    <s v="EU27"/>
    <x v="18"/>
    <n v="2023"/>
    <x v="2"/>
    <x v="1"/>
    <x v="0"/>
    <m/>
    <m/>
    <n v="100647.5788135311"/>
  </r>
  <r>
    <s v="EU27"/>
    <x v="18"/>
    <n v="2023"/>
    <x v="2"/>
    <x v="1"/>
    <x v="1"/>
    <m/>
    <m/>
    <n v="205462.5787873033"/>
  </r>
  <r>
    <s v="EU27"/>
    <x v="18"/>
    <n v="2023"/>
    <x v="2"/>
    <x v="1"/>
    <x v="2"/>
    <m/>
    <m/>
    <n v="306109.91759062791"/>
  </r>
  <r>
    <s v="EU27"/>
    <x v="18"/>
    <n v="2023"/>
    <x v="2"/>
    <x v="2"/>
    <x v="0"/>
    <m/>
    <m/>
    <n v="1094.5287000000001"/>
  </r>
  <r>
    <s v="EU27"/>
    <x v="18"/>
    <n v="2023"/>
    <x v="2"/>
    <x v="2"/>
    <x v="1"/>
    <m/>
    <m/>
    <n v="1452.2"/>
  </r>
  <r>
    <s v="EU27"/>
    <x v="18"/>
    <n v="2023"/>
    <x v="2"/>
    <x v="2"/>
    <x v="2"/>
    <m/>
    <m/>
    <n v="21374.028699999999"/>
  </r>
  <r>
    <s v="EU27"/>
    <x v="18"/>
    <n v="2023"/>
    <x v="3"/>
    <x v="0"/>
    <x v="0"/>
    <m/>
    <m/>
    <n v="451003.8325322523"/>
  </r>
  <r>
    <s v="EU27"/>
    <x v="18"/>
    <n v="2023"/>
    <x v="3"/>
    <x v="0"/>
    <x v="1"/>
    <m/>
    <m/>
    <n v="3285.4622473229228"/>
  </r>
  <r>
    <s v="EU27"/>
    <x v="18"/>
    <n v="2023"/>
    <x v="3"/>
    <x v="0"/>
    <x v="2"/>
    <m/>
    <m/>
    <n v="471300.07388477417"/>
  </r>
  <r>
    <s v="EU27"/>
    <x v="18"/>
    <n v="2023"/>
    <x v="3"/>
    <x v="1"/>
    <x v="0"/>
    <m/>
    <m/>
    <n v="549134.24468830018"/>
  </r>
  <r>
    <s v="EU27"/>
    <x v="18"/>
    <n v="2023"/>
    <x v="3"/>
    <x v="1"/>
    <x v="1"/>
    <m/>
    <m/>
    <n v="3494.2198711617252"/>
  </r>
  <r>
    <s v="EU27"/>
    <x v="18"/>
    <n v="2023"/>
    <x v="3"/>
    <x v="1"/>
    <x v="2"/>
    <m/>
    <m/>
    <n v="571154.97248031246"/>
  </r>
  <r>
    <s v="EU27"/>
    <x v="18"/>
    <n v="2023"/>
    <x v="3"/>
    <x v="2"/>
    <x v="0"/>
    <m/>
    <m/>
    <n v="9168.5985900000014"/>
  </r>
  <r>
    <s v="EU27"/>
    <x v="18"/>
    <n v="2023"/>
    <x v="3"/>
    <x v="2"/>
    <x v="1"/>
    <m/>
    <m/>
    <n v="0"/>
  </r>
  <r>
    <s v="EU27"/>
    <x v="18"/>
    <n v="2023"/>
    <x v="3"/>
    <x v="2"/>
    <x v="2"/>
    <m/>
    <m/>
    <n v="44163.007339999996"/>
  </r>
  <r>
    <s v="EU27"/>
    <x v="18"/>
    <n v="2023"/>
    <x v="4"/>
    <x v="0"/>
    <x v="0"/>
    <m/>
    <m/>
    <n v="147.4519939800384"/>
  </r>
  <r>
    <s v="EU27"/>
    <x v="18"/>
    <n v="2023"/>
    <x v="4"/>
    <x v="0"/>
    <x v="1"/>
    <m/>
    <m/>
    <n v="0"/>
  </r>
  <r>
    <s v="EU27"/>
    <x v="18"/>
    <n v="2023"/>
    <x v="4"/>
    <x v="0"/>
    <x v="2"/>
    <m/>
    <m/>
    <n v="17126.31482085173"/>
  </r>
  <r>
    <s v="EU27"/>
    <x v="18"/>
    <n v="2023"/>
    <x v="4"/>
    <x v="1"/>
    <x v="0"/>
    <m/>
    <m/>
    <n v="159.18247226468301"/>
  </r>
  <r>
    <s v="EU27"/>
    <x v="18"/>
    <n v="2023"/>
    <x v="4"/>
    <x v="1"/>
    <x v="1"/>
    <m/>
    <m/>
    <n v="0"/>
  </r>
  <r>
    <s v="EU27"/>
    <x v="18"/>
    <n v="2023"/>
    <x v="4"/>
    <x v="1"/>
    <x v="2"/>
    <m/>
    <m/>
    <n v="18679.82706702518"/>
  </r>
  <r>
    <s v="EU27"/>
    <x v="18"/>
    <n v="2023"/>
    <x v="4"/>
    <x v="2"/>
    <x v="0"/>
    <m/>
    <m/>
    <n v="1.303E-2"/>
  </r>
  <r>
    <s v="EU27"/>
    <x v="18"/>
    <n v="2023"/>
    <x v="4"/>
    <x v="2"/>
    <x v="2"/>
    <m/>
    <m/>
    <n v="522.62177999999994"/>
  </r>
  <r>
    <s v="EU27"/>
    <x v="18"/>
    <n v="2023"/>
    <x v="5"/>
    <x v="0"/>
    <x v="0"/>
    <m/>
    <m/>
    <n v="429097.18518316752"/>
  </r>
  <r>
    <s v="EU27"/>
    <x v="18"/>
    <n v="2023"/>
    <x v="5"/>
    <x v="0"/>
    <x v="1"/>
    <m/>
    <m/>
    <n v="0"/>
  </r>
  <r>
    <s v="EU27"/>
    <x v="18"/>
    <n v="2023"/>
    <x v="5"/>
    <x v="0"/>
    <x v="2"/>
    <m/>
    <m/>
    <n v="429097.18518316752"/>
  </r>
  <r>
    <s v="EU27"/>
    <x v="18"/>
    <n v="2023"/>
    <x v="5"/>
    <x v="1"/>
    <x v="0"/>
    <m/>
    <m/>
    <n v="525670.45190296846"/>
  </r>
  <r>
    <s v="EU27"/>
    <x v="18"/>
    <n v="2023"/>
    <x v="5"/>
    <x v="1"/>
    <x v="1"/>
    <m/>
    <m/>
    <n v="0"/>
  </r>
  <r>
    <s v="EU27"/>
    <x v="18"/>
    <n v="2023"/>
    <x v="5"/>
    <x v="1"/>
    <x v="2"/>
    <m/>
    <m/>
    <n v="525670.45190296846"/>
  </r>
  <r>
    <s v="EU27"/>
    <x v="18"/>
    <n v="2023"/>
    <x v="5"/>
    <x v="2"/>
    <x v="0"/>
    <m/>
    <m/>
    <n v="9071.8487000000005"/>
  </r>
  <r>
    <s v="EU27"/>
    <x v="18"/>
    <n v="2023"/>
    <x v="5"/>
    <x v="2"/>
    <x v="2"/>
    <m/>
    <m/>
    <n v="41591.248699999996"/>
  </r>
  <r>
    <s v="EU27"/>
    <x v="18"/>
    <n v="2023"/>
    <x v="6"/>
    <x v="0"/>
    <x v="0"/>
    <m/>
    <m/>
    <n v="3340.270678487188"/>
  </r>
  <r>
    <s v="EU27"/>
    <x v="18"/>
    <n v="2023"/>
    <x v="6"/>
    <x v="0"/>
    <x v="1"/>
    <m/>
    <m/>
    <n v="0"/>
  </r>
  <r>
    <s v="EU27"/>
    <x v="18"/>
    <n v="2023"/>
    <x v="6"/>
    <x v="0"/>
    <x v="2"/>
    <m/>
    <m/>
    <n v="3340.270678487188"/>
  </r>
  <r>
    <s v="EU27"/>
    <x v="18"/>
    <n v="2023"/>
    <x v="6"/>
    <x v="1"/>
    <x v="0"/>
    <m/>
    <m/>
    <n v="4278.8485881418483"/>
  </r>
  <r>
    <s v="EU27"/>
    <x v="18"/>
    <n v="2023"/>
    <x v="6"/>
    <x v="1"/>
    <x v="1"/>
    <m/>
    <m/>
    <n v="0"/>
  </r>
  <r>
    <s v="EU27"/>
    <x v="18"/>
    <n v="2023"/>
    <x v="6"/>
    <x v="1"/>
    <x v="2"/>
    <m/>
    <m/>
    <n v="4278.8485881418483"/>
  </r>
  <r>
    <s v="EU27"/>
    <x v="18"/>
    <n v="2023"/>
    <x v="6"/>
    <x v="2"/>
    <x v="0"/>
    <m/>
    <m/>
    <n v="39"/>
  </r>
  <r>
    <s v="EU27"/>
    <x v="18"/>
    <n v="2023"/>
    <x v="6"/>
    <x v="2"/>
    <x v="2"/>
    <m/>
    <m/>
    <n v="1324.5"/>
  </r>
  <r>
    <s v="EU27"/>
    <x v="18"/>
    <n v="2023"/>
    <x v="7"/>
    <x v="0"/>
    <x v="0"/>
    <m/>
    <m/>
    <n v="17230.00110925674"/>
  </r>
  <r>
    <s v="EU27"/>
    <x v="18"/>
    <n v="2023"/>
    <x v="7"/>
    <x v="0"/>
    <x v="1"/>
    <m/>
    <m/>
    <n v="0"/>
  </r>
  <r>
    <s v="EU27"/>
    <x v="18"/>
    <n v="2023"/>
    <x v="7"/>
    <x v="0"/>
    <x v="2"/>
    <m/>
    <m/>
    <n v="17230.000949256741"/>
  </r>
  <r>
    <s v="EU27"/>
    <x v="18"/>
    <n v="2023"/>
    <x v="7"/>
    <x v="1"/>
    <x v="0"/>
    <m/>
    <m/>
    <n v="17572.241767734529"/>
  </r>
  <r>
    <s v="EU27"/>
    <x v="18"/>
    <n v="2023"/>
    <x v="7"/>
    <x v="1"/>
    <x v="1"/>
    <m/>
    <m/>
    <n v="0"/>
  </r>
  <r>
    <s v="EU27"/>
    <x v="18"/>
    <n v="2023"/>
    <x v="7"/>
    <x v="1"/>
    <x v="2"/>
    <m/>
    <m/>
    <n v="17572.24160773453"/>
  </r>
  <r>
    <s v="EU27"/>
    <x v="18"/>
    <n v="2023"/>
    <x v="7"/>
    <x v="2"/>
    <x v="0"/>
    <m/>
    <m/>
    <n v="50.536859999999997"/>
  </r>
  <r>
    <s v="EU27"/>
    <x v="18"/>
    <n v="2023"/>
    <x v="7"/>
    <x v="2"/>
    <x v="2"/>
    <m/>
    <m/>
    <n v="405.03685999999999"/>
  </r>
  <r>
    <s v="EU27"/>
    <x v="18"/>
    <n v="2023"/>
    <x v="8"/>
    <x v="0"/>
    <x v="0"/>
    <m/>
    <m/>
    <n v="1207.440557360869"/>
  </r>
  <r>
    <s v="EU27"/>
    <x v="18"/>
    <n v="2023"/>
    <x v="8"/>
    <x v="0"/>
    <x v="1"/>
    <m/>
    <m/>
    <n v="3317.162995650227"/>
  </r>
  <r>
    <s v="EU27"/>
    <x v="18"/>
    <n v="2023"/>
    <x v="8"/>
    <x v="0"/>
    <x v="2"/>
    <m/>
    <m/>
    <n v="4524.5035430110956"/>
  </r>
  <r>
    <s v="EU27"/>
    <x v="18"/>
    <n v="2023"/>
    <x v="8"/>
    <x v="1"/>
    <x v="0"/>
    <m/>
    <m/>
    <n v="1471.9095991906329"/>
  </r>
  <r>
    <s v="EU27"/>
    <x v="18"/>
    <n v="2023"/>
    <x v="8"/>
    <x v="1"/>
    <x v="1"/>
    <m/>
    <m/>
    <n v="3500.254995251732"/>
  </r>
  <r>
    <s v="EU27"/>
    <x v="18"/>
    <n v="2023"/>
    <x v="8"/>
    <x v="1"/>
    <x v="2"/>
    <m/>
    <m/>
    <n v="4972.0645844423643"/>
  </r>
  <r>
    <s v="EU27"/>
    <x v="18"/>
    <n v="2023"/>
    <x v="8"/>
    <x v="2"/>
    <x v="0"/>
    <m/>
    <m/>
    <n v="7.2"/>
  </r>
  <r>
    <s v="EU27"/>
    <x v="18"/>
    <n v="2023"/>
    <x v="8"/>
    <x v="2"/>
    <x v="2"/>
    <m/>
    <m/>
    <n v="319.5"/>
  </r>
  <r>
    <s v="EU27"/>
    <x v="18"/>
    <n v="2023"/>
    <x v="9"/>
    <x v="0"/>
    <x v="0"/>
    <m/>
    <m/>
    <n v="284297.63351265452"/>
  </r>
  <r>
    <s v="EU27"/>
    <x v="18"/>
    <n v="2023"/>
    <x v="9"/>
    <x v="0"/>
    <x v="1"/>
    <m/>
    <m/>
    <n v="1332.5285649987211"/>
  </r>
  <r>
    <s v="EU27"/>
    <x v="18"/>
    <n v="2023"/>
    <x v="9"/>
    <x v="0"/>
    <x v="2"/>
    <m/>
    <m/>
    <n v="285630.16206084349"/>
  </r>
  <r>
    <s v="EU27"/>
    <x v="18"/>
    <n v="2023"/>
    <x v="9"/>
    <x v="1"/>
    <x v="0"/>
    <m/>
    <m/>
    <n v="348093.3109085444"/>
  </r>
  <r>
    <s v="EU27"/>
    <x v="18"/>
    <n v="2023"/>
    <x v="9"/>
    <x v="1"/>
    <x v="1"/>
    <m/>
    <m/>
    <n v="1489.8554128165961"/>
  </r>
  <r>
    <s v="EU27"/>
    <x v="18"/>
    <n v="2023"/>
    <x v="9"/>
    <x v="1"/>
    <x v="2"/>
    <m/>
    <m/>
    <n v="349583.26633136102"/>
  </r>
  <r>
    <s v="EU27"/>
    <x v="18"/>
    <n v="2023"/>
    <x v="9"/>
    <x v="2"/>
    <x v="0"/>
    <m/>
    <m/>
    <n v="1477.22975"/>
  </r>
  <r>
    <s v="EU27"/>
    <x v="18"/>
    <n v="2023"/>
    <x v="9"/>
    <x v="2"/>
    <x v="2"/>
    <m/>
    <m/>
    <n v="19286.62975"/>
  </r>
  <r>
    <s v="EU27"/>
    <x v="18"/>
    <n v="2023"/>
    <x v="10"/>
    <x v="0"/>
    <x v="0"/>
    <m/>
    <m/>
    <n v="3532.2217099999998"/>
  </r>
  <r>
    <s v="EU27"/>
    <x v="18"/>
    <n v="2023"/>
    <x v="10"/>
    <x v="0"/>
    <x v="1"/>
    <m/>
    <m/>
    <n v="0"/>
  </r>
  <r>
    <s v="EU27"/>
    <x v="18"/>
    <n v="2023"/>
    <x v="10"/>
    <x v="0"/>
    <x v="2"/>
    <m/>
    <m/>
    <n v="3532.2217099999998"/>
  </r>
  <r>
    <s v="EU27"/>
    <x v="18"/>
    <n v="2023"/>
    <x v="10"/>
    <x v="1"/>
    <x v="0"/>
    <m/>
    <m/>
    <n v="3532.6353399999998"/>
  </r>
  <r>
    <s v="EU27"/>
    <x v="18"/>
    <n v="2023"/>
    <x v="10"/>
    <x v="1"/>
    <x v="1"/>
    <m/>
    <m/>
    <n v="0"/>
  </r>
  <r>
    <s v="EU27"/>
    <x v="18"/>
    <n v="2023"/>
    <x v="10"/>
    <x v="1"/>
    <x v="2"/>
    <m/>
    <m/>
    <n v="3532.6353399999998"/>
  </r>
  <r>
    <s v="EU27"/>
    <x v="18"/>
    <n v="2023"/>
    <x v="10"/>
    <x v="2"/>
    <x v="0"/>
    <m/>
    <m/>
    <n v="4.0999999999999996"/>
  </r>
  <r>
    <s v="EU27"/>
    <x v="18"/>
    <n v="2023"/>
    <x v="10"/>
    <x v="2"/>
    <x v="2"/>
    <m/>
    <m/>
    <n v="1246.2"/>
  </r>
  <r>
    <s v="EU27"/>
    <x v="18"/>
    <n v="2023"/>
    <x v="11"/>
    <x v="0"/>
    <x v="0"/>
    <m/>
    <m/>
    <n v="48630.402046003641"/>
  </r>
  <r>
    <s v="EU27"/>
    <x v="18"/>
    <n v="2023"/>
    <x v="11"/>
    <x v="0"/>
    <x v="1"/>
    <m/>
    <m/>
    <n v="12683.8173036966"/>
  </r>
  <r>
    <s v="EU27"/>
    <x v="18"/>
    <n v="2023"/>
    <x v="11"/>
    <x v="0"/>
    <x v="2"/>
    <m/>
    <m/>
    <n v="61314.119339700243"/>
  </r>
  <r>
    <s v="EU27"/>
    <x v="18"/>
    <n v="2023"/>
    <x v="11"/>
    <x v="1"/>
    <x v="0"/>
    <m/>
    <m/>
    <n v="50780.709551835032"/>
  </r>
  <r>
    <s v="EU27"/>
    <x v="18"/>
    <n v="2023"/>
    <x v="11"/>
    <x v="1"/>
    <x v="1"/>
    <m/>
    <m/>
    <n v="14168.077168164969"/>
  </r>
  <r>
    <s v="EU27"/>
    <x v="18"/>
    <n v="2023"/>
    <x v="11"/>
    <x v="1"/>
    <x v="2"/>
    <m/>
    <m/>
    <n v="64948.78673"/>
  </r>
  <r>
    <s v="EU27"/>
    <x v="18"/>
    <n v="2023"/>
    <x v="11"/>
    <x v="2"/>
    <x v="0"/>
    <m/>
    <m/>
    <n v="430.5"/>
  </r>
  <r>
    <s v="EU27"/>
    <x v="18"/>
    <n v="2023"/>
    <x v="11"/>
    <x v="2"/>
    <x v="1"/>
    <m/>
    <m/>
    <n v="69.900000000000006"/>
  </r>
  <r>
    <s v="EU27"/>
    <x v="18"/>
    <n v="2023"/>
    <x v="11"/>
    <x v="2"/>
    <x v="2"/>
    <m/>
    <m/>
    <n v="18676.2"/>
  </r>
  <r>
    <s v="EU27"/>
    <x v="18"/>
    <n v="2023"/>
    <x v="12"/>
    <x v="0"/>
    <x v="0"/>
    <m/>
    <m/>
    <n v="0"/>
  </r>
  <r>
    <s v="EU27"/>
    <x v="18"/>
    <n v="2023"/>
    <x v="12"/>
    <x v="0"/>
    <x v="1"/>
    <m/>
    <m/>
    <n v="0"/>
  </r>
  <r>
    <s v="EU27"/>
    <x v="18"/>
    <n v="2023"/>
    <x v="12"/>
    <x v="0"/>
    <x v="2"/>
    <m/>
    <m/>
    <n v="0"/>
  </r>
  <r>
    <s v="EU27"/>
    <x v="18"/>
    <n v="2023"/>
    <x v="12"/>
    <x v="1"/>
    <x v="0"/>
    <m/>
    <m/>
    <n v="0"/>
  </r>
  <r>
    <s v="EU27"/>
    <x v="18"/>
    <n v="2023"/>
    <x v="12"/>
    <x v="1"/>
    <x v="1"/>
    <m/>
    <m/>
    <n v="0"/>
  </r>
  <r>
    <s v="EU27"/>
    <x v="18"/>
    <n v="2023"/>
    <x v="12"/>
    <x v="1"/>
    <x v="2"/>
    <m/>
    <m/>
    <n v="0"/>
  </r>
  <r>
    <s v="EU27"/>
    <x v="18"/>
    <n v="2023"/>
    <x v="13"/>
    <x v="0"/>
    <x v="0"/>
    <m/>
    <m/>
    <n v="47199.704035648931"/>
  </r>
  <r>
    <s v="EU27"/>
    <x v="18"/>
    <n v="2023"/>
    <x v="13"/>
    <x v="0"/>
    <x v="1"/>
    <m/>
    <m/>
    <n v="168896.10459373691"/>
  </r>
  <r>
    <s v="EU27"/>
    <x v="18"/>
    <n v="2023"/>
    <x v="13"/>
    <x v="0"/>
    <x v="2"/>
    <m/>
    <m/>
    <n v="215835.42872296931"/>
  </r>
  <r>
    <s v="EU27"/>
    <x v="18"/>
    <n v="2023"/>
    <x v="13"/>
    <x v="1"/>
    <x v="0"/>
    <m/>
    <m/>
    <n v="50393.47902231427"/>
  </r>
  <r>
    <s v="EU27"/>
    <x v="18"/>
    <n v="2023"/>
    <x v="13"/>
    <x v="1"/>
    <x v="1"/>
    <m/>
    <m/>
    <n v="178621.79919673631"/>
  </r>
  <r>
    <s v="EU27"/>
    <x v="18"/>
    <n v="2023"/>
    <x v="13"/>
    <x v="1"/>
    <x v="2"/>
    <m/>
    <m/>
    <n v="228755.6099908246"/>
  </r>
  <r>
    <s v="EU27"/>
    <x v="18"/>
    <n v="2023"/>
    <x v="13"/>
    <x v="2"/>
    <x v="0"/>
    <m/>
    <m/>
    <n v="1173.6294600000001"/>
  </r>
  <r>
    <s v="EU27"/>
    <x v="18"/>
    <n v="2023"/>
    <x v="13"/>
    <x v="2"/>
    <x v="1"/>
    <m/>
    <m/>
    <n v="757.8"/>
  </r>
  <r>
    <s v="EU27"/>
    <x v="18"/>
    <n v="2023"/>
    <x v="13"/>
    <x v="2"/>
    <x v="2"/>
    <m/>
    <m/>
    <n v="17066.62946"/>
  </r>
  <r>
    <s v="EU27"/>
    <x v="18"/>
    <n v="2023"/>
    <x v="14"/>
    <x v="0"/>
    <x v="0"/>
    <m/>
    <m/>
    <n v="350972.22683224932"/>
  </r>
  <r>
    <s v="EU27"/>
    <x v="18"/>
    <n v="2023"/>
    <x v="14"/>
    <x v="0"/>
    <x v="2"/>
    <m/>
    <m/>
    <n v="350972.22683224932"/>
  </r>
  <r>
    <s v="EU27"/>
    <x v="18"/>
    <n v="2023"/>
    <x v="14"/>
    <x v="1"/>
    <x v="0"/>
    <m/>
    <m/>
    <n v="367775.75326341123"/>
  </r>
  <r>
    <s v="EU27"/>
    <x v="18"/>
    <n v="2023"/>
    <x v="14"/>
    <x v="1"/>
    <x v="2"/>
    <m/>
    <m/>
    <n v="367775.75326341123"/>
  </r>
  <r>
    <s v="EU27"/>
    <x v="18"/>
    <n v="2023"/>
    <x v="14"/>
    <x v="2"/>
    <x v="0"/>
    <m/>
    <m/>
    <n v="2065.85257"/>
  </r>
  <r>
    <s v="EU27"/>
    <x v="18"/>
    <n v="2023"/>
    <x v="14"/>
    <x v="2"/>
    <x v="2"/>
    <m/>
    <m/>
    <n v="35481.652570000013"/>
  </r>
  <r>
    <s v="EU27"/>
    <x v="18"/>
    <n v="2023"/>
    <x v="15"/>
    <x v="0"/>
    <x v="2"/>
    <m/>
    <m/>
    <n v="-247190.36263745531"/>
  </r>
  <r>
    <s v="EU27"/>
    <x v="18"/>
    <n v="2023"/>
    <x v="15"/>
    <x v="1"/>
    <x v="2"/>
    <m/>
    <m/>
    <n v="-215959.38711119979"/>
  </r>
  <r>
    <s v="EU27"/>
    <x v="18"/>
    <n v="2023"/>
    <x v="15"/>
    <x v="2"/>
    <x v="2"/>
    <m/>
    <m/>
    <n v="-13653.912539999999"/>
  </r>
  <r>
    <s v="EU27"/>
    <x v="18"/>
    <n v="2023"/>
    <x v="16"/>
    <x v="0"/>
    <x v="2"/>
    <m/>
    <m/>
    <n v="-294186.05646868428"/>
  </r>
  <r>
    <s v="EU27"/>
    <x v="18"/>
    <n v="2023"/>
    <x v="16"/>
    <x v="1"/>
    <x v="2"/>
    <m/>
    <m/>
    <n v="-273478.40225942171"/>
  </r>
  <r>
    <s v="EU27"/>
    <x v="18"/>
    <n v="2023"/>
    <x v="16"/>
    <x v="2"/>
    <x v="2"/>
    <m/>
    <m/>
    <n v="-17743.14169"/>
  </r>
  <r>
    <s v="EU27"/>
    <x v="18"/>
    <n v="2023"/>
    <x v="17"/>
    <x v="0"/>
    <x v="2"/>
    <m/>
    <m/>
    <n v="25497.98964103551"/>
  </r>
  <r>
    <s v="EU27"/>
    <x v="18"/>
    <n v="2023"/>
    <x v="17"/>
    <x v="1"/>
    <x v="2"/>
    <m/>
    <m/>
    <n v="32597.391691113058"/>
  </r>
  <r>
    <s v="EU27"/>
    <x v="18"/>
    <n v="2023"/>
    <x v="17"/>
    <x v="2"/>
    <x v="2"/>
    <m/>
    <m/>
    <n v="-2234.1959000000002"/>
  </r>
  <r>
    <s v="EU27"/>
    <x v="18"/>
    <n v="2023"/>
    <x v="18"/>
    <x v="0"/>
    <x v="2"/>
    <m/>
    <m/>
    <n v="12962.63984128572"/>
  </r>
  <r>
    <s v="EU27"/>
    <x v="18"/>
    <n v="2023"/>
    <x v="18"/>
    <x v="1"/>
    <x v="2"/>
    <m/>
    <m/>
    <n v="13984.78378872249"/>
  </r>
  <r>
    <s v="EU27"/>
    <x v="18"/>
    <n v="2023"/>
    <x v="18"/>
    <x v="2"/>
    <x v="2"/>
    <m/>
    <m/>
    <n v="3963.07197"/>
  </r>
  <r>
    <s v="EU27"/>
    <x v="18"/>
    <n v="2023"/>
    <x v="19"/>
    <x v="0"/>
    <x v="2"/>
    <m/>
    <m/>
    <n v="11904.51803030442"/>
  </r>
  <r>
    <s v="EU27"/>
    <x v="18"/>
    <n v="2023"/>
    <x v="19"/>
    <x v="1"/>
    <x v="2"/>
    <m/>
    <m/>
    <n v="12962.648110302051"/>
  </r>
  <r>
    <s v="EU27"/>
    <x v="18"/>
    <n v="2023"/>
    <x v="19"/>
    <x v="2"/>
    <x v="2"/>
    <m/>
    <m/>
    <n v="765.28647999999998"/>
  </r>
  <r>
    <s v="EU27"/>
    <x v="18"/>
    <n v="2023"/>
    <x v="20"/>
    <x v="0"/>
    <x v="2"/>
    <m/>
    <m/>
    <n v="30097.136503846941"/>
  </r>
  <r>
    <s v="EU27"/>
    <x v="18"/>
    <n v="2023"/>
    <x v="20"/>
    <x v="1"/>
    <x v="2"/>
    <m/>
    <m/>
    <n v="30552.695136308459"/>
  </r>
  <r>
    <s v="EU27"/>
    <x v="18"/>
    <n v="2023"/>
    <x v="20"/>
    <x v="2"/>
    <x v="2"/>
    <m/>
    <m/>
    <n v="3096.5688300000002"/>
  </r>
  <r>
    <s v="EU27"/>
    <x v="18"/>
    <n v="2023"/>
    <x v="21"/>
    <x v="0"/>
    <x v="2"/>
    <m/>
    <m/>
    <n v="482.95453000000009"/>
  </r>
  <r>
    <s v="EU27"/>
    <x v="18"/>
    <n v="2023"/>
    <x v="21"/>
    <x v="1"/>
    <x v="2"/>
    <m/>
    <m/>
    <n v="343.85550000000012"/>
  </r>
  <r>
    <s v="EU27"/>
    <x v="18"/>
    <n v="2023"/>
    <x v="21"/>
    <x v="2"/>
    <x v="2"/>
    <m/>
    <m/>
    <n v="323.87777"/>
  </r>
  <r>
    <s v="EU27"/>
    <x v="18"/>
    <n v="2023"/>
    <x v="22"/>
    <x v="0"/>
    <x v="2"/>
    <m/>
    <m/>
    <n v="-33413.301140000003"/>
  </r>
  <r>
    <s v="EU27"/>
    <x v="18"/>
    <n v="2023"/>
    <x v="22"/>
    <x v="1"/>
    <x v="2"/>
    <m/>
    <m/>
    <n v="-33170.049429999999"/>
  </r>
  <r>
    <s v="EU27"/>
    <x v="18"/>
    <n v="2023"/>
    <x v="22"/>
    <x v="2"/>
    <x v="2"/>
    <m/>
    <m/>
    <n v="-1825.26"/>
  </r>
  <r>
    <s v="EU27"/>
    <x v="18"/>
    <n v="2023"/>
    <x v="23"/>
    <x v="0"/>
    <x v="2"/>
    <m/>
    <m/>
    <n v="253.85033000000001"/>
  </r>
  <r>
    <s v="EU27"/>
    <x v="18"/>
    <n v="2023"/>
    <x v="23"/>
    <x v="1"/>
    <x v="2"/>
    <m/>
    <m/>
    <n v="253.85033000000001"/>
  </r>
  <r>
    <s v="EU27"/>
    <x v="18"/>
    <n v="2023"/>
    <x v="24"/>
    <x v="0"/>
    <x v="0"/>
    <m/>
    <m/>
    <n v="70247.345158669603"/>
  </r>
  <r>
    <s v="EU27"/>
    <x v="18"/>
    <n v="2023"/>
    <x v="24"/>
    <x v="0"/>
    <x v="1"/>
    <m/>
    <m/>
    <n v="236.71502672403531"/>
  </r>
  <r>
    <s v="EU27"/>
    <x v="18"/>
    <n v="2023"/>
    <x v="24"/>
    <x v="0"/>
    <x v="2"/>
    <m/>
    <m/>
    <n v="70484.060185393639"/>
  </r>
  <r>
    <s v="EU27"/>
    <x v="18"/>
    <n v="2023"/>
    <x v="24"/>
    <x v="1"/>
    <x v="0"/>
    <m/>
    <m/>
    <n v="71262.191468666424"/>
  </r>
  <r>
    <s v="EU27"/>
    <x v="18"/>
    <n v="2023"/>
    <x v="24"/>
    <x v="1"/>
    <x v="1"/>
    <m/>
    <m/>
    <n v="236.7150267227025"/>
  </r>
  <r>
    <s v="EU27"/>
    <x v="18"/>
    <n v="2023"/>
    <x v="24"/>
    <x v="1"/>
    <x v="2"/>
    <m/>
    <m/>
    <n v="71392.007492293589"/>
  </r>
  <r>
    <s v="EU27"/>
    <x v="18"/>
    <n v="2023"/>
    <x v="24"/>
    <x v="2"/>
    <x v="0"/>
    <m/>
    <m/>
    <n v="1678.7349300000001"/>
  </r>
  <r>
    <s v="EU27"/>
    <x v="18"/>
    <n v="2023"/>
    <x v="24"/>
    <x v="2"/>
    <x v="2"/>
    <m/>
    <m/>
    <n v="10300.53493"/>
  </r>
  <r>
    <s v="EU27"/>
    <x v="18"/>
    <n v="2023"/>
    <x v="25"/>
    <x v="0"/>
    <x v="0"/>
    <m/>
    <m/>
    <n v="160"/>
  </r>
  <r>
    <s v="EU27"/>
    <x v="18"/>
    <n v="2023"/>
    <x v="25"/>
    <x v="0"/>
    <x v="2"/>
    <m/>
    <m/>
    <n v="122750.46031301261"/>
  </r>
  <r>
    <s v="EU27"/>
    <x v="18"/>
    <n v="2023"/>
    <x v="25"/>
    <x v="1"/>
    <x v="0"/>
    <m/>
    <m/>
    <n v="160"/>
  </r>
  <r>
    <s v="EU27"/>
    <x v="18"/>
    <n v="2023"/>
    <x v="25"/>
    <x v="1"/>
    <x v="2"/>
    <m/>
    <m/>
    <n v="130494.4325721957"/>
  </r>
  <r>
    <s v="EU27"/>
    <x v="18"/>
    <n v="2023"/>
    <x v="25"/>
    <x v="2"/>
    <x v="2"/>
    <m/>
    <m/>
    <n v="1263.51016"/>
  </r>
  <r>
    <s v="EU27"/>
    <x v="18"/>
    <n v="2023"/>
    <x v="26"/>
    <x v="0"/>
    <x v="0"/>
    <m/>
    <m/>
    <n v="832.5"/>
  </r>
  <r>
    <s v="EU27"/>
    <x v="18"/>
    <n v="2023"/>
    <x v="26"/>
    <x v="0"/>
    <x v="2"/>
    <m/>
    <m/>
    <n v="140861.76973225409"/>
  </r>
  <r>
    <s v="EU27"/>
    <x v="18"/>
    <n v="2023"/>
    <x v="26"/>
    <x v="1"/>
    <x v="0"/>
    <m/>
    <m/>
    <n v="832.5"/>
  </r>
  <r>
    <s v="EU27"/>
    <x v="18"/>
    <n v="2023"/>
    <x v="26"/>
    <x v="1"/>
    <x v="2"/>
    <m/>
    <m/>
    <n v="143155.8385134759"/>
  </r>
  <r>
    <s v="EU27"/>
    <x v="18"/>
    <n v="2023"/>
    <x v="26"/>
    <x v="2"/>
    <x v="2"/>
    <m/>
    <m/>
    <n v="967.8"/>
  </r>
  <r>
    <s v="EU27"/>
    <x v="18"/>
    <n v="2023"/>
    <x v="27"/>
    <x v="0"/>
    <x v="0"/>
    <m/>
    <m/>
    <n v="699.65418999999997"/>
  </r>
  <r>
    <s v="EU27"/>
    <x v="18"/>
    <n v="2023"/>
    <x v="27"/>
    <x v="0"/>
    <x v="2"/>
    <m/>
    <m/>
    <n v="843.55418999999995"/>
  </r>
  <r>
    <s v="EU27"/>
    <x v="18"/>
    <n v="2023"/>
    <x v="27"/>
    <x v="1"/>
    <x v="0"/>
    <m/>
    <m/>
    <n v="702.16146000000003"/>
  </r>
  <r>
    <s v="EU27"/>
    <x v="18"/>
    <n v="2023"/>
    <x v="27"/>
    <x v="1"/>
    <x v="2"/>
    <m/>
    <m/>
    <n v="846.06146000000001"/>
  </r>
  <r>
    <s v="EU27"/>
    <x v="18"/>
    <n v="2023"/>
    <x v="28"/>
    <x v="0"/>
    <x v="0"/>
    <m/>
    <m/>
    <n v="1389876.129651757"/>
  </r>
  <r>
    <s v="EU27"/>
    <x v="18"/>
    <n v="2023"/>
    <x v="28"/>
    <x v="0"/>
    <x v="1"/>
    <m/>
    <m/>
    <n v="637199.77251273242"/>
  </r>
  <r>
    <s v="EU27"/>
    <x v="18"/>
    <n v="2023"/>
    <x v="28"/>
    <x v="0"/>
    <x v="2"/>
    <m/>
    <m/>
    <n v="2043826.681511078"/>
  </r>
  <r>
    <s v="EU27"/>
    <x v="18"/>
    <n v="2023"/>
    <x v="28"/>
    <x v="1"/>
    <x v="0"/>
    <m/>
    <m/>
    <n v="1585628.654247998"/>
  </r>
  <r>
    <s v="EU27"/>
    <x v="18"/>
    <n v="2023"/>
    <x v="28"/>
    <x v="1"/>
    <x v="1"/>
    <m/>
    <m/>
    <n v="725003.31652478769"/>
  </r>
  <r>
    <s v="EU27"/>
    <x v="18"/>
    <n v="2023"/>
    <x v="28"/>
    <x v="1"/>
    <x v="2"/>
    <m/>
    <m/>
    <n v="2328792.1791225448"/>
  </r>
  <r>
    <s v="EU27"/>
    <x v="18"/>
    <n v="2023"/>
    <x v="28"/>
    <x v="2"/>
    <x v="0"/>
    <m/>
    <m/>
    <n v="17153.289669999998"/>
  </r>
  <r>
    <s v="EU27"/>
    <x v="18"/>
    <n v="2023"/>
    <x v="28"/>
    <x v="2"/>
    <x v="1"/>
    <m/>
    <m/>
    <n v="9396.9566300000006"/>
  </r>
  <r>
    <s v="EU27"/>
    <x v="18"/>
    <n v="2023"/>
    <x v="28"/>
    <x v="2"/>
    <x v="2"/>
    <m/>
    <m/>
    <n v="215745.55506000001"/>
  </r>
  <r>
    <s v="EU27"/>
    <x v="18"/>
    <n v="2023"/>
    <x v="29"/>
    <x v="0"/>
    <x v="0"/>
    <m/>
    <m/>
    <n v="1389876.129651757"/>
  </r>
  <r>
    <s v="EU27"/>
    <x v="18"/>
    <n v="2023"/>
    <x v="29"/>
    <x v="0"/>
    <x v="1"/>
    <m/>
    <m/>
    <n v="637199.67251273245"/>
  </r>
  <r>
    <s v="EU27"/>
    <x v="18"/>
    <n v="2023"/>
    <x v="29"/>
    <x v="0"/>
    <x v="2"/>
    <m/>
    <m/>
    <n v="1796636.358883623"/>
  </r>
  <r>
    <s v="EU27"/>
    <x v="18"/>
    <n v="2023"/>
    <x v="29"/>
    <x v="1"/>
    <x v="0"/>
    <m/>
    <m/>
    <n v="1585628.654247998"/>
  </r>
  <r>
    <s v="EU27"/>
    <x v="18"/>
    <n v="2023"/>
    <x v="29"/>
    <x v="1"/>
    <x v="1"/>
    <m/>
    <m/>
    <n v="725003.21652478771"/>
  </r>
  <r>
    <s v="EU27"/>
    <x v="18"/>
    <n v="2023"/>
    <x v="29"/>
    <x v="1"/>
    <x v="2"/>
    <m/>
    <m/>
    <n v="2112823.8534113448"/>
  </r>
  <r>
    <s v="EU27"/>
    <x v="18"/>
    <n v="2023"/>
    <x v="29"/>
    <x v="2"/>
    <x v="0"/>
    <m/>
    <m/>
    <n v="17153.289669999998"/>
  </r>
  <r>
    <s v="EU27"/>
    <x v="18"/>
    <n v="2023"/>
    <x v="29"/>
    <x v="2"/>
    <x v="1"/>
    <m/>
    <m/>
    <n v="9396.9566300000006"/>
  </r>
  <r>
    <s v="EU27"/>
    <x v="18"/>
    <n v="2023"/>
    <x v="29"/>
    <x v="2"/>
    <x v="2"/>
    <m/>
    <m/>
    <n v="202403.56252000001"/>
  </r>
  <r>
    <s v="EU27"/>
    <x v="19"/>
    <n v="2023"/>
    <x v="0"/>
    <x v="0"/>
    <x v="0"/>
    <m/>
    <m/>
    <n v="895035.38853594055"/>
  </r>
  <r>
    <s v="EU27"/>
    <x v="19"/>
    <n v="2023"/>
    <x v="0"/>
    <x v="0"/>
    <x v="1"/>
    <m/>
    <m/>
    <n v="457412.54857031652"/>
  </r>
  <r>
    <s v="EU27"/>
    <x v="19"/>
    <n v="2023"/>
    <x v="0"/>
    <x v="0"/>
    <x v="2"/>
    <m/>
    <m/>
    <n v="1369555.1406144919"/>
  </r>
  <r>
    <s v="EU27"/>
    <x v="19"/>
    <n v="2023"/>
    <x v="0"/>
    <x v="1"/>
    <x v="0"/>
    <m/>
    <m/>
    <n v="1075369.6300859391"/>
  </r>
  <r>
    <s v="EU27"/>
    <x v="19"/>
    <n v="2023"/>
    <x v="0"/>
    <x v="1"/>
    <x v="1"/>
    <m/>
    <m/>
    <n v="532486.10980351223"/>
  </r>
  <r>
    <s v="EU27"/>
    <x v="19"/>
    <n v="2023"/>
    <x v="0"/>
    <x v="1"/>
    <x v="2"/>
    <m/>
    <m/>
    <n v="1626502.5355493261"/>
  </r>
  <r>
    <s v="EU27"/>
    <x v="19"/>
    <n v="2023"/>
    <x v="0"/>
    <x v="2"/>
    <x v="0"/>
    <m/>
    <m/>
    <n v="12401.03283"/>
  </r>
  <r>
    <s v="EU27"/>
    <x v="19"/>
    <n v="2023"/>
    <x v="0"/>
    <x v="2"/>
    <x v="1"/>
    <m/>
    <m/>
    <n v="8682.4862599999997"/>
  </r>
  <r>
    <s v="EU27"/>
    <x v="19"/>
    <n v="2023"/>
    <x v="0"/>
    <x v="2"/>
    <x v="2"/>
    <m/>
    <m/>
    <n v="154496.03229999999"/>
  </r>
  <r>
    <s v="EU27"/>
    <x v="19"/>
    <n v="2023"/>
    <x v="1"/>
    <x v="0"/>
    <x v="0"/>
    <m/>
    <m/>
    <n v="38194.24375267914"/>
  </r>
  <r>
    <s v="EU27"/>
    <x v="19"/>
    <n v="2023"/>
    <x v="1"/>
    <x v="0"/>
    <x v="1"/>
    <m/>
    <m/>
    <n v="263496.68894532201"/>
  </r>
  <r>
    <s v="EU27"/>
    <x v="19"/>
    <n v="2023"/>
    <x v="1"/>
    <x v="0"/>
    <x v="2"/>
    <m/>
    <m/>
    <n v="301690.6328325136"/>
  </r>
  <r>
    <s v="EU27"/>
    <x v="19"/>
    <n v="2023"/>
    <x v="1"/>
    <x v="1"/>
    <x v="0"/>
    <m/>
    <m/>
    <n v="42111.829033594382"/>
  </r>
  <r>
    <s v="EU27"/>
    <x v="19"/>
    <n v="2023"/>
    <x v="1"/>
    <x v="1"/>
    <x v="1"/>
    <m/>
    <m/>
    <n v="310895.69664534112"/>
  </r>
  <r>
    <s v="EU27"/>
    <x v="19"/>
    <n v="2023"/>
    <x v="1"/>
    <x v="1"/>
    <x v="2"/>
    <m/>
    <m/>
    <n v="353007.2256792736"/>
  </r>
  <r>
    <s v="EU27"/>
    <x v="19"/>
    <n v="2023"/>
    <x v="1"/>
    <x v="2"/>
    <x v="0"/>
    <m/>
    <m/>
    <n v="55.770530000000001"/>
  </r>
  <r>
    <s v="EU27"/>
    <x v="19"/>
    <n v="2023"/>
    <x v="1"/>
    <x v="2"/>
    <x v="1"/>
    <m/>
    <m/>
    <n v="7152.1862600000004"/>
  </r>
  <r>
    <s v="EU27"/>
    <x v="19"/>
    <n v="2023"/>
    <x v="1"/>
    <x v="2"/>
    <x v="2"/>
    <m/>
    <m/>
    <n v="48181.4568"/>
  </r>
  <r>
    <s v="EU27"/>
    <x v="19"/>
    <n v="2023"/>
    <x v="2"/>
    <x v="0"/>
    <x v="0"/>
    <m/>
    <m/>
    <n v="93558.419639181564"/>
  </r>
  <r>
    <s v="EU27"/>
    <x v="19"/>
    <n v="2023"/>
    <x v="2"/>
    <x v="0"/>
    <x v="1"/>
    <m/>
    <m/>
    <n v="176783.98370449999"/>
  </r>
  <r>
    <s v="EU27"/>
    <x v="19"/>
    <n v="2023"/>
    <x v="2"/>
    <x v="0"/>
    <x v="2"/>
    <m/>
    <m/>
    <n v="270342.00334380119"/>
  </r>
  <r>
    <s v="EU27"/>
    <x v="19"/>
    <n v="2023"/>
    <x v="2"/>
    <x v="1"/>
    <x v="0"/>
    <m/>
    <m/>
    <n v="99998.426872856813"/>
  </r>
  <r>
    <s v="EU27"/>
    <x v="19"/>
    <n v="2023"/>
    <x v="2"/>
    <x v="1"/>
    <x v="1"/>
    <m/>
    <m/>
    <n v="202626.7239310219"/>
  </r>
  <r>
    <s v="EU27"/>
    <x v="19"/>
    <n v="2023"/>
    <x v="2"/>
    <x v="1"/>
    <x v="2"/>
    <m/>
    <m/>
    <n v="302624.55080365413"/>
  </r>
  <r>
    <s v="EU27"/>
    <x v="19"/>
    <n v="2023"/>
    <x v="2"/>
    <x v="2"/>
    <x v="0"/>
    <m/>
    <m/>
    <n v="1103.61717"/>
  </r>
  <r>
    <s v="EU27"/>
    <x v="19"/>
    <n v="2023"/>
    <x v="2"/>
    <x v="2"/>
    <x v="1"/>
    <m/>
    <m/>
    <n v="1460.4"/>
  </r>
  <r>
    <s v="EU27"/>
    <x v="19"/>
    <n v="2023"/>
    <x v="2"/>
    <x v="2"/>
    <x v="2"/>
    <m/>
    <m/>
    <n v="21557.817169999998"/>
  </r>
  <r>
    <s v="EU27"/>
    <x v="19"/>
    <n v="2023"/>
    <x v="3"/>
    <x v="0"/>
    <x v="0"/>
    <m/>
    <m/>
    <n v="434446.99393411097"/>
  </r>
  <r>
    <s v="EU27"/>
    <x v="19"/>
    <n v="2023"/>
    <x v="3"/>
    <x v="0"/>
    <x v="1"/>
    <m/>
    <m/>
    <n v="3266.520942699824"/>
  </r>
  <r>
    <s v="EU27"/>
    <x v="19"/>
    <n v="2023"/>
    <x v="3"/>
    <x v="0"/>
    <x v="2"/>
    <m/>
    <m/>
    <n v="454820.91827688902"/>
  </r>
  <r>
    <s v="EU27"/>
    <x v="19"/>
    <n v="2023"/>
    <x v="3"/>
    <x v="1"/>
    <x v="0"/>
    <m/>
    <m/>
    <n v="536612.18056652613"/>
  </r>
  <r>
    <s v="EU27"/>
    <x v="19"/>
    <n v="2023"/>
    <x v="3"/>
    <x v="1"/>
    <x v="1"/>
    <m/>
    <m/>
    <n v="3467.4887669694072"/>
  </r>
  <r>
    <s v="EU27"/>
    <x v="19"/>
    <n v="2023"/>
    <x v="3"/>
    <x v="1"/>
    <x v="2"/>
    <m/>
    <m/>
    <n v="558726.6650132566"/>
  </r>
  <r>
    <s v="EU27"/>
    <x v="19"/>
    <n v="2023"/>
    <x v="3"/>
    <x v="2"/>
    <x v="0"/>
    <m/>
    <m/>
    <n v="9337.1456899999994"/>
  </r>
  <r>
    <s v="EU27"/>
    <x v="19"/>
    <n v="2023"/>
    <x v="3"/>
    <x v="2"/>
    <x v="1"/>
    <m/>
    <m/>
    <n v="0"/>
  </r>
  <r>
    <s v="EU27"/>
    <x v="19"/>
    <n v="2023"/>
    <x v="3"/>
    <x v="2"/>
    <x v="2"/>
    <m/>
    <m/>
    <n v="45324.258889999997"/>
  </r>
  <r>
    <s v="EU27"/>
    <x v="19"/>
    <n v="2023"/>
    <x v="4"/>
    <x v="0"/>
    <x v="0"/>
    <m/>
    <m/>
    <n v="147.90199179582211"/>
  </r>
  <r>
    <s v="EU27"/>
    <x v="19"/>
    <n v="2023"/>
    <x v="4"/>
    <x v="0"/>
    <x v="1"/>
    <m/>
    <m/>
    <n v="0"/>
  </r>
  <r>
    <s v="EU27"/>
    <x v="19"/>
    <n v="2023"/>
    <x v="4"/>
    <x v="0"/>
    <x v="2"/>
    <m/>
    <m/>
    <n v="17220.424491072219"/>
  </r>
  <r>
    <s v="EU27"/>
    <x v="19"/>
    <n v="2023"/>
    <x v="4"/>
    <x v="1"/>
    <x v="0"/>
    <m/>
    <m/>
    <n v="160.1389787886815"/>
  </r>
  <r>
    <s v="EU27"/>
    <x v="19"/>
    <n v="2023"/>
    <x v="4"/>
    <x v="1"/>
    <x v="1"/>
    <m/>
    <m/>
    <n v="0"/>
  </r>
  <r>
    <s v="EU27"/>
    <x v="19"/>
    <n v="2023"/>
    <x v="4"/>
    <x v="1"/>
    <x v="2"/>
    <m/>
    <m/>
    <n v="18800.34990494337"/>
  </r>
  <r>
    <s v="EU27"/>
    <x v="19"/>
    <n v="2023"/>
    <x v="4"/>
    <x v="2"/>
    <x v="0"/>
    <m/>
    <m/>
    <n v="1.3050000000000001E-2"/>
  </r>
  <r>
    <s v="EU27"/>
    <x v="19"/>
    <n v="2023"/>
    <x v="4"/>
    <x v="2"/>
    <x v="2"/>
    <m/>
    <m/>
    <n v="537.32626000000005"/>
  </r>
  <r>
    <s v="EU27"/>
    <x v="19"/>
    <n v="2023"/>
    <x v="5"/>
    <x v="0"/>
    <x v="0"/>
    <m/>
    <m/>
    <n v="412552.64252313692"/>
  </r>
  <r>
    <s v="EU27"/>
    <x v="19"/>
    <n v="2023"/>
    <x v="5"/>
    <x v="0"/>
    <x v="1"/>
    <m/>
    <m/>
    <n v="0"/>
  </r>
  <r>
    <s v="EU27"/>
    <x v="19"/>
    <n v="2023"/>
    <x v="5"/>
    <x v="0"/>
    <x v="2"/>
    <m/>
    <m/>
    <n v="412552.64252313692"/>
  </r>
  <r>
    <s v="EU27"/>
    <x v="19"/>
    <n v="2023"/>
    <x v="5"/>
    <x v="1"/>
    <x v="0"/>
    <m/>
    <m/>
    <n v="513077.08838971402"/>
  </r>
  <r>
    <s v="EU27"/>
    <x v="19"/>
    <n v="2023"/>
    <x v="5"/>
    <x v="1"/>
    <x v="1"/>
    <m/>
    <m/>
    <n v="0"/>
  </r>
  <r>
    <s v="EU27"/>
    <x v="19"/>
    <n v="2023"/>
    <x v="5"/>
    <x v="1"/>
    <x v="2"/>
    <m/>
    <m/>
    <n v="513077.08838971402"/>
  </r>
  <r>
    <s v="EU27"/>
    <x v="19"/>
    <n v="2023"/>
    <x v="5"/>
    <x v="2"/>
    <x v="0"/>
    <m/>
    <m/>
    <n v="9238.0137299999988"/>
  </r>
  <r>
    <s v="EU27"/>
    <x v="19"/>
    <n v="2023"/>
    <x v="5"/>
    <x v="2"/>
    <x v="2"/>
    <m/>
    <m/>
    <n v="42674.313730000002"/>
  </r>
  <r>
    <s v="EU27"/>
    <x v="19"/>
    <n v="2023"/>
    <x v="6"/>
    <x v="0"/>
    <x v="0"/>
    <m/>
    <m/>
    <n v="3313.2403165584069"/>
  </r>
  <r>
    <s v="EU27"/>
    <x v="19"/>
    <n v="2023"/>
    <x v="6"/>
    <x v="0"/>
    <x v="1"/>
    <m/>
    <m/>
    <n v="0"/>
  </r>
  <r>
    <s v="EU27"/>
    <x v="19"/>
    <n v="2023"/>
    <x v="6"/>
    <x v="0"/>
    <x v="2"/>
    <m/>
    <m/>
    <n v="3313.2403165584069"/>
  </r>
  <r>
    <s v="EU27"/>
    <x v="19"/>
    <n v="2023"/>
    <x v="6"/>
    <x v="1"/>
    <x v="0"/>
    <m/>
    <m/>
    <n v="4309.5965178066899"/>
  </r>
  <r>
    <s v="EU27"/>
    <x v="19"/>
    <n v="2023"/>
    <x v="6"/>
    <x v="1"/>
    <x v="1"/>
    <m/>
    <m/>
    <n v="0"/>
  </r>
  <r>
    <s v="EU27"/>
    <x v="19"/>
    <n v="2023"/>
    <x v="6"/>
    <x v="1"/>
    <x v="2"/>
    <m/>
    <m/>
    <n v="4309.5965178066899"/>
  </r>
  <r>
    <s v="EU27"/>
    <x v="19"/>
    <n v="2023"/>
    <x v="6"/>
    <x v="2"/>
    <x v="0"/>
    <m/>
    <m/>
    <n v="39.299999999999997"/>
  </r>
  <r>
    <s v="EU27"/>
    <x v="19"/>
    <n v="2023"/>
    <x v="6"/>
    <x v="2"/>
    <x v="2"/>
    <m/>
    <m/>
    <n v="1367.2"/>
  </r>
  <r>
    <s v="EU27"/>
    <x v="19"/>
    <n v="2023"/>
    <x v="7"/>
    <x v="0"/>
    <x v="0"/>
    <m/>
    <m/>
    <n v="17253.215103347749"/>
  </r>
  <r>
    <s v="EU27"/>
    <x v="19"/>
    <n v="2023"/>
    <x v="7"/>
    <x v="0"/>
    <x v="1"/>
    <m/>
    <m/>
    <n v="0"/>
  </r>
  <r>
    <s v="EU27"/>
    <x v="19"/>
    <n v="2023"/>
    <x v="7"/>
    <x v="0"/>
    <x v="2"/>
    <m/>
    <m/>
    <n v="17253.215103347749"/>
  </r>
  <r>
    <s v="EU27"/>
    <x v="19"/>
    <n v="2023"/>
    <x v="7"/>
    <x v="1"/>
    <x v="0"/>
    <m/>
    <m/>
    <n v="17611.07426727052"/>
  </r>
  <r>
    <s v="EU27"/>
    <x v="19"/>
    <n v="2023"/>
    <x v="7"/>
    <x v="1"/>
    <x v="1"/>
    <m/>
    <m/>
    <n v="0"/>
  </r>
  <r>
    <s v="EU27"/>
    <x v="19"/>
    <n v="2023"/>
    <x v="7"/>
    <x v="1"/>
    <x v="2"/>
    <m/>
    <m/>
    <n v="17611.07426727052"/>
  </r>
  <r>
    <s v="EU27"/>
    <x v="19"/>
    <n v="2023"/>
    <x v="7"/>
    <x v="2"/>
    <x v="0"/>
    <m/>
    <m/>
    <n v="52.518909999999998"/>
  </r>
  <r>
    <s v="EU27"/>
    <x v="19"/>
    <n v="2023"/>
    <x v="7"/>
    <x v="2"/>
    <x v="2"/>
    <m/>
    <m/>
    <n v="417.01891000000001"/>
  </r>
  <r>
    <s v="EU27"/>
    <x v="19"/>
    <n v="2023"/>
    <x v="8"/>
    <x v="0"/>
    <x v="0"/>
    <m/>
    <m/>
    <n v="1198.850949272153"/>
  </r>
  <r>
    <s v="EU27"/>
    <x v="19"/>
    <n v="2023"/>
    <x v="8"/>
    <x v="0"/>
    <x v="1"/>
    <m/>
    <m/>
    <n v="3301.3063035016121"/>
  </r>
  <r>
    <s v="EU27"/>
    <x v="19"/>
    <n v="2023"/>
    <x v="8"/>
    <x v="0"/>
    <x v="2"/>
    <m/>
    <m/>
    <n v="4500.0572327737646"/>
  </r>
  <r>
    <s v="EU27"/>
    <x v="19"/>
    <n v="2023"/>
    <x v="8"/>
    <x v="1"/>
    <x v="0"/>
    <m/>
    <m/>
    <n v="1473.090012946333"/>
  </r>
  <r>
    <s v="EU27"/>
    <x v="19"/>
    <n v="2023"/>
    <x v="8"/>
    <x v="1"/>
    <x v="1"/>
    <m/>
    <m/>
    <n v="3474.2273305757271"/>
  </r>
  <r>
    <s v="EU27"/>
    <x v="19"/>
    <n v="2023"/>
    <x v="8"/>
    <x v="1"/>
    <x v="2"/>
    <m/>
    <m/>
    <n v="4947.2173335220596"/>
  </r>
  <r>
    <s v="EU27"/>
    <x v="19"/>
    <n v="2023"/>
    <x v="8"/>
    <x v="2"/>
    <x v="0"/>
    <m/>
    <m/>
    <n v="7.2"/>
  </r>
  <r>
    <s v="EU27"/>
    <x v="19"/>
    <n v="2023"/>
    <x v="8"/>
    <x v="2"/>
    <x v="2"/>
    <m/>
    <m/>
    <n v="328.4"/>
  </r>
  <r>
    <s v="EU27"/>
    <x v="19"/>
    <n v="2023"/>
    <x v="9"/>
    <x v="0"/>
    <x v="0"/>
    <m/>
    <m/>
    <n v="277204.94497039833"/>
  </r>
  <r>
    <s v="EU27"/>
    <x v="19"/>
    <n v="2023"/>
    <x v="9"/>
    <x v="0"/>
    <x v="1"/>
    <m/>
    <m/>
    <n v="1307.1238177379871"/>
  </r>
  <r>
    <s v="EU27"/>
    <x v="19"/>
    <n v="2023"/>
    <x v="9"/>
    <x v="0"/>
    <x v="2"/>
    <m/>
    <m/>
    <n v="278512.06877166149"/>
  </r>
  <r>
    <s v="EU27"/>
    <x v="19"/>
    <n v="2023"/>
    <x v="9"/>
    <x v="1"/>
    <x v="0"/>
    <m/>
    <m/>
    <n v="342947.36159112671"/>
  </r>
  <r>
    <s v="EU27"/>
    <x v="19"/>
    <n v="2023"/>
    <x v="9"/>
    <x v="1"/>
    <x v="1"/>
    <m/>
    <m/>
    <n v="1468.4630220148269"/>
  </r>
  <r>
    <s v="EU27"/>
    <x v="19"/>
    <n v="2023"/>
    <x v="9"/>
    <x v="1"/>
    <x v="2"/>
    <m/>
    <m/>
    <n v="344415.72460314148"/>
  </r>
  <r>
    <s v="EU27"/>
    <x v="19"/>
    <n v="2023"/>
    <x v="9"/>
    <x v="2"/>
    <x v="0"/>
    <m/>
    <m/>
    <n v="1469.6994400000001"/>
  </r>
  <r>
    <s v="EU27"/>
    <x v="19"/>
    <n v="2023"/>
    <x v="9"/>
    <x v="2"/>
    <x v="2"/>
    <m/>
    <m/>
    <n v="19509.899440000001"/>
  </r>
  <r>
    <s v="EU27"/>
    <x v="19"/>
    <n v="2023"/>
    <x v="10"/>
    <x v="0"/>
    <x v="0"/>
    <m/>
    <m/>
    <n v="3526.4542999999999"/>
  </r>
  <r>
    <s v="EU27"/>
    <x v="19"/>
    <n v="2023"/>
    <x v="10"/>
    <x v="0"/>
    <x v="1"/>
    <m/>
    <m/>
    <n v="0"/>
  </r>
  <r>
    <s v="EU27"/>
    <x v="19"/>
    <n v="2023"/>
    <x v="10"/>
    <x v="0"/>
    <x v="2"/>
    <m/>
    <m/>
    <n v="3526.4542999999999"/>
  </r>
  <r>
    <s v="EU27"/>
    <x v="19"/>
    <n v="2023"/>
    <x v="10"/>
    <x v="1"/>
    <x v="0"/>
    <m/>
    <m/>
    <n v="3526.8414299999999"/>
  </r>
  <r>
    <s v="EU27"/>
    <x v="19"/>
    <n v="2023"/>
    <x v="10"/>
    <x v="1"/>
    <x v="1"/>
    <m/>
    <m/>
    <n v="0"/>
  </r>
  <r>
    <s v="EU27"/>
    <x v="19"/>
    <n v="2023"/>
    <x v="10"/>
    <x v="1"/>
    <x v="2"/>
    <m/>
    <m/>
    <n v="3526.8414299999999"/>
  </r>
  <r>
    <s v="EU27"/>
    <x v="19"/>
    <n v="2023"/>
    <x v="10"/>
    <x v="2"/>
    <x v="0"/>
    <m/>
    <m/>
    <n v="4.0999999999999996"/>
  </r>
  <r>
    <s v="EU27"/>
    <x v="19"/>
    <n v="2023"/>
    <x v="10"/>
    <x v="2"/>
    <x v="2"/>
    <m/>
    <m/>
    <n v="1246.2"/>
  </r>
  <r>
    <s v="EU27"/>
    <x v="19"/>
    <n v="2023"/>
    <x v="11"/>
    <x v="0"/>
    <x v="0"/>
    <m/>
    <m/>
    <n v="48165.731949570523"/>
  </r>
  <r>
    <s v="EU27"/>
    <x v="19"/>
    <n v="2023"/>
    <x v="11"/>
    <x v="0"/>
    <x v="1"/>
    <m/>
    <m/>
    <n v="12558.631170056609"/>
  </r>
  <r>
    <s v="EU27"/>
    <x v="19"/>
    <n v="2023"/>
    <x v="11"/>
    <x v="0"/>
    <x v="2"/>
    <m/>
    <m/>
    <n v="60724.263139627117"/>
  </r>
  <r>
    <s v="EU27"/>
    <x v="19"/>
    <n v="2023"/>
    <x v="11"/>
    <x v="1"/>
    <x v="0"/>
    <m/>
    <m/>
    <n v="50234.290601835033"/>
  </r>
  <r>
    <s v="EU27"/>
    <x v="19"/>
    <n v="2023"/>
    <x v="11"/>
    <x v="1"/>
    <x v="1"/>
    <m/>
    <m/>
    <n v="14028.537438164971"/>
  </r>
  <r>
    <s v="EU27"/>
    <x v="19"/>
    <n v="2023"/>
    <x v="11"/>
    <x v="1"/>
    <x v="2"/>
    <m/>
    <m/>
    <n v="64262.928050000002"/>
  </r>
  <r>
    <s v="EU27"/>
    <x v="19"/>
    <n v="2023"/>
    <x v="11"/>
    <x v="2"/>
    <x v="0"/>
    <m/>
    <m/>
    <n v="430.7"/>
  </r>
  <r>
    <s v="EU27"/>
    <x v="19"/>
    <n v="2023"/>
    <x v="11"/>
    <x v="2"/>
    <x v="1"/>
    <m/>
    <m/>
    <n v="69.900000000000006"/>
  </r>
  <r>
    <s v="EU27"/>
    <x v="19"/>
    <n v="2023"/>
    <x v="11"/>
    <x v="2"/>
    <x v="2"/>
    <m/>
    <m/>
    <n v="18676.400000000001"/>
  </r>
  <r>
    <s v="EU27"/>
    <x v="19"/>
    <n v="2023"/>
    <x v="12"/>
    <x v="0"/>
    <x v="0"/>
    <m/>
    <m/>
    <n v="0"/>
  </r>
  <r>
    <s v="EU27"/>
    <x v="19"/>
    <n v="2023"/>
    <x v="12"/>
    <x v="0"/>
    <x v="1"/>
    <m/>
    <m/>
    <n v="0"/>
  </r>
  <r>
    <s v="EU27"/>
    <x v="19"/>
    <n v="2023"/>
    <x v="12"/>
    <x v="0"/>
    <x v="2"/>
    <m/>
    <m/>
    <n v="0"/>
  </r>
  <r>
    <s v="EU27"/>
    <x v="19"/>
    <n v="2023"/>
    <x v="12"/>
    <x v="1"/>
    <x v="0"/>
    <m/>
    <m/>
    <n v="0"/>
  </r>
  <r>
    <s v="EU27"/>
    <x v="19"/>
    <n v="2023"/>
    <x v="12"/>
    <x v="1"/>
    <x v="1"/>
    <m/>
    <m/>
    <n v="0"/>
  </r>
  <r>
    <s v="EU27"/>
    <x v="19"/>
    <n v="2023"/>
    <x v="12"/>
    <x v="1"/>
    <x v="2"/>
    <m/>
    <m/>
    <n v="0"/>
  </r>
  <r>
    <s v="EU27"/>
    <x v="19"/>
    <n v="2023"/>
    <x v="13"/>
    <x v="0"/>
    <x v="0"/>
    <m/>
    <m/>
    <n v="46054.486781725936"/>
  </r>
  <r>
    <s v="EU27"/>
    <x v="19"/>
    <n v="2023"/>
    <x v="13"/>
    <x v="0"/>
    <x v="1"/>
    <m/>
    <m/>
    <n v="166426.95466646709"/>
  </r>
  <r>
    <s v="EU27"/>
    <x v="19"/>
    <n v="2023"/>
    <x v="13"/>
    <x v="0"/>
    <x v="2"/>
    <m/>
    <m/>
    <n v="212221.16769988241"/>
  </r>
  <r>
    <s v="EU27"/>
    <x v="19"/>
    <n v="2023"/>
    <x v="13"/>
    <x v="1"/>
    <x v="0"/>
    <m/>
    <m/>
    <n v="49356.481892723663"/>
  </r>
  <r>
    <s v="EU27"/>
    <x v="19"/>
    <n v="2023"/>
    <x v="13"/>
    <x v="1"/>
    <x v="1"/>
    <m/>
    <m/>
    <n v="176109.59016754621"/>
  </r>
  <r>
    <s v="EU27"/>
    <x v="19"/>
    <n v="2023"/>
    <x v="13"/>
    <x v="1"/>
    <x v="2"/>
    <m/>
    <m/>
    <n v="225206.59847955679"/>
  </r>
  <r>
    <s v="EU27"/>
    <x v="19"/>
    <n v="2023"/>
    <x v="13"/>
    <x v="2"/>
    <x v="0"/>
    <m/>
    <m/>
    <n v="1182.38788"/>
  </r>
  <r>
    <s v="EU27"/>
    <x v="19"/>
    <n v="2023"/>
    <x v="13"/>
    <x v="2"/>
    <x v="1"/>
    <m/>
    <m/>
    <n v="760.3"/>
  </r>
  <r>
    <s v="EU27"/>
    <x v="19"/>
    <n v="2023"/>
    <x v="13"/>
    <x v="2"/>
    <x v="2"/>
    <m/>
    <m/>
    <n v="17159.887879999998"/>
  </r>
  <r>
    <s v="EU27"/>
    <x v="19"/>
    <n v="2023"/>
    <x v="14"/>
    <x v="0"/>
    <x v="0"/>
    <m/>
    <m/>
    <n v="350480.08455212403"/>
  </r>
  <r>
    <s v="EU27"/>
    <x v="19"/>
    <n v="2023"/>
    <x v="14"/>
    <x v="0"/>
    <x v="2"/>
    <m/>
    <m/>
    <n v="350480.08455212403"/>
  </r>
  <r>
    <s v="EU27"/>
    <x v="19"/>
    <n v="2023"/>
    <x v="14"/>
    <x v="1"/>
    <x v="0"/>
    <m/>
    <m/>
    <n v="367523.3541613376"/>
  </r>
  <r>
    <s v="EU27"/>
    <x v="19"/>
    <n v="2023"/>
    <x v="14"/>
    <x v="1"/>
    <x v="2"/>
    <m/>
    <m/>
    <n v="367523.3541613376"/>
  </r>
  <r>
    <s v="EU27"/>
    <x v="19"/>
    <n v="2023"/>
    <x v="14"/>
    <x v="2"/>
    <x v="0"/>
    <m/>
    <m/>
    <n v="2068.6749100000002"/>
  </r>
  <r>
    <s v="EU27"/>
    <x v="19"/>
    <n v="2023"/>
    <x v="14"/>
    <x v="2"/>
    <x v="2"/>
    <m/>
    <m/>
    <n v="36199.374909999999"/>
  </r>
  <r>
    <s v="EU27"/>
    <x v="19"/>
    <n v="2023"/>
    <x v="15"/>
    <x v="0"/>
    <x v="2"/>
    <m/>
    <m/>
    <n v="-246260.15020253981"/>
  </r>
  <r>
    <s v="EU27"/>
    <x v="19"/>
    <n v="2023"/>
    <x v="15"/>
    <x v="1"/>
    <x v="2"/>
    <m/>
    <m/>
    <n v="-215248.21271581401"/>
  </r>
  <r>
    <s v="EU27"/>
    <x v="19"/>
    <n v="2023"/>
    <x v="15"/>
    <x v="2"/>
    <x v="2"/>
    <m/>
    <m/>
    <n v="-13091.09439"/>
  </r>
  <r>
    <s v="EU27"/>
    <x v="19"/>
    <n v="2023"/>
    <x v="16"/>
    <x v="0"/>
    <x v="2"/>
    <m/>
    <m/>
    <n v="-291066.07995836041"/>
  </r>
  <r>
    <s v="EU27"/>
    <x v="19"/>
    <n v="2023"/>
    <x v="16"/>
    <x v="1"/>
    <x v="2"/>
    <m/>
    <m/>
    <n v="-270954.62828256108"/>
  </r>
  <r>
    <s v="EU27"/>
    <x v="19"/>
    <n v="2023"/>
    <x v="16"/>
    <x v="2"/>
    <x v="2"/>
    <m/>
    <m/>
    <n v="-17471.72162"/>
  </r>
  <r>
    <s v="EU27"/>
    <x v="19"/>
    <n v="2023"/>
    <x v="17"/>
    <x v="0"/>
    <x v="2"/>
    <m/>
    <m/>
    <n v="25066.804044821769"/>
  </r>
  <r>
    <s v="EU27"/>
    <x v="19"/>
    <n v="2023"/>
    <x v="17"/>
    <x v="1"/>
    <x v="2"/>
    <m/>
    <m/>
    <n v="32440.81240561105"/>
  </r>
  <r>
    <s v="EU27"/>
    <x v="19"/>
    <n v="2023"/>
    <x v="17"/>
    <x v="2"/>
    <x v="2"/>
    <m/>
    <m/>
    <n v="-2222.2159900000001"/>
  </r>
  <r>
    <s v="EU27"/>
    <x v="19"/>
    <n v="2023"/>
    <x v="18"/>
    <x v="0"/>
    <x v="2"/>
    <m/>
    <m/>
    <n v="11523.713078228109"/>
  </r>
  <r>
    <s v="EU27"/>
    <x v="19"/>
    <n v="2023"/>
    <x v="18"/>
    <x v="1"/>
    <x v="2"/>
    <m/>
    <m/>
    <n v="12575.68147556947"/>
  </r>
  <r>
    <s v="EU27"/>
    <x v="19"/>
    <n v="2023"/>
    <x v="18"/>
    <x v="2"/>
    <x v="2"/>
    <m/>
    <m/>
    <n v="4216.3139299999993"/>
  </r>
  <r>
    <s v="EU27"/>
    <x v="19"/>
    <n v="2023"/>
    <x v="19"/>
    <x v="0"/>
    <x v="2"/>
    <m/>
    <m/>
    <n v="11706.18466708511"/>
  </r>
  <r>
    <s v="EU27"/>
    <x v="19"/>
    <n v="2023"/>
    <x v="19"/>
    <x v="1"/>
    <x v="2"/>
    <m/>
    <m/>
    <n v="12775.32931708439"/>
  </r>
  <r>
    <s v="EU27"/>
    <x v="19"/>
    <n v="2023"/>
    <x v="19"/>
    <x v="2"/>
    <x v="2"/>
    <m/>
    <m/>
    <n v="765.18648000000007"/>
  </r>
  <r>
    <s v="EU27"/>
    <x v="19"/>
    <n v="2023"/>
    <x v="20"/>
    <x v="0"/>
    <x v="2"/>
    <m/>
    <m/>
    <n v="29722.721696640281"/>
  </r>
  <r>
    <s v="EU27"/>
    <x v="19"/>
    <n v="2023"/>
    <x v="20"/>
    <x v="1"/>
    <x v="2"/>
    <m/>
    <m/>
    <n v="30211.379220511739"/>
  </r>
  <r>
    <s v="EU27"/>
    <x v="19"/>
    <n v="2023"/>
    <x v="20"/>
    <x v="2"/>
    <x v="2"/>
    <m/>
    <m/>
    <n v="3122.4662899999998"/>
  </r>
  <r>
    <s v="EU27"/>
    <x v="19"/>
    <n v="2023"/>
    <x v="21"/>
    <x v="0"/>
    <x v="2"/>
    <m/>
    <m/>
    <n v="472.71611999999999"/>
  </r>
  <r>
    <s v="EU27"/>
    <x v="19"/>
    <n v="2023"/>
    <x v="21"/>
    <x v="1"/>
    <x v="2"/>
    <m/>
    <m/>
    <n v="328.11612000000008"/>
  </r>
  <r>
    <s v="EU27"/>
    <x v="19"/>
    <n v="2023"/>
    <x v="21"/>
    <x v="2"/>
    <x v="2"/>
    <m/>
    <m/>
    <n v="282.97651000000002"/>
  </r>
  <r>
    <s v="EU27"/>
    <x v="19"/>
    <n v="2023"/>
    <x v="22"/>
    <x v="0"/>
    <x v="2"/>
    <m/>
    <m/>
    <n v="-33120.964169999999"/>
  </r>
  <r>
    <s v="EU27"/>
    <x v="19"/>
    <n v="2023"/>
    <x v="22"/>
    <x v="1"/>
    <x v="2"/>
    <m/>
    <m/>
    <n v="-32872.75677"/>
  </r>
  <r>
    <s v="EU27"/>
    <x v="19"/>
    <n v="2023"/>
    <x v="22"/>
    <x v="2"/>
    <x v="2"/>
    <m/>
    <m/>
    <n v="-1784.1"/>
  </r>
  <r>
    <s v="EU27"/>
    <x v="19"/>
    <n v="2023"/>
    <x v="23"/>
    <x v="0"/>
    <x v="2"/>
    <m/>
    <m/>
    <n v="253.85033000000001"/>
  </r>
  <r>
    <s v="EU27"/>
    <x v="19"/>
    <n v="2023"/>
    <x v="23"/>
    <x v="1"/>
    <x v="2"/>
    <m/>
    <m/>
    <n v="253.85033000000001"/>
  </r>
  <r>
    <s v="EU27"/>
    <x v="19"/>
    <n v="2023"/>
    <x v="24"/>
    <x v="0"/>
    <x v="0"/>
    <m/>
    <m/>
    <n v="68292.657512069054"/>
  </r>
  <r>
    <s v="EU27"/>
    <x v="19"/>
    <n v="2023"/>
    <x v="24"/>
    <x v="0"/>
    <x v="1"/>
    <m/>
    <m/>
    <n v="234.65064460593911"/>
  </r>
  <r>
    <s v="EU27"/>
    <x v="19"/>
    <n v="2023"/>
    <x v="24"/>
    <x v="0"/>
    <x v="2"/>
    <m/>
    <m/>
    <n v="68527.308156675004"/>
  </r>
  <r>
    <s v="EU27"/>
    <x v="19"/>
    <n v="2023"/>
    <x v="24"/>
    <x v="1"/>
    <x v="0"/>
    <m/>
    <m/>
    <n v="69305.544742027705"/>
  </r>
  <r>
    <s v="EU27"/>
    <x v="19"/>
    <n v="2023"/>
    <x v="24"/>
    <x v="1"/>
    <x v="1"/>
    <m/>
    <m/>
    <n v="234.65064458858461"/>
  </r>
  <r>
    <s v="EU27"/>
    <x v="19"/>
    <n v="2023"/>
    <x v="24"/>
    <x v="1"/>
    <x v="2"/>
    <m/>
    <m/>
    <n v="69434.228645385141"/>
  </r>
  <r>
    <s v="EU27"/>
    <x v="19"/>
    <n v="2023"/>
    <x v="24"/>
    <x v="2"/>
    <x v="0"/>
    <m/>
    <m/>
    <n v="1684.5238899999999"/>
  </r>
  <r>
    <s v="EU27"/>
    <x v="19"/>
    <n v="2023"/>
    <x v="24"/>
    <x v="2"/>
    <x v="2"/>
    <m/>
    <m/>
    <n v="10273.32389"/>
  </r>
  <r>
    <s v="EU27"/>
    <x v="19"/>
    <n v="2023"/>
    <x v="25"/>
    <x v="0"/>
    <x v="0"/>
    <m/>
    <m/>
    <n v="163.1"/>
  </r>
  <r>
    <s v="EU27"/>
    <x v="19"/>
    <n v="2023"/>
    <x v="25"/>
    <x v="0"/>
    <x v="2"/>
    <m/>
    <m/>
    <n v="122739.27425105219"/>
  </r>
  <r>
    <s v="EU27"/>
    <x v="19"/>
    <n v="2023"/>
    <x v="25"/>
    <x v="1"/>
    <x v="0"/>
    <m/>
    <m/>
    <n v="163.1"/>
  </r>
  <r>
    <s v="EU27"/>
    <x v="19"/>
    <n v="2023"/>
    <x v="25"/>
    <x v="1"/>
    <x v="2"/>
    <m/>
    <m/>
    <n v="131192.4752616428"/>
  </r>
  <r>
    <s v="EU27"/>
    <x v="19"/>
    <n v="2023"/>
    <x v="25"/>
    <x v="2"/>
    <x v="2"/>
    <m/>
    <m/>
    <n v="1267.874"/>
  </r>
  <r>
    <s v="EU27"/>
    <x v="19"/>
    <n v="2023"/>
    <x v="26"/>
    <x v="0"/>
    <x v="0"/>
    <m/>
    <m/>
    <n v="844.5"/>
  </r>
  <r>
    <s v="EU27"/>
    <x v="19"/>
    <n v="2023"/>
    <x v="26"/>
    <x v="0"/>
    <x v="2"/>
    <m/>
    <m/>
    <n v="141292.02286229719"/>
  </r>
  <r>
    <s v="EU27"/>
    <x v="19"/>
    <n v="2023"/>
    <x v="26"/>
    <x v="1"/>
    <x v="0"/>
    <m/>
    <m/>
    <n v="844.5"/>
  </r>
  <r>
    <s v="EU27"/>
    <x v="19"/>
    <n v="2023"/>
    <x v="26"/>
    <x v="1"/>
    <x v="2"/>
    <m/>
    <m/>
    <n v="143612.55994049591"/>
  </r>
  <r>
    <s v="EU27"/>
    <x v="19"/>
    <n v="2023"/>
    <x v="26"/>
    <x v="2"/>
    <x v="2"/>
    <m/>
    <m/>
    <n v="979.8"/>
  </r>
  <r>
    <s v="EU27"/>
    <x v="19"/>
    <n v="2023"/>
    <x v="27"/>
    <x v="0"/>
    <x v="0"/>
    <m/>
    <m/>
    <n v="696.37110000000007"/>
  </r>
  <r>
    <s v="EU27"/>
    <x v="19"/>
    <n v="2023"/>
    <x v="27"/>
    <x v="0"/>
    <x v="2"/>
    <m/>
    <m/>
    <n v="840.27110000000005"/>
  </r>
  <r>
    <s v="EU27"/>
    <x v="19"/>
    <n v="2023"/>
    <x v="27"/>
    <x v="1"/>
    <x v="0"/>
    <m/>
    <m/>
    <n v="699.17849999999999"/>
  </r>
  <r>
    <s v="EU27"/>
    <x v="19"/>
    <n v="2023"/>
    <x v="27"/>
    <x v="1"/>
    <x v="2"/>
    <m/>
    <m/>
    <n v="843.07849999999996"/>
  </r>
  <r>
    <s v="EU27"/>
    <x v="19"/>
    <n v="2023"/>
    <x v="28"/>
    <x v="0"/>
    <x v="0"/>
    <m/>
    <m/>
    <n v="1360754.1516018601"/>
  </r>
  <r>
    <s v="EU27"/>
    <x v="19"/>
    <n v="2023"/>
    <x v="28"/>
    <x v="0"/>
    <x v="1"/>
    <m/>
    <m/>
    <n v="624074.15387138957"/>
  </r>
  <r>
    <s v="EU27"/>
    <x v="19"/>
    <n v="2023"/>
    <x v="28"/>
    <x v="0"/>
    <x v="2"/>
    <m/>
    <m/>
    <n v="2001675.9352631739"/>
  </r>
  <r>
    <s v="EU27"/>
    <x v="19"/>
    <n v="2023"/>
    <x v="28"/>
    <x v="1"/>
    <x v="0"/>
    <m/>
    <m/>
    <n v="1562254.189372028"/>
  </r>
  <r>
    <s v="EU27"/>
    <x v="19"/>
    <n v="2023"/>
    <x v="28"/>
    <x v="1"/>
    <x v="1"/>
    <m/>
    <m/>
    <n v="708830.35060564696"/>
  </r>
  <r>
    <s v="EU27"/>
    <x v="19"/>
    <n v="2023"/>
    <x v="28"/>
    <x v="1"/>
    <x v="2"/>
    <m/>
    <m/>
    <n v="2289366.397915605"/>
  </r>
  <r>
    <s v="EU27"/>
    <x v="19"/>
    <n v="2023"/>
    <x v="28"/>
    <x v="2"/>
    <x v="0"/>
    <m/>
    <m/>
    <n v="17336.61951"/>
  </r>
  <r>
    <s v="EU27"/>
    <x v="19"/>
    <n v="2023"/>
    <x v="28"/>
    <x v="2"/>
    <x v="1"/>
    <m/>
    <m/>
    <n v="9442.8862600000011"/>
  </r>
  <r>
    <s v="EU27"/>
    <x v="19"/>
    <n v="2023"/>
    <x v="28"/>
    <x v="2"/>
    <x v="2"/>
    <m/>
    <m/>
    <n v="218128.51897999999"/>
  </r>
  <r>
    <s v="EU27"/>
    <x v="19"/>
    <n v="2023"/>
    <x v="29"/>
    <x v="0"/>
    <x v="0"/>
    <m/>
    <m/>
    <n v="1360754.1516018601"/>
  </r>
  <r>
    <s v="EU27"/>
    <x v="19"/>
    <n v="2023"/>
    <x v="29"/>
    <x v="0"/>
    <x v="1"/>
    <m/>
    <m/>
    <n v="624074.15387138957"/>
  </r>
  <r>
    <s v="EU27"/>
    <x v="19"/>
    <n v="2023"/>
    <x v="29"/>
    <x v="0"/>
    <x v="2"/>
    <m/>
    <m/>
    <n v="1755415.6850406339"/>
  </r>
  <r>
    <s v="EU27"/>
    <x v="19"/>
    <n v="2023"/>
    <x v="29"/>
    <x v="1"/>
    <x v="0"/>
    <m/>
    <m/>
    <n v="1562254.189372028"/>
  </r>
  <r>
    <s v="EU27"/>
    <x v="19"/>
    <n v="2023"/>
    <x v="29"/>
    <x v="1"/>
    <x v="1"/>
    <m/>
    <m/>
    <n v="708830.35060564696"/>
  </r>
  <r>
    <s v="EU27"/>
    <x v="19"/>
    <n v="2023"/>
    <x v="29"/>
    <x v="1"/>
    <x v="2"/>
    <m/>
    <m/>
    <n v="2074109.330979791"/>
  </r>
  <r>
    <s v="EU27"/>
    <x v="19"/>
    <n v="2023"/>
    <x v="29"/>
    <x v="2"/>
    <x v="0"/>
    <m/>
    <m/>
    <n v="17336.61951"/>
  </r>
  <r>
    <s v="EU27"/>
    <x v="19"/>
    <n v="2023"/>
    <x v="29"/>
    <x v="2"/>
    <x v="1"/>
    <m/>
    <m/>
    <n v="9442.8862600000011"/>
  </r>
  <r>
    <s v="EU27"/>
    <x v="19"/>
    <n v="2023"/>
    <x v="29"/>
    <x v="2"/>
    <x v="2"/>
    <m/>
    <m/>
    <n v="205349.62458999999"/>
  </r>
  <r>
    <s v="EU27"/>
    <x v="20"/>
    <n v="2023"/>
    <x v="0"/>
    <x v="0"/>
    <x v="0"/>
    <m/>
    <m/>
    <n v="878157.13600127422"/>
  </r>
  <r>
    <s v="EU27"/>
    <x v="20"/>
    <n v="2023"/>
    <x v="0"/>
    <x v="0"/>
    <x v="1"/>
    <m/>
    <m/>
    <n v="449525.5245730012"/>
  </r>
  <r>
    <s v="EU27"/>
    <x v="20"/>
    <n v="2023"/>
    <x v="0"/>
    <x v="0"/>
    <x v="2"/>
    <m/>
    <m/>
    <n v="1344742.622749123"/>
  </r>
  <r>
    <s v="EU27"/>
    <x v="20"/>
    <n v="2023"/>
    <x v="0"/>
    <x v="1"/>
    <x v="0"/>
    <m/>
    <m/>
    <n v="1059938.4403855619"/>
  </r>
  <r>
    <s v="EU27"/>
    <x v="20"/>
    <n v="2023"/>
    <x v="0"/>
    <x v="1"/>
    <x v="1"/>
    <m/>
    <m/>
    <n v="525473.81599115161"/>
  </r>
  <r>
    <s v="EU27"/>
    <x v="20"/>
    <n v="2023"/>
    <x v="0"/>
    <x v="1"/>
    <x v="2"/>
    <m/>
    <m/>
    <n v="1604067.2768753429"/>
  </r>
  <r>
    <s v="EU27"/>
    <x v="20"/>
    <n v="2023"/>
    <x v="0"/>
    <x v="2"/>
    <x v="0"/>
    <m/>
    <m/>
    <n v="12425.883"/>
  </r>
  <r>
    <s v="EU27"/>
    <x v="20"/>
    <n v="2023"/>
    <x v="0"/>
    <x v="2"/>
    <x v="1"/>
    <m/>
    <m/>
    <n v="8723.1613799999996"/>
  </r>
  <r>
    <s v="EU27"/>
    <x v="20"/>
    <n v="2023"/>
    <x v="0"/>
    <x v="2"/>
    <x v="2"/>
    <m/>
    <m/>
    <n v="155192.79042999999"/>
  </r>
  <r>
    <s v="EU27"/>
    <x v="20"/>
    <n v="2023"/>
    <x v="1"/>
    <x v="0"/>
    <x v="0"/>
    <m/>
    <m/>
    <n v="38447.518869889223"/>
  </r>
  <r>
    <s v="EU27"/>
    <x v="20"/>
    <n v="2023"/>
    <x v="1"/>
    <x v="0"/>
    <x v="1"/>
    <m/>
    <m/>
    <n v="259240.08061471529"/>
  </r>
  <r>
    <s v="EU27"/>
    <x v="20"/>
    <n v="2023"/>
    <x v="1"/>
    <x v="0"/>
    <x v="2"/>
    <m/>
    <m/>
    <n v="297570.46920754568"/>
  </r>
  <r>
    <s v="EU27"/>
    <x v="20"/>
    <n v="2023"/>
    <x v="1"/>
    <x v="1"/>
    <x v="0"/>
    <m/>
    <m/>
    <n v="41873.323146783558"/>
  </r>
  <r>
    <s v="EU27"/>
    <x v="20"/>
    <n v="2023"/>
    <x v="1"/>
    <x v="1"/>
    <x v="1"/>
    <m/>
    <m/>
    <n v="307297.05746694969"/>
  </r>
  <r>
    <s v="EU27"/>
    <x v="20"/>
    <n v="2023"/>
    <x v="1"/>
    <x v="1"/>
    <x v="2"/>
    <m/>
    <m/>
    <n v="349068.49172588531"/>
  </r>
  <r>
    <s v="EU27"/>
    <x v="20"/>
    <n v="2023"/>
    <x v="1"/>
    <x v="2"/>
    <x v="0"/>
    <m/>
    <m/>
    <n v="53.863199999999999"/>
  </r>
  <r>
    <s v="EU27"/>
    <x v="20"/>
    <n v="2023"/>
    <x v="1"/>
    <x v="2"/>
    <x v="1"/>
    <m/>
    <m/>
    <n v="7185.2813800000004"/>
  </r>
  <r>
    <s v="EU27"/>
    <x v="20"/>
    <n v="2023"/>
    <x v="1"/>
    <x v="2"/>
    <x v="2"/>
    <m/>
    <m/>
    <n v="48212.64458"/>
  </r>
  <r>
    <s v="EU27"/>
    <x v="20"/>
    <n v="2023"/>
    <x v="2"/>
    <x v="0"/>
    <x v="0"/>
    <m/>
    <m/>
    <n v="93706.696493757539"/>
  </r>
  <r>
    <s v="EU27"/>
    <x v="20"/>
    <n v="2023"/>
    <x v="2"/>
    <x v="0"/>
    <x v="1"/>
    <m/>
    <m/>
    <n v="173680.56748430649"/>
  </r>
  <r>
    <s v="EU27"/>
    <x v="20"/>
    <n v="2023"/>
    <x v="2"/>
    <x v="0"/>
    <x v="2"/>
    <m/>
    <m/>
    <n v="267260.90579809411"/>
  </r>
  <r>
    <s v="EU27"/>
    <x v="20"/>
    <n v="2023"/>
    <x v="2"/>
    <x v="1"/>
    <x v="0"/>
    <m/>
    <m/>
    <n v="100248.93749363811"/>
  </r>
  <r>
    <s v="EU27"/>
    <x v="20"/>
    <n v="2023"/>
    <x v="2"/>
    <x v="1"/>
    <x v="1"/>
    <m/>
    <m/>
    <n v="199710.76697638989"/>
  </r>
  <r>
    <s v="EU27"/>
    <x v="20"/>
    <n v="2023"/>
    <x v="2"/>
    <x v="1"/>
    <x v="2"/>
    <m/>
    <m/>
    <n v="299835.76205708738"/>
  </r>
  <r>
    <s v="EU27"/>
    <x v="20"/>
    <n v="2023"/>
    <x v="2"/>
    <x v="2"/>
    <x v="0"/>
    <m/>
    <m/>
    <n v="1112.3987"/>
  </r>
  <r>
    <s v="EU27"/>
    <x v="20"/>
    <n v="2023"/>
    <x v="2"/>
    <x v="2"/>
    <x v="1"/>
    <m/>
    <m/>
    <n v="1467.98"/>
  </r>
  <r>
    <s v="EU27"/>
    <x v="20"/>
    <n v="2023"/>
    <x v="2"/>
    <x v="2"/>
    <x v="2"/>
    <m/>
    <m/>
    <n v="21846.6787"/>
  </r>
  <r>
    <s v="EU27"/>
    <x v="20"/>
    <n v="2023"/>
    <x v="3"/>
    <x v="0"/>
    <x v="0"/>
    <m/>
    <m/>
    <n v="423747.06595246127"/>
  </r>
  <r>
    <s v="EU27"/>
    <x v="20"/>
    <n v="2023"/>
    <x v="3"/>
    <x v="0"/>
    <x v="1"/>
    <m/>
    <m/>
    <n v="3253.1521080767229"/>
  </r>
  <r>
    <s v="EU27"/>
    <x v="20"/>
    <n v="2023"/>
    <x v="3"/>
    <x v="0"/>
    <x v="2"/>
    <m/>
    <m/>
    <n v="444192.78729662922"/>
  </r>
  <r>
    <s v="EU27"/>
    <x v="20"/>
    <n v="2023"/>
    <x v="3"/>
    <x v="1"/>
    <x v="0"/>
    <m/>
    <m/>
    <n v="527122.97840912547"/>
  </r>
  <r>
    <s v="EU27"/>
    <x v="20"/>
    <n v="2023"/>
    <x v="3"/>
    <x v="1"/>
    <x v="1"/>
    <m/>
    <m/>
    <n v="3457.4484328138651"/>
  </r>
  <r>
    <s v="EU27"/>
    <x v="20"/>
    <n v="2023"/>
    <x v="3"/>
    <x v="1"/>
    <x v="2"/>
    <m/>
    <m/>
    <n v="549350.66679248575"/>
  </r>
  <r>
    <s v="EU27"/>
    <x v="20"/>
    <n v="2023"/>
    <x v="3"/>
    <x v="2"/>
    <x v="0"/>
    <m/>
    <m/>
    <n v="9353.2728499999994"/>
  </r>
  <r>
    <s v="EU27"/>
    <x v="20"/>
    <n v="2023"/>
    <x v="3"/>
    <x v="2"/>
    <x v="1"/>
    <m/>
    <m/>
    <n v="0"/>
  </r>
  <r>
    <s v="EU27"/>
    <x v="20"/>
    <n v="2023"/>
    <x v="3"/>
    <x v="2"/>
    <x v="2"/>
    <m/>
    <m/>
    <n v="45384.7189"/>
  </r>
  <r>
    <s v="EU27"/>
    <x v="20"/>
    <n v="2023"/>
    <x v="4"/>
    <x v="0"/>
    <x v="0"/>
    <m/>
    <m/>
    <n v="147.58843342410921"/>
  </r>
  <r>
    <s v="EU27"/>
    <x v="20"/>
    <n v="2023"/>
    <x v="4"/>
    <x v="0"/>
    <x v="1"/>
    <m/>
    <m/>
    <n v="0"/>
  </r>
  <r>
    <s v="EU27"/>
    <x v="20"/>
    <n v="2023"/>
    <x v="4"/>
    <x v="0"/>
    <x v="2"/>
    <m/>
    <m/>
    <n v="17216.537809318019"/>
  </r>
  <r>
    <s v="EU27"/>
    <x v="20"/>
    <n v="2023"/>
    <x v="4"/>
    <x v="1"/>
    <x v="0"/>
    <m/>
    <m/>
    <n v="159.91386609306289"/>
  </r>
  <r>
    <s v="EU27"/>
    <x v="20"/>
    <n v="2023"/>
    <x v="4"/>
    <x v="1"/>
    <x v="1"/>
    <m/>
    <m/>
    <n v="0"/>
  </r>
  <r>
    <s v="EU27"/>
    <x v="20"/>
    <n v="2023"/>
    <x v="4"/>
    <x v="1"/>
    <x v="2"/>
    <m/>
    <m/>
    <n v="18812.580625791619"/>
  </r>
  <r>
    <s v="EU27"/>
    <x v="20"/>
    <n v="2023"/>
    <x v="4"/>
    <x v="2"/>
    <x v="0"/>
    <m/>
    <m/>
    <n v="1.336E-2"/>
  </r>
  <r>
    <s v="EU27"/>
    <x v="20"/>
    <n v="2023"/>
    <x v="4"/>
    <x v="2"/>
    <x v="2"/>
    <m/>
    <m/>
    <n v="537.49941000000001"/>
  </r>
  <r>
    <s v="EU27"/>
    <x v="20"/>
    <n v="2023"/>
    <x v="5"/>
    <x v="0"/>
    <x v="0"/>
    <m/>
    <m/>
    <n v="401905.35657715052"/>
  </r>
  <r>
    <s v="EU27"/>
    <x v="20"/>
    <n v="2023"/>
    <x v="5"/>
    <x v="0"/>
    <x v="1"/>
    <m/>
    <m/>
    <n v="0"/>
  </r>
  <r>
    <s v="EU27"/>
    <x v="20"/>
    <n v="2023"/>
    <x v="5"/>
    <x v="0"/>
    <x v="2"/>
    <m/>
    <m/>
    <n v="401985.53495516442"/>
  </r>
  <r>
    <s v="EU27"/>
    <x v="20"/>
    <n v="2023"/>
    <x v="5"/>
    <x v="1"/>
    <x v="0"/>
    <m/>
    <m/>
    <n v="503565.22563036782"/>
  </r>
  <r>
    <s v="EU27"/>
    <x v="20"/>
    <n v="2023"/>
    <x v="5"/>
    <x v="1"/>
    <x v="1"/>
    <m/>
    <m/>
    <n v="0"/>
  </r>
  <r>
    <s v="EU27"/>
    <x v="20"/>
    <n v="2023"/>
    <x v="5"/>
    <x v="1"/>
    <x v="2"/>
    <m/>
    <m/>
    <n v="503669.78196338721"/>
  </r>
  <r>
    <s v="EU27"/>
    <x v="20"/>
    <n v="2023"/>
    <x v="5"/>
    <x v="2"/>
    <x v="0"/>
    <m/>
    <m/>
    <n v="9253.7376100000001"/>
  </r>
  <r>
    <s v="EU27"/>
    <x v="20"/>
    <n v="2023"/>
    <x v="5"/>
    <x v="2"/>
    <x v="2"/>
    <m/>
    <m/>
    <n v="42699.877610000003"/>
  </r>
  <r>
    <s v="EU27"/>
    <x v="20"/>
    <n v="2023"/>
    <x v="6"/>
    <x v="0"/>
    <x v="0"/>
    <m/>
    <m/>
    <n v="3292.6180459511202"/>
  </r>
  <r>
    <s v="EU27"/>
    <x v="20"/>
    <n v="2023"/>
    <x v="6"/>
    <x v="0"/>
    <x v="1"/>
    <m/>
    <m/>
    <n v="0"/>
  </r>
  <r>
    <s v="EU27"/>
    <x v="20"/>
    <n v="2023"/>
    <x v="6"/>
    <x v="0"/>
    <x v="2"/>
    <m/>
    <m/>
    <n v="3292.9604447709198"/>
  </r>
  <r>
    <s v="EU27"/>
    <x v="20"/>
    <n v="2023"/>
    <x v="6"/>
    <x v="1"/>
    <x v="0"/>
    <m/>
    <m/>
    <n v="4332.6358519636206"/>
  </r>
  <r>
    <s v="EU27"/>
    <x v="20"/>
    <n v="2023"/>
    <x v="6"/>
    <x v="1"/>
    <x v="1"/>
    <m/>
    <m/>
    <n v="0"/>
  </r>
  <r>
    <s v="EU27"/>
    <x v="20"/>
    <n v="2023"/>
    <x v="6"/>
    <x v="1"/>
    <x v="2"/>
    <m/>
    <m/>
    <n v="4332.9772838138697"/>
  </r>
  <r>
    <s v="EU27"/>
    <x v="20"/>
    <n v="2023"/>
    <x v="6"/>
    <x v="2"/>
    <x v="0"/>
    <m/>
    <m/>
    <n v="39.94"/>
  </r>
  <r>
    <s v="EU27"/>
    <x v="20"/>
    <n v="2023"/>
    <x v="6"/>
    <x v="2"/>
    <x v="2"/>
    <m/>
    <m/>
    <n v="1402.02"/>
  </r>
  <r>
    <s v="EU27"/>
    <x v="20"/>
    <n v="2023"/>
    <x v="7"/>
    <x v="0"/>
    <x v="0"/>
    <m/>
    <m/>
    <n v="17226.434739523731"/>
  </r>
  <r>
    <s v="EU27"/>
    <x v="20"/>
    <n v="2023"/>
    <x v="7"/>
    <x v="0"/>
    <x v="1"/>
    <m/>
    <m/>
    <n v="0"/>
  </r>
  <r>
    <s v="EU27"/>
    <x v="20"/>
    <n v="2023"/>
    <x v="7"/>
    <x v="0"/>
    <x v="2"/>
    <m/>
    <m/>
    <n v="17231.608139611009"/>
  </r>
  <r>
    <s v="EU27"/>
    <x v="20"/>
    <n v="2023"/>
    <x v="7"/>
    <x v="1"/>
    <x v="0"/>
    <m/>
    <m/>
    <n v="17603.013873998982"/>
  </r>
  <r>
    <s v="EU27"/>
    <x v="20"/>
    <n v="2023"/>
    <x v="7"/>
    <x v="1"/>
    <x v="1"/>
    <m/>
    <m/>
    <n v="0"/>
  </r>
  <r>
    <s v="EU27"/>
    <x v="20"/>
    <n v="2023"/>
    <x v="7"/>
    <x v="1"/>
    <x v="2"/>
    <m/>
    <m/>
    <n v="17608.12223689126"/>
  </r>
  <r>
    <s v="EU27"/>
    <x v="20"/>
    <n v="2023"/>
    <x v="7"/>
    <x v="2"/>
    <x v="0"/>
    <m/>
    <m/>
    <n v="52.281869999999998"/>
  </r>
  <r>
    <s v="EU27"/>
    <x v="20"/>
    <n v="2023"/>
    <x v="7"/>
    <x v="2"/>
    <x v="2"/>
    <m/>
    <m/>
    <n v="416.86187000000001"/>
  </r>
  <r>
    <s v="EU27"/>
    <x v="20"/>
    <n v="2023"/>
    <x v="8"/>
    <x v="0"/>
    <x v="0"/>
    <m/>
    <m/>
    <n v="1193.6251164118639"/>
  </r>
  <r>
    <s v="EU27"/>
    <x v="20"/>
    <n v="2023"/>
    <x v="8"/>
    <x v="0"/>
    <x v="1"/>
    <m/>
    <m/>
    <n v="3291.0220813529959"/>
  </r>
  <r>
    <s v="EU27"/>
    <x v="20"/>
    <n v="2023"/>
    <x v="8"/>
    <x v="0"/>
    <x v="2"/>
    <m/>
    <m/>
    <n v="4484.6271977648612"/>
  </r>
  <r>
    <s v="EU27"/>
    <x v="20"/>
    <n v="2023"/>
    <x v="8"/>
    <x v="1"/>
    <x v="0"/>
    <m/>
    <m/>
    <n v="1480.9354967020331"/>
  </r>
  <r>
    <s v="EU27"/>
    <x v="20"/>
    <n v="2023"/>
    <x v="8"/>
    <x v="1"/>
    <x v="1"/>
    <m/>
    <m/>
    <n v="3464.890435899722"/>
  </r>
  <r>
    <s v="EU27"/>
    <x v="20"/>
    <n v="2023"/>
    <x v="8"/>
    <x v="1"/>
    <x v="2"/>
    <m/>
    <m/>
    <n v="4945.8059326017556"/>
  </r>
  <r>
    <s v="EU27"/>
    <x v="20"/>
    <n v="2023"/>
    <x v="8"/>
    <x v="2"/>
    <x v="0"/>
    <m/>
    <m/>
    <n v="7.2"/>
  </r>
  <r>
    <s v="EU27"/>
    <x v="20"/>
    <n v="2023"/>
    <x v="8"/>
    <x v="2"/>
    <x v="2"/>
    <m/>
    <m/>
    <n v="328.44"/>
  </r>
  <r>
    <s v="EU27"/>
    <x v="20"/>
    <n v="2023"/>
    <x v="9"/>
    <x v="0"/>
    <x v="0"/>
    <m/>
    <m/>
    <n v="272189.71714226762"/>
  </r>
  <r>
    <s v="EU27"/>
    <x v="20"/>
    <n v="2023"/>
    <x v="9"/>
    <x v="0"/>
    <x v="1"/>
    <m/>
    <m/>
    <n v="1229.755170430072"/>
  </r>
  <r>
    <s v="EU27"/>
    <x v="20"/>
    <n v="2023"/>
    <x v="9"/>
    <x v="0"/>
    <x v="2"/>
    <m/>
    <m/>
    <n v="273529.1449059255"/>
  </r>
  <r>
    <s v="EU27"/>
    <x v="20"/>
    <n v="2023"/>
    <x v="9"/>
    <x v="1"/>
    <x v="0"/>
    <m/>
    <m/>
    <n v="338534.16559727688"/>
  </r>
  <r>
    <s v="EU27"/>
    <x v="20"/>
    <n v="2023"/>
    <x v="9"/>
    <x v="1"/>
    <x v="1"/>
    <m/>
    <m/>
    <n v="1389.912767087568"/>
  </r>
  <r>
    <s v="EU27"/>
    <x v="20"/>
    <n v="2023"/>
    <x v="9"/>
    <x v="1"/>
    <x v="2"/>
    <m/>
    <m/>
    <n v="340033.52023325692"/>
  </r>
  <r>
    <s v="EU27"/>
    <x v="20"/>
    <n v="2023"/>
    <x v="9"/>
    <x v="2"/>
    <x v="0"/>
    <m/>
    <m/>
    <n v="1471.32825"/>
  </r>
  <r>
    <s v="EU27"/>
    <x v="20"/>
    <n v="2023"/>
    <x v="9"/>
    <x v="2"/>
    <x v="2"/>
    <m/>
    <m/>
    <n v="19825.948250000001"/>
  </r>
  <r>
    <s v="EU27"/>
    <x v="20"/>
    <n v="2023"/>
    <x v="10"/>
    <x v="0"/>
    <x v="0"/>
    <m/>
    <m/>
    <n v="3513.808566903168"/>
  </r>
  <r>
    <s v="EU27"/>
    <x v="20"/>
    <n v="2023"/>
    <x v="10"/>
    <x v="0"/>
    <x v="1"/>
    <m/>
    <m/>
    <n v="0"/>
  </r>
  <r>
    <s v="EU27"/>
    <x v="20"/>
    <n v="2023"/>
    <x v="10"/>
    <x v="0"/>
    <x v="2"/>
    <m/>
    <m/>
    <n v="3514.6545966278741"/>
  </r>
  <r>
    <s v="EU27"/>
    <x v="20"/>
    <n v="2023"/>
    <x v="10"/>
    <x v="1"/>
    <x v="0"/>
    <m/>
    <m/>
    <n v="3514.249196903168"/>
  </r>
  <r>
    <s v="EU27"/>
    <x v="20"/>
    <n v="2023"/>
    <x v="10"/>
    <x v="1"/>
    <x v="1"/>
    <m/>
    <m/>
    <n v="0"/>
  </r>
  <r>
    <s v="EU27"/>
    <x v="20"/>
    <n v="2023"/>
    <x v="10"/>
    <x v="1"/>
    <x v="2"/>
    <m/>
    <m/>
    <n v="3515.0952266278732"/>
  </r>
  <r>
    <s v="EU27"/>
    <x v="20"/>
    <n v="2023"/>
    <x v="10"/>
    <x v="2"/>
    <x v="0"/>
    <m/>
    <m/>
    <n v="4.0999999999999996"/>
  </r>
  <r>
    <s v="EU27"/>
    <x v="20"/>
    <n v="2023"/>
    <x v="10"/>
    <x v="2"/>
    <x v="2"/>
    <m/>
    <m/>
    <n v="1246.2"/>
  </r>
  <r>
    <s v="EU27"/>
    <x v="20"/>
    <n v="2023"/>
    <x v="11"/>
    <x v="0"/>
    <x v="0"/>
    <m/>
    <m/>
    <n v="46613.708995995461"/>
  </r>
  <r>
    <s v="EU27"/>
    <x v="20"/>
    <n v="2023"/>
    <x v="11"/>
    <x v="0"/>
    <x v="1"/>
    <m/>
    <m/>
    <n v="12122.269205472559"/>
  </r>
  <r>
    <s v="EU27"/>
    <x v="20"/>
    <n v="2023"/>
    <x v="11"/>
    <x v="0"/>
    <x v="2"/>
    <m/>
    <m/>
    <n v="58735.900954300552"/>
  </r>
  <r>
    <s v="EU27"/>
    <x v="20"/>
    <n v="2023"/>
    <x v="11"/>
    <x v="1"/>
    <x v="0"/>
    <m/>
    <m/>
    <n v="48705.946531835027"/>
  </r>
  <r>
    <s v="EU27"/>
    <x v="20"/>
    <n v="2023"/>
    <x v="11"/>
    <x v="1"/>
    <x v="1"/>
    <m/>
    <m/>
    <n v="13619.09033816497"/>
  </r>
  <r>
    <s v="EU27"/>
    <x v="20"/>
    <n v="2023"/>
    <x v="11"/>
    <x v="1"/>
    <x v="2"/>
    <m/>
    <m/>
    <n v="62325.040860000001"/>
  </r>
  <r>
    <s v="EU27"/>
    <x v="20"/>
    <n v="2023"/>
    <x v="11"/>
    <x v="2"/>
    <x v="0"/>
    <m/>
    <m/>
    <n v="430.9"/>
  </r>
  <r>
    <s v="EU27"/>
    <x v="20"/>
    <n v="2023"/>
    <x v="11"/>
    <x v="2"/>
    <x v="1"/>
    <m/>
    <m/>
    <n v="69.900000000000006"/>
  </r>
  <r>
    <s v="EU27"/>
    <x v="20"/>
    <n v="2023"/>
    <x v="11"/>
    <x v="2"/>
    <x v="2"/>
    <m/>
    <m/>
    <n v="18676.599999999999"/>
  </r>
  <r>
    <s v="EU27"/>
    <x v="20"/>
    <n v="2023"/>
    <x v="12"/>
    <x v="0"/>
    <x v="0"/>
    <m/>
    <m/>
    <n v="0"/>
  </r>
  <r>
    <s v="EU27"/>
    <x v="20"/>
    <n v="2023"/>
    <x v="12"/>
    <x v="0"/>
    <x v="1"/>
    <m/>
    <m/>
    <n v="0"/>
  </r>
  <r>
    <s v="EU27"/>
    <x v="20"/>
    <n v="2023"/>
    <x v="12"/>
    <x v="0"/>
    <x v="2"/>
    <m/>
    <m/>
    <n v="0"/>
  </r>
  <r>
    <s v="EU27"/>
    <x v="20"/>
    <n v="2023"/>
    <x v="12"/>
    <x v="1"/>
    <x v="0"/>
    <m/>
    <m/>
    <n v="0"/>
  </r>
  <r>
    <s v="EU27"/>
    <x v="20"/>
    <n v="2023"/>
    <x v="12"/>
    <x v="1"/>
    <x v="1"/>
    <m/>
    <m/>
    <n v="0"/>
  </r>
  <r>
    <s v="EU27"/>
    <x v="20"/>
    <n v="2023"/>
    <x v="12"/>
    <x v="1"/>
    <x v="2"/>
    <m/>
    <m/>
    <n v="0"/>
  </r>
  <r>
    <s v="EU27"/>
    <x v="20"/>
    <n v="2023"/>
    <x v="13"/>
    <x v="0"/>
    <x v="0"/>
    <m/>
    <m/>
    <n v="45530.2746663578"/>
  </r>
  <r>
    <s v="EU27"/>
    <x v="20"/>
    <n v="2023"/>
    <x v="13"/>
    <x v="0"/>
    <x v="1"/>
    <m/>
    <m/>
    <n v="167679.6460943213"/>
  </r>
  <r>
    <s v="EU27"/>
    <x v="20"/>
    <n v="2023"/>
    <x v="13"/>
    <x v="0"/>
    <x v="2"/>
    <m/>
    <m/>
    <n v="212954.46315815311"/>
  </r>
  <r>
    <s v="EU27"/>
    <x v="20"/>
    <n v="2023"/>
    <x v="13"/>
    <x v="1"/>
    <x v="0"/>
    <m/>
    <m/>
    <n v="48844.678593732307"/>
  </r>
  <r>
    <s v="EU27"/>
    <x v="20"/>
    <n v="2023"/>
    <x v="13"/>
    <x v="1"/>
    <x v="1"/>
    <m/>
    <m/>
    <n v="177398.52202394581"/>
  </r>
  <r>
    <s v="EU27"/>
    <x v="20"/>
    <n v="2023"/>
    <x v="13"/>
    <x v="1"/>
    <x v="2"/>
    <m/>
    <m/>
    <n v="225984.05968448491"/>
  </r>
  <r>
    <s v="EU27"/>
    <x v="20"/>
    <n v="2023"/>
    <x v="13"/>
    <x v="2"/>
    <x v="0"/>
    <m/>
    <m/>
    <n v="1189.5315900000001"/>
  </r>
  <r>
    <s v="EU27"/>
    <x v="20"/>
    <n v="2023"/>
    <x v="13"/>
    <x v="2"/>
    <x v="1"/>
    <m/>
    <m/>
    <n v="761.72"/>
  </r>
  <r>
    <s v="EU27"/>
    <x v="20"/>
    <n v="2023"/>
    <x v="13"/>
    <x v="2"/>
    <x v="2"/>
    <m/>
    <m/>
    <n v="17248.371589999999"/>
  </r>
  <r>
    <s v="EU27"/>
    <x v="20"/>
    <n v="2023"/>
    <x v="14"/>
    <x v="0"/>
    <x v="0"/>
    <m/>
    <m/>
    <n v="349713.60786587378"/>
  </r>
  <r>
    <s v="EU27"/>
    <x v="20"/>
    <n v="2023"/>
    <x v="14"/>
    <x v="0"/>
    <x v="2"/>
    <m/>
    <m/>
    <n v="349544.09243204183"/>
  </r>
  <r>
    <s v="EU27"/>
    <x v="20"/>
    <n v="2023"/>
    <x v="14"/>
    <x v="1"/>
    <x v="0"/>
    <m/>
    <m/>
    <n v="367006.00020926388"/>
  </r>
  <r>
    <s v="EU27"/>
    <x v="20"/>
    <n v="2023"/>
    <x v="14"/>
    <x v="1"/>
    <x v="2"/>
    <m/>
    <m/>
    <n v="367006.00020926388"/>
  </r>
  <r>
    <s v="EU27"/>
    <x v="20"/>
    <n v="2023"/>
    <x v="14"/>
    <x v="2"/>
    <x v="0"/>
    <m/>
    <m/>
    <n v="2071.3347100000001"/>
  </r>
  <r>
    <s v="EU27"/>
    <x v="20"/>
    <n v="2023"/>
    <x v="14"/>
    <x v="2"/>
    <x v="2"/>
    <m/>
    <m/>
    <n v="36698.35471"/>
  </r>
  <r>
    <s v="EU27"/>
    <x v="20"/>
    <n v="2023"/>
    <x v="15"/>
    <x v="0"/>
    <x v="2"/>
    <m/>
    <m/>
    <n v="-245465.06924431221"/>
  </r>
  <r>
    <s v="EU27"/>
    <x v="20"/>
    <n v="2023"/>
    <x v="15"/>
    <x v="1"/>
    <x v="2"/>
    <m/>
    <m/>
    <n v="-215532.36055251441"/>
  </r>
  <r>
    <s v="EU27"/>
    <x v="20"/>
    <n v="2023"/>
    <x v="15"/>
    <x v="2"/>
    <x v="2"/>
    <m/>
    <m/>
    <n v="-12457.493049999999"/>
  </r>
  <r>
    <s v="EU27"/>
    <x v="20"/>
    <n v="2023"/>
    <x v="16"/>
    <x v="0"/>
    <x v="2"/>
    <m/>
    <m/>
    <n v="-289147.05789852922"/>
  </r>
  <r>
    <s v="EU27"/>
    <x v="20"/>
    <n v="2023"/>
    <x v="16"/>
    <x v="1"/>
    <x v="2"/>
    <m/>
    <m/>
    <n v="-269698.54150544538"/>
  </r>
  <r>
    <s v="EU27"/>
    <x v="20"/>
    <n v="2023"/>
    <x v="16"/>
    <x v="2"/>
    <x v="2"/>
    <m/>
    <m/>
    <n v="-17195.561570000002"/>
  </r>
  <r>
    <s v="EU27"/>
    <x v="20"/>
    <n v="2023"/>
    <x v="17"/>
    <x v="0"/>
    <x v="2"/>
    <m/>
    <m/>
    <n v="24502.527298740351"/>
  </r>
  <r>
    <s v="EU27"/>
    <x v="20"/>
    <n v="2023"/>
    <x v="17"/>
    <x v="1"/>
    <x v="2"/>
    <m/>
    <m/>
    <n v="32185.042208481918"/>
  </r>
  <r>
    <s v="EU27"/>
    <x v="20"/>
    <n v="2023"/>
    <x v="17"/>
    <x v="2"/>
    <x v="2"/>
    <m/>
    <m/>
    <n v="-2210.8361100000002"/>
  </r>
  <r>
    <s v="EU27"/>
    <x v="20"/>
    <n v="2023"/>
    <x v="18"/>
    <x v="0"/>
    <x v="2"/>
    <m/>
    <m/>
    <n v="11473.762670835329"/>
  </r>
  <r>
    <s v="EU27"/>
    <x v="20"/>
    <n v="2023"/>
    <x v="18"/>
    <x v="1"/>
    <x v="2"/>
    <m/>
    <m/>
    <n v="11757.905188129051"/>
  </r>
  <r>
    <s v="EU27"/>
    <x v="20"/>
    <n v="2023"/>
    <x v="18"/>
    <x v="2"/>
    <x v="2"/>
    <m/>
    <m/>
    <n v="4481.7937699999993"/>
  </r>
  <r>
    <s v="EU27"/>
    <x v="20"/>
    <n v="2023"/>
    <x v="19"/>
    <x v="0"/>
    <x v="2"/>
    <m/>
    <m/>
    <n v="11697.019952035131"/>
  </r>
  <r>
    <s v="EU27"/>
    <x v="20"/>
    <n v="2023"/>
    <x v="19"/>
    <x v="1"/>
    <x v="2"/>
    <m/>
    <m/>
    <n v="12825.921968922579"/>
  </r>
  <r>
    <s v="EU27"/>
    <x v="20"/>
    <n v="2023"/>
    <x v="19"/>
    <x v="2"/>
    <x v="2"/>
    <m/>
    <m/>
    <n v="765.00648000000001"/>
  </r>
  <r>
    <s v="EU27"/>
    <x v="20"/>
    <n v="2023"/>
    <x v="20"/>
    <x v="0"/>
    <x v="2"/>
    <m/>
    <m/>
    <n v="29522.945004140311"/>
  </r>
  <r>
    <s v="EU27"/>
    <x v="20"/>
    <n v="2023"/>
    <x v="20"/>
    <x v="1"/>
    <x v="2"/>
    <m/>
    <m/>
    <n v="29615.758935059519"/>
  </r>
  <r>
    <s v="EU27"/>
    <x v="20"/>
    <n v="2023"/>
    <x v="20"/>
    <x v="2"/>
    <x v="2"/>
    <m/>
    <m/>
    <n v="3148.8879099999999"/>
  </r>
  <r>
    <s v="EU27"/>
    <x v="20"/>
    <n v="2023"/>
    <x v="21"/>
    <x v="0"/>
    <x v="2"/>
    <m/>
    <m/>
    <n v="480.0859999999999"/>
  </r>
  <r>
    <s v="EU27"/>
    <x v="20"/>
    <n v="2023"/>
    <x v="21"/>
    <x v="1"/>
    <x v="2"/>
    <m/>
    <m/>
    <n v="329.86599999999987"/>
  </r>
  <r>
    <s v="EU27"/>
    <x v="20"/>
    <n v="2023"/>
    <x v="21"/>
    <x v="2"/>
    <x v="2"/>
    <m/>
    <m/>
    <n v="291.51648"/>
  </r>
  <r>
    <s v="EU27"/>
    <x v="20"/>
    <n v="2023"/>
    <x v="22"/>
    <x v="0"/>
    <x v="2"/>
    <m/>
    <m/>
    <n v="-33437.586973466212"/>
  </r>
  <r>
    <s v="EU27"/>
    <x v="20"/>
    <n v="2023"/>
    <x v="22"/>
    <x v="1"/>
    <x v="2"/>
    <m/>
    <m/>
    <n v="-32954.07134346621"/>
  </r>
  <r>
    <s v="EU27"/>
    <x v="20"/>
    <n v="2023"/>
    <x v="22"/>
    <x v="2"/>
    <x v="2"/>
    <m/>
    <m/>
    <n v="-1738.32"/>
  </r>
  <r>
    <s v="EU27"/>
    <x v="20"/>
    <n v="2023"/>
    <x v="23"/>
    <x v="0"/>
    <x v="2"/>
    <m/>
    <m/>
    <n v="253.85033000000001"/>
  </r>
  <r>
    <s v="EU27"/>
    <x v="20"/>
    <n v="2023"/>
    <x v="23"/>
    <x v="1"/>
    <x v="2"/>
    <m/>
    <m/>
    <n v="253.85033000000001"/>
  </r>
  <r>
    <s v="EU27"/>
    <x v="20"/>
    <n v="2023"/>
    <x v="24"/>
    <x v="0"/>
    <x v="0"/>
    <m/>
    <m/>
    <n v="67045.594795468511"/>
  </r>
  <r>
    <s v="EU27"/>
    <x v="20"/>
    <n v="2023"/>
    <x v="24"/>
    <x v="0"/>
    <x v="1"/>
    <m/>
    <m/>
    <n v="232.58626248784299"/>
  </r>
  <r>
    <s v="EU27"/>
    <x v="20"/>
    <n v="2023"/>
    <x v="24"/>
    <x v="0"/>
    <x v="2"/>
    <m/>
    <m/>
    <n v="67312.83029795636"/>
  </r>
  <r>
    <s v="EU27"/>
    <x v="20"/>
    <n v="2023"/>
    <x v="24"/>
    <x v="1"/>
    <x v="0"/>
    <m/>
    <m/>
    <n v="68068.197535436731"/>
  </r>
  <r>
    <s v="EU27"/>
    <x v="20"/>
    <n v="2023"/>
    <x v="24"/>
    <x v="1"/>
    <x v="1"/>
    <m/>
    <m/>
    <n v="232.5862624745088"/>
  </r>
  <r>
    <s v="EU27"/>
    <x v="20"/>
    <n v="2023"/>
    <x v="24"/>
    <x v="1"/>
    <x v="2"/>
    <m/>
    <m/>
    <n v="68195.749318535454"/>
  </r>
  <r>
    <s v="EU27"/>
    <x v="20"/>
    <n v="2023"/>
    <x v="24"/>
    <x v="2"/>
    <x v="0"/>
    <m/>
    <m/>
    <n v="1689.1799100000001"/>
  </r>
  <r>
    <s v="EU27"/>
    <x v="20"/>
    <n v="2023"/>
    <x v="24"/>
    <x v="2"/>
    <x v="2"/>
    <m/>
    <m/>
    <n v="10248.23991"/>
  </r>
  <r>
    <s v="EU27"/>
    <x v="20"/>
    <n v="2023"/>
    <x v="25"/>
    <x v="0"/>
    <x v="0"/>
    <m/>
    <m/>
    <n v="166.32"/>
  </r>
  <r>
    <s v="EU27"/>
    <x v="20"/>
    <n v="2023"/>
    <x v="25"/>
    <x v="0"/>
    <x v="2"/>
    <m/>
    <m/>
    <n v="123344.7217585255"/>
  </r>
  <r>
    <s v="EU27"/>
    <x v="20"/>
    <n v="2023"/>
    <x v="25"/>
    <x v="1"/>
    <x v="0"/>
    <m/>
    <m/>
    <n v="166.32"/>
  </r>
  <r>
    <s v="EU27"/>
    <x v="20"/>
    <n v="2023"/>
    <x v="25"/>
    <x v="1"/>
    <x v="2"/>
    <m/>
    <m/>
    <n v="131846.7650582855"/>
  </r>
  <r>
    <s v="EU27"/>
    <x v="20"/>
    <n v="2023"/>
    <x v="25"/>
    <x v="2"/>
    <x v="2"/>
    <m/>
    <m/>
    <n v="1291.0929900000001"/>
  </r>
  <r>
    <s v="EU27"/>
    <x v="20"/>
    <n v="2023"/>
    <x v="26"/>
    <x v="0"/>
    <x v="0"/>
    <m/>
    <m/>
    <n v="846.9"/>
  </r>
  <r>
    <s v="EU27"/>
    <x v="20"/>
    <n v="2023"/>
    <x v="26"/>
    <x v="0"/>
    <x v="2"/>
    <m/>
    <m/>
    <n v="141583.72818533931"/>
  </r>
  <r>
    <s v="EU27"/>
    <x v="20"/>
    <n v="2023"/>
    <x v="26"/>
    <x v="1"/>
    <x v="0"/>
    <m/>
    <m/>
    <n v="846.9"/>
  </r>
  <r>
    <s v="EU27"/>
    <x v="20"/>
    <n v="2023"/>
    <x v="26"/>
    <x v="1"/>
    <x v="2"/>
    <m/>
    <m/>
    <n v="143932.20727013019"/>
  </r>
  <r>
    <s v="EU27"/>
    <x v="20"/>
    <n v="2023"/>
    <x v="26"/>
    <x v="2"/>
    <x v="2"/>
    <m/>
    <m/>
    <n v="985.2"/>
  </r>
  <r>
    <s v="EU27"/>
    <x v="20"/>
    <n v="2023"/>
    <x v="27"/>
    <x v="0"/>
    <x v="0"/>
    <m/>
    <m/>
    <n v="697.3767600000001"/>
  </r>
  <r>
    <s v="EU27"/>
    <x v="20"/>
    <n v="2023"/>
    <x v="27"/>
    <x v="0"/>
    <x v="2"/>
    <m/>
    <m/>
    <n v="841.2693344006467"/>
  </r>
  <r>
    <s v="EU27"/>
    <x v="20"/>
    <n v="2023"/>
    <x v="27"/>
    <x v="1"/>
    <x v="0"/>
    <m/>
    <m/>
    <n v="700.27675999999997"/>
  </r>
  <r>
    <s v="EU27"/>
    <x v="20"/>
    <n v="2023"/>
    <x v="27"/>
    <x v="1"/>
    <x v="2"/>
    <m/>
    <m/>
    <n v="844.17676000000006"/>
  </r>
  <r>
    <s v="EU27"/>
    <x v="20"/>
    <n v="2023"/>
    <x v="28"/>
    <x v="0"/>
    <x v="0"/>
    <m/>
    <m/>
    <n v="1340873.2545489741"/>
  </r>
  <r>
    <s v="EU27"/>
    <x v="20"/>
    <n v="2023"/>
    <x v="28"/>
    <x v="0"/>
    <x v="1"/>
    <m/>
    <m/>
    <n v="617437.71693981043"/>
  </r>
  <r>
    <s v="EU27"/>
    <x v="20"/>
    <n v="2023"/>
    <x v="28"/>
    <x v="0"/>
    <x v="2"/>
    <m/>
    <m/>
    <n v="1974980.969847274"/>
  </r>
  <r>
    <s v="EU27"/>
    <x v="20"/>
    <n v="2023"/>
    <x v="28"/>
    <x v="1"/>
    <x v="0"/>
    <m/>
    <m/>
    <n v="1544557.4734939949"/>
  </r>
  <r>
    <s v="EU27"/>
    <x v="20"/>
    <n v="2023"/>
    <x v="28"/>
    <x v="1"/>
    <x v="1"/>
    <m/>
    <m/>
    <n v="703105.00427757192"/>
  </r>
  <r>
    <s v="EU27"/>
    <x v="20"/>
    <n v="2023"/>
    <x v="28"/>
    <x v="1"/>
    <x v="2"/>
    <m/>
    <m/>
    <n v="2265953.3506376282"/>
  </r>
  <r>
    <s v="EU27"/>
    <x v="20"/>
    <n v="2023"/>
    <x v="28"/>
    <x v="2"/>
    <x v="0"/>
    <m/>
    <m/>
    <n v="17375.929199999999"/>
  </r>
  <r>
    <s v="EU27"/>
    <x v="20"/>
    <n v="2023"/>
    <x v="28"/>
    <x v="2"/>
    <x v="1"/>
    <m/>
    <m/>
    <n v="9484.9813800000011"/>
  </r>
  <r>
    <s v="EU27"/>
    <x v="20"/>
    <n v="2023"/>
    <x v="28"/>
    <x v="2"/>
    <x v="2"/>
    <m/>
    <m/>
    <n v="219387.69662999999"/>
  </r>
  <r>
    <s v="EU27"/>
    <x v="20"/>
    <n v="2023"/>
    <x v="29"/>
    <x v="0"/>
    <x v="0"/>
    <m/>
    <m/>
    <n v="1340873.2545489741"/>
  </r>
  <r>
    <s v="EU27"/>
    <x v="20"/>
    <n v="2023"/>
    <x v="29"/>
    <x v="0"/>
    <x v="1"/>
    <m/>
    <m/>
    <n v="617437.61693981034"/>
  </r>
  <r>
    <s v="EU27"/>
    <x v="20"/>
    <n v="2023"/>
    <x v="29"/>
    <x v="0"/>
    <x v="2"/>
    <m/>
    <m/>
    <n v="1686226.0948629619"/>
  </r>
  <r>
    <s v="EU27"/>
    <x v="20"/>
    <n v="2023"/>
    <x v="29"/>
    <x v="1"/>
    <x v="0"/>
    <m/>
    <m/>
    <n v="1544557.4734939949"/>
  </r>
  <r>
    <s v="EU27"/>
    <x v="20"/>
    <n v="2023"/>
    <x v="29"/>
    <x v="1"/>
    <x v="1"/>
    <m/>
    <m/>
    <n v="703104.90427757194"/>
  </r>
  <r>
    <s v="EU27"/>
    <x v="20"/>
    <n v="2023"/>
    <x v="29"/>
    <x v="1"/>
    <x v="2"/>
    <m/>
    <m/>
    <n v="2050414.000985113"/>
  </r>
  <r>
    <s v="EU27"/>
    <x v="20"/>
    <n v="2023"/>
    <x v="29"/>
    <x v="2"/>
    <x v="0"/>
    <m/>
    <m/>
    <n v="17375.929199999999"/>
  </r>
  <r>
    <s v="EU27"/>
    <x v="20"/>
    <n v="2023"/>
    <x v="29"/>
    <x v="2"/>
    <x v="1"/>
    <m/>
    <m/>
    <n v="9484.9813800000011"/>
  </r>
  <r>
    <s v="EU27"/>
    <x v="20"/>
    <n v="2023"/>
    <x v="29"/>
    <x v="2"/>
    <x v="2"/>
    <m/>
    <m/>
    <n v="207242.66357999999"/>
  </r>
  <r>
    <s v="EU27"/>
    <x v="21"/>
    <n v="2023"/>
    <x v="0"/>
    <x v="0"/>
    <x v="0"/>
    <m/>
    <m/>
    <n v="862428.7057014294"/>
  </r>
  <r>
    <s v="EU27"/>
    <x v="21"/>
    <n v="2023"/>
    <x v="0"/>
    <x v="0"/>
    <x v="1"/>
    <m/>
    <m/>
    <n v="444742.33832514228"/>
  </r>
  <r>
    <s v="EU27"/>
    <x v="21"/>
    <n v="2023"/>
    <x v="0"/>
    <x v="0"/>
    <x v="2"/>
    <m/>
    <m/>
    <n v="1324183.1395392939"/>
  </r>
  <r>
    <s v="EU27"/>
    <x v="21"/>
    <n v="2023"/>
    <x v="0"/>
    <x v="1"/>
    <x v="0"/>
    <m/>
    <m/>
    <n v="1045403.8442958629"/>
  </r>
  <r>
    <s v="EU27"/>
    <x v="21"/>
    <n v="2023"/>
    <x v="0"/>
    <x v="1"/>
    <x v="1"/>
    <m/>
    <m/>
    <n v="521478.30402992701"/>
  </r>
  <r>
    <s v="EU27"/>
    <x v="21"/>
    <n v="2023"/>
    <x v="0"/>
    <x v="1"/>
    <x v="2"/>
    <m/>
    <m/>
    <n v="1585545.1469431841"/>
  </r>
  <r>
    <s v="EU27"/>
    <x v="21"/>
    <n v="2023"/>
    <x v="0"/>
    <x v="2"/>
    <x v="0"/>
    <m/>
    <m/>
    <n v="12428.17632"/>
  </r>
  <r>
    <s v="EU27"/>
    <x v="21"/>
    <n v="2023"/>
    <x v="0"/>
    <x v="2"/>
    <x v="1"/>
    <m/>
    <m/>
    <n v="8744.2799400000004"/>
  </r>
  <r>
    <s v="EU27"/>
    <x v="21"/>
    <n v="2023"/>
    <x v="0"/>
    <x v="2"/>
    <x v="2"/>
    <m/>
    <m/>
    <n v="155847.39329000001"/>
  </r>
  <r>
    <s v="EU27"/>
    <x v="21"/>
    <n v="2023"/>
    <x v="1"/>
    <x v="0"/>
    <x v="0"/>
    <m/>
    <m/>
    <n v="38744.70064155521"/>
  </r>
  <r>
    <s v="EU27"/>
    <x v="21"/>
    <n v="2023"/>
    <x v="1"/>
    <x v="0"/>
    <x v="1"/>
    <m/>
    <m/>
    <n v="258031.88968898469"/>
  </r>
  <r>
    <s v="EU27"/>
    <x v="21"/>
    <n v="2023"/>
    <x v="1"/>
    <x v="0"/>
    <x v="2"/>
    <m/>
    <m/>
    <n v="296542.52963987947"/>
  </r>
  <r>
    <s v="EU27"/>
    <x v="21"/>
    <n v="2023"/>
    <x v="1"/>
    <x v="1"/>
    <x v="0"/>
    <m/>
    <m/>
    <n v="41657.738349972737"/>
  </r>
  <r>
    <s v="EU27"/>
    <x v="21"/>
    <n v="2023"/>
    <x v="1"/>
    <x v="1"/>
    <x v="1"/>
    <m/>
    <m/>
    <n v="306583.16913855833"/>
  </r>
  <r>
    <s v="EU27"/>
    <x v="21"/>
    <n v="2023"/>
    <x v="1"/>
    <x v="1"/>
    <x v="2"/>
    <m/>
    <m/>
    <n v="348037.42967068922"/>
  </r>
  <r>
    <s v="EU27"/>
    <x v="21"/>
    <n v="2023"/>
    <x v="1"/>
    <x v="2"/>
    <x v="0"/>
    <m/>
    <m/>
    <n v="51.500250000000001"/>
  </r>
  <r>
    <s v="EU27"/>
    <x v="21"/>
    <n v="2023"/>
    <x v="1"/>
    <x v="2"/>
    <x v="1"/>
    <m/>
    <m/>
    <n v="7198.8199400000003"/>
  </r>
  <r>
    <s v="EU27"/>
    <x v="21"/>
    <n v="2023"/>
    <x v="1"/>
    <x v="2"/>
    <x v="2"/>
    <m/>
    <m/>
    <n v="48223.820189999999"/>
  </r>
  <r>
    <s v="EU27"/>
    <x v="21"/>
    <n v="2023"/>
    <x v="2"/>
    <x v="0"/>
    <x v="0"/>
    <m/>
    <m/>
    <n v="93869.820808992823"/>
  </r>
  <r>
    <s v="EU27"/>
    <x v="21"/>
    <n v="2023"/>
    <x v="2"/>
    <x v="0"/>
    <x v="1"/>
    <m/>
    <m/>
    <n v="170629.12803922049"/>
  </r>
  <r>
    <s v="EU27"/>
    <x v="21"/>
    <n v="2023"/>
    <x v="2"/>
    <x v="0"/>
    <x v="2"/>
    <m/>
    <m/>
    <n v="264246.63253538369"/>
  </r>
  <r>
    <s v="EU27"/>
    <x v="21"/>
    <n v="2023"/>
    <x v="2"/>
    <x v="1"/>
    <x v="0"/>
    <m/>
    <m/>
    <n v="100534.8197047978"/>
  </r>
  <r>
    <s v="EU27"/>
    <x v="21"/>
    <n v="2023"/>
    <x v="2"/>
    <x v="1"/>
    <x v="1"/>
    <m/>
    <m/>
    <n v="196921.20774289919"/>
  </r>
  <r>
    <s v="EU27"/>
    <x v="21"/>
    <n v="2023"/>
    <x v="2"/>
    <x v="1"/>
    <x v="2"/>
    <m/>
    <m/>
    <n v="297207.94263930753"/>
  </r>
  <r>
    <s v="EU27"/>
    <x v="21"/>
    <n v="2023"/>
    <x v="2"/>
    <x v="2"/>
    <x v="0"/>
    <m/>
    <m/>
    <n v="1120.8145199999999"/>
  </r>
  <r>
    <s v="EU27"/>
    <x v="21"/>
    <n v="2023"/>
    <x v="2"/>
    <x v="2"/>
    <x v="1"/>
    <m/>
    <m/>
    <n v="1475.56"/>
  </r>
  <r>
    <s v="EU27"/>
    <x v="21"/>
    <n v="2023"/>
    <x v="2"/>
    <x v="2"/>
    <x v="2"/>
    <m/>
    <m/>
    <n v="22135.17452"/>
  </r>
  <r>
    <s v="EU27"/>
    <x v="21"/>
    <n v="2023"/>
    <x v="3"/>
    <x v="0"/>
    <x v="0"/>
    <m/>
    <m/>
    <n v="413916.00449607917"/>
  </r>
  <r>
    <s v="EU27"/>
    <x v="21"/>
    <n v="2023"/>
    <x v="3"/>
    <x v="0"/>
    <x v="1"/>
    <m/>
    <m/>
    <n v="3241.2931534536251"/>
  </r>
  <r>
    <s v="EU27"/>
    <x v="21"/>
    <n v="2023"/>
    <x v="3"/>
    <x v="0"/>
    <x v="2"/>
    <m/>
    <m/>
    <n v="434434.90745048458"/>
  </r>
  <r>
    <s v="EU27"/>
    <x v="21"/>
    <n v="2023"/>
    <x v="3"/>
    <x v="1"/>
    <x v="0"/>
    <m/>
    <m/>
    <n v="518131.30923034932"/>
  </r>
  <r>
    <s v="EU27"/>
    <x v="21"/>
    <n v="2023"/>
    <x v="3"/>
    <x v="1"/>
    <x v="1"/>
    <m/>
    <m/>
    <n v="3449.9883786491282"/>
  </r>
  <r>
    <s v="EU27"/>
    <x v="21"/>
    <n v="2023"/>
    <x v="3"/>
    <x v="1"/>
    <x v="2"/>
    <m/>
    <m/>
    <n v="540474.53508766042"/>
  </r>
  <r>
    <s v="EU27"/>
    <x v="21"/>
    <n v="2023"/>
    <x v="3"/>
    <x v="2"/>
    <x v="0"/>
    <m/>
    <m/>
    <n v="9352.8762800000004"/>
  </r>
  <r>
    <s v="EU27"/>
    <x v="21"/>
    <n v="2023"/>
    <x v="3"/>
    <x v="2"/>
    <x v="1"/>
    <m/>
    <m/>
    <n v="0"/>
  </r>
  <r>
    <s v="EU27"/>
    <x v="21"/>
    <n v="2023"/>
    <x v="3"/>
    <x v="2"/>
    <x v="2"/>
    <m/>
    <m/>
    <n v="45428.613299999997"/>
  </r>
  <r>
    <s v="EU27"/>
    <x v="21"/>
    <n v="2023"/>
    <x v="4"/>
    <x v="0"/>
    <x v="0"/>
    <m/>
    <m/>
    <n v="147.27394986924111"/>
  </r>
  <r>
    <s v="EU27"/>
    <x v="21"/>
    <n v="2023"/>
    <x v="4"/>
    <x v="0"/>
    <x v="1"/>
    <m/>
    <m/>
    <n v="0"/>
  </r>
  <r>
    <s v="EU27"/>
    <x v="21"/>
    <n v="2023"/>
    <x v="4"/>
    <x v="0"/>
    <x v="2"/>
    <m/>
    <m/>
    <n v="17212.524923312489"/>
  </r>
  <r>
    <s v="EU27"/>
    <x v="21"/>
    <n v="2023"/>
    <x v="4"/>
    <x v="1"/>
    <x v="0"/>
    <m/>
    <m/>
    <n v="159.68844339766761"/>
  </r>
  <r>
    <s v="EU27"/>
    <x v="21"/>
    <n v="2023"/>
    <x v="4"/>
    <x v="1"/>
    <x v="1"/>
    <m/>
    <m/>
    <n v="0"/>
  </r>
  <r>
    <s v="EU27"/>
    <x v="21"/>
    <n v="2023"/>
    <x v="4"/>
    <x v="1"/>
    <x v="2"/>
    <m/>
    <m/>
    <n v="18824.864356636572"/>
  </r>
  <r>
    <s v="EU27"/>
    <x v="21"/>
    <n v="2023"/>
    <x v="4"/>
    <x v="2"/>
    <x v="0"/>
    <m/>
    <m/>
    <n v="1.3429999999999999E-2"/>
  </r>
  <r>
    <s v="EU27"/>
    <x v="21"/>
    <n v="2023"/>
    <x v="4"/>
    <x v="2"/>
    <x v="2"/>
    <m/>
    <m/>
    <n v="537.63046000000008"/>
  </r>
  <r>
    <s v="EU27"/>
    <x v="21"/>
    <n v="2023"/>
    <x v="5"/>
    <x v="0"/>
    <x v="0"/>
    <m/>
    <m/>
    <n v="392123.43014153262"/>
  </r>
  <r>
    <s v="EU27"/>
    <x v="21"/>
    <n v="2023"/>
    <x v="5"/>
    <x v="0"/>
    <x v="1"/>
    <m/>
    <m/>
    <n v="0"/>
  </r>
  <r>
    <s v="EU27"/>
    <x v="21"/>
    <n v="2023"/>
    <x v="5"/>
    <x v="0"/>
    <x v="2"/>
    <m/>
    <m/>
    <n v="392283.78689561051"/>
  </r>
  <r>
    <s v="EU27"/>
    <x v="21"/>
    <n v="2023"/>
    <x v="5"/>
    <x v="1"/>
    <x v="0"/>
    <m/>
    <m/>
    <n v="494546.45995963243"/>
  </r>
  <r>
    <s v="EU27"/>
    <x v="21"/>
    <n v="2023"/>
    <x v="5"/>
    <x v="1"/>
    <x v="1"/>
    <m/>
    <m/>
    <n v="0"/>
  </r>
  <r>
    <s v="EU27"/>
    <x v="21"/>
    <n v="2023"/>
    <x v="5"/>
    <x v="1"/>
    <x v="2"/>
    <m/>
    <m/>
    <n v="494755.57262312848"/>
  </r>
  <r>
    <s v="EU27"/>
    <x v="21"/>
    <n v="2023"/>
    <x v="5"/>
    <x v="2"/>
    <x v="0"/>
    <m/>
    <m/>
    <n v="9252.3891599999988"/>
  </r>
  <r>
    <s v="EU27"/>
    <x v="21"/>
    <n v="2023"/>
    <x v="5"/>
    <x v="2"/>
    <x v="2"/>
    <m/>
    <m/>
    <n v="42708.369160000002"/>
  </r>
  <r>
    <s v="EU27"/>
    <x v="21"/>
    <n v="2023"/>
    <x v="6"/>
    <x v="0"/>
    <x v="0"/>
    <m/>
    <m/>
    <n v="3269.3876454259839"/>
  </r>
  <r>
    <s v="EU27"/>
    <x v="21"/>
    <n v="2023"/>
    <x v="6"/>
    <x v="0"/>
    <x v="1"/>
    <m/>
    <m/>
    <n v="0"/>
  </r>
  <r>
    <s v="EU27"/>
    <x v="21"/>
    <n v="2023"/>
    <x v="6"/>
    <x v="0"/>
    <x v="2"/>
    <m/>
    <m/>
    <n v="3270.0724430572568"/>
  </r>
  <r>
    <s v="EU27"/>
    <x v="21"/>
    <n v="2023"/>
    <x v="6"/>
    <x v="1"/>
    <x v="0"/>
    <m/>
    <m/>
    <n v="4354.4810861340193"/>
  </r>
  <r>
    <s v="EU27"/>
    <x v="21"/>
    <n v="2023"/>
    <x v="6"/>
    <x v="1"/>
    <x v="1"/>
    <m/>
    <m/>
    <n v="0"/>
  </r>
  <r>
    <s v="EU27"/>
    <x v="21"/>
    <n v="2023"/>
    <x v="6"/>
    <x v="1"/>
    <x v="2"/>
    <m/>
    <m/>
    <n v="4355.1639498262139"/>
  </r>
  <r>
    <s v="EU27"/>
    <x v="21"/>
    <n v="2023"/>
    <x v="6"/>
    <x v="2"/>
    <x v="0"/>
    <m/>
    <m/>
    <n v="40.58"/>
  </r>
  <r>
    <s v="EU27"/>
    <x v="21"/>
    <n v="2023"/>
    <x v="6"/>
    <x v="2"/>
    <x v="2"/>
    <m/>
    <m/>
    <n v="1436.84"/>
  </r>
  <r>
    <s v="EU27"/>
    <x v="21"/>
    <n v="2023"/>
    <x v="7"/>
    <x v="0"/>
    <x v="0"/>
    <m/>
    <m/>
    <n v="17205.86236569973"/>
  </r>
  <r>
    <s v="EU27"/>
    <x v="21"/>
    <n v="2023"/>
    <x v="7"/>
    <x v="0"/>
    <x v="1"/>
    <m/>
    <m/>
    <n v="0"/>
  </r>
  <r>
    <s v="EU27"/>
    <x v="21"/>
    <n v="2023"/>
    <x v="7"/>
    <x v="0"/>
    <x v="2"/>
    <m/>
    <m/>
    <n v="17216.209325748459"/>
  </r>
  <r>
    <s v="EU27"/>
    <x v="21"/>
    <n v="2023"/>
    <x v="7"/>
    <x v="1"/>
    <x v="0"/>
    <m/>
    <m/>
    <n v="17600.261470727441"/>
  </r>
  <r>
    <s v="EU27"/>
    <x v="21"/>
    <n v="2023"/>
    <x v="7"/>
    <x v="1"/>
    <x v="1"/>
    <m/>
    <m/>
    <n v="0"/>
  </r>
  <r>
    <s v="EU27"/>
    <x v="21"/>
    <n v="2023"/>
    <x v="7"/>
    <x v="1"/>
    <x v="2"/>
    <m/>
    <m/>
    <n v="17610.478356387761"/>
  </r>
  <r>
    <s v="EU27"/>
    <x v="21"/>
    <n v="2023"/>
    <x v="7"/>
    <x v="2"/>
    <x v="0"/>
    <m/>
    <m/>
    <n v="52.593690000000002"/>
  </r>
  <r>
    <s v="EU27"/>
    <x v="21"/>
    <n v="2023"/>
    <x v="7"/>
    <x v="2"/>
    <x v="2"/>
    <m/>
    <m/>
    <n v="417.25369000000001"/>
  </r>
  <r>
    <s v="EU27"/>
    <x v="21"/>
    <n v="2023"/>
    <x v="8"/>
    <x v="0"/>
    <x v="0"/>
    <m/>
    <m/>
    <n v="1188.7073435515749"/>
  </r>
  <r>
    <s v="EU27"/>
    <x v="21"/>
    <n v="2023"/>
    <x v="8"/>
    <x v="0"/>
    <x v="1"/>
    <m/>
    <m/>
    <n v="3282.2477392043811"/>
  </r>
  <r>
    <s v="EU27"/>
    <x v="21"/>
    <n v="2023"/>
    <x v="8"/>
    <x v="0"/>
    <x v="2"/>
    <m/>
    <m/>
    <n v="4470.8150827559566"/>
  </r>
  <r>
    <s v="EU27"/>
    <x v="21"/>
    <n v="2023"/>
    <x v="8"/>
    <x v="1"/>
    <x v="0"/>
    <m/>
    <m/>
    <n v="1489.1032204577341"/>
  </r>
  <r>
    <s v="EU27"/>
    <x v="21"/>
    <n v="2023"/>
    <x v="8"/>
    <x v="1"/>
    <x v="1"/>
    <m/>
    <m/>
    <n v="3458.1338212237179"/>
  </r>
  <r>
    <s v="EU27"/>
    <x v="21"/>
    <n v="2023"/>
    <x v="8"/>
    <x v="1"/>
    <x v="2"/>
    <m/>
    <m/>
    <n v="4947.0970516814514"/>
  </r>
  <r>
    <s v="EU27"/>
    <x v="21"/>
    <n v="2023"/>
    <x v="8"/>
    <x v="2"/>
    <x v="0"/>
    <m/>
    <m/>
    <n v="7.2"/>
  </r>
  <r>
    <s v="EU27"/>
    <x v="21"/>
    <n v="2023"/>
    <x v="8"/>
    <x v="2"/>
    <x v="2"/>
    <m/>
    <m/>
    <n v="328.48"/>
  </r>
  <r>
    <s v="EU27"/>
    <x v="21"/>
    <n v="2023"/>
    <x v="9"/>
    <x v="0"/>
    <x v="0"/>
    <m/>
    <m/>
    <n v="267380.43690139073"/>
  </r>
  <r>
    <s v="EU27"/>
    <x v="21"/>
    <n v="2023"/>
    <x v="9"/>
    <x v="0"/>
    <x v="1"/>
    <m/>
    <m/>
    <n v="1153.3336657489349"/>
  </r>
  <r>
    <s v="EU27"/>
    <x v="21"/>
    <n v="2023"/>
    <x v="9"/>
    <x v="0"/>
    <x v="2"/>
    <m/>
    <m/>
    <n v="268753.11574730638"/>
  </r>
  <r>
    <s v="EU27"/>
    <x v="21"/>
    <n v="2023"/>
    <x v="9"/>
    <x v="1"/>
    <x v="0"/>
    <m/>
    <m/>
    <n v="334445.39879510168"/>
  </r>
  <r>
    <s v="EU27"/>
    <x v="21"/>
    <n v="2023"/>
    <x v="9"/>
    <x v="1"/>
    <x v="1"/>
    <m/>
    <m/>
    <n v="1313.1344221643089"/>
  </r>
  <r>
    <s v="EU27"/>
    <x v="21"/>
    <n v="2023"/>
    <x v="9"/>
    <x v="1"/>
    <x v="2"/>
    <m/>
    <m/>
    <n v="335977.51693229139"/>
  </r>
  <r>
    <s v="EU27"/>
    <x v="21"/>
    <n v="2023"/>
    <x v="9"/>
    <x v="2"/>
    <x v="0"/>
    <m/>
    <m/>
    <n v="1467.7452699999999"/>
  </r>
  <r>
    <s v="EU27"/>
    <x v="21"/>
    <n v="2023"/>
    <x v="9"/>
    <x v="2"/>
    <x v="2"/>
    <m/>
    <m/>
    <n v="20136.78527"/>
  </r>
  <r>
    <s v="EU27"/>
    <x v="21"/>
    <n v="2023"/>
    <x v="10"/>
    <x v="0"/>
    <x v="0"/>
    <m/>
    <m/>
    <n v="3501.8628438063351"/>
  </r>
  <r>
    <s v="EU27"/>
    <x v="21"/>
    <n v="2023"/>
    <x v="10"/>
    <x v="0"/>
    <x v="1"/>
    <m/>
    <m/>
    <n v="0"/>
  </r>
  <r>
    <s v="EU27"/>
    <x v="21"/>
    <n v="2023"/>
    <x v="10"/>
    <x v="0"/>
    <x v="2"/>
    <m/>
    <m/>
    <n v="3503.554903235171"/>
  </r>
  <r>
    <s v="EU27"/>
    <x v="21"/>
    <n v="2023"/>
    <x v="10"/>
    <x v="1"/>
    <x v="0"/>
    <m/>
    <m/>
    <n v="3502.3569738063352"/>
  </r>
  <r>
    <s v="EU27"/>
    <x v="21"/>
    <n v="2023"/>
    <x v="10"/>
    <x v="1"/>
    <x v="1"/>
    <m/>
    <m/>
    <n v="0"/>
  </r>
  <r>
    <s v="EU27"/>
    <x v="21"/>
    <n v="2023"/>
    <x v="10"/>
    <x v="1"/>
    <x v="2"/>
    <m/>
    <m/>
    <n v="3504.049033235171"/>
  </r>
  <r>
    <s v="EU27"/>
    <x v="21"/>
    <n v="2023"/>
    <x v="10"/>
    <x v="2"/>
    <x v="0"/>
    <m/>
    <m/>
    <n v="4.0999999999999996"/>
  </r>
  <r>
    <s v="EU27"/>
    <x v="21"/>
    <n v="2023"/>
    <x v="10"/>
    <x v="2"/>
    <x v="2"/>
    <m/>
    <m/>
    <n v="1246.2"/>
  </r>
  <r>
    <s v="EU27"/>
    <x v="21"/>
    <n v="2023"/>
    <x v="11"/>
    <x v="0"/>
    <x v="0"/>
    <m/>
    <m/>
    <n v="45076.839999605203"/>
  </r>
  <r>
    <s v="EU27"/>
    <x v="21"/>
    <n v="2023"/>
    <x v="11"/>
    <x v="0"/>
    <x v="1"/>
    <m/>
    <m/>
    <n v="11686.893767734589"/>
  </r>
  <r>
    <s v="EU27"/>
    <x v="21"/>
    <n v="2023"/>
    <x v="11"/>
    <x v="0"/>
    <x v="2"/>
    <m/>
    <m/>
    <n v="56763.679273004767"/>
  </r>
  <r>
    <s v="EU27"/>
    <x v="21"/>
    <n v="2023"/>
    <x v="11"/>
    <x v="1"/>
    <x v="0"/>
    <m/>
    <m/>
    <n v="47193.341201835028"/>
  </r>
  <r>
    <s v="EU27"/>
    <x v="21"/>
    <n v="2023"/>
    <x v="11"/>
    <x v="1"/>
    <x v="1"/>
    <m/>
    <m/>
    <n v="13211.224348164969"/>
  </r>
  <r>
    <s v="EU27"/>
    <x v="21"/>
    <n v="2023"/>
    <x v="11"/>
    <x v="1"/>
    <x v="2"/>
    <m/>
    <m/>
    <n v="60404.573559999997"/>
  </r>
  <r>
    <s v="EU27"/>
    <x v="21"/>
    <n v="2023"/>
    <x v="11"/>
    <x v="2"/>
    <x v="0"/>
    <m/>
    <m/>
    <n v="431.1"/>
  </r>
  <r>
    <s v="EU27"/>
    <x v="21"/>
    <n v="2023"/>
    <x v="11"/>
    <x v="2"/>
    <x v="1"/>
    <m/>
    <m/>
    <n v="69.900000000000006"/>
  </r>
  <r>
    <s v="EU27"/>
    <x v="21"/>
    <n v="2023"/>
    <x v="11"/>
    <x v="2"/>
    <x v="2"/>
    <m/>
    <m/>
    <n v="18676.8"/>
  </r>
  <r>
    <s v="EU27"/>
    <x v="21"/>
    <n v="2023"/>
    <x v="12"/>
    <x v="0"/>
    <x v="0"/>
    <m/>
    <m/>
    <n v="0"/>
  </r>
  <r>
    <s v="EU27"/>
    <x v="21"/>
    <n v="2023"/>
    <x v="12"/>
    <x v="0"/>
    <x v="1"/>
    <m/>
    <m/>
    <n v="0"/>
  </r>
  <r>
    <s v="EU27"/>
    <x v="21"/>
    <n v="2023"/>
    <x v="12"/>
    <x v="0"/>
    <x v="2"/>
    <m/>
    <m/>
    <n v="0"/>
  </r>
  <r>
    <s v="EU27"/>
    <x v="21"/>
    <n v="2023"/>
    <x v="12"/>
    <x v="1"/>
    <x v="0"/>
    <m/>
    <m/>
    <n v="0"/>
  </r>
  <r>
    <s v="EU27"/>
    <x v="21"/>
    <n v="2023"/>
    <x v="12"/>
    <x v="1"/>
    <x v="1"/>
    <m/>
    <m/>
    <n v="0"/>
  </r>
  <r>
    <s v="EU27"/>
    <x v="21"/>
    <n v="2023"/>
    <x v="12"/>
    <x v="1"/>
    <x v="2"/>
    <m/>
    <m/>
    <n v="0"/>
  </r>
  <r>
    <s v="EU27"/>
    <x v="21"/>
    <n v="2023"/>
    <x v="13"/>
    <x v="0"/>
    <x v="0"/>
    <m/>
    <m/>
    <n v="45051.542078014521"/>
  </r>
  <r>
    <s v="EU27"/>
    <x v="21"/>
    <n v="2023"/>
    <x v="13"/>
    <x v="0"/>
    <x v="1"/>
    <m/>
    <m/>
    <n v="168082.77098534239"/>
  </r>
  <r>
    <s v="EU27"/>
    <x v="21"/>
    <n v="2023"/>
    <x v="13"/>
    <x v="0"/>
    <x v="2"/>
    <m/>
    <m/>
    <n v="212883.37158661531"/>
  </r>
  <r>
    <s v="EU27"/>
    <x v="21"/>
    <n v="2023"/>
    <x v="13"/>
    <x v="1"/>
    <x v="0"/>
    <m/>
    <m/>
    <n v="48376.265024591157"/>
  </r>
  <r>
    <s v="EU27"/>
    <x v="21"/>
    <n v="2023"/>
    <x v="13"/>
    <x v="1"/>
    <x v="1"/>
    <m/>
    <m/>
    <n v="177838.22602894789"/>
  </r>
  <r>
    <s v="EU27"/>
    <x v="21"/>
    <n v="2023"/>
    <x v="13"/>
    <x v="1"/>
    <x v="2"/>
    <m/>
    <m/>
    <n v="225955.48275786411"/>
  </r>
  <r>
    <s v="EU27"/>
    <x v="21"/>
    <n v="2023"/>
    <x v="13"/>
    <x v="2"/>
    <x v="0"/>
    <m/>
    <m/>
    <n v="1196.5477900000001"/>
  </r>
  <r>
    <s v="EU27"/>
    <x v="21"/>
    <n v="2023"/>
    <x v="13"/>
    <x v="2"/>
    <x v="1"/>
    <m/>
    <m/>
    <n v="763.14"/>
  </r>
  <r>
    <s v="EU27"/>
    <x v="21"/>
    <n v="2023"/>
    <x v="13"/>
    <x v="2"/>
    <x v="2"/>
    <m/>
    <m/>
    <n v="17336.727790000001"/>
  </r>
  <r>
    <s v="EU27"/>
    <x v="21"/>
    <n v="2023"/>
    <x v="14"/>
    <x v="0"/>
    <x v="0"/>
    <m/>
    <m/>
    <n v="348905.92097861588"/>
  </r>
  <r>
    <s v="EU27"/>
    <x v="21"/>
    <n v="2023"/>
    <x v="14"/>
    <x v="0"/>
    <x v="2"/>
    <m/>
    <m/>
    <n v="348736.82412105048"/>
  </r>
  <r>
    <s v="EU27"/>
    <x v="21"/>
    <n v="2023"/>
    <x v="14"/>
    <x v="1"/>
    <x v="0"/>
    <m/>
    <m/>
    <n v="366486.80683719041"/>
  </r>
  <r>
    <s v="EU27"/>
    <x v="21"/>
    <n v="2023"/>
    <x v="14"/>
    <x v="1"/>
    <x v="2"/>
    <m/>
    <m/>
    <n v="366486.80683719041"/>
  </r>
  <r>
    <s v="EU27"/>
    <x v="21"/>
    <n v="2023"/>
    <x v="14"/>
    <x v="2"/>
    <x v="0"/>
    <m/>
    <m/>
    <n v="2074.1415099999999"/>
  </r>
  <r>
    <s v="EU27"/>
    <x v="21"/>
    <n v="2023"/>
    <x v="14"/>
    <x v="2"/>
    <x v="2"/>
    <m/>
    <m/>
    <n v="37197.481509999998"/>
  </r>
  <r>
    <s v="EU27"/>
    <x v="21"/>
    <n v="2023"/>
    <x v="15"/>
    <x v="0"/>
    <x v="2"/>
    <m/>
    <m/>
    <n v="-246288.4338478428"/>
  </r>
  <r>
    <s v="EU27"/>
    <x v="21"/>
    <n v="2023"/>
    <x v="15"/>
    <x v="1"/>
    <x v="2"/>
    <m/>
    <m/>
    <n v="-216654.4090586933"/>
  </r>
  <r>
    <s v="EU27"/>
    <x v="21"/>
    <n v="2023"/>
    <x v="15"/>
    <x v="2"/>
    <x v="2"/>
    <m/>
    <m/>
    <n v="-11823.891390000001"/>
  </r>
  <r>
    <s v="EU27"/>
    <x v="21"/>
    <n v="2023"/>
    <x v="16"/>
    <x v="0"/>
    <x v="2"/>
    <m/>
    <m/>
    <n v="-288957.63513923623"/>
  </r>
  <r>
    <s v="EU27"/>
    <x v="21"/>
    <n v="2023"/>
    <x v="16"/>
    <x v="1"/>
    <x v="2"/>
    <m/>
    <m/>
    <n v="-270030.1534175956"/>
  </r>
  <r>
    <s v="EU27"/>
    <x v="21"/>
    <n v="2023"/>
    <x v="16"/>
    <x v="2"/>
    <x v="2"/>
    <m/>
    <m/>
    <n v="-16919.401600000001"/>
  </r>
  <r>
    <s v="EU27"/>
    <x v="21"/>
    <n v="2023"/>
    <x v="17"/>
    <x v="0"/>
    <x v="2"/>
    <m/>
    <m/>
    <n v="23908.880668669979"/>
  </r>
  <r>
    <s v="EU27"/>
    <x v="21"/>
    <n v="2023"/>
    <x v="17"/>
    <x v="1"/>
    <x v="2"/>
    <m/>
    <m/>
    <n v="31820.659856963201"/>
  </r>
  <r>
    <s v="EU27"/>
    <x v="21"/>
    <n v="2023"/>
    <x v="17"/>
    <x v="2"/>
    <x v="2"/>
    <m/>
    <m/>
    <n v="-2199.4561199999998"/>
  </r>
  <r>
    <s v="EU27"/>
    <x v="21"/>
    <n v="2023"/>
    <x v="18"/>
    <x v="0"/>
    <x v="2"/>
    <m/>
    <m/>
    <n v="11421.34017639772"/>
  </r>
  <r>
    <s v="EU27"/>
    <x v="21"/>
    <n v="2023"/>
    <x v="18"/>
    <x v="1"/>
    <x v="2"/>
    <m/>
    <m/>
    <n v="11252.124037493661"/>
  </r>
  <r>
    <s v="EU27"/>
    <x v="21"/>
    <n v="2023"/>
    <x v="18"/>
    <x v="2"/>
    <x v="2"/>
    <m/>
    <m/>
    <n v="4747.2729799999997"/>
  </r>
  <r>
    <s v="EU27"/>
    <x v="21"/>
    <n v="2023"/>
    <x v="19"/>
    <x v="0"/>
    <x v="2"/>
    <m/>
    <m/>
    <n v="11694.955703570209"/>
  </r>
  <r>
    <s v="EU27"/>
    <x v="21"/>
    <n v="2023"/>
    <x v="19"/>
    <x v="1"/>
    <x v="2"/>
    <m/>
    <m/>
    <n v="12846.67279734663"/>
  </r>
  <r>
    <s v="EU27"/>
    <x v="21"/>
    <n v="2023"/>
    <x v="19"/>
    <x v="2"/>
    <x v="2"/>
    <m/>
    <m/>
    <n v="764.82648000000006"/>
  </r>
  <r>
    <s v="EU27"/>
    <x v="21"/>
    <n v="2023"/>
    <x v="20"/>
    <x v="0"/>
    <x v="2"/>
    <m/>
    <m/>
    <n v="29310.9822841967"/>
  </r>
  <r>
    <s v="EU27"/>
    <x v="21"/>
    <n v="2023"/>
    <x v="20"/>
    <x v="1"/>
    <x v="2"/>
    <m/>
    <m/>
    <n v="29544.866480481491"/>
  </r>
  <r>
    <s v="EU27"/>
    <x v="21"/>
    <n v="2023"/>
    <x v="20"/>
    <x v="2"/>
    <x v="2"/>
    <m/>
    <m/>
    <n v="3175.3097600000001"/>
  </r>
  <r>
    <s v="EU27"/>
    <x v="21"/>
    <n v="2023"/>
    <x v="21"/>
    <x v="0"/>
    <x v="2"/>
    <m/>
    <m/>
    <n v="485.84695999999991"/>
  </r>
  <r>
    <s v="EU27"/>
    <x v="21"/>
    <n v="2023"/>
    <x v="21"/>
    <x v="1"/>
    <x v="2"/>
    <m/>
    <m/>
    <n v="330.60696000000002"/>
  </r>
  <r>
    <s v="EU27"/>
    <x v="21"/>
    <n v="2023"/>
    <x v="21"/>
    <x v="2"/>
    <x v="2"/>
    <m/>
    <m/>
    <n v="300.05711000000002"/>
  </r>
  <r>
    <s v="EU27"/>
    <x v="21"/>
    <n v="2023"/>
    <x v="22"/>
    <x v="0"/>
    <x v="2"/>
    <m/>
    <m/>
    <n v="-33604.518296610797"/>
  </r>
  <r>
    <s v="EU27"/>
    <x v="21"/>
    <n v="2023"/>
    <x v="22"/>
    <x v="1"/>
    <x v="2"/>
    <m/>
    <m/>
    <n v="-32825.330936610808"/>
  </r>
  <r>
    <s v="EU27"/>
    <x v="21"/>
    <n v="2023"/>
    <x v="22"/>
    <x v="2"/>
    <x v="2"/>
    <m/>
    <m/>
    <n v="-1692.54"/>
  </r>
  <r>
    <s v="EU27"/>
    <x v="21"/>
    <n v="2023"/>
    <x v="23"/>
    <x v="0"/>
    <x v="2"/>
    <m/>
    <m/>
    <n v="253.85033000000001"/>
  </r>
  <r>
    <s v="EU27"/>
    <x v="21"/>
    <n v="2023"/>
    <x v="23"/>
    <x v="1"/>
    <x v="2"/>
    <m/>
    <m/>
    <n v="253.85033000000001"/>
  </r>
  <r>
    <s v="EU27"/>
    <x v="21"/>
    <n v="2023"/>
    <x v="24"/>
    <x v="0"/>
    <x v="0"/>
    <m/>
    <m/>
    <n v="65833.674868867965"/>
  </r>
  <r>
    <s v="EU27"/>
    <x v="21"/>
    <n v="2023"/>
    <x v="24"/>
    <x v="0"/>
    <x v="1"/>
    <m/>
    <m/>
    <n v="230.52188036974681"/>
  </r>
  <r>
    <s v="EU27"/>
    <x v="21"/>
    <n v="2023"/>
    <x v="24"/>
    <x v="0"/>
    <x v="2"/>
    <m/>
    <m/>
    <n v="66133.495219237724"/>
  </r>
  <r>
    <s v="EU27"/>
    <x v="21"/>
    <n v="2023"/>
    <x v="24"/>
    <x v="1"/>
    <x v="0"/>
    <m/>
    <m/>
    <n v="66860.295698833826"/>
  </r>
  <r>
    <s v="EU27"/>
    <x v="21"/>
    <n v="2023"/>
    <x v="24"/>
    <x v="1"/>
    <x v="1"/>
    <m/>
    <m/>
    <n v="230.52188035542221"/>
  </r>
  <r>
    <s v="EU27"/>
    <x v="21"/>
    <n v="2023"/>
    <x v="24"/>
    <x v="1"/>
    <x v="2"/>
    <m/>
    <m/>
    <n v="66986.715361671086"/>
  </r>
  <r>
    <s v="EU27"/>
    <x v="21"/>
    <n v="2023"/>
    <x v="24"/>
    <x v="2"/>
    <x v="0"/>
    <m/>
    <m/>
    <n v="1693.9936600000001"/>
  </r>
  <r>
    <s v="EU27"/>
    <x v="21"/>
    <n v="2023"/>
    <x v="24"/>
    <x v="2"/>
    <x v="2"/>
    <m/>
    <m/>
    <n v="10223.31366"/>
  </r>
  <r>
    <s v="EU27"/>
    <x v="21"/>
    <n v="2023"/>
    <x v="25"/>
    <x v="0"/>
    <x v="0"/>
    <m/>
    <m/>
    <n v="169.54"/>
  </r>
  <r>
    <s v="EU27"/>
    <x v="21"/>
    <n v="2023"/>
    <x v="25"/>
    <x v="0"/>
    <x v="2"/>
    <m/>
    <m/>
    <n v="123944.4660659988"/>
  </r>
  <r>
    <s v="EU27"/>
    <x v="21"/>
    <n v="2023"/>
    <x v="25"/>
    <x v="1"/>
    <x v="0"/>
    <m/>
    <m/>
    <n v="169.54"/>
  </r>
  <r>
    <s v="EU27"/>
    <x v="21"/>
    <n v="2023"/>
    <x v="25"/>
    <x v="1"/>
    <x v="2"/>
    <m/>
    <m/>
    <n v="132502.5833149282"/>
  </r>
  <r>
    <s v="EU27"/>
    <x v="21"/>
    <n v="2023"/>
    <x v="25"/>
    <x v="2"/>
    <x v="2"/>
    <m/>
    <m/>
    <n v="1302.42896"/>
  </r>
  <r>
    <s v="EU27"/>
    <x v="21"/>
    <n v="2023"/>
    <x v="26"/>
    <x v="0"/>
    <x v="0"/>
    <m/>
    <m/>
    <n v="849.3"/>
  </r>
  <r>
    <s v="EU27"/>
    <x v="21"/>
    <n v="2023"/>
    <x v="26"/>
    <x v="0"/>
    <x v="2"/>
    <m/>
    <m/>
    <n v="141876.12085549539"/>
  </r>
  <r>
    <s v="EU27"/>
    <x v="21"/>
    <n v="2023"/>
    <x v="26"/>
    <x v="1"/>
    <x v="0"/>
    <m/>
    <m/>
    <n v="849.3"/>
  </r>
  <r>
    <s v="EU27"/>
    <x v="21"/>
    <n v="2023"/>
    <x v="26"/>
    <x v="1"/>
    <x v="2"/>
    <m/>
    <m/>
    <n v="144252.55078151991"/>
  </r>
  <r>
    <s v="EU27"/>
    <x v="21"/>
    <n v="2023"/>
    <x v="26"/>
    <x v="2"/>
    <x v="2"/>
    <m/>
    <m/>
    <n v="990.59999999999991"/>
  </r>
  <r>
    <s v="EU27"/>
    <x v="21"/>
    <n v="2023"/>
    <x v="27"/>
    <x v="0"/>
    <x v="0"/>
    <m/>
    <m/>
    <n v="698.47502000000009"/>
  </r>
  <r>
    <s v="EU27"/>
    <x v="21"/>
    <n v="2023"/>
    <x v="27"/>
    <x v="0"/>
    <x v="2"/>
    <m/>
    <m/>
    <n v="842.36756880129326"/>
  </r>
  <r>
    <s v="EU27"/>
    <x v="21"/>
    <n v="2023"/>
    <x v="27"/>
    <x v="1"/>
    <x v="0"/>
    <m/>
    <m/>
    <n v="701.47502000000009"/>
  </r>
  <r>
    <s v="EU27"/>
    <x v="21"/>
    <n v="2023"/>
    <x v="27"/>
    <x v="1"/>
    <x v="2"/>
    <m/>
    <m/>
    <n v="845.37502000000006"/>
  </r>
  <r>
    <s v="EU27"/>
    <x v="21"/>
    <n v="2023"/>
    <x v="28"/>
    <x v="0"/>
    <x v="0"/>
    <m/>
    <m/>
    <n v="1322643.4941369281"/>
  </r>
  <r>
    <s v="EU27"/>
    <x v="21"/>
    <n v="2023"/>
    <x v="28"/>
    <x v="0"/>
    <x v="1"/>
    <m/>
    <m/>
    <n v="613055.55119085452"/>
  </r>
  <r>
    <s v="EU27"/>
    <x v="21"/>
    <n v="2023"/>
    <x v="28"/>
    <x v="0"/>
    <x v="2"/>
    <m/>
    <m/>
    <n v="1952361.1209661979"/>
  </r>
  <r>
    <s v="EU27"/>
    <x v="21"/>
    <n v="2023"/>
    <x v="28"/>
    <x v="1"/>
    <x v="0"/>
    <m/>
    <m/>
    <n v="1527828.7468664779"/>
  </r>
  <r>
    <s v="EU27"/>
    <x v="21"/>
    <n v="2023"/>
    <x v="28"/>
    <x v="1"/>
    <x v="1"/>
    <m/>
    <m/>
    <n v="699547.11194923031"/>
  </r>
  <r>
    <s v="EU27"/>
    <x v="21"/>
    <n v="2023"/>
    <x v="28"/>
    <x v="1"/>
    <x v="2"/>
    <m/>
    <m/>
    <n v="2245675.8323299089"/>
  </r>
  <r>
    <s v="EU27"/>
    <x v="21"/>
    <n v="2023"/>
    <x v="28"/>
    <x v="2"/>
    <x v="0"/>
    <m/>
    <m/>
    <n v="17392.85929"/>
  </r>
  <r>
    <s v="EU27"/>
    <x v="21"/>
    <n v="2023"/>
    <x v="28"/>
    <x v="2"/>
    <x v="1"/>
    <m/>
    <m/>
    <n v="9507.5199400000001"/>
  </r>
  <r>
    <s v="EU27"/>
    <x v="21"/>
    <n v="2023"/>
    <x v="28"/>
    <x v="2"/>
    <x v="2"/>
    <m/>
    <m/>
    <n v="220604.89624999999"/>
  </r>
  <r>
    <s v="EU27"/>
    <x v="21"/>
    <n v="2023"/>
    <x v="29"/>
    <x v="0"/>
    <x v="0"/>
    <m/>
    <m/>
    <n v="1322643.4941369281"/>
  </r>
  <r>
    <s v="EU27"/>
    <x v="21"/>
    <n v="2023"/>
    <x v="29"/>
    <x v="0"/>
    <x v="1"/>
    <m/>
    <m/>
    <n v="613055.55119085452"/>
  </r>
  <r>
    <s v="EU27"/>
    <x v="21"/>
    <n v="2023"/>
    <x v="29"/>
    <x v="0"/>
    <x v="2"/>
    <m/>
    <m/>
    <n v="1671079.608118355"/>
  </r>
  <r>
    <s v="EU27"/>
    <x v="21"/>
    <n v="2023"/>
    <x v="29"/>
    <x v="1"/>
    <x v="0"/>
    <m/>
    <m/>
    <n v="1527828.7468664779"/>
  </r>
  <r>
    <s v="EU27"/>
    <x v="21"/>
    <n v="2023"/>
    <x v="29"/>
    <x v="1"/>
    <x v="1"/>
    <m/>
    <m/>
    <n v="699547.11194923031"/>
  </r>
  <r>
    <s v="EU27"/>
    <x v="21"/>
    <n v="2023"/>
    <x v="29"/>
    <x v="1"/>
    <x v="2"/>
    <m/>
    <m/>
    <n v="2029015.9668612159"/>
  </r>
  <r>
    <s v="EU27"/>
    <x v="21"/>
    <n v="2023"/>
    <x v="29"/>
    <x v="2"/>
    <x v="0"/>
    <m/>
    <m/>
    <n v="17392.85929"/>
  </r>
  <r>
    <s v="EU27"/>
    <x v="21"/>
    <n v="2023"/>
    <x v="29"/>
    <x v="2"/>
    <x v="1"/>
    <m/>
    <m/>
    <n v="9507.5199400000001"/>
  </r>
  <r>
    <s v="EU27"/>
    <x v="21"/>
    <n v="2023"/>
    <x v="29"/>
    <x v="2"/>
    <x v="2"/>
    <m/>
    <m/>
    <n v="209093.72485999999"/>
  </r>
  <r>
    <s v="EU27"/>
    <x v="22"/>
    <n v="2023"/>
    <x v="0"/>
    <x v="0"/>
    <x v="0"/>
    <m/>
    <m/>
    <n v="847292.83087570709"/>
  </r>
  <r>
    <s v="EU27"/>
    <x v="22"/>
    <n v="2023"/>
    <x v="0"/>
    <x v="0"/>
    <x v="1"/>
    <m/>
    <m/>
    <n v="440543.03868964972"/>
  </r>
  <r>
    <s v="EU27"/>
    <x v="22"/>
    <n v="2023"/>
    <x v="0"/>
    <x v="0"/>
    <x v="2"/>
    <m/>
    <m/>
    <n v="1304800.8252950171"/>
  </r>
  <r>
    <s v="EU27"/>
    <x v="22"/>
    <n v="2023"/>
    <x v="0"/>
    <x v="1"/>
    <x v="0"/>
    <m/>
    <m/>
    <n v="1031758.875246163"/>
  </r>
  <r>
    <s v="EU27"/>
    <x v="22"/>
    <n v="2023"/>
    <x v="0"/>
    <x v="1"/>
    <x v="1"/>
    <m/>
    <m/>
    <n v="518057.27669870242"/>
  </r>
  <r>
    <s v="EU27"/>
    <x v="22"/>
    <n v="2023"/>
    <x v="0"/>
    <x v="1"/>
    <x v="2"/>
    <m/>
    <m/>
    <n v="1568487.176991025"/>
  </r>
  <r>
    <s v="EU27"/>
    <x v="22"/>
    <n v="2023"/>
    <x v="0"/>
    <x v="2"/>
    <x v="0"/>
    <m/>
    <m/>
    <n v="12430.469639999999"/>
  </r>
  <r>
    <s v="EU27"/>
    <x v="22"/>
    <n v="2023"/>
    <x v="0"/>
    <x v="2"/>
    <x v="1"/>
    <m/>
    <m/>
    <n v="8765.3984999999993"/>
  </r>
  <r>
    <s v="EU27"/>
    <x v="22"/>
    <n v="2023"/>
    <x v="0"/>
    <x v="2"/>
    <x v="2"/>
    <m/>
    <m/>
    <n v="156501.99614"/>
  </r>
  <r>
    <s v="EU27"/>
    <x v="22"/>
    <n v="2023"/>
    <x v="1"/>
    <x v="0"/>
    <x v="0"/>
    <m/>
    <m/>
    <n v="39021.343398765282"/>
  </r>
  <r>
    <s v="EU27"/>
    <x v="22"/>
    <n v="2023"/>
    <x v="1"/>
    <x v="0"/>
    <x v="1"/>
    <m/>
    <m/>
    <n v="257373.14049837799"/>
  </r>
  <r>
    <s v="EU27"/>
    <x v="22"/>
    <n v="2023"/>
    <x v="1"/>
    <x v="0"/>
    <x v="2"/>
    <m/>
    <m/>
    <n v="296043.49280288123"/>
  </r>
  <r>
    <s v="EU27"/>
    <x v="22"/>
    <n v="2023"/>
    <x v="1"/>
    <x v="1"/>
    <x v="0"/>
    <m/>
    <m/>
    <n v="41406.914653161912"/>
  </r>
  <r>
    <s v="EU27"/>
    <x v="22"/>
    <n v="2023"/>
    <x v="1"/>
    <x v="1"/>
    <x v="1"/>
    <m/>
    <m/>
    <n v="306435.89564016683"/>
  </r>
  <r>
    <s v="EU27"/>
    <x v="22"/>
    <n v="2023"/>
    <x v="1"/>
    <x v="1"/>
    <x v="2"/>
    <m/>
    <m/>
    <n v="347537.8435754932"/>
  </r>
  <r>
    <s v="EU27"/>
    <x v="22"/>
    <n v="2023"/>
    <x v="1"/>
    <x v="2"/>
    <x v="0"/>
    <m/>
    <m/>
    <n v="49.137300000000003"/>
  </r>
  <r>
    <s v="EU27"/>
    <x v="22"/>
    <n v="2023"/>
    <x v="1"/>
    <x v="2"/>
    <x v="1"/>
    <m/>
    <m/>
    <n v="7212.3585000000003"/>
  </r>
  <r>
    <s v="EU27"/>
    <x v="22"/>
    <n v="2023"/>
    <x v="1"/>
    <x v="2"/>
    <x v="2"/>
    <m/>
    <m/>
    <n v="48234.995799999997"/>
  </r>
  <r>
    <s v="EU27"/>
    <x v="22"/>
    <n v="2023"/>
    <x v="2"/>
    <x v="0"/>
    <x v="0"/>
    <m/>
    <m/>
    <n v="94022.292342991321"/>
  </r>
  <r>
    <s v="EU27"/>
    <x v="22"/>
    <n v="2023"/>
    <x v="2"/>
    <x v="0"/>
    <x v="1"/>
    <m/>
    <m/>
    <n v="167609.43424400361"/>
  </r>
  <r>
    <s v="EU27"/>
    <x v="22"/>
    <n v="2023"/>
    <x v="2"/>
    <x v="0"/>
    <x v="2"/>
    <m/>
    <m/>
    <n v="261253.2520813056"/>
  </r>
  <r>
    <s v="EU27"/>
    <x v="22"/>
    <n v="2023"/>
    <x v="2"/>
    <x v="1"/>
    <x v="0"/>
    <m/>
    <m/>
    <n v="100799.6278459574"/>
  </r>
  <r>
    <s v="EU27"/>
    <x v="22"/>
    <n v="2023"/>
    <x v="2"/>
    <x v="1"/>
    <x v="1"/>
    <m/>
    <m/>
    <n v="194134.82626940851"/>
  </r>
  <r>
    <s v="EU27"/>
    <x v="22"/>
    <n v="2023"/>
    <x v="2"/>
    <x v="1"/>
    <x v="2"/>
    <m/>
    <m/>
    <n v="294562.82688152773"/>
  </r>
  <r>
    <s v="EU27"/>
    <x v="22"/>
    <n v="2023"/>
    <x v="2"/>
    <x v="2"/>
    <x v="0"/>
    <m/>
    <m/>
    <n v="1129.2303400000001"/>
  </r>
  <r>
    <s v="EU27"/>
    <x v="22"/>
    <n v="2023"/>
    <x v="2"/>
    <x v="2"/>
    <x v="1"/>
    <m/>
    <m/>
    <n v="1483.14"/>
  </r>
  <r>
    <s v="EU27"/>
    <x v="22"/>
    <n v="2023"/>
    <x v="2"/>
    <x v="2"/>
    <x v="2"/>
    <m/>
    <m/>
    <n v="22423.670340000001"/>
  </r>
  <r>
    <s v="EU27"/>
    <x v="22"/>
    <n v="2023"/>
    <x v="3"/>
    <x v="0"/>
    <x v="0"/>
    <m/>
    <m/>
    <n v="404836.8972288465"/>
  </r>
  <r>
    <s v="EU27"/>
    <x v="22"/>
    <n v="2023"/>
    <x v="3"/>
    <x v="0"/>
    <x v="1"/>
    <m/>
    <m/>
    <n v="3229.9589588305248"/>
  </r>
  <r>
    <s v="EU27"/>
    <x v="22"/>
    <n v="2023"/>
    <x v="3"/>
    <x v="0"/>
    <x v="2"/>
    <m/>
    <m/>
    <n v="425429.6334125537"/>
  </r>
  <r>
    <s v="EU27"/>
    <x v="22"/>
    <n v="2023"/>
    <x v="3"/>
    <x v="1"/>
    <x v="0"/>
    <m/>
    <m/>
    <n v="509781.10794157302"/>
  </r>
  <r>
    <s v="EU27"/>
    <x v="22"/>
    <n v="2023"/>
    <x v="3"/>
    <x v="1"/>
    <x v="1"/>
    <m/>
    <m/>
    <n v="3444.2397644843918"/>
  </r>
  <r>
    <s v="EU27"/>
    <x v="22"/>
    <n v="2023"/>
    <x v="3"/>
    <x v="1"/>
    <x v="2"/>
    <m/>
    <m/>
    <n v="532241.93100283516"/>
  </r>
  <r>
    <s v="EU27"/>
    <x v="22"/>
    <n v="2023"/>
    <x v="3"/>
    <x v="2"/>
    <x v="0"/>
    <m/>
    <m/>
    <n v="9352.4796999999999"/>
  </r>
  <r>
    <s v="EU27"/>
    <x v="22"/>
    <n v="2023"/>
    <x v="3"/>
    <x v="2"/>
    <x v="1"/>
    <m/>
    <m/>
    <n v="0"/>
  </r>
  <r>
    <s v="EU27"/>
    <x v="22"/>
    <n v="2023"/>
    <x v="3"/>
    <x v="2"/>
    <x v="2"/>
    <m/>
    <m/>
    <n v="45472.507699999987"/>
  </r>
  <r>
    <s v="EU27"/>
    <x v="22"/>
    <n v="2023"/>
    <x v="4"/>
    <x v="0"/>
    <x v="0"/>
    <m/>
    <m/>
    <n v="146.96036149752811"/>
  </r>
  <r>
    <s v="EU27"/>
    <x v="22"/>
    <n v="2023"/>
    <x v="4"/>
    <x v="0"/>
    <x v="1"/>
    <m/>
    <m/>
    <n v="0"/>
  </r>
  <r>
    <s v="EU27"/>
    <x v="22"/>
    <n v="2023"/>
    <x v="4"/>
    <x v="0"/>
    <x v="2"/>
    <m/>
    <m/>
    <n v="17208.639851554261"/>
  </r>
  <r>
    <s v="EU27"/>
    <x v="22"/>
    <n v="2023"/>
    <x v="4"/>
    <x v="1"/>
    <x v="0"/>
    <m/>
    <m/>
    <n v="159.46331070227239"/>
  </r>
  <r>
    <s v="EU27"/>
    <x v="22"/>
    <n v="2023"/>
    <x v="4"/>
    <x v="1"/>
    <x v="1"/>
    <m/>
    <m/>
    <n v="0"/>
  </r>
  <r>
    <s v="EU27"/>
    <x v="22"/>
    <n v="2023"/>
    <x v="4"/>
    <x v="1"/>
    <x v="2"/>
    <m/>
    <m/>
    <n v="18837.096687481509"/>
  </r>
  <r>
    <s v="EU27"/>
    <x v="22"/>
    <n v="2023"/>
    <x v="4"/>
    <x v="2"/>
    <x v="0"/>
    <m/>
    <m/>
    <n v="1.349E-2"/>
  </r>
  <r>
    <s v="EU27"/>
    <x v="22"/>
    <n v="2023"/>
    <x v="4"/>
    <x v="2"/>
    <x v="2"/>
    <m/>
    <m/>
    <n v="537.76149999999996"/>
  </r>
  <r>
    <s v="EU27"/>
    <x v="22"/>
    <n v="2023"/>
    <x v="5"/>
    <x v="0"/>
    <x v="0"/>
    <m/>
    <m/>
    <n v="383092.47669027367"/>
  </r>
  <r>
    <s v="EU27"/>
    <x v="22"/>
    <n v="2023"/>
    <x v="5"/>
    <x v="0"/>
    <x v="1"/>
    <m/>
    <m/>
    <n v="0"/>
  </r>
  <r>
    <s v="EU27"/>
    <x v="22"/>
    <n v="2023"/>
    <x v="5"/>
    <x v="0"/>
    <x v="2"/>
    <m/>
    <m/>
    <n v="383333.01182041538"/>
  </r>
  <r>
    <s v="EU27"/>
    <x v="22"/>
    <n v="2023"/>
    <x v="5"/>
    <x v="1"/>
    <x v="0"/>
    <m/>
    <m/>
    <n v="486167.94137889688"/>
  </r>
  <r>
    <s v="EU27"/>
    <x v="22"/>
    <n v="2023"/>
    <x v="5"/>
    <x v="1"/>
    <x v="1"/>
    <m/>
    <m/>
    <n v="0"/>
  </r>
  <r>
    <s v="EU27"/>
    <x v="22"/>
    <n v="2023"/>
    <x v="5"/>
    <x v="1"/>
    <x v="2"/>
    <m/>
    <m/>
    <n v="486481.61037286971"/>
  </r>
  <r>
    <s v="EU27"/>
    <x v="22"/>
    <n v="2023"/>
    <x v="5"/>
    <x v="2"/>
    <x v="0"/>
    <m/>
    <m/>
    <n v="9251.0407099999993"/>
  </r>
  <r>
    <s v="EU27"/>
    <x v="22"/>
    <n v="2023"/>
    <x v="5"/>
    <x v="2"/>
    <x v="2"/>
    <m/>
    <m/>
    <n v="42716.860710000001"/>
  </r>
  <r>
    <s v="EU27"/>
    <x v="22"/>
    <n v="2023"/>
    <x v="6"/>
    <x v="0"/>
    <x v="0"/>
    <m/>
    <m/>
    <n v="3244.6236142043299"/>
  </r>
  <r>
    <s v="EU27"/>
    <x v="22"/>
    <n v="2023"/>
    <x v="6"/>
    <x v="0"/>
    <x v="1"/>
    <m/>
    <m/>
    <n v="0"/>
  </r>
  <r>
    <s v="EU27"/>
    <x v="22"/>
    <n v="2023"/>
    <x v="6"/>
    <x v="0"/>
    <x v="2"/>
    <m/>
    <m/>
    <n v="3245.6508106470769"/>
  </r>
  <r>
    <s v="EU27"/>
    <x v="22"/>
    <n v="2023"/>
    <x v="6"/>
    <x v="1"/>
    <x v="0"/>
    <m/>
    <m/>
    <n v="4376.6871303044172"/>
  </r>
  <r>
    <s v="EU27"/>
    <x v="22"/>
    <n v="2023"/>
    <x v="6"/>
    <x v="1"/>
    <x v="1"/>
    <m/>
    <m/>
    <n v="0"/>
  </r>
  <r>
    <s v="EU27"/>
    <x v="22"/>
    <n v="2023"/>
    <x v="6"/>
    <x v="1"/>
    <x v="2"/>
    <m/>
    <m/>
    <n v="4377.7114258385573"/>
  </r>
  <r>
    <s v="EU27"/>
    <x v="22"/>
    <n v="2023"/>
    <x v="6"/>
    <x v="2"/>
    <x v="0"/>
    <m/>
    <m/>
    <n v="41.22"/>
  </r>
  <r>
    <s v="EU27"/>
    <x v="22"/>
    <n v="2023"/>
    <x v="6"/>
    <x v="2"/>
    <x v="2"/>
    <m/>
    <m/>
    <n v="1471.66"/>
  </r>
  <r>
    <s v="EU27"/>
    <x v="22"/>
    <n v="2023"/>
    <x v="7"/>
    <x v="0"/>
    <x v="0"/>
    <m/>
    <m/>
    <n v="17186.241104666991"/>
  </r>
  <r>
    <s v="EU27"/>
    <x v="22"/>
    <n v="2023"/>
    <x v="7"/>
    <x v="0"/>
    <x v="1"/>
    <m/>
    <m/>
    <n v="0"/>
  </r>
  <r>
    <s v="EU27"/>
    <x v="22"/>
    <n v="2023"/>
    <x v="7"/>
    <x v="0"/>
    <x v="2"/>
    <m/>
    <m/>
    <n v="17201.761624677179"/>
  </r>
  <r>
    <s v="EU27"/>
    <x v="22"/>
    <n v="2023"/>
    <x v="7"/>
    <x v="1"/>
    <x v="0"/>
    <m/>
    <m/>
    <n v="17598.151417455909"/>
  </r>
  <r>
    <s v="EU27"/>
    <x v="22"/>
    <n v="2023"/>
    <x v="7"/>
    <x v="1"/>
    <x v="1"/>
    <m/>
    <m/>
    <n v="0"/>
  </r>
  <r>
    <s v="EU27"/>
    <x v="22"/>
    <n v="2023"/>
    <x v="7"/>
    <x v="1"/>
    <x v="2"/>
    <m/>
    <m/>
    <n v="17613.476825884271"/>
  </r>
  <r>
    <s v="EU27"/>
    <x v="22"/>
    <n v="2023"/>
    <x v="7"/>
    <x v="2"/>
    <x v="0"/>
    <m/>
    <m/>
    <n v="52.905500000000004"/>
  </r>
  <r>
    <s v="EU27"/>
    <x v="22"/>
    <n v="2023"/>
    <x v="7"/>
    <x v="2"/>
    <x v="2"/>
    <m/>
    <m/>
    <n v="417.64550000000003"/>
  </r>
  <r>
    <s v="EU27"/>
    <x v="22"/>
    <n v="2023"/>
    <x v="8"/>
    <x v="0"/>
    <x v="0"/>
    <m/>
    <m/>
    <n v="1185.352408203976"/>
  </r>
  <r>
    <s v="EU27"/>
    <x v="22"/>
    <n v="2023"/>
    <x v="8"/>
    <x v="0"/>
    <x v="1"/>
    <m/>
    <m/>
    <n v="3273.9981570557661"/>
  </r>
  <r>
    <s v="EU27"/>
    <x v="22"/>
    <n v="2023"/>
    <x v="8"/>
    <x v="0"/>
    <x v="2"/>
    <m/>
    <m/>
    <n v="4459.2905852597423"/>
  </r>
  <r>
    <s v="EU27"/>
    <x v="22"/>
    <n v="2023"/>
    <x v="8"/>
    <x v="1"/>
    <x v="0"/>
    <m/>
    <m/>
    <n v="1497.5883342134341"/>
  </r>
  <r>
    <s v="EU27"/>
    <x v="22"/>
    <n v="2023"/>
    <x v="8"/>
    <x v="1"/>
    <x v="1"/>
    <m/>
    <m/>
    <n v="3453.0886465477129"/>
  </r>
  <r>
    <s v="EU27"/>
    <x v="22"/>
    <n v="2023"/>
    <x v="8"/>
    <x v="1"/>
    <x v="2"/>
    <m/>
    <m/>
    <n v="4950.6169907611466"/>
  </r>
  <r>
    <s v="EU27"/>
    <x v="22"/>
    <n v="2023"/>
    <x v="8"/>
    <x v="2"/>
    <x v="0"/>
    <m/>
    <m/>
    <n v="7.2"/>
  </r>
  <r>
    <s v="EU27"/>
    <x v="22"/>
    <n v="2023"/>
    <x v="8"/>
    <x v="2"/>
    <x v="2"/>
    <m/>
    <m/>
    <n v="328.52"/>
  </r>
  <r>
    <s v="EU27"/>
    <x v="22"/>
    <n v="2023"/>
    <x v="9"/>
    <x v="0"/>
    <x v="0"/>
    <m/>
    <m/>
    <n v="262441.2314511796"/>
  </r>
  <r>
    <s v="EU27"/>
    <x v="22"/>
    <n v="2023"/>
    <x v="9"/>
    <x v="0"/>
    <x v="1"/>
    <m/>
    <m/>
    <n v="1077.55695844102"/>
  </r>
  <r>
    <s v="EU27"/>
    <x v="22"/>
    <n v="2023"/>
    <x v="9"/>
    <x v="0"/>
    <x v="2"/>
    <m/>
    <m/>
    <n v="263847.90616672608"/>
  </r>
  <r>
    <s v="EU27"/>
    <x v="22"/>
    <n v="2023"/>
    <x v="9"/>
    <x v="1"/>
    <x v="0"/>
    <m/>
    <m/>
    <n v="330653.28680292662"/>
  </r>
  <r>
    <s v="EU27"/>
    <x v="22"/>
    <n v="2023"/>
    <x v="9"/>
    <x v="1"/>
    <x v="1"/>
    <m/>
    <m/>
    <n v="1237.3887772410501"/>
  </r>
  <r>
    <s v="EU27"/>
    <x v="22"/>
    <n v="2023"/>
    <x v="9"/>
    <x v="1"/>
    <x v="2"/>
    <m/>
    <m/>
    <n v="332219.20114132582"/>
  </r>
  <r>
    <s v="EU27"/>
    <x v="22"/>
    <n v="2023"/>
    <x v="9"/>
    <x v="2"/>
    <x v="0"/>
    <m/>
    <m/>
    <n v="1464.16229"/>
  </r>
  <r>
    <s v="EU27"/>
    <x v="22"/>
    <n v="2023"/>
    <x v="9"/>
    <x v="2"/>
    <x v="2"/>
    <m/>
    <m/>
    <n v="20447.622289999999"/>
  </r>
  <r>
    <s v="EU27"/>
    <x v="22"/>
    <n v="2023"/>
    <x v="10"/>
    <x v="0"/>
    <x v="0"/>
    <m/>
    <m/>
    <n v="3490.219770709502"/>
  </r>
  <r>
    <s v="EU27"/>
    <x v="22"/>
    <n v="2023"/>
    <x v="10"/>
    <x v="0"/>
    <x v="1"/>
    <m/>
    <m/>
    <n v="0"/>
  </r>
  <r>
    <s v="EU27"/>
    <x v="22"/>
    <n v="2023"/>
    <x v="10"/>
    <x v="0"/>
    <x v="2"/>
    <m/>
    <m/>
    <n v="3492.7578598424689"/>
  </r>
  <r>
    <s v="EU27"/>
    <x v="22"/>
    <n v="2023"/>
    <x v="10"/>
    <x v="1"/>
    <x v="0"/>
    <m/>
    <m/>
    <n v="3490.864750709502"/>
  </r>
  <r>
    <s v="EU27"/>
    <x v="22"/>
    <n v="2023"/>
    <x v="10"/>
    <x v="1"/>
    <x v="1"/>
    <m/>
    <m/>
    <n v="0"/>
  </r>
  <r>
    <s v="EU27"/>
    <x v="22"/>
    <n v="2023"/>
    <x v="10"/>
    <x v="1"/>
    <x v="2"/>
    <m/>
    <m/>
    <n v="3493.4028398424689"/>
  </r>
  <r>
    <s v="EU27"/>
    <x v="22"/>
    <n v="2023"/>
    <x v="10"/>
    <x v="2"/>
    <x v="0"/>
    <m/>
    <m/>
    <n v="4.0999999999999996"/>
  </r>
  <r>
    <s v="EU27"/>
    <x v="22"/>
    <n v="2023"/>
    <x v="10"/>
    <x v="2"/>
    <x v="2"/>
    <m/>
    <m/>
    <n v="1246.2"/>
  </r>
  <r>
    <s v="EU27"/>
    <x v="22"/>
    <n v="2023"/>
    <x v="11"/>
    <x v="0"/>
    <x v="0"/>
    <m/>
    <m/>
    <n v="43541.786713214948"/>
  </r>
  <r>
    <s v="EU27"/>
    <x v="22"/>
    <n v="2023"/>
    <x v="11"/>
    <x v="0"/>
    <x v="1"/>
    <m/>
    <m/>
    <n v="11252.84802999662"/>
  </r>
  <r>
    <s v="EU27"/>
    <x v="22"/>
    <n v="2023"/>
    <x v="11"/>
    <x v="0"/>
    <x v="2"/>
    <m/>
    <m/>
    <n v="54794.60297170806"/>
  </r>
  <r>
    <s v="EU27"/>
    <x v="22"/>
    <n v="2023"/>
    <x v="11"/>
    <x v="1"/>
    <x v="0"/>
    <m/>
    <m/>
    <n v="45687.953281835027"/>
  </r>
  <r>
    <s v="EU27"/>
    <x v="22"/>
    <n v="2023"/>
    <x v="11"/>
    <x v="1"/>
    <x v="1"/>
    <m/>
    <m/>
    <n v="12805.106278164971"/>
  </r>
  <r>
    <s v="EU27"/>
    <x v="22"/>
    <n v="2023"/>
    <x v="11"/>
    <x v="1"/>
    <x v="2"/>
    <m/>
    <m/>
    <n v="58493.171549999999"/>
  </r>
  <r>
    <s v="EU27"/>
    <x v="22"/>
    <n v="2023"/>
    <x v="11"/>
    <x v="2"/>
    <x v="0"/>
    <m/>
    <m/>
    <n v="431.3"/>
  </r>
  <r>
    <s v="EU27"/>
    <x v="22"/>
    <n v="2023"/>
    <x v="11"/>
    <x v="2"/>
    <x v="1"/>
    <m/>
    <m/>
    <n v="69.900000000000006"/>
  </r>
  <r>
    <s v="EU27"/>
    <x v="22"/>
    <n v="2023"/>
    <x v="11"/>
    <x v="2"/>
    <x v="2"/>
    <m/>
    <m/>
    <n v="18677"/>
  </r>
  <r>
    <s v="EU27"/>
    <x v="22"/>
    <n v="2023"/>
    <x v="12"/>
    <x v="0"/>
    <x v="0"/>
    <m/>
    <m/>
    <n v="0"/>
  </r>
  <r>
    <s v="EU27"/>
    <x v="22"/>
    <n v="2023"/>
    <x v="12"/>
    <x v="0"/>
    <x v="1"/>
    <m/>
    <m/>
    <n v="0"/>
  </r>
  <r>
    <s v="EU27"/>
    <x v="22"/>
    <n v="2023"/>
    <x v="12"/>
    <x v="0"/>
    <x v="2"/>
    <m/>
    <m/>
    <n v="0"/>
  </r>
  <r>
    <s v="EU27"/>
    <x v="22"/>
    <n v="2023"/>
    <x v="12"/>
    <x v="1"/>
    <x v="0"/>
    <m/>
    <m/>
    <n v="0"/>
  </r>
  <r>
    <s v="EU27"/>
    <x v="22"/>
    <n v="2023"/>
    <x v="12"/>
    <x v="1"/>
    <x v="1"/>
    <m/>
    <m/>
    <n v="0"/>
  </r>
  <r>
    <s v="EU27"/>
    <x v="22"/>
    <n v="2023"/>
    <x v="12"/>
    <x v="1"/>
    <x v="2"/>
    <m/>
    <m/>
    <n v="0"/>
  </r>
  <r>
    <s v="EU27"/>
    <x v="22"/>
    <n v="2023"/>
    <x v="13"/>
    <x v="0"/>
    <x v="0"/>
    <m/>
    <m/>
    <n v="44594.435054082722"/>
  </r>
  <r>
    <s v="EU27"/>
    <x v="22"/>
    <n v="2023"/>
    <x v="13"/>
    <x v="0"/>
    <x v="1"/>
    <m/>
    <m/>
    <n v="168491.79055005161"/>
  </r>
  <r>
    <s v="EU27"/>
    <x v="22"/>
    <n v="2023"/>
    <x v="13"/>
    <x v="0"/>
    <x v="2"/>
    <m/>
    <m/>
    <n v="212839.60029343801"/>
  </r>
  <r>
    <s v="EU27"/>
    <x v="22"/>
    <n v="2023"/>
    <x v="13"/>
    <x v="1"/>
    <x v="0"/>
    <m/>
    <m/>
    <n v="47927.453005449999"/>
  </r>
  <r>
    <s v="EU27"/>
    <x v="22"/>
    <n v="2023"/>
    <x v="13"/>
    <x v="1"/>
    <x v="1"/>
    <m/>
    <m/>
    <n v="178283.56962395"/>
  </r>
  <r>
    <s v="EU27"/>
    <x v="22"/>
    <n v="2023"/>
    <x v="13"/>
    <x v="1"/>
    <x v="2"/>
    <m/>
    <m/>
    <n v="225951.74698124331"/>
  </r>
  <r>
    <s v="EU27"/>
    <x v="22"/>
    <n v="2023"/>
    <x v="13"/>
    <x v="2"/>
    <x v="0"/>
    <m/>
    <m/>
    <n v="1203.4127800000001"/>
  </r>
  <r>
    <s v="EU27"/>
    <x v="22"/>
    <n v="2023"/>
    <x v="13"/>
    <x v="2"/>
    <x v="1"/>
    <m/>
    <m/>
    <n v="764.56"/>
  </r>
  <r>
    <s v="EU27"/>
    <x v="22"/>
    <n v="2023"/>
    <x v="13"/>
    <x v="2"/>
    <x v="2"/>
    <m/>
    <m/>
    <n v="17424.932779999999"/>
  </r>
  <r>
    <s v="EU27"/>
    <x v="22"/>
    <n v="2023"/>
    <x v="14"/>
    <x v="0"/>
    <x v="0"/>
    <m/>
    <m/>
    <n v="348120.86647824652"/>
  </r>
  <r>
    <s v="EU27"/>
    <x v="22"/>
    <n v="2023"/>
    <x v="14"/>
    <x v="0"/>
    <x v="2"/>
    <m/>
    <m/>
    <n v="347952.18819684902"/>
  </r>
  <r>
    <s v="EU27"/>
    <x v="22"/>
    <n v="2023"/>
    <x v="14"/>
    <x v="1"/>
    <x v="0"/>
    <m/>
    <m/>
    <n v="365919.24709511671"/>
  </r>
  <r>
    <s v="EU27"/>
    <x v="22"/>
    <n v="2023"/>
    <x v="14"/>
    <x v="1"/>
    <x v="2"/>
    <m/>
    <m/>
    <n v="365919.24709511671"/>
  </r>
  <r>
    <s v="EU27"/>
    <x v="22"/>
    <n v="2023"/>
    <x v="14"/>
    <x v="2"/>
    <x v="0"/>
    <m/>
    <m/>
    <n v="2076.86121"/>
  </r>
  <r>
    <s v="EU27"/>
    <x v="22"/>
    <n v="2023"/>
    <x v="14"/>
    <x v="2"/>
    <x v="2"/>
    <m/>
    <m/>
    <n v="37696.521210000014"/>
  </r>
  <r>
    <s v="EU27"/>
    <x v="22"/>
    <n v="2023"/>
    <x v="15"/>
    <x v="0"/>
    <x v="2"/>
    <m/>
    <m/>
    <n v="-246139.4108184294"/>
  </r>
  <r>
    <s v="EU27"/>
    <x v="22"/>
    <n v="2023"/>
    <x v="15"/>
    <x v="1"/>
    <x v="2"/>
    <m/>
    <m/>
    <n v="-213237.37842487209"/>
  </r>
  <r>
    <s v="EU27"/>
    <x v="22"/>
    <n v="2023"/>
    <x v="15"/>
    <x v="2"/>
    <x v="2"/>
    <m/>
    <m/>
    <n v="-11190.29212"/>
  </r>
  <r>
    <s v="EU27"/>
    <x v="22"/>
    <n v="2023"/>
    <x v="16"/>
    <x v="0"/>
    <x v="2"/>
    <m/>
    <m/>
    <n v="-287940.56800687819"/>
  </r>
  <r>
    <s v="EU27"/>
    <x v="22"/>
    <n v="2023"/>
    <x v="16"/>
    <x v="1"/>
    <x v="2"/>
    <m/>
    <m/>
    <n v="-267303.67282116698"/>
  </r>
  <r>
    <s v="EU27"/>
    <x v="22"/>
    <n v="2023"/>
    <x v="16"/>
    <x v="2"/>
    <x v="2"/>
    <m/>
    <m/>
    <n v="-16643.24163"/>
  </r>
  <r>
    <s v="EU27"/>
    <x v="22"/>
    <n v="2023"/>
    <x v="17"/>
    <x v="0"/>
    <x v="2"/>
    <m/>
    <m/>
    <n v="23460.845800689342"/>
  </r>
  <r>
    <s v="EU27"/>
    <x v="22"/>
    <n v="2023"/>
    <x v="17"/>
    <x v="1"/>
    <x v="2"/>
    <m/>
    <m/>
    <n v="31520.286279077649"/>
  </r>
  <r>
    <s v="EU27"/>
    <x v="22"/>
    <n v="2023"/>
    <x v="17"/>
    <x v="2"/>
    <x v="2"/>
    <m/>
    <m/>
    <n v="-2188.0760300000002"/>
  </r>
  <r>
    <s v="EU27"/>
    <x v="22"/>
    <n v="2023"/>
    <x v="18"/>
    <x v="0"/>
    <x v="2"/>
    <m/>
    <m/>
    <n v="11379.05352374418"/>
  </r>
  <r>
    <s v="EU27"/>
    <x v="22"/>
    <n v="2023"/>
    <x v="18"/>
    <x v="1"/>
    <x v="2"/>
    <m/>
    <m/>
    <n v="12229.478858640919"/>
  </r>
  <r>
    <s v="EU27"/>
    <x v="22"/>
    <n v="2023"/>
    <x v="18"/>
    <x v="2"/>
    <x v="2"/>
    <m/>
    <m/>
    <n v="5012.7526499999994"/>
  </r>
  <r>
    <s v="EU27"/>
    <x v="22"/>
    <n v="2023"/>
    <x v="19"/>
    <x v="0"/>
    <x v="2"/>
    <m/>
    <m/>
    <n v="11692.89145511204"/>
  </r>
  <r>
    <s v="EU27"/>
    <x v="22"/>
    <n v="2023"/>
    <x v="19"/>
    <x v="1"/>
    <x v="2"/>
    <m/>
    <m/>
    <n v="12860.063425777451"/>
  </r>
  <r>
    <s v="EU27"/>
    <x v="22"/>
    <n v="2023"/>
    <x v="19"/>
    <x v="2"/>
    <x v="2"/>
    <m/>
    <m/>
    <n v="764.64648"/>
  </r>
  <r>
    <s v="EU27"/>
    <x v="22"/>
    <n v="2023"/>
    <x v="20"/>
    <x v="0"/>
    <x v="2"/>
    <m/>
    <m/>
    <n v="29097.003000573299"/>
  </r>
  <r>
    <s v="EU27"/>
    <x v="22"/>
    <n v="2023"/>
    <x v="20"/>
    <x v="1"/>
    <x v="2"/>
    <m/>
    <m/>
    <n v="29435.0856822237"/>
  </r>
  <r>
    <s v="EU27"/>
    <x v="22"/>
    <n v="2023"/>
    <x v="20"/>
    <x v="2"/>
    <x v="2"/>
    <m/>
    <m/>
    <n v="3201.7291300000002"/>
  </r>
  <r>
    <s v="EU27"/>
    <x v="22"/>
    <n v="2023"/>
    <x v="21"/>
    <x v="0"/>
    <x v="2"/>
    <m/>
    <m/>
    <n v="492.16034999999988"/>
  </r>
  <r>
    <s v="EU27"/>
    <x v="22"/>
    <n v="2023"/>
    <x v="21"/>
    <x v="1"/>
    <x v="2"/>
    <m/>
    <m/>
    <n v="331.30034999999992"/>
  </r>
  <r>
    <s v="EU27"/>
    <x v="22"/>
    <n v="2023"/>
    <x v="21"/>
    <x v="2"/>
    <x v="2"/>
    <m/>
    <m/>
    <n v="308.59728000000001"/>
  </r>
  <r>
    <s v="EU27"/>
    <x v="22"/>
    <n v="2023"/>
    <x v="22"/>
    <x v="0"/>
    <x v="2"/>
    <m/>
    <m/>
    <n v="-33780.989880077017"/>
  </r>
  <r>
    <s v="EU27"/>
    <x v="22"/>
    <n v="2023"/>
    <x v="22"/>
    <x v="1"/>
    <x v="2"/>
    <m/>
    <m/>
    <n v="-32716.134680077019"/>
  </r>
  <r>
    <s v="EU27"/>
    <x v="22"/>
    <n v="2023"/>
    <x v="22"/>
    <x v="2"/>
    <x v="2"/>
    <m/>
    <m/>
    <n v="-1646.76"/>
  </r>
  <r>
    <s v="EU27"/>
    <x v="22"/>
    <n v="2023"/>
    <x v="23"/>
    <x v="0"/>
    <x v="2"/>
    <m/>
    <m/>
    <n v="253.85033000000001"/>
  </r>
  <r>
    <s v="EU27"/>
    <x v="22"/>
    <n v="2023"/>
    <x v="23"/>
    <x v="1"/>
    <x v="2"/>
    <m/>
    <m/>
    <n v="253.85033000000001"/>
  </r>
  <r>
    <s v="EU27"/>
    <x v="22"/>
    <n v="2023"/>
    <x v="24"/>
    <x v="0"/>
    <x v="0"/>
    <m/>
    <m/>
    <n v="64631.304312267421"/>
  </r>
  <r>
    <s v="EU27"/>
    <x v="22"/>
    <n v="2023"/>
    <x v="24"/>
    <x v="0"/>
    <x v="1"/>
    <m/>
    <m/>
    <n v="228.45749825165061"/>
  </r>
  <r>
    <s v="EU27"/>
    <x v="22"/>
    <n v="2023"/>
    <x v="24"/>
    <x v="0"/>
    <x v="2"/>
    <m/>
    <m/>
    <n v="64963.709510519067"/>
  </r>
  <r>
    <s v="EU27"/>
    <x v="22"/>
    <n v="2023"/>
    <x v="24"/>
    <x v="1"/>
    <x v="0"/>
    <m/>
    <m/>
    <n v="65671.638162230927"/>
  </r>
  <r>
    <s v="EU27"/>
    <x v="22"/>
    <n v="2023"/>
    <x v="24"/>
    <x v="1"/>
    <x v="1"/>
    <m/>
    <m/>
    <n v="228.45749823633619"/>
  </r>
  <r>
    <s v="EU27"/>
    <x v="22"/>
    <n v="2023"/>
    <x v="24"/>
    <x v="1"/>
    <x v="2"/>
    <m/>
    <m/>
    <n v="65796.925704806708"/>
  </r>
  <r>
    <s v="EU27"/>
    <x v="22"/>
    <n v="2023"/>
    <x v="24"/>
    <x v="2"/>
    <x v="0"/>
    <m/>
    <m/>
    <n v="1698.95634"/>
  </r>
  <r>
    <s v="EU27"/>
    <x v="22"/>
    <n v="2023"/>
    <x v="24"/>
    <x v="2"/>
    <x v="2"/>
    <m/>
    <m/>
    <n v="10198.536340000001"/>
  </r>
  <r>
    <s v="EU27"/>
    <x v="22"/>
    <n v="2023"/>
    <x v="25"/>
    <x v="0"/>
    <x v="0"/>
    <m/>
    <m/>
    <n v="172.76"/>
  </r>
  <r>
    <s v="EU27"/>
    <x v="22"/>
    <n v="2023"/>
    <x v="25"/>
    <x v="0"/>
    <x v="2"/>
    <m/>
    <m/>
    <n v="124535.1804134721"/>
  </r>
  <r>
    <s v="EU27"/>
    <x v="22"/>
    <n v="2023"/>
    <x v="25"/>
    <x v="1"/>
    <x v="0"/>
    <m/>
    <m/>
    <n v="172.76"/>
  </r>
  <r>
    <s v="EU27"/>
    <x v="22"/>
    <n v="2023"/>
    <x v="25"/>
    <x v="1"/>
    <x v="2"/>
    <m/>
    <m/>
    <n v="133149.59125157091"/>
  </r>
  <r>
    <s v="EU27"/>
    <x v="22"/>
    <n v="2023"/>
    <x v="25"/>
    <x v="2"/>
    <x v="2"/>
    <m/>
    <m/>
    <n v="1313.76493"/>
  </r>
  <r>
    <s v="EU27"/>
    <x v="22"/>
    <n v="2023"/>
    <x v="26"/>
    <x v="0"/>
    <x v="0"/>
    <m/>
    <m/>
    <n v="851.7"/>
  </r>
  <r>
    <s v="EU27"/>
    <x v="22"/>
    <n v="2023"/>
    <x v="26"/>
    <x v="0"/>
    <x v="2"/>
    <m/>
    <m/>
    <n v="142168.75280853751"/>
  </r>
  <r>
    <s v="EU27"/>
    <x v="22"/>
    <n v="2023"/>
    <x v="26"/>
    <x v="1"/>
    <x v="0"/>
    <m/>
    <m/>
    <n v="851.7"/>
  </r>
  <r>
    <s v="EU27"/>
    <x v="22"/>
    <n v="2023"/>
    <x v="26"/>
    <x v="1"/>
    <x v="2"/>
    <m/>
    <m/>
    <n v="144573.1247429096"/>
  </r>
  <r>
    <s v="EU27"/>
    <x v="22"/>
    <n v="2023"/>
    <x v="26"/>
    <x v="2"/>
    <x v="2"/>
    <m/>
    <m/>
    <n v="996"/>
  </r>
  <r>
    <s v="EU27"/>
    <x v="22"/>
    <n v="2023"/>
    <x v="27"/>
    <x v="0"/>
    <x v="0"/>
    <m/>
    <m/>
    <n v="699.57328000000007"/>
  </r>
  <r>
    <s v="EU27"/>
    <x v="22"/>
    <n v="2023"/>
    <x v="27"/>
    <x v="0"/>
    <x v="2"/>
    <m/>
    <m/>
    <n v="843.46580320193982"/>
  </r>
  <r>
    <s v="EU27"/>
    <x v="22"/>
    <n v="2023"/>
    <x v="27"/>
    <x v="1"/>
    <x v="0"/>
    <m/>
    <m/>
    <n v="703.07328000000007"/>
  </r>
  <r>
    <s v="EU27"/>
    <x v="22"/>
    <n v="2023"/>
    <x v="27"/>
    <x v="1"/>
    <x v="2"/>
    <m/>
    <m/>
    <n v="846.97327999999993"/>
  </r>
  <r>
    <s v="EU27"/>
    <x v="22"/>
    <n v="2023"/>
    <x v="28"/>
    <x v="0"/>
    <x v="0"/>
    <m/>
    <m/>
    <n v="1305060.883340304"/>
  </r>
  <r>
    <s v="EU27"/>
    <x v="22"/>
    <n v="2023"/>
    <x v="28"/>
    <x v="0"/>
    <x v="1"/>
    <m/>
    <m/>
    <n v="609262.96672795305"/>
  </r>
  <r>
    <s v="EU27"/>
    <x v="22"/>
    <n v="2023"/>
    <x v="28"/>
    <x v="0"/>
    <x v="2"/>
    <m/>
    <m/>
    <n v="1930978.329885823"/>
  </r>
  <r>
    <s v="EU27"/>
    <x v="22"/>
    <n v="2023"/>
    <x v="28"/>
    <x v="1"/>
    <x v="0"/>
    <m/>
    <m/>
    <n v="1511980.226778961"/>
  </r>
  <r>
    <s v="EU27"/>
    <x v="22"/>
    <n v="2023"/>
    <x v="28"/>
    <x v="1"/>
    <x v="1"/>
    <m/>
    <m/>
    <n v="696569.34382088878"/>
  </r>
  <r>
    <s v="EU27"/>
    <x v="22"/>
    <n v="2023"/>
    <x v="28"/>
    <x v="1"/>
    <x v="2"/>
    <m/>
    <m/>
    <n v="2226858.4072621912"/>
  </r>
  <r>
    <s v="EU27"/>
    <x v="22"/>
    <n v="2023"/>
    <x v="28"/>
    <x v="2"/>
    <x v="0"/>
    <m/>
    <m/>
    <n v="17409.699960000002"/>
  </r>
  <r>
    <s v="EU27"/>
    <x v="22"/>
    <n v="2023"/>
    <x v="28"/>
    <x v="2"/>
    <x v="1"/>
    <m/>
    <m/>
    <n v="9530.058500000001"/>
  </r>
  <r>
    <s v="EU27"/>
    <x v="22"/>
    <n v="2023"/>
    <x v="28"/>
    <x v="2"/>
    <x v="2"/>
    <m/>
    <m/>
    <n v="221822.00646"/>
  </r>
  <r>
    <s v="EU27"/>
    <x v="22"/>
    <n v="2023"/>
    <x v="29"/>
    <x v="0"/>
    <x v="0"/>
    <m/>
    <m/>
    <n v="1305060.883340304"/>
  </r>
  <r>
    <s v="EU27"/>
    <x v="22"/>
    <n v="2023"/>
    <x v="29"/>
    <x v="0"/>
    <x v="1"/>
    <m/>
    <m/>
    <n v="609262.96672795305"/>
  </r>
  <r>
    <s v="EU27"/>
    <x v="22"/>
    <n v="2023"/>
    <x v="29"/>
    <x v="0"/>
    <x v="2"/>
    <m/>
    <m/>
    <n v="1657334.9271873939"/>
  </r>
  <r>
    <s v="EU27"/>
    <x v="22"/>
    <n v="2023"/>
    <x v="29"/>
    <x v="1"/>
    <x v="0"/>
    <m/>
    <m/>
    <n v="1511980.226778961"/>
  </r>
  <r>
    <s v="EU27"/>
    <x v="22"/>
    <n v="2023"/>
    <x v="29"/>
    <x v="1"/>
    <x v="1"/>
    <m/>
    <m/>
    <n v="696569.34382088878"/>
  </r>
  <r>
    <s v="EU27"/>
    <x v="22"/>
    <n v="2023"/>
    <x v="29"/>
    <x v="1"/>
    <x v="2"/>
    <m/>
    <m/>
    <n v="2013617.390937319"/>
  </r>
  <r>
    <s v="EU27"/>
    <x v="22"/>
    <n v="2023"/>
    <x v="29"/>
    <x v="2"/>
    <x v="0"/>
    <m/>
    <m/>
    <n v="17409.699960000002"/>
  </r>
  <r>
    <s v="EU27"/>
    <x v="22"/>
    <n v="2023"/>
    <x v="29"/>
    <x v="2"/>
    <x v="1"/>
    <m/>
    <m/>
    <n v="9530.058500000001"/>
  </r>
  <r>
    <s v="EU27"/>
    <x v="22"/>
    <n v="2023"/>
    <x v="29"/>
    <x v="2"/>
    <x v="2"/>
    <m/>
    <m/>
    <n v="210944.69433999999"/>
  </r>
  <r>
    <s v="EU27"/>
    <x v="23"/>
    <n v="2023"/>
    <x v="0"/>
    <x v="0"/>
    <x v="0"/>
    <m/>
    <m/>
    <n v="833004.18838821398"/>
  </r>
  <r>
    <s v="EU27"/>
    <x v="23"/>
    <n v="2023"/>
    <x v="0"/>
    <x v="0"/>
    <x v="1"/>
    <m/>
    <m/>
    <n v="435801.09882719012"/>
  </r>
  <r>
    <s v="EU27"/>
    <x v="23"/>
    <n v="2023"/>
    <x v="0"/>
    <x v="0"/>
    <x v="2"/>
    <m/>
    <m/>
    <n v="1285722.8157706431"/>
  </r>
  <r>
    <s v="EU27"/>
    <x v="23"/>
    <n v="2023"/>
    <x v="0"/>
    <x v="1"/>
    <x v="0"/>
    <m/>
    <m/>
    <n v="1018482.845256464"/>
  </r>
  <r>
    <s v="EU27"/>
    <x v="23"/>
    <n v="2023"/>
    <x v="0"/>
    <x v="1"/>
    <x v="1"/>
    <m/>
    <m/>
    <n v="514234.53692747792"/>
  </r>
  <r>
    <s v="EU27"/>
    <x v="23"/>
    <n v="2023"/>
    <x v="0"/>
    <x v="1"/>
    <x v="2"/>
    <m/>
    <m/>
    <n v="1551396.526968865"/>
  </r>
  <r>
    <s v="EU27"/>
    <x v="23"/>
    <n v="2023"/>
    <x v="0"/>
    <x v="2"/>
    <x v="0"/>
    <m/>
    <m/>
    <n v="12432.76296"/>
  </r>
  <r>
    <s v="EU27"/>
    <x v="23"/>
    <n v="2023"/>
    <x v="0"/>
    <x v="2"/>
    <x v="1"/>
    <m/>
    <m/>
    <n v="8786.5170600000001"/>
  </r>
  <r>
    <s v="EU27"/>
    <x v="23"/>
    <n v="2023"/>
    <x v="0"/>
    <x v="2"/>
    <x v="2"/>
    <m/>
    <m/>
    <n v="157156.59899999999"/>
  </r>
  <r>
    <s v="EU27"/>
    <x v="23"/>
    <n v="2023"/>
    <x v="1"/>
    <x v="0"/>
    <x v="0"/>
    <m/>
    <m/>
    <n v="39273.320717006703"/>
  </r>
  <r>
    <s v="EU27"/>
    <x v="23"/>
    <n v="2023"/>
    <x v="1"/>
    <x v="0"/>
    <x v="1"/>
    <m/>
    <m/>
    <n v="256127.37899791641"/>
  </r>
  <r>
    <s v="EU27"/>
    <x v="23"/>
    <n v="2023"/>
    <x v="1"/>
    <x v="0"/>
    <x v="2"/>
    <m/>
    <m/>
    <n v="294932.77821908979"/>
  </r>
  <r>
    <s v="EU27"/>
    <x v="23"/>
    <n v="2023"/>
    <x v="1"/>
    <x v="1"/>
    <x v="0"/>
    <m/>
    <m/>
    <n v="41146.599246351077"/>
  </r>
  <r>
    <s v="EU27"/>
    <x v="23"/>
    <n v="2023"/>
    <x v="1"/>
    <x v="1"/>
    <x v="1"/>
    <m/>
    <m/>
    <n v="305742.68554177543"/>
  </r>
  <r>
    <s v="EU27"/>
    <x v="23"/>
    <n v="2023"/>
    <x v="1"/>
    <x v="1"/>
    <x v="2"/>
    <m/>
    <m/>
    <n v="346482.72917210491"/>
  </r>
  <r>
    <s v="EU27"/>
    <x v="23"/>
    <n v="2023"/>
    <x v="1"/>
    <x v="2"/>
    <x v="0"/>
    <m/>
    <m/>
    <n v="46.774349999999998"/>
  </r>
  <r>
    <s v="EU27"/>
    <x v="23"/>
    <n v="2023"/>
    <x v="1"/>
    <x v="2"/>
    <x v="1"/>
    <m/>
    <m/>
    <n v="7225.8970600000002"/>
  </r>
  <r>
    <s v="EU27"/>
    <x v="23"/>
    <n v="2023"/>
    <x v="1"/>
    <x v="2"/>
    <x v="2"/>
    <m/>
    <m/>
    <n v="48246.171410000003"/>
  </r>
  <r>
    <s v="EU27"/>
    <x v="23"/>
    <n v="2023"/>
    <x v="2"/>
    <x v="0"/>
    <x v="0"/>
    <m/>
    <m/>
    <n v="94210.968947567293"/>
  </r>
  <r>
    <s v="EU27"/>
    <x v="23"/>
    <n v="2023"/>
    <x v="2"/>
    <x v="0"/>
    <x v="1"/>
    <m/>
    <m/>
    <n v="164630.44714380999"/>
  </r>
  <r>
    <s v="EU27"/>
    <x v="23"/>
    <n v="2023"/>
    <x v="2"/>
    <x v="0"/>
    <x v="2"/>
    <m/>
    <m/>
    <n v="258337.18342559849"/>
  </r>
  <r>
    <s v="EU27"/>
    <x v="23"/>
    <n v="2023"/>
    <x v="2"/>
    <x v="1"/>
    <x v="0"/>
    <m/>
    <m/>
    <n v="101126.45009711709"/>
  </r>
  <r>
    <s v="EU27"/>
    <x v="23"/>
    <n v="2023"/>
    <x v="2"/>
    <x v="1"/>
    <x v="1"/>
    <m/>
    <m/>
    <n v="191490.5730059178"/>
  </r>
  <r>
    <s v="EU27"/>
    <x v="23"/>
    <n v="2023"/>
    <x v="2"/>
    <x v="1"/>
    <x v="2"/>
    <m/>
    <m/>
    <n v="292121.55347648048"/>
  </r>
  <r>
    <s v="EU27"/>
    <x v="23"/>
    <n v="2023"/>
    <x v="2"/>
    <x v="2"/>
    <x v="0"/>
    <m/>
    <m/>
    <n v="1137.64616"/>
  </r>
  <r>
    <s v="EU27"/>
    <x v="23"/>
    <n v="2023"/>
    <x v="2"/>
    <x v="2"/>
    <x v="1"/>
    <m/>
    <m/>
    <n v="1490.72"/>
  </r>
  <r>
    <s v="EU27"/>
    <x v="23"/>
    <n v="2023"/>
    <x v="2"/>
    <x v="2"/>
    <x v="2"/>
    <m/>
    <m/>
    <n v="22712.166160000001"/>
  </r>
  <r>
    <s v="EU27"/>
    <x v="23"/>
    <n v="2023"/>
    <x v="3"/>
    <x v="0"/>
    <x v="0"/>
    <m/>
    <m/>
    <n v="396155.71660533111"/>
  </r>
  <r>
    <s v="EU27"/>
    <x v="23"/>
    <n v="2023"/>
    <x v="3"/>
    <x v="0"/>
    <x v="1"/>
    <m/>
    <m/>
    <n v="3219.9113342074261"/>
  </r>
  <r>
    <s v="EU27"/>
    <x v="23"/>
    <n v="2023"/>
    <x v="3"/>
    <x v="0"/>
    <x v="2"/>
    <m/>
    <m/>
    <n v="416823.585219395"/>
  </r>
  <r>
    <s v="EU27"/>
    <x v="23"/>
    <n v="2023"/>
    <x v="3"/>
    <x v="1"/>
    <x v="0"/>
    <m/>
    <m/>
    <n v="501652.04263279669"/>
  </r>
  <r>
    <s v="EU27"/>
    <x v="23"/>
    <n v="2023"/>
    <x v="3"/>
    <x v="1"/>
    <x v="1"/>
    <m/>
    <m/>
    <n v="3438.9765003196549"/>
  </r>
  <r>
    <s v="EU27"/>
    <x v="23"/>
    <n v="2023"/>
    <x v="3"/>
    <x v="1"/>
    <x v="2"/>
    <m/>
    <m/>
    <n v="524230.74161068932"/>
  </r>
  <r>
    <s v="EU27"/>
    <x v="23"/>
    <n v="2023"/>
    <x v="3"/>
    <x v="2"/>
    <x v="0"/>
    <m/>
    <m/>
    <n v="9352.0831299999991"/>
  </r>
  <r>
    <s v="EU27"/>
    <x v="23"/>
    <n v="2023"/>
    <x v="3"/>
    <x v="2"/>
    <x v="1"/>
    <m/>
    <m/>
    <n v="0"/>
  </r>
  <r>
    <s v="EU27"/>
    <x v="23"/>
    <n v="2023"/>
    <x v="3"/>
    <x v="2"/>
    <x v="2"/>
    <m/>
    <m/>
    <n v="45516.402110000003"/>
  </r>
  <r>
    <s v="EU27"/>
    <x v="23"/>
    <n v="2023"/>
    <x v="4"/>
    <x v="0"/>
    <x v="0"/>
    <m/>
    <m/>
    <n v="146.64523117778819"/>
  </r>
  <r>
    <s v="EU27"/>
    <x v="23"/>
    <n v="2023"/>
    <x v="4"/>
    <x v="0"/>
    <x v="1"/>
    <m/>
    <m/>
    <n v="0"/>
  </r>
  <r>
    <s v="EU27"/>
    <x v="23"/>
    <n v="2023"/>
    <x v="4"/>
    <x v="0"/>
    <x v="2"/>
    <m/>
    <m/>
    <n v="17204.66580681891"/>
  </r>
  <r>
    <s v="EU27"/>
    <x v="23"/>
    <n v="2023"/>
    <x v="4"/>
    <x v="1"/>
    <x v="0"/>
    <m/>
    <m/>
    <n v="159.23725800687711"/>
  </r>
  <r>
    <s v="EU27"/>
    <x v="23"/>
    <n v="2023"/>
    <x v="4"/>
    <x v="1"/>
    <x v="1"/>
    <m/>
    <m/>
    <n v="0"/>
  </r>
  <r>
    <s v="EU27"/>
    <x v="23"/>
    <n v="2023"/>
    <x v="4"/>
    <x v="1"/>
    <x v="2"/>
    <m/>
    <m/>
    <n v="18849.321418330481"/>
  </r>
  <r>
    <s v="EU27"/>
    <x v="23"/>
    <n v="2023"/>
    <x v="4"/>
    <x v="2"/>
    <x v="0"/>
    <m/>
    <m/>
    <n v="1.3559999999999999E-2"/>
  </r>
  <r>
    <s v="EU27"/>
    <x v="23"/>
    <n v="2023"/>
    <x v="4"/>
    <x v="2"/>
    <x v="2"/>
    <m/>
    <m/>
    <n v="537.89253999999994"/>
  </r>
  <r>
    <s v="EU27"/>
    <x v="23"/>
    <n v="2023"/>
    <x v="5"/>
    <x v="0"/>
    <x v="0"/>
    <m/>
    <m/>
    <n v="374456.73737428739"/>
  </r>
  <r>
    <s v="EU27"/>
    <x v="23"/>
    <n v="2023"/>
    <x v="5"/>
    <x v="0"/>
    <x v="1"/>
    <m/>
    <m/>
    <n v="0"/>
  </r>
  <r>
    <s v="EU27"/>
    <x v="23"/>
    <n v="2023"/>
    <x v="5"/>
    <x v="0"/>
    <x v="2"/>
    <m/>
    <m/>
    <n v="374777.45088244311"/>
  </r>
  <r>
    <s v="EU27"/>
    <x v="23"/>
    <n v="2023"/>
    <x v="5"/>
    <x v="1"/>
    <x v="0"/>
    <m/>
    <m/>
    <n v="478005.48132816149"/>
  </r>
  <r>
    <s v="EU27"/>
    <x v="23"/>
    <n v="2023"/>
    <x v="5"/>
    <x v="1"/>
    <x v="1"/>
    <m/>
    <m/>
    <n v="0"/>
  </r>
  <r>
    <s v="EU27"/>
    <x v="23"/>
    <n v="2023"/>
    <x v="5"/>
    <x v="1"/>
    <x v="2"/>
    <m/>
    <m/>
    <n v="478423.70665515371"/>
  </r>
  <r>
    <s v="EU27"/>
    <x v="23"/>
    <n v="2023"/>
    <x v="5"/>
    <x v="2"/>
    <x v="0"/>
    <m/>
    <m/>
    <n v="9249.6922599999998"/>
  </r>
  <r>
    <s v="EU27"/>
    <x v="23"/>
    <n v="2023"/>
    <x v="5"/>
    <x v="2"/>
    <x v="2"/>
    <m/>
    <m/>
    <n v="42725.35226"/>
  </r>
  <r>
    <s v="EU27"/>
    <x v="23"/>
    <n v="2023"/>
    <x v="6"/>
    <x v="0"/>
    <x v="0"/>
    <m/>
    <m/>
    <n v="3221.1936136791942"/>
  </r>
  <r>
    <s v="EU27"/>
    <x v="23"/>
    <n v="2023"/>
    <x v="6"/>
    <x v="0"/>
    <x v="1"/>
    <m/>
    <m/>
    <n v="0"/>
  </r>
  <r>
    <s v="EU27"/>
    <x v="23"/>
    <n v="2023"/>
    <x v="6"/>
    <x v="0"/>
    <x v="2"/>
    <m/>
    <m/>
    <n v="3222.5632089417409"/>
  </r>
  <r>
    <s v="EU27"/>
    <x v="23"/>
    <n v="2023"/>
    <x v="6"/>
    <x v="1"/>
    <x v="0"/>
    <m/>
    <m/>
    <n v="4403.3321744748164"/>
  </r>
  <r>
    <s v="EU27"/>
    <x v="23"/>
    <n v="2023"/>
    <x v="6"/>
    <x v="1"/>
    <x v="1"/>
    <m/>
    <m/>
    <n v="0"/>
  </r>
  <r>
    <s v="EU27"/>
    <x v="23"/>
    <n v="2023"/>
    <x v="6"/>
    <x v="1"/>
    <x v="2"/>
    <m/>
    <m/>
    <n v="4404.6979018592056"/>
  </r>
  <r>
    <s v="EU27"/>
    <x v="23"/>
    <n v="2023"/>
    <x v="6"/>
    <x v="2"/>
    <x v="0"/>
    <m/>
    <m/>
    <n v="41.86"/>
  </r>
  <r>
    <s v="EU27"/>
    <x v="23"/>
    <n v="2023"/>
    <x v="6"/>
    <x v="2"/>
    <x v="2"/>
    <m/>
    <m/>
    <n v="1506.48"/>
  </r>
  <r>
    <s v="EU27"/>
    <x v="23"/>
    <n v="2023"/>
    <x v="7"/>
    <x v="0"/>
    <x v="0"/>
    <m/>
    <m/>
    <n v="17167.24401084298"/>
  </r>
  <r>
    <s v="EU27"/>
    <x v="23"/>
    <n v="2023"/>
    <x v="7"/>
    <x v="0"/>
    <x v="1"/>
    <m/>
    <m/>
    <n v="0"/>
  </r>
  <r>
    <s v="EU27"/>
    <x v="23"/>
    <n v="2023"/>
    <x v="7"/>
    <x v="0"/>
    <x v="2"/>
    <m/>
    <m/>
    <n v="17187.93809094045"/>
  </r>
  <r>
    <s v="EU27"/>
    <x v="23"/>
    <n v="2023"/>
    <x v="7"/>
    <x v="1"/>
    <x v="0"/>
    <m/>
    <m/>
    <n v="17596.074294184378"/>
  </r>
  <r>
    <s v="EU27"/>
    <x v="23"/>
    <n v="2023"/>
    <x v="7"/>
    <x v="1"/>
    <x v="1"/>
    <m/>
    <m/>
    <n v="0"/>
  </r>
  <r>
    <s v="EU27"/>
    <x v="23"/>
    <n v="2023"/>
    <x v="7"/>
    <x v="1"/>
    <x v="2"/>
    <m/>
    <m/>
    <n v="17616.508225505011"/>
  </r>
  <r>
    <s v="EU27"/>
    <x v="23"/>
    <n v="2023"/>
    <x v="7"/>
    <x v="2"/>
    <x v="0"/>
    <m/>
    <m/>
    <n v="53.217309999999998"/>
  </r>
  <r>
    <s v="EU27"/>
    <x v="23"/>
    <n v="2023"/>
    <x v="7"/>
    <x v="2"/>
    <x v="2"/>
    <m/>
    <m/>
    <n v="418.03730999999999"/>
  </r>
  <r>
    <s v="EU27"/>
    <x v="23"/>
    <n v="2023"/>
    <x v="8"/>
    <x v="0"/>
    <x v="0"/>
    <m/>
    <m/>
    <n v="1182.1533453436871"/>
  </r>
  <r>
    <s v="EU27"/>
    <x v="23"/>
    <n v="2023"/>
    <x v="8"/>
    <x v="0"/>
    <x v="1"/>
    <m/>
    <m/>
    <n v="3267.03514490715"/>
  </r>
  <r>
    <s v="EU27"/>
    <x v="23"/>
    <n v="2023"/>
    <x v="8"/>
    <x v="0"/>
    <x v="2"/>
    <m/>
    <m/>
    <n v="4449.1085102508378"/>
  </r>
  <r>
    <s v="EU27"/>
    <x v="23"/>
    <n v="2023"/>
    <x v="8"/>
    <x v="1"/>
    <x v="0"/>
    <m/>
    <m/>
    <n v="1506.379877969134"/>
  </r>
  <r>
    <s v="EU27"/>
    <x v="23"/>
    <n v="2023"/>
    <x v="8"/>
    <x v="1"/>
    <x v="1"/>
    <m/>
    <m/>
    <n v="3448.5288218717078"/>
  </r>
  <r>
    <s v="EU27"/>
    <x v="23"/>
    <n v="2023"/>
    <x v="8"/>
    <x v="1"/>
    <x v="2"/>
    <m/>
    <m/>
    <n v="4954.8287098408418"/>
  </r>
  <r>
    <s v="EU27"/>
    <x v="23"/>
    <n v="2023"/>
    <x v="8"/>
    <x v="2"/>
    <x v="0"/>
    <m/>
    <m/>
    <n v="7.2"/>
  </r>
  <r>
    <s v="EU27"/>
    <x v="23"/>
    <n v="2023"/>
    <x v="8"/>
    <x v="2"/>
    <x v="2"/>
    <m/>
    <m/>
    <n v="328.56"/>
  </r>
  <r>
    <s v="EU27"/>
    <x v="23"/>
    <n v="2023"/>
    <x v="9"/>
    <x v="0"/>
    <x v="0"/>
    <m/>
    <m/>
    <n v="257941.4658938715"/>
  </r>
  <r>
    <s v="EU27"/>
    <x v="23"/>
    <n v="2023"/>
    <x v="9"/>
    <x v="0"/>
    <x v="1"/>
    <m/>
    <m/>
    <n v="1002.4139689987099"/>
  </r>
  <r>
    <s v="EU27"/>
    <x v="23"/>
    <n v="2023"/>
    <x v="9"/>
    <x v="0"/>
    <x v="2"/>
    <m/>
    <m/>
    <n v="259382.67019967851"/>
  </r>
  <r>
    <s v="EU27"/>
    <x v="23"/>
    <n v="2023"/>
    <x v="9"/>
    <x v="1"/>
    <x v="0"/>
    <m/>
    <m/>
    <n v="326960.61357075151"/>
  </r>
  <r>
    <s v="EU27"/>
    <x v="23"/>
    <n v="2023"/>
    <x v="9"/>
    <x v="1"/>
    <x v="1"/>
    <m/>
    <m/>
    <n v="1162.037322317791"/>
  </r>
  <r>
    <s v="EU27"/>
    <x v="23"/>
    <n v="2023"/>
    <x v="9"/>
    <x v="1"/>
    <x v="2"/>
    <m/>
    <m/>
    <n v="328560.81833311991"/>
  </r>
  <r>
    <s v="EU27"/>
    <x v="23"/>
    <n v="2023"/>
    <x v="9"/>
    <x v="2"/>
    <x v="0"/>
    <m/>
    <m/>
    <n v="1460.5793200000001"/>
  </r>
  <r>
    <s v="EU27"/>
    <x v="23"/>
    <n v="2023"/>
    <x v="9"/>
    <x v="2"/>
    <x v="2"/>
    <m/>
    <m/>
    <n v="20758.459320000002"/>
  </r>
  <r>
    <s v="EU27"/>
    <x v="23"/>
    <n v="2023"/>
    <x v="10"/>
    <x v="0"/>
    <x v="0"/>
    <m/>
    <m/>
    <n v="3479.0793476126701"/>
  </r>
  <r>
    <s v="EU27"/>
    <x v="23"/>
    <n v="2023"/>
    <x v="10"/>
    <x v="0"/>
    <x v="1"/>
    <m/>
    <m/>
    <n v="0"/>
  </r>
  <r>
    <s v="EU27"/>
    <x v="23"/>
    <n v="2023"/>
    <x v="10"/>
    <x v="0"/>
    <x v="2"/>
    <m/>
    <m/>
    <n v="3482.4634664703431"/>
  </r>
  <r>
    <s v="EU27"/>
    <x v="23"/>
    <n v="2023"/>
    <x v="10"/>
    <x v="1"/>
    <x v="0"/>
    <m/>
    <m/>
    <n v="3479.7725276126698"/>
  </r>
  <r>
    <s v="EU27"/>
    <x v="23"/>
    <n v="2023"/>
    <x v="10"/>
    <x v="1"/>
    <x v="1"/>
    <m/>
    <m/>
    <n v="0"/>
  </r>
  <r>
    <s v="EU27"/>
    <x v="23"/>
    <n v="2023"/>
    <x v="10"/>
    <x v="1"/>
    <x v="2"/>
    <m/>
    <m/>
    <n v="3483.1566464703428"/>
  </r>
  <r>
    <s v="EU27"/>
    <x v="23"/>
    <n v="2023"/>
    <x v="10"/>
    <x v="2"/>
    <x v="0"/>
    <m/>
    <m/>
    <n v="4.0999999999999996"/>
  </r>
  <r>
    <s v="EU27"/>
    <x v="23"/>
    <n v="2023"/>
    <x v="10"/>
    <x v="2"/>
    <x v="2"/>
    <m/>
    <m/>
    <n v="1246.2"/>
  </r>
  <r>
    <s v="EU27"/>
    <x v="23"/>
    <n v="2023"/>
    <x v="11"/>
    <x v="0"/>
    <x v="0"/>
    <m/>
    <m/>
    <n v="42005.056886824692"/>
  </r>
  <r>
    <s v="EU27"/>
    <x v="23"/>
    <n v="2023"/>
    <x v="11"/>
    <x v="0"/>
    <x v="1"/>
    <m/>
    <m/>
    <n v="10820.64738225763"/>
  </r>
  <r>
    <s v="EU27"/>
    <x v="23"/>
    <n v="2023"/>
    <x v="11"/>
    <x v="0"/>
    <x v="2"/>
    <m/>
    <m/>
    <n v="52825.695250411343"/>
  </r>
  <r>
    <s v="EU27"/>
    <x v="23"/>
    <n v="2023"/>
    <x v="11"/>
    <x v="1"/>
    <x v="0"/>
    <m/>
    <m/>
    <n v="44178.707171835027"/>
  </r>
  <r>
    <s v="EU27"/>
    <x v="23"/>
    <n v="2023"/>
    <x v="11"/>
    <x v="1"/>
    <x v="1"/>
    <m/>
    <m/>
    <n v="12400.204548164969"/>
  </r>
  <r>
    <s v="EU27"/>
    <x v="23"/>
    <n v="2023"/>
    <x v="11"/>
    <x v="1"/>
    <x v="2"/>
    <m/>
    <m/>
    <n v="56578.927739999999"/>
  </r>
  <r>
    <s v="EU27"/>
    <x v="23"/>
    <n v="2023"/>
    <x v="11"/>
    <x v="2"/>
    <x v="0"/>
    <m/>
    <m/>
    <n v="431.5"/>
  </r>
  <r>
    <s v="EU27"/>
    <x v="23"/>
    <n v="2023"/>
    <x v="11"/>
    <x v="2"/>
    <x v="1"/>
    <m/>
    <m/>
    <n v="69.900000000000006"/>
  </r>
  <r>
    <s v="EU27"/>
    <x v="23"/>
    <n v="2023"/>
    <x v="11"/>
    <x v="2"/>
    <x v="2"/>
    <m/>
    <m/>
    <n v="18677.2"/>
  </r>
  <r>
    <s v="EU27"/>
    <x v="23"/>
    <n v="2023"/>
    <x v="12"/>
    <x v="0"/>
    <x v="0"/>
    <m/>
    <m/>
    <n v="0"/>
  </r>
  <r>
    <s v="EU27"/>
    <x v="23"/>
    <n v="2023"/>
    <x v="12"/>
    <x v="0"/>
    <x v="1"/>
    <m/>
    <m/>
    <n v="0"/>
  </r>
  <r>
    <s v="EU27"/>
    <x v="23"/>
    <n v="2023"/>
    <x v="12"/>
    <x v="0"/>
    <x v="2"/>
    <m/>
    <m/>
    <n v="0"/>
  </r>
  <r>
    <s v="EU27"/>
    <x v="23"/>
    <n v="2023"/>
    <x v="12"/>
    <x v="1"/>
    <x v="0"/>
    <m/>
    <m/>
    <n v="0"/>
  </r>
  <r>
    <s v="EU27"/>
    <x v="23"/>
    <n v="2023"/>
    <x v="12"/>
    <x v="1"/>
    <x v="1"/>
    <m/>
    <m/>
    <n v="0"/>
  </r>
  <r>
    <s v="EU27"/>
    <x v="23"/>
    <n v="2023"/>
    <x v="12"/>
    <x v="1"/>
    <x v="2"/>
    <m/>
    <m/>
    <n v="0"/>
  </r>
  <r>
    <s v="EU27"/>
    <x v="23"/>
    <n v="2023"/>
    <x v="13"/>
    <x v="0"/>
    <x v="0"/>
    <m/>
    <m/>
    <n v="44120.960362777078"/>
  </r>
  <r>
    <s v="EU27"/>
    <x v="23"/>
    <n v="2023"/>
    <x v="13"/>
    <x v="0"/>
    <x v="1"/>
    <m/>
    <m/>
    <n v="168886.9853179059"/>
  </r>
  <r>
    <s v="EU27"/>
    <x v="23"/>
    <n v="2023"/>
    <x v="13"/>
    <x v="0"/>
    <x v="2"/>
    <m/>
    <m/>
    <n v="212765.83650577121"/>
  </r>
  <r>
    <s v="EU27"/>
    <x v="23"/>
    <n v="2023"/>
    <x v="13"/>
    <x v="1"/>
    <x v="0"/>
    <m/>
    <m/>
    <n v="47456.918336308852"/>
  </r>
  <r>
    <s v="EU27"/>
    <x v="23"/>
    <n v="2023"/>
    <x v="13"/>
    <x v="1"/>
    <x v="1"/>
    <m/>
    <m/>
    <n v="178715.14159895209"/>
  </r>
  <r>
    <s v="EU27"/>
    <x v="23"/>
    <n v="2023"/>
    <x v="13"/>
    <x v="1"/>
    <x v="2"/>
    <m/>
    <m/>
    <n v="225912.9169146225"/>
  </r>
  <r>
    <s v="EU27"/>
    <x v="23"/>
    <n v="2023"/>
    <x v="13"/>
    <x v="2"/>
    <x v="0"/>
    <m/>
    <m/>
    <n v="1210.1252500000001"/>
  </r>
  <r>
    <s v="EU27"/>
    <x v="23"/>
    <n v="2023"/>
    <x v="13"/>
    <x v="2"/>
    <x v="1"/>
    <m/>
    <m/>
    <n v="765.98"/>
  </r>
  <r>
    <s v="EU27"/>
    <x v="23"/>
    <n v="2023"/>
    <x v="13"/>
    <x v="2"/>
    <x v="2"/>
    <m/>
    <m/>
    <n v="17512.985250000002"/>
  </r>
  <r>
    <s v="EU27"/>
    <x v="23"/>
    <n v="2023"/>
    <x v="14"/>
    <x v="0"/>
    <x v="0"/>
    <m/>
    <m/>
    <n v="347322.71123704163"/>
  </r>
  <r>
    <s v="EU27"/>
    <x v="23"/>
    <n v="2023"/>
    <x v="14"/>
    <x v="0"/>
    <x v="2"/>
    <m/>
    <m/>
    <n v="347154.45153191092"/>
  </r>
  <r>
    <s v="EU27"/>
    <x v="23"/>
    <n v="2023"/>
    <x v="14"/>
    <x v="1"/>
    <x v="0"/>
    <m/>
    <m/>
    <n v="365391.17668304307"/>
  </r>
  <r>
    <s v="EU27"/>
    <x v="23"/>
    <n v="2023"/>
    <x v="14"/>
    <x v="1"/>
    <x v="2"/>
    <m/>
    <m/>
    <n v="365391.17668304307"/>
  </r>
  <r>
    <s v="EU27"/>
    <x v="23"/>
    <n v="2023"/>
    <x v="14"/>
    <x v="2"/>
    <x v="0"/>
    <m/>
    <m/>
    <n v="2079.57123"/>
  </r>
  <r>
    <s v="EU27"/>
    <x v="23"/>
    <n v="2023"/>
    <x v="14"/>
    <x v="2"/>
    <x v="2"/>
    <m/>
    <m/>
    <n v="38195.551229999997"/>
  </r>
  <r>
    <s v="EU27"/>
    <x v="23"/>
    <n v="2023"/>
    <x v="15"/>
    <x v="0"/>
    <x v="2"/>
    <m/>
    <m/>
    <n v="-246180.03571824211"/>
  </r>
  <r>
    <s v="EU27"/>
    <x v="23"/>
    <n v="2023"/>
    <x v="15"/>
    <x v="1"/>
    <x v="2"/>
    <m/>
    <m/>
    <n v="-213954.53717105099"/>
  </r>
  <r>
    <s v="EU27"/>
    <x v="23"/>
    <n v="2023"/>
    <x v="15"/>
    <x v="2"/>
    <x v="2"/>
    <m/>
    <m/>
    <n v="-10556.6927"/>
  </r>
  <r>
    <s v="EU27"/>
    <x v="23"/>
    <n v="2023"/>
    <x v="16"/>
    <x v="0"/>
    <x v="2"/>
    <m/>
    <m/>
    <n v="-286931.35430497502"/>
  </r>
  <r>
    <s v="EU27"/>
    <x v="23"/>
    <n v="2023"/>
    <x v="16"/>
    <x v="1"/>
    <x v="2"/>
    <m/>
    <m/>
    <n v="-266773.15222331713"/>
  </r>
  <r>
    <s v="EU27"/>
    <x v="23"/>
    <n v="2023"/>
    <x v="16"/>
    <x v="2"/>
    <x v="2"/>
    <m/>
    <m/>
    <n v="-16367.081620000001"/>
  </r>
  <r>
    <s v="EU27"/>
    <x v="23"/>
    <n v="2023"/>
    <x v="17"/>
    <x v="0"/>
    <x v="2"/>
    <m/>
    <m/>
    <n v="22886.31794574557"/>
  </r>
  <r>
    <s v="EU27"/>
    <x v="23"/>
    <n v="2023"/>
    <x v="17"/>
    <x v="1"/>
    <x v="2"/>
    <m/>
    <m/>
    <n v="31180.047297558929"/>
  </r>
  <r>
    <s v="EU27"/>
    <x v="23"/>
    <n v="2023"/>
    <x v="17"/>
    <x v="2"/>
    <x v="2"/>
    <m/>
    <m/>
    <n v="-2176.6960300000001"/>
  </r>
  <r>
    <s v="EU27"/>
    <x v="23"/>
    <n v="2023"/>
    <x v="18"/>
    <x v="0"/>
    <x v="2"/>
    <m/>
    <m/>
    <n v="11352.740985287821"/>
  </r>
  <r>
    <s v="EU27"/>
    <x v="23"/>
    <n v="2023"/>
    <x v="18"/>
    <x v="1"/>
    <x v="2"/>
    <m/>
    <m/>
    <n v="11820.70961800554"/>
  </r>
  <r>
    <s v="EU27"/>
    <x v="23"/>
    <n v="2023"/>
    <x v="18"/>
    <x v="2"/>
    <x v="2"/>
    <m/>
    <m/>
    <n v="5278.2330599999996"/>
  </r>
  <r>
    <s v="EU27"/>
    <x v="23"/>
    <n v="2023"/>
    <x v="19"/>
    <x v="0"/>
    <x v="2"/>
    <m/>
    <m/>
    <n v="11690.72718664712"/>
  </r>
  <r>
    <s v="EU27"/>
    <x v="23"/>
    <n v="2023"/>
    <x v="19"/>
    <x v="1"/>
    <x v="2"/>
    <m/>
    <m/>
    <n v="12873.54396420149"/>
  </r>
  <r>
    <s v="EU27"/>
    <x v="23"/>
    <n v="2023"/>
    <x v="19"/>
    <x v="2"/>
    <x v="2"/>
    <m/>
    <m/>
    <n v="764.46648000000005"/>
  </r>
  <r>
    <s v="EU27"/>
    <x v="23"/>
    <n v="2023"/>
    <x v="20"/>
    <x v="0"/>
    <x v="2"/>
    <m/>
    <m/>
    <n v="28882.33869062968"/>
  </r>
  <r>
    <s v="EU27"/>
    <x v="23"/>
    <n v="2023"/>
    <x v="20"/>
    <x v="1"/>
    <x v="2"/>
    <m/>
    <m/>
    <n v="29328.569087645661"/>
  </r>
  <r>
    <s v="EU27"/>
    <x v="23"/>
    <n v="2023"/>
    <x v="20"/>
    <x v="2"/>
    <x v="2"/>
    <m/>
    <m/>
    <n v="3228.1483899999998"/>
  </r>
  <r>
    <s v="EU27"/>
    <x v="23"/>
    <n v="2023"/>
    <x v="21"/>
    <x v="0"/>
    <x v="2"/>
    <m/>
    <m/>
    <n v="497.83420999999998"/>
  </r>
  <r>
    <s v="EU27"/>
    <x v="23"/>
    <n v="2023"/>
    <x v="21"/>
    <x v="1"/>
    <x v="2"/>
    <m/>
    <m/>
    <n v="332.05421000000001"/>
  </r>
  <r>
    <s v="EU27"/>
    <x v="23"/>
    <n v="2023"/>
    <x v="21"/>
    <x v="2"/>
    <x v="2"/>
    <m/>
    <m/>
    <n v="317.13702999999998"/>
  </r>
  <r>
    <s v="EU27"/>
    <x v="23"/>
    <n v="2023"/>
    <x v="22"/>
    <x v="0"/>
    <x v="2"/>
    <m/>
    <m/>
    <n v="-34027.012493221613"/>
  </r>
  <r>
    <s v="EU27"/>
    <x v="23"/>
    <n v="2023"/>
    <x v="22"/>
    <x v="1"/>
    <x v="2"/>
    <m/>
    <m/>
    <n v="-33122.508753221613"/>
  </r>
  <r>
    <s v="EU27"/>
    <x v="23"/>
    <n v="2023"/>
    <x v="22"/>
    <x v="2"/>
    <x v="2"/>
    <m/>
    <m/>
    <n v="-1600.98"/>
  </r>
  <r>
    <s v="EU27"/>
    <x v="23"/>
    <n v="2023"/>
    <x v="23"/>
    <x v="0"/>
    <x v="2"/>
    <m/>
    <m/>
    <n v="253.85033000000001"/>
  </r>
  <r>
    <s v="EU27"/>
    <x v="23"/>
    <n v="2023"/>
    <x v="23"/>
    <x v="1"/>
    <x v="2"/>
    <m/>
    <m/>
    <n v="253.85033000000001"/>
  </r>
  <r>
    <s v="EU27"/>
    <x v="23"/>
    <n v="2023"/>
    <x v="24"/>
    <x v="0"/>
    <x v="0"/>
    <m/>
    <m/>
    <n v="63452.208835666883"/>
  </r>
  <r>
    <s v="EU27"/>
    <x v="23"/>
    <n v="2023"/>
    <x v="24"/>
    <x v="0"/>
    <x v="1"/>
    <m/>
    <m/>
    <n v="226.3931161335544"/>
  </r>
  <r>
    <s v="EU27"/>
    <x v="23"/>
    <n v="2023"/>
    <x v="24"/>
    <x v="0"/>
    <x v="2"/>
    <m/>
    <m/>
    <n v="63817.198891800443"/>
  </r>
  <r>
    <s v="EU27"/>
    <x v="23"/>
    <n v="2023"/>
    <x v="24"/>
    <x v="1"/>
    <x v="0"/>
    <m/>
    <m/>
    <n v="64500.818315628021"/>
  </r>
  <r>
    <s v="EU27"/>
    <x v="23"/>
    <n v="2023"/>
    <x v="24"/>
    <x v="1"/>
    <x v="1"/>
    <m/>
    <m/>
    <n v="226.39311611724969"/>
  </r>
  <r>
    <s v="EU27"/>
    <x v="23"/>
    <n v="2023"/>
    <x v="24"/>
    <x v="1"/>
    <x v="2"/>
    <m/>
    <m/>
    <n v="64624.973737942339"/>
  </r>
  <r>
    <s v="EU27"/>
    <x v="23"/>
    <n v="2023"/>
    <x v="24"/>
    <x v="2"/>
    <x v="0"/>
    <m/>
    <m/>
    <n v="1704.05961"/>
  </r>
  <r>
    <s v="EU27"/>
    <x v="23"/>
    <n v="2023"/>
    <x v="24"/>
    <x v="2"/>
    <x v="2"/>
    <m/>
    <m/>
    <n v="10173.89961"/>
  </r>
  <r>
    <s v="EU27"/>
    <x v="23"/>
    <n v="2023"/>
    <x v="25"/>
    <x v="0"/>
    <x v="0"/>
    <m/>
    <m/>
    <n v="175.98"/>
  </r>
  <r>
    <s v="EU27"/>
    <x v="23"/>
    <n v="2023"/>
    <x v="25"/>
    <x v="0"/>
    <x v="2"/>
    <m/>
    <m/>
    <n v="125117.04216094541"/>
  </r>
  <r>
    <s v="EU27"/>
    <x v="23"/>
    <n v="2023"/>
    <x v="25"/>
    <x v="1"/>
    <x v="0"/>
    <m/>
    <m/>
    <n v="175.98"/>
  </r>
  <r>
    <s v="EU27"/>
    <x v="23"/>
    <n v="2023"/>
    <x v="25"/>
    <x v="1"/>
    <x v="2"/>
    <m/>
    <m/>
    <n v="133787.96792821359"/>
  </r>
  <r>
    <s v="EU27"/>
    <x v="23"/>
    <n v="2023"/>
    <x v="25"/>
    <x v="2"/>
    <x v="2"/>
    <m/>
    <m/>
    <n v="1325.1009100000001"/>
  </r>
  <r>
    <s v="EU27"/>
    <x v="23"/>
    <n v="2023"/>
    <x v="26"/>
    <x v="0"/>
    <x v="0"/>
    <m/>
    <m/>
    <n v="854.1"/>
  </r>
  <r>
    <s v="EU27"/>
    <x v="23"/>
    <n v="2023"/>
    <x v="26"/>
    <x v="0"/>
    <x v="2"/>
    <m/>
    <m/>
    <n v="142462.00886869489"/>
  </r>
  <r>
    <s v="EU27"/>
    <x v="23"/>
    <n v="2023"/>
    <x v="26"/>
    <x v="1"/>
    <x v="0"/>
    <m/>
    <m/>
    <n v="854.1"/>
  </r>
  <r>
    <s v="EU27"/>
    <x v="23"/>
    <n v="2023"/>
    <x v="26"/>
    <x v="1"/>
    <x v="2"/>
    <m/>
    <m/>
    <n v="144894.33163429931"/>
  </r>
  <r>
    <s v="EU27"/>
    <x v="23"/>
    <n v="2023"/>
    <x v="26"/>
    <x v="2"/>
    <x v="2"/>
    <m/>
    <m/>
    <n v="1001.4"/>
  </r>
  <r>
    <s v="EU27"/>
    <x v="23"/>
    <n v="2023"/>
    <x v="27"/>
    <x v="0"/>
    <x v="0"/>
    <m/>
    <m/>
    <n v="700.47154"/>
  </r>
  <r>
    <s v="EU27"/>
    <x v="23"/>
    <n v="2023"/>
    <x v="27"/>
    <x v="0"/>
    <x v="2"/>
    <m/>
    <m/>
    <n v="844.36403760258634"/>
  </r>
  <r>
    <s v="EU27"/>
    <x v="23"/>
    <n v="2023"/>
    <x v="27"/>
    <x v="1"/>
    <x v="0"/>
    <m/>
    <m/>
    <n v="704.17154000000005"/>
  </r>
  <r>
    <s v="EU27"/>
    <x v="23"/>
    <n v="2023"/>
    <x v="27"/>
    <x v="1"/>
    <x v="2"/>
    <m/>
    <m/>
    <n v="848.07154000000003"/>
  </r>
  <r>
    <s v="EU27"/>
    <x v="23"/>
    <n v="2023"/>
    <x v="28"/>
    <x v="0"/>
    <x v="0"/>
    <m/>
    <m/>
    <n v="1288318.9600637001"/>
  </r>
  <r>
    <s v="EU27"/>
    <x v="23"/>
    <n v="2023"/>
    <x v="28"/>
    <x v="0"/>
    <x v="1"/>
    <m/>
    <m/>
    <n v="604914.21726122964"/>
  </r>
  <r>
    <s v="EU27"/>
    <x v="23"/>
    <n v="2023"/>
    <x v="28"/>
    <x v="0"/>
    <x v="2"/>
    <m/>
    <m/>
    <n v="1909879.4739301261"/>
  </r>
  <r>
    <s v="EU27"/>
    <x v="23"/>
    <n v="2023"/>
    <x v="28"/>
    <x v="1"/>
    <x v="0"/>
    <m/>
    <m/>
    <n v="1496535.7501414439"/>
  </r>
  <r>
    <s v="EU27"/>
    <x v="23"/>
    <n v="2023"/>
    <x v="28"/>
    <x v="1"/>
    <x v="1"/>
    <m/>
    <m/>
    <n v="693176.19164254726"/>
  </r>
  <r>
    <s v="EU27"/>
    <x v="23"/>
    <n v="2023"/>
    <x v="28"/>
    <x v="1"/>
    <x v="2"/>
    <m/>
    <m/>
    <n v="2208029.8435144732"/>
  </r>
  <r>
    <s v="EU27"/>
    <x v="23"/>
    <n v="2023"/>
    <x v="28"/>
    <x v="2"/>
    <x v="0"/>
    <m/>
    <m/>
    <n v="17426.519039999999"/>
  </r>
  <r>
    <s v="EU27"/>
    <x v="23"/>
    <n v="2023"/>
    <x v="28"/>
    <x v="2"/>
    <x v="1"/>
    <m/>
    <m/>
    <n v="9552.5970600000001"/>
  </r>
  <r>
    <s v="EU27"/>
    <x v="23"/>
    <n v="2023"/>
    <x v="28"/>
    <x v="2"/>
    <x v="2"/>
    <m/>
    <m/>
    <n v="223039.09508"/>
  </r>
  <r>
    <s v="EU27"/>
    <x v="23"/>
    <n v="2023"/>
    <x v="29"/>
    <x v="0"/>
    <x v="0"/>
    <m/>
    <m/>
    <n v="1288318.9600637001"/>
  </r>
  <r>
    <s v="EU27"/>
    <x v="23"/>
    <n v="2023"/>
    <x v="29"/>
    <x v="0"/>
    <x v="1"/>
    <m/>
    <m/>
    <n v="604914.21726122964"/>
  </r>
  <r>
    <s v="EU27"/>
    <x v="23"/>
    <n v="2023"/>
    <x v="29"/>
    <x v="0"/>
    <x v="2"/>
    <m/>
    <m/>
    <n v="1642741.2130118839"/>
  </r>
  <r>
    <s v="EU27"/>
    <x v="23"/>
    <n v="2023"/>
    <x v="29"/>
    <x v="1"/>
    <x v="0"/>
    <m/>
    <m/>
    <n v="1496535.7501414439"/>
  </r>
  <r>
    <s v="EU27"/>
    <x v="23"/>
    <n v="2023"/>
    <x v="29"/>
    <x v="1"/>
    <x v="1"/>
    <m/>
    <m/>
    <n v="693176.19164254726"/>
  </r>
  <r>
    <s v="EU27"/>
    <x v="23"/>
    <n v="2023"/>
    <x v="29"/>
    <x v="1"/>
    <x v="2"/>
    <m/>
    <m/>
    <n v="1994073.378353422"/>
  </r>
  <r>
    <s v="EU27"/>
    <x v="23"/>
    <n v="2023"/>
    <x v="29"/>
    <x v="2"/>
    <x v="0"/>
    <m/>
    <m/>
    <n v="17426.519039999999"/>
  </r>
  <r>
    <s v="EU27"/>
    <x v="23"/>
    <n v="2023"/>
    <x v="29"/>
    <x v="2"/>
    <x v="1"/>
    <m/>
    <m/>
    <n v="9552.5970600000001"/>
  </r>
  <r>
    <s v="EU27"/>
    <x v="23"/>
    <n v="2023"/>
    <x v="29"/>
    <x v="2"/>
    <x v="2"/>
    <m/>
    <m/>
    <n v="212795.64238999999"/>
  </r>
  <r>
    <s v="EU27"/>
    <x v="24"/>
    <n v="2023"/>
    <x v="0"/>
    <x v="0"/>
    <x v="0"/>
    <m/>
    <m/>
    <n v="819951.48749885347"/>
  </r>
  <r>
    <s v="EU27"/>
    <x v="24"/>
    <n v="2023"/>
    <x v="0"/>
    <x v="0"/>
    <x v="1"/>
    <m/>
    <m/>
    <n v="431684.43751008622"/>
  </r>
  <r>
    <s v="EU27"/>
    <x v="24"/>
    <n v="2023"/>
    <x v="0"/>
    <x v="0"/>
    <x v="2"/>
    <m/>
    <m/>
    <n v="1268505.8842420529"/>
  </r>
  <r>
    <s v="EU27"/>
    <x v="24"/>
    <n v="2023"/>
    <x v="0"/>
    <x v="1"/>
    <x v="0"/>
    <m/>
    <m/>
    <n v="1005990.374696765"/>
  </r>
  <r>
    <s v="EU27"/>
    <x v="24"/>
    <n v="2023"/>
    <x v="0"/>
    <x v="1"/>
    <x v="1"/>
    <m/>
    <m/>
    <n v="510606.84476625331"/>
  </r>
  <r>
    <s v="EU27"/>
    <x v="24"/>
    <n v="2023"/>
    <x v="0"/>
    <x v="1"/>
    <x v="2"/>
    <m/>
    <m/>
    <n v="1535284.2397167061"/>
  </r>
  <r>
    <s v="EU27"/>
    <x v="24"/>
    <n v="2023"/>
    <x v="0"/>
    <x v="2"/>
    <x v="0"/>
    <m/>
    <m/>
    <n v="12435.056280000001"/>
  </r>
  <r>
    <s v="EU27"/>
    <x v="24"/>
    <n v="2023"/>
    <x v="0"/>
    <x v="2"/>
    <x v="1"/>
    <m/>
    <m/>
    <n v="8807.6356099999994"/>
  </r>
  <r>
    <s v="EU27"/>
    <x v="24"/>
    <n v="2023"/>
    <x v="0"/>
    <x v="2"/>
    <x v="2"/>
    <m/>
    <m/>
    <n v="157811.20185000001"/>
  </r>
  <r>
    <s v="EU27"/>
    <x v="24"/>
    <n v="2023"/>
    <x v="1"/>
    <x v="0"/>
    <x v="0"/>
    <m/>
    <m/>
    <n v="39585.049524216767"/>
  </r>
  <r>
    <s v="EU27"/>
    <x v="24"/>
    <n v="2023"/>
    <x v="1"/>
    <x v="0"/>
    <x v="1"/>
    <m/>
    <m/>
    <n v="255575.42819241251"/>
  </r>
  <r>
    <s v="EU27"/>
    <x v="24"/>
    <n v="2023"/>
    <x v="1"/>
    <x v="0"/>
    <x v="2"/>
    <m/>
    <m/>
    <n v="294575.62579719431"/>
  </r>
  <r>
    <s v="EU27"/>
    <x v="24"/>
    <n v="2023"/>
    <x v="1"/>
    <x v="1"/>
    <x v="0"/>
    <m/>
    <m/>
    <n v="40948.836099540262"/>
  </r>
  <r>
    <s v="EU27"/>
    <x v="24"/>
    <n v="2023"/>
    <x v="1"/>
    <x v="1"/>
    <x v="1"/>
    <m/>
    <m/>
    <n v="305240.43086338398"/>
  </r>
  <r>
    <s v="EU27"/>
    <x v="24"/>
    <n v="2023"/>
    <x v="1"/>
    <x v="1"/>
    <x v="2"/>
    <m/>
    <m/>
    <n v="345680.92241690878"/>
  </r>
  <r>
    <s v="EU27"/>
    <x v="24"/>
    <n v="2023"/>
    <x v="1"/>
    <x v="2"/>
    <x v="0"/>
    <m/>
    <m/>
    <n v="44.411409999999997"/>
  </r>
  <r>
    <s v="EU27"/>
    <x v="24"/>
    <n v="2023"/>
    <x v="1"/>
    <x v="2"/>
    <x v="1"/>
    <m/>
    <m/>
    <n v="7239.4356100000005"/>
  </r>
  <r>
    <s v="EU27"/>
    <x v="24"/>
    <n v="2023"/>
    <x v="1"/>
    <x v="2"/>
    <x v="2"/>
    <m/>
    <m/>
    <n v="48257.347020000001"/>
  </r>
  <r>
    <s v="EU27"/>
    <x v="24"/>
    <n v="2023"/>
    <x v="2"/>
    <x v="0"/>
    <x v="0"/>
    <m/>
    <m/>
    <n v="94402.898262802584"/>
  </r>
  <r>
    <s v="EU27"/>
    <x v="24"/>
    <n v="2023"/>
    <x v="2"/>
    <x v="0"/>
    <x v="1"/>
    <m/>
    <m/>
    <n v="161578.58573872401"/>
  </r>
  <r>
    <s v="EU27"/>
    <x v="24"/>
    <n v="2023"/>
    <x v="2"/>
    <x v="0"/>
    <x v="2"/>
    <m/>
    <m/>
    <n v="255350.99316288799"/>
  </r>
  <r>
    <s v="EU27"/>
    <x v="24"/>
    <n v="2023"/>
    <x v="2"/>
    <x v="1"/>
    <x v="0"/>
    <m/>
    <m/>
    <n v="101441.4012782768"/>
  </r>
  <r>
    <s v="EU27"/>
    <x v="24"/>
    <n v="2023"/>
    <x v="2"/>
    <x v="1"/>
    <x v="1"/>
    <m/>
    <m/>
    <n v="188848.46519242699"/>
  </r>
  <r>
    <s v="EU27"/>
    <x v="24"/>
    <n v="2023"/>
    <x v="2"/>
    <x v="1"/>
    <x v="2"/>
    <m/>
    <m/>
    <n v="289670.3544287007"/>
  </r>
  <r>
    <s v="EU27"/>
    <x v="24"/>
    <n v="2023"/>
    <x v="2"/>
    <x v="2"/>
    <x v="0"/>
    <m/>
    <m/>
    <n v="1146.0619799999999"/>
  </r>
  <r>
    <s v="EU27"/>
    <x v="24"/>
    <n v="2023"/>
    <x v="2"/>
    <x v="2"/>
    <x v="1"/>
    <m/>
    <m/>
    <n v="1498.3"/>
  </r>
  <r>
    <s v="EU27"/>
    <x v="24"/>
    <n v="2023"/>
    <x v="2"/>
    <x v="2"/>
    <x v="2"/>
    <m/>
    <m/>
    <n v="23000.661980000001"/>
  </r>
  <r>
    <s v="EU27"/>
    <x v="24"/>
    <n v="2023"/>
    <x v="3"/>
    <x v="0"/>
    <x v="0"/>
    <m/>
    <m/>
    <n v="388398.3882566411"/>
  </r>
  <r>
    <s v="EU27"/>
    <x v="24"/>
    <n v="2023"/>
    <x v="3"/>
    <x v="0"/>
    <x v="1"/>
    <m/>
    <m/>
    <n v="3211.6723295843258"/>
  </r>
  <r>
    <s v="EU27"/>
    <x v="24"/>
    <n v="2023"/>
    <x v="3"/>
    <x v="0"/>
    <x v="2"/>
    <m/>
    <m/>
    <n v="409142.95574094268"/>
  </r>
  <r>
    <s v="EU27"/>
    <x v="24"/>
    <n v="2023"/>
    <x v="3"/>
    <x v="1"/>
    <x v="0"/>
    <m/>
    <m/>
    <n v="494202.41164402041"/>
  </r>
  <r>
    <s v="EU27"/>
    <x v="24"/>
    <n v="2023"/>
    <x v="3"/>
    <x v="1"/>
    <x v="1"/>
    <m/>
    <m/>
    <n v="3434.6763161549188"/>
  </r>
  <r>
    <s v="EU27"/>
    <x v="24"/>
    <n v="2023"/>
    <x v="3"/>
    <x v="1"/>
    <x v="2"/>
    <m/>
    <m/>
    <n v="516899.90531586402"/>
  </r>
  <r>
    <s v="EU27"/>
    <x v="24"/>
    <n v="2023"/>
    <x v="3"/>
    <x v="2"/>
    <x v="0"/>
    <m/>
    <m/>
    <n v="9351.6865500000004"/>
  </r>
  <r>
    <s v="EU27"/>
    <x v="24"/>
    <n v="2023"/>
    <x v="3"/>
    <x v="2"/>
    <x v="1"/>
    <m/>
    <m/>
    <n v="0"/>
  </r>
  <r>
    <s v="EU27"/>
    <x v="24"/>
    <n v="2023"/>
    <x v="3"/>
    <x v="2"/>
    <x v="2"/>
    <m/>
    <m/>
    <n v="45560.29651"/>
  </r>
  <r>
    <s v="EU27"/>
    <x v="24"/>
    <n v="2023"/>
    <x v="4"/>
    <x v="0"/>
    <x v="0"/>
    <m/>
    <m/>
    <n v="146.3296376229201"/>
  </r>
  <r>
    <s v="EU27"/>
    <x v="24"/>
    <n v="2023"/>
    <x v="4"/>
    <x v="0"/>
    <x v="1"/>
    <m/>
    <m/>
    <n v="0"/>
  </r>
  <r>
    <s v="EU27"/>
    <x v="24"/>
    <n v="2023"/>
    <x v="4"/>
    <x v="0"/>
    <x v="2"/>
    <m/>
    <m/>
    <n v="17200.549140813371"/>
  </r>
  <r>
    <s v="EU27"/>
    <x v="24"/>
    <n v="2023"/>
    <x v="4"/>
    <x v="1"/>
    <x v="0"/>
    <m/>
    <m/>
    <n v="159.01072531148191"/>
  </r>
  <r>
    <s v="EU27"/>
    <x v="24"/>
    <n v="2023"/>
    <x v="4"/>
    <x v="1"/>
    <x v="1"/>
    <m/>
    <m/>
    <n v="0"/>
  </r>
  <r>
    <s v="EU27"/>
    <x v="24"/>
    <n v="2023"/>
    <x v="4"/>
    <x v="1"/>
    <x v="2"/>
    <m/>
    <m/>
    <n v="18861.501369175428"/>
  </r>
  <r>
    <s v="EU27"/>
    <x v="24"/>
    <n v="2023"/>
    <x v="4"/>
    <x v="2"/>
    <x v="0"/>
    <m/>
    <m/>
    <n v="1.362E-2"/>
  </r>
  <r>
    <s v="EU27"/>
    <x v="24"/>
    <n v="2023"/>
    <x v="4"/>
    <x v="2"/>
    <x v="2"/>
    <m/>
    <m/>
    <n v="538.02357999999992"/>
  </r>
  <r>
    <s v="EU27"/>
    <x v="24"/>
    <n v="2023"/>
    <x v="5"/>
    <x v="0"/>
    <x v="0"/>
    <m/>
    <m/>
    <n v="366748.57977302838"/>
  </r>
  <r>
    <s v="EU27"/>
    <x v="24"/>
    <n v="2023"/>
    <x v="5"/>
    <x v="0"/>
    <x v="1"/>
    <m/>
    <m/>
    <n v="0"/>
  </r>
  <r>
    <s v="EU27"/>
    <x v="24"/>
    <n v="2023"/>
    <x v="5"/>
    <x v="0"/>
    <x v="2"/>
    <m/>
    <m/>
    <n v="367149.47165724798"/>
  </r>
  <r>
    <s v="EU27"/>
    <x v="24"/>
    <n v="2023"/>
    <x v="5"/>
    <x v="1"/>
    <x v="0"/>
    <m/>
    <m/>
    <n v="470526.41874742613"/>
  </r>
  <r>
    <s v="EU27"/>
    <x v="24"/>
    <n v="2023"/>
    <x v="5"/>
    <x v="1"/>
    <x v="1"/>
    <m/>
    <m/>
    <n v="0"/>
  </r>
  <r>
    <s v="EU27"/>
    <x v="24"/>
    <n v="2023"/>
    <x v="5"/>
    <x v="1"/>
    <x v="2"/>
    <m/>
    <m/>
    <n v="471049.20040489489"/>
  </r>
  <r>
    <s v="EU27"/>
    <x v="24"/>
    <n v="2023"/>
    <x v="5"/>
    <x v="2"/>
    <x v="0"/>
    <m/>
    <m/>
    <n v="9248.3437999999987"/>
  </r>
  <r>
    <s v="EU27"/>
    <x v="24"/>
    <n v="2023"/>
    <x v="5"/>
    <x v="2"/>
    <x v="2"/>
    <m/>
    <m/>
    <n v="42733.843800000002"/>
  </r>
  <r>
    <s v="EU27"/>
    <x v="24"/>
    <n v="2023"/>
    <x v="6"/>
    <x v="0"/>
    <x v="0"/>
    <m/>
    <m/>
    <n v="3189.911513154058"/>
  </r>
  <r>
    <s v="EU27"/>
    <x v="24"/>
    <n v="2023"/>
    <x v="6"/>
    <x v="0"/>
    <x v="1"/>
    <m/>
    <m/>
    <n v="0"/>
  </r>
  <r>
    <s v="EU27"/>
    <x v="24"/>
    <n v="2023"/>
    <x v="6"/>
    <x v="0"/>
    <x v="2"/>
    <m/>
    <m/>
    <n v="3191.6235072280779"/>
  </r>
  <r>
    <s v="EU27"/>
    <x v="24"/>
    <n v="2023"/>
    <x v="6"/>
    <x v="1"/>
    <x v="0"/>
    <m/>
    <m/>
    <n v="4426.336008645214"/>
  </r>
  <r>
    <s v="EU27"/>
    <x v="24"/>
    <n v="2023"/>
    <x v="6"/>
    <x v="1"/>
    <x v="1"/>
    <m/>
    <m/>
    <n v="0"/>
  </r>
  <r>
    <s v="EU27"/>
    <x v="24"/>
    <n v="2023"/>
    <x v="6"/>
    <x v="1"/>
    <x v="2"/>
    <m/>
    <m/>
    <n v="4428.0431678715486"/>
  </r>
  <r>
    <s v="EU27"/>
    <x v="24"/>
    <n v="2023"/>
    <x v="6"/>
    <x v="2"/>
    <x v="0"/>
    <m/>
    <m/>
    <n v="42.5"/>
  </r>
  <r>
    <s v="EU27"/>
    <x v="24"/>
    <n v="2023"/>
    <x v="6"/>
    <x v="2"/>
    <x v="2"/>
    <m/>
    <m/>
    <n v="1541.3"/>
  </r>
  <r>
    <s v="EU27"/>
    <x v="24"/>
    <n v="2023"/>
    <x v="7"/>
    <x v="0"/>
    <x v="0"/>
    <m/>
    <m/>
    <n v="17151.655310352311"/>
  </r>
  <r>
    <s v="EU27"/>
    <x v="24"/>
    <n v="2023"/>
    <x v="7"/>
    <x v="0"/>
    <x v="1"/>
    <m/>
    <m/>
    <n v="0"/>
  </r>
  <r>
    <s v="EU27"/>
    <x v="24"/>
    <n v="2023"/>
    <x v="7"/>
    <x v="0"/>
    <x v="2"/>
    <m/>
    <m/>
    <n v="17177.523110411232"/>
  </r>
  <r>
    <s v="EU27"/>
    <x v="24"/>
    <n v="2023"/>
    <x v="7"/>
    <x v="1"/>
    <x v="0"/>
    <m/>
    <m/>
    <n v="17593.07223091284"/>
  </r>
  <r>
    <s v="EU27"/>
    <x v="24"/>
    <n v="2023"/>
    <x v="7"/>
    <x v="1"/>
    <x v="1"/>
    <m/>
    <m/>
    <n v="0"/>
  </r>
  <r>
    <s v="EU27"/>
    <x v="24"/>
    <n v="2023"/>
    <x v="7"/>
    <x v="1"/>
    <x v="2"/>
    <m/>
    <m/>
    <n v="17618.614845001521"/>
  </r>
  <r>
    <s v="EU27"/>
    <x v="24"/>
    <n v="2023"/>
    <x v="7"/>
    <x v="2"/>
    <x v="0"/>
    <m/>
    <m/>
    <n v="53.529119999999999"/>
  </r>
  <r>
    <s v="EU27"/>
    <x v="24"/>
    <n v="2023"/>
    <x v="7"/>
    <x v="2"/>
    <x v="2"/>
    <m/>
    <m/>
    <n v="418.42912000000001"/>
  </r>
  <r>
    <s v="EU27"/>
    <x v="24"/>
    <n v="2023"/>
    <x v="8"/>
    <x v="0"/>
    <x v="0"/>
    <m/>
    <m/>
    <n v="1180.268982483399"/>
  </r>
  <r>
    <s v="EU27"/>
    <x v="24"/>
    <n v="2023"/>
    <x v="8"/>
    <x v="0"/>
    <x v="1"/>
    <m/>
    <m/>
    <n v="3261.880752758535"/>
  </r>
  <r>
    <s v="EU27"/>
    <x v="24"/>
    <n v="2023"/>
    <x v="8"/>
    <x v="0"/>
    <x v="2"/>
    <m/>
    <m/>
    <n v="4442.0497252419336"/>
  </r>
  <r>
    <s v="EU27"/>
    <x v="24"/>
    <n v="2023"/>
    <x v="8"/>
    <x v="1"/>
    <x v="0"/>
    <m/>
    <m/>
    <n v="1515.8749017248349"/>
  </r>
  <r>
    <s v="EU27"/>
    <x v="24"/>
    <n v="2023"/>
    <x v="8"/>
    <x v="1"/>
    <x v="1"/>
    <m/>
    <m/>
    <n v="3444.9320771957041"/>
  </r>
  <r>
    <s v="EU27"/>
    <x v="24"/>
    <n v="2023"/>
    <x v="8"/>
    <x v="1"/>
    <x v="2"/>
    <m/>
    <m/>
    <n v="4960.7069789205379"/>
  </r>
  <r>
    <s v="EU27"/>
    <x v="24"/>
    <n v="2023"/>
    <x v="8"/>
    <x v="2"/>
    <x v="0"/>
    <m/>
    <m/>
    <n v="7.2"/>
  </r>
  <r>
    <s v="EU27"/>
    <x v="24"/>
    <n v="2023"/>
    <x v="8"/>
    <x v="2"/>
    <x v="2"/>
    <m/>
    <m/>
    <n v="328.6"/>
  </r>
  <r>
    <s v="EU27"/>
    <x v="24"/>
    <n v="2023"/>
    <x v="9"/>
    <x v="0"/>
    <x v="0"/>
    <m/>
    <m/>
    <n v="253683.22388742751"/>
  </r>
  <r>
    <s v="EU27"/>
    <x v="24"/>
    <n v="2023"/>
    <x v="9"/>
    <x v="0"/>
    <x v="1"/>
    <m/>
    <m/>
    <n v="925.13409169079443"/>
  </r>
  <r>
    <s v="EU27"/>
    <x v="24"/>
    <n v="2023"/>
    <x v="9"/>
    <x v="0"/>
    <x v="2"/>
    <m/>
    <m/>
    <n v="255156.72092286541"/>
  </r>
  <r>
    <s v="EU27"/>
    <x v="24"/>
    <n v="2023"/>
    <x v="9"/>
    <x v="1"/>
    <x v="0"/>
    <m/>
    <m/>
    <n v="323319.17917857639"/>
  </r>
  <r>
    <s v="EU27"/>
    <x v="24"/>
    <n v="2023"/>
    <x v="9"/>
    <x v="1"/>
    <x v="1"/>
    <m/>
    <m/>
    <n v="1085.2157273945329"/>
  </r>
  <r>
    <s v="EU27"/>
    <x v="24"/>
    <n v="2023"/>
    <x v="9"/>
    <x v="1"/>
    <x v="2"/>
    <m/>
    <m/>
    <n v="324952.10418215441"/>
  </r>
  <r>
    <s v="EU27"/>
    <x v="24"/>
    <n v="2023"/>
    <x v="9"/>
    <x v="2"/>
    <x v="0"/>
    <m/>
    <m/>
    <n v="1456.9963399999999"/>
  </r>
  <r>
    <s v="EU27"/>
    <x v="24"/>
    <n v="2023"/>
    <x v="9"/>
    <x v="2"/>
    <x v="2"/>
    <m/>
    <m/>
    <n v="21069.296340000001"/>
  </r>
  <r>
    <s v="EU27"/>
    <x v="24"/>
    <n v="2023"/>
    <x v="10"/>
    <x v="0"/>
    <x v="0"/>
    <m/>
    <m/>
    <n v="3468.2415745158369"/>
  </r>
  <r>
    <s v="EU27"/>
    <x v="24"/>
    <n v="2023"/>
    <x v="10"/>
    <x v="0"/>
    <x v="1"/>
    <m/>
    <m/>
    <n v="0"/>
  </r>
  <r>
    <s v="EU27"/>
    <x v="24"/>
    <n v="2023"/>
    <x v="10"/>
    <x v="0"/>
    <x v="2"/>
    <m/>
    <m/>
    <n v="3472.4717230776409"/>
  </r>
  <r>
    <s v="EU27"/>
    <x v="24"/>
    <n v="2023"/>
    <x v="10"/>
    <x v="1"/>
    <x v="0"/>
    <m/>
    <m/>
    <n v="3468.9803045158369"/>
  </r>
  <r>
    <s v="EU27"/>
    <x v="24"/>
    <n v="2023"/>
    <x v="10"/>
    <x v="1"/>
    <x v="1"/>
    <m/>
    <m/>
    <n v="0"/>
  </r>
  <r>
    <s v="EU27"/>
    <x v="24"/>
    <n v="2023"/>
    <x v="10"/>
    <x v="1"/>
    <x v="2"/>
    <m/>
    <m/>
    <n v="3473.210453077641"/>
  </r>
  <r>
    <s v="EU27"/>
    <x v="24"/>
    <n v="2023"/>
    <x v="10"/>
    <x v="2"/>
    <x v="0"/>
    <m/>
    <m/>
    <n v="4.0999999999999996"/>
  </r>
  <r>
    <s v="EU27"/>
    <x v="24"/>
    <n v="2023"/>
    <x v="10"/>
    <x v="2"/>
    <x v="2"/>
    <m/>
    <m/>
    <n v="1246.2"/>
  </r>
  <r>
    <s v="EU27"/>
    <x v="24"/>
    <n v="2023"/>
    <x v="11"/>
    <x v="0"/>
    <x v="0"/>
    <m/>
    <m/>
    <n v="40474.786013249643"/>
  </r>
  <r>
    <s v="EU27"/>
    <x v="24"/>
    <n v="2023"/>
    <x v="11"/>
    <x v="0"/>
    <x v="1"/>
    <m/>
    <m/>
    <n v="10393.41715767461"/>
  </r>
  <r>
    <s v="EU27"/>
    <x v="24"/>
    <n v="2023"/>
    <x v="11"/>
    <x v="0"/>
    <x v="2"/>
    <m/>
    <m/>
    <n v="50868.216895084777"/>
  </r>
  <r>
    <s v="EU27"/>
    <x v="24"/>
    <n v="2023"/>
    <x v="11"/>
    <x v="1"/>
    <x v="0"/>
    <m/>
    <m/>
    <n v="42670.566191835031"/>
  </r>
  <r>
    <s v="EU27"/>
    <x v="24"/>
    <n v="2023"/>
    <x v="11"/>
    <x v="1"/>
    <x v="1"/>
    <m/>
    <m/>
    <n v="11998.256678164969"/>
  </r>
  <r>
    <s v="EU27"/>
    <x v="24"/>
    <n v="2023"/>
    <x v="11"/>
    <x v="1"/>
    <x v="2"/>
    <m/>
    <m/>
    <n v="54668.942860000003"/>
  </r>
  <r>
    <s v="EU27"/>
    <x v="24"/>
    <n v="2023"/>
    <x v="11"/>
    <x v="2"/>
    <x v="0"/>
    <m/>
    <m/>
    <n v="431.7"/>
  </r>
  <r>
    <s v="EU27"/>
    <x v="24"/>
    <n v="2023"/>
    <x v="11"/>
    <x v="2"/>
    <x v="1"/>
    <m/>
    <m/>
    <n v="69.900000000000006"/>
  </r>
  <r>
    <s v="EU27"/>
    <x v="24"/>
    <n v="2023"/>
    <x v="11"/>
    <x v="2"/>
    <x v="2"/>
    <m/>
    <m/>
    <n v="18677.400000000001"/>
  </r>
  <r>
    <s v="EU27"/>
    <x v="24"/>
    <n v="2023"/>
    <x v="12"/>
    <x v="0"/>
    <x v="0"/>
    <m/>
    <m/>
    <n v="0"/>
  </r>
  <r>
    <s v="EU27"/>
    <x v="24"/>
    <n v="2023"/>
    <x v="12"/>
    <x v="0"/>
    <x v="1"/>
    <m/>
    <m/>
    <n v="0"/>
  </r>
  <r>
    <s v="EU27"/>
    <x v="24"/>
    <n v="2023"/>
    <x v="12"/>
    <x v="0"/>
    <x v="2"/>
    <m/>
    <m/>
    <n v="0"/>
  </r>
  <r>
    <s v="EU27"/>
    <x v="24"/>
    <n v="2023"/>
    <x v="12"/>
    <x v="1"/>
    <x v="0"/>
    <m/>
    <m/>
    <n v="0"/>
  </r>
  <r>
    <s v="EU27"/>
    <x v="24"/>
    <n v="2023"/>
    <x v="12"/>
    <x v="1"/>
    <x v="1"/>
    <m/>
    <m/>
    <n v="0"/>
  </r>
  <r>
    <s v="EU27"/>
    <x v="24"/>
    <n v="2023"/>
    <x v="12"/>
    <x v="1"/>
    <x v="2"/>
    <m/>
    <m/>
    <n v="0"/>
  </r>
  <r>
    <s v="EU27"/>
    <x v="24"/>
    <n v="2023"/>
    <x v="13"/>
    <x v="0"/>
    <x v="0"/>
    <m/>
    <m/>
    <n v="43830.112968195142"/>
  </r>
  <r>
    <s v="EU27"/>
    <x v="24"/>
    <n v="2023"/>
    <x v="13"/>
    <x v="0"/>
    <x v="1"/>
    <m/>
    <m/>
    <n v="169275.65725022461"/>
  </r>
  <r>
    <s v="EU27"/>
    <x v="24"/>
    <n v="2023"/>
    <x v="13"/>
    <x v="0"/>
    <x v="2"/>
    <m/>
    <m/>
    <n v="212868.17714929249"/>
  </r>
  <r>
    <s v="EU27"/>
    <x v="24"/>
    <n v="2023"/>
    <x v="13"/>
    <x v="1"/>
    <x v="0"/>
    <m/>
    <m/>
    <n v="47121.956837167687"/>
  </r>
  <r>
    <s v="EU27"/>
    <x v="24"/>
    <n v="2023"/>
    <x v="13"/>
    <x v="1"/>
    <x v="1"/>
    <m/>
    <m/>
    <n v="179184.06932395429"/>
  </r>
  <r>
    <s v="EU27"/>
    <x v="24"/>
    <n v="2023"/>
    <x v="13"/>
    <x v="1"/>
    <x v="2"/>
    <m/>
    <m/>
    <n v="226046.91576800161"/>
  </r>
  <r>
    <s v="EU27"/>
    <x v="24"/>
    <n v="2023"/>
    <x v="13"/>
    <x v="2"/>
    <x v="0"/>
    <m/>
    <m/>
    <n v="1216.6890599999999"/>
  </r>
  <r>
    <s v="EU27"/>
    <x v="24"/>
    <n v="2023"/>
    <x v="13"/>
    <x v="2"/>
    <x v="1"/>
    <m/>
    <m/>
    <n v="767.4"/>
  </r>
  <r>
    <s v="EU27"/>
    <x v="24"/>
    <n v="2023"/>
    <x v="13"/>
    <x v="2"/>
    <x v="2"/>
    <m/>
    <m/>
    <n v="17600.889060000001"/>
  </r>
  <r>
    <s v="EU27"/>
    <x v="24"/>
    <n v="2023"/>
    <x v="14"/>
    <x v="0"/>
    <x v="0"/>
    <m/>
    <m/>
    <n v="346547.10734583798"/>
  </r>
  <r>
    <s v="EU27"/>
    <x v="24"/>
    <n v="2023"/>
    <x v="14"/>
    <x v="0"/>
    <x v="2"/>
    <m/>
    <m/>
    <n v="346379.26621687523"/>
  </r>
  <r>
    <s v="EU27"/>
    <x v="24"/>
    <n v="2023"/>
    <x v="14"/>
    <x v="1"/>
    <x v="0"/>
    <m/>
    <m/>
    <n v="364858.05953096948"/>
  </r>
  <r>
    <s v="EU27"/>
    <x v="24"/>
    <n v="2023"/>
    <x v="14"/>
    <x v="1"/>
    <x v="2"/>
    <m/>
    <m/>
    <n v="364858.05953096948"/>
  </r>
  <r>
    <s v="EU27"/>
    <x v="24"/>
    <n v="2023"/>
    <x v="14"/>
    <x v="2"/>
    <x v="0"/>
    <m/>
    <m/>
    <n v="2082.3725199999999"/>
  </r>
  <r>
    <s v="EU27"/>
    <x v="24"/>
    <n v="2023"/>
    <x v="14"/>
    <x v="2"/>
    <x v="2"/>
    <m/>
    <m/>
    <n v="38694.67252"/>
  </r>
  <r>
    <s v="EU27"/>
    <x v="24"/>
    <n v="2023"/>
    <x v="15"/>
    <x v="0"/>
    <x v="2"/>
    <m/>
    <m/>
    <n v="-246120.11028506249"/>
  </r>
  <r>
    <s v="EU27"/>
    <x v="24"/>
    <n v="2023"/>
    <x v="15"/>
    <x v="1"/>
    <x v="2"/>
    <m/>
    <m/>
    <n v="-213515.76774722981"/>
  </r>
  <r>
    <s v="EU27"/>
    <x v="24"/>
    <n v="2023"/>
    <x v="15"/>
    <x v="2"/>
    <x v="2"/>
    <m/>
    <m/>
    <n v="-9923.0927300000003"/>
  </r>
  <r>
    <s v="EU27"/>
    <x v="24"/>
    <n v="2023"/>
    <x v="16"/>
    <x v="0"/>
    <x v="2"/>
    <m/>
    <m/>
    <n v="-285798.85201000702"/>
  </r>
  <r>
    <s v="EU27"/>
    <x v="24"/>
    <n v="2023"/>
    <x v="16"/>
    <x v="1"/>
    <x v="2"/>
    <m/>
    <m/>
    <n v="-266121.2822168885"/>
  </r>
  <r>
    <s v="EU27"/>
    <x v="24"/>
    <n v="2023"/>
    <x v="16"/>
    <x v="2"/>
    <x v="2"/>
    <m/>
    <m/>
    <n v="-16090.921609999999"/>
  </r>
  <r>
    <s v="EU27"/>
    <x v="24"/>
    <n v="2023"/>
    <x v="17"/>
    <x v="0"/>
    <x v="2"/>
    <m/>
    <m/>
    <n v="22266.356308920978"/>
  </r>
  <r>
    <s v="EU27"/>
    <x v="24"/>
    <n v="2023"/>
    <x v="17"/>
    <x v="1"/>
    <x v="2"/>
    <m/>
    <m/>
    <n v="30817.97198967338"/>
  </r>
  <r>
    <s v="EU27"/>
    <x v="24"/>
    <n v="2023"/>
    <x v="17"/>
    <x v="2"/>
    <x v="2"/>
    <m/>
    <m/>
    <n v="-2165.3160600000001"/>
  </r>
  <r>
    <s v="EU27"/>
    <x v="24"/>
    <n v="2023"/>
    <x v="18"/>
    <x v="0"/>
    <x v="2"/>
    <m/>
    <m/>
    <n v="11326.344352634271"/>
  </r>
  <r>
    <s v="EU27"/>
    <x v="24"/>
    <n v="2023"/>
    <x v="18"/>
    <x v="1"/>
    <x v="2"/>
    <m/>
    <m/>
    <n v="11974.006949152799"/>
  </r>
  <r>
    <s v="EU27"/>
    <x v="24"/>
    <n v="2023"/>
    <x v="18"/>
    <x v="2"/>
    <x v="2"/>
    <m/>
    <m/>
    <n v="5543.7132799999999"/>
  </r>
  <r>
    <s v="EU27"/>
    <x v="24"/>
    <n v="2023"/>
    <x v="19"/>
    <x v="0"/>
    <x v="2"/>
    <m/>
    <m/>
    <n v="11688.664178188939"/>
  </r>
  <r>
    <s v="EU27"/>
    <x v="24"/>
    <n v="2023"/>
    <x v="19"/>
    <x v="1"/>
    <x v="2"/>
    <m/>
    <m/>
    <n v="12875.464832632309"/>
  </r>
  <r>
    <s v="EU27"/>
    <x v="24"/>
    <n v="2023"/>
    <x v="19"/>
    <x v="2"/>
    <x v="2"/>
    <m/>
    <m/>
    <n v="764.28647999999998"/>
  </r>
  <r>
    <s v="EU27"/>
    <x v="24"/>
    <n v="2023"/>
    <x v="20"/>
    <x v="0"/>
    <x v="2"/>
    <m/>
    <m/>
    <n v="28667.452607006289"/>
  </r>
  <r>
    <s v="EU27"/>
    <x v="24"/>
    <n v="2023"/>
    <x v="20"/>
    <x v="1"/>
    <x v="2"/>
    <m/>
    <m/>
    <n v="29222.52928938788"/>
  </r>
  <r>
    <s v="EU27"/>
    <x v="24"/>
    <n v="2023"/>
    <x v="20"/>
    <x v="2"/>
    <x v="2"/>
    <m/>
    <m/>
    <n v="3254.5682999999999"/>
  </r>
  <r>
    <s v="EU27"/>
    <x v="24"/>
    <n v="2023"/>
    <x v="21"/>
    <x v="0"/>
    <x v="2"/>
    <m/>
    <m/>
    <n v="504.10782999999992"/>
  </r>
  <r>
    <s v="EU27"/>
    <x v="24"/>
    <n v="2023"/>
    <x v="21"/>
    <x v="1"/>
    <x v="2"/>
    <m/>
    <m/>
    <n v="332.90782999999999"/>
  </r>
  <r>
    <s v="EU27"/>
    <x v="24"/>
    <n v="2023"/>
    <x v="21"/>
    <x v="2"/>
    <x v="2"/>
    <m/>
    <m/>
    <n v="325.67687999999998"/>
  </r>
  <r>
    <s v="EU27"/>
    <x v="24"/>
    <n v="2023"/>
    <x v="22"/>
    <x v="0"/>
    <x v="2"/>
    <m/>
    <m/>
    <n v="-34251.333496687817"/>
  </r>
  <r>
    <s v="EU27"/>
    <x v="24"/>
    <n v="2023"/>
    <x v="22"/>
    <x v="1"/>
    <x v="2"/>
    <m/>
    <m/>
    <n v="-33023.974466687832"/>
  </r>
  <r>
    <s v="EU27"/>
    <x v="24"/>
    <n v="2023"/>
    <x v="22"/>
    <x v="2"/>
    <x v="2"/>
    <m/>
    <m/>
    <n v="-1555.2"/>
  </r>
  <r>
    <s v="EU27"/>
    <x v="24"/>
    <n v="2023"/>
    <x v="23"/>
    <x v="0"/>
    <x v="2"/>
    <m/>
    <m/>
    <n v="253.85033000000001"/>
  </r>
  <r>
    <s v="EU27"/>
    <x v="24"/>
    <n v="2023"/>
    <x v="23"/>
    <x v="1"/>
    <x v="2"/>
    <m/>
    <m/>
    <n v="253.85033000000001"/>
  </r>
  <r>
    <s v="EU27"/>
    <x v="24"/>
    <n v="2023"/>
    <x v="24"/>
    <x v="0"/>
    <x v="0"/>
    <m/>
    <m/>
    <n v="62290.338049066333"/>
  </r>
  <r>
    <s v="EU27"/>
    <x v="24"/>
    <n v="2023"/>
    <x v="24"/>
    <x v="0"/>
    <x v="1"/>
    <m/>
    <m/>
    <n v="224.3287340154582"/>
  </r>
  <r>
    <s v="EU27"/>
    <x v="24"/>
    <n v="2023"/>
    <x v="24"/>
    <x v="0"/>
    <x v="2"/>
    <m/>
    <m/>
    <n v="62687.912953081788"/>
  </r>
  <r>
    <s v="EU27"/>
    <x v="24"/>
    <n v="2023"/>
    <x v="24"/>
    <x v="1"/>
    <x v="0"/>
    <m/>
    <m/>
    <n v="63319.117309025118"/>
  </r>
  <r>
    <s v="EU27"/>
    <x v="24"/>
    <n v="2023"/>
    <x v="24"/>
    <x v="1"/>
    <x v="1"/>
    <m/>
    <m/>
    <n v="224.3287339981631"/>
  </r>
  <r>
    <s v="EU27"/>
    <x v="24"/>
    <n v="2023"/>
    <x v="24"/>
    <x v="1"/>
    <x v="2"/>
    <m/>
    <m/>
    <n v="63442.140611077957"/>
  </r>
  <r>
    <s v="EU27"/>
    <x v="24"/>
    <n v="2023"/>
    <x v="24"/>
    <x v="2"/>
    <x v="0"/>
    <m/>
    <m/>
    <n v="1709.29557"/>
  </r>
  <r>
    <s v="EU27"/>
    <x v="24"/>
    <n v="2023"/>
    <x v="24"/>
    <x v="2"/>
    <x v="2"/>
    <m/>
    <m/>
    <n v="10149.395570000001"/>
  </r>
  <r>
    <s v="EU27"/>
    <x v="24"/>
    <n v="2023"/>
    <x v="25"/>
    <x v="0"/>
    <x v="0"/>
    <m/>
    <m/>
    <n v="179.2"/>
  </r>
  <r>
    <s v="EU27"/>
    <x v="24"/>
    <n v="2023"/>
    <x v="25"/>
    <x v="0"/>
    <x v="2"/>
    <m/>
    <m/>
    <n v="125689.9008184187"/>
  </r>
  <r>
    <s v="EU27"/>
    <x v="24"/>
    <n v="2023"/>
    <x v="25"/>
    <x v="1"/>
    <x v="0"/>
    <m/>
    <m/>
    <n v="179.2"/>
  </r>
  <r>
    <s v="EU27"/>
    <x v="24"/>
    <n v="2023"/>
    <x v="25"/>
    <x v="1"/>
    <x v="2"/>
    <m/>
    <m/>
    <n v="134417.47246485631"/>
  </r>
  <r>
    <s v="EU27"/>
    <x v="24"/>
    <n v="2023"/>
    <x v="25"/>
    <x v="2"/>
    <x v="2"/>
    <m/>
    <m/>
    <n v="1336.43688"/>
  </r>
  <r>
    <s v="EU27"/>
    <x v="24"/>
    <n v="2023"/>
    <x v="26"/>
    <x v="0"/>
    <x v="0"/>
    <m/>
    <m/>
    <n v="856.5"/>
  </r>
  <r>
    <s v="EU27"/>
    <x v="24"/>
    <n v="2023"/>
    <x v="26"/>
    <x v="0"/>
    <x v="2"/>
    <m/>
    <m/>
    <n v="142755.5078617369"/>
  </r>
  <r>
    <s v="EU27"/>
    <x v="24"/>
    <n v="2023"/>
    <x v="26"/>
    <x v="1"/>
    <x v="0"/>
    <m/>
    <m/>
    <n v="856.5"/>
  </r>
  <r>
    <s v="EU27"/>
    <x v="24"/>
    <n v="2023"/>
    <x v="26"/>
    <x v="1"/>
    <x v="2"/>
    <m/>
    <m/>
    <n v="145215.77264568899"/>
  </r>
  <r>
    <s v="EU27"/>
    <x v="24"/>
    <n v="2023"/>
    <x v="26"/>
    <x v="2"/>
    <x v="2"/>
    <m/>
    <m/>
    <n v="1006.8"/>
  </r>
  <r>
    <s v="EU27"/>
    <x v="24"/>
    <n v="2023"/>
    <x v="27"/>
    <x v="0"/>
    <x v="0"/>
    <m/>
    <m/>
    <n v="701.56979999999999"/>
  </r>
  <r>
    <s v="EU27"/>
    <x v="24"/>
    <n v="2023"/>
    <x v="27"/>
    <x v="0"/>
    <x v="2"/>
    <m/>
    <m/>
    <n v="845.4622720032329"/>
  </r>
  <r>
    <s v="EU27"/>
    <x v="24"/>
    <n v="2023"/>
    <x v="27"/>
    <x v="1"/>
    <x v="0"/>
    <m/>
    <m/>
    <n v="705.46979999999996"/>
  </r>
  <r>
    <s v="EU27"/>
    <x v="24"/>
    <n v="2023"/>
    <x v="27"/>
    <x v="1"/>
    <x v="2"/>
    <m/>
    <m/>
    <n v="849.36980000000005"/>
  </r>
  <r>
    <s v="EU27"/>
    <x v="24"/>
    <n v="2023"/>
    <x v="28"/>
    <x v="0"/>
    <x v="0"/>
    <m/>
    <m/>
    <n v="1273035.656311953"/>
  </r>
  <r>
    <s v="EU27"/>
    <x v="24"/>
    <n v="2023"/>
    <x v="28"/>
    <x v="0"/>
    <x v="1"/>
    <m/>
    <m/>
    <n v="601184.22348432627"/>
  </r>
  <r>
    <s v="EU27"/>
    <x v="24"/>
    <n v="2023"/>
    <x v="28"/>
    <x v="0"/>
    <x v="2"/>
    <m/>
    <m/>
    <n v="1890858.0510213019"/>
  </r>
  <r>
    <s v="EU27"/>
    <x v="24"/>
    <n v="2023"/>
    <x v="28"/>
    <x v="1"/>
    <x v="0"/>
    <m/>
    <m/>
    <n v="1481994.6781739269"/>
  </r>
  <r>
    <s v="EU27"/>
    <x v="24"/>
    <n v="2023"/>
    <x v="28"/>
    <x v="1"/>
    <x v="1"/>
    <m/>
    <m/>
    <n v="690015.44282420573"/>
  </r>
  <r>
    <s v="EU27"/>
    <x v="24"/>
    <n v="2023"/>
    <x v="28"/>
    <x v="1"/>
    <x v="2"/>
    <m/>
    <m/>
    <n v="2190336.4758567549"/>
  </r>
  <r>
    <s v="EU27"/>
    <x v="24"/>
    <n v="2023"/>
    <x v="28"/>
    <x v="2"/>
    <x v="0"/>
    <m/>
    <m/>
    <n v="17443.413420000001"/>
  </r>
  <r>
    <s v="EU27"/>
    <x v="24"/>
    <n v="2023"/>
    <x v="28"/>
    <x v="2"/>
    <x v="1"/>
    <m/>
    <m/>
    <n v="9575.1356100000012"/>
  </r>
  <r>
    <s v="EU27"/>
    <x v="24"/>
    <n v="2023"/>
    <x v="28"/>
    <x v="2"/>
    <x v="2"/>
    <m/>
    <m/>
    <n v="224256.25899999999"/>
  </r>
  <r>
    <s v="EU27"/>
    <x v="24"/>
    <n v="2023"/>
    <x v="29"/>
    <x v="0"/>
    <x v="0"/>
    <m/>
    <m/>
    <n v="1273035.656311953"/>
  </r>
  <r>
    <s v="EU27"/>
    <x v="24"/>
    <n v="2023"/>
    <x v="29"/>
    <x v="0"/>
    <x v="1"/>
    <m/>
    <m/>
    <n v="601184.22348432627"/>
  </r>
  <r>
    <s v="EU27"/>
    <x v="24"/>
    <n v="2023"/>
    <x v="29"/>
    <x v="0"/>
    <x v="2"/>
    <m/>
    <m/>
    <n v="1644737.7407162399"/>
  </r>
  <r>
    <s v="EU27"/>
    <x v="24"/>
    <n v="2023"/>
    <x v="29"/>
    <x v="1"/>
    <x v="0"/>
    <m/>
    <m/>
    <n v="1481994.6781739269"/>
  </r>
  <r>
    <s v="EU27"/>
    <x v="24"/>
    <n v="2023"/>
    <x v="29"/>
    <x v="1"/>
    <x v="1"/>
    <m/>
    <m/>
    <n v="690015.44282420573"/>
  </r>
  <r>
    <s v="EU27"/>
    <x v="24"/>
    <n v="2023"/>
    <x v="29"/>
    <x v="1"/>
    <x v="2"/>
    <m/>
    <m/>
    <n v="1976820.7576595249"/>
  </r>
  <r>
    <s v="EU27"/>
    <x v="24"/>
    <n v="2023"/>
    <x v="29"/>
    <x v="2"/>
    <x v="0"/>
    <m/>
    <m/>
    <n v="17443.413420000001"/>
  </r>
  <r>
    <s v="EU27"/>
    <x v="24"/>
    <n v="2023"/>
    <x v="29"/>
    <x v="2"/>
    <x v="1"/>
    <m/>
    <m/>
    <n v="9575.1356100000012"/>
  </r>
  <r>
    <s v="EU27"/>
    <x v="24"/>
    <n v="2023"/>
    <x v="29"/>
    <x v="2"/>
    <x v="2"/>
    <m/>
    <m/>
    <n v="214646.66626999999"/>
  </r>
  <r>
    <s v="EU27"/>
    <x v="25"/>
    <n v="2023"/>
    <x v="0"/>
    <x v="0"/>
    <x v="0"/>
    <m/>
    <m/>
    <n v="810313.93375480932"/>
  </r>
  <r>
    <s v="EU27"/>
    <x v="25"/>
    <n v="2023"/>
    <x v="0"/>
    <x v="0"/>
    <x v="1"/>
    <m/>
    <m/>
    <n v="429908.58607824129"/>
  </r>
  <r>
    <s v="EU27"/>
    <x v="25"/>
    <n v="2023"/>
    <x v="0"/>
    <x v="0"/>
    <x v="2"/>
    <m/>
    <m/>
    <n v="1257198.515545523"/>
  </r>
  <r>
    <s v="EU27"/>
    <x v="25"/>
    <n v="2023"/>
    <x v="0"/>
    <x v="1"/>
    <x v="0"/>
    <m/>
    <m/>
    <n v="995447.31305706536"/>
  </r>
  <r>
    <s v="EU27"/>
    <x v="25"/>
    <n v="2023"/>
    <x v="0"/>
    <x v="1"/>
    <x v="1"/>
    <m/>
    <m/>
    <n v="508962.19219502859"/>
  </r>
  <r>
    <s v="EU27"/>
    <x v="25"/>
    <n v="2023"/>
    <x v="0"/>
    <x v="1"/>
    <x v="2"/>
    <m/>
    <m/>
    <n v="1523218.924534546"/>
  </r>
  <r>
    <s v="EU27"/>
    <x v="25"/>
    <n v="2023"/>
    <x v="0"/>
    <x v="2"/>
    <x v="0"/>
    <m/>
    <m/>
    <n v="12437.3496"/>
  </r>
  <r>
    <s v="EU27"/>
    <x v="25"/>
    <n v="2023"/>
    <x v="0"/>
    <x v="2"/>
    <x v="1"/>
    <m/>
    <m/>
    <n v="8828.7541700000002"/>
  </r>
  <r>
    <s v="EU27"/>
    <x v="25"/>
    <n v="2023"/>
    <x v="0"/>
    <x v="2"/>
    <x v="2"/>
    <m/>
    <m/>
    <n v="158216.56471000001"/>
  </r>
  <r>
    <s v="EU27"/>
    <x v="25"/>
    <n v="2023"/>
    <x v="1"/>
    <x v="0"/>
    <x v="0"/>
    <m/>
    <m/>
    <n v="40106.517409005959"/>
  </r>
  <r>
    <s v="EU27"/>
    <x v="25"/>
    <n v="2023"/>
    <x v="1"/>
    <x v="0"/>
    <x v="1"/>
    <m/>
    <m/>
    <n v="255370.39867197149"/>
  </r>
  <r>
    <s v="EU27"/>
    <x v="25"/>
    <n v="2023"/>
    <x v="1"/>
    <x v="0"/>
    <x v="2"/>
    <m/>
    <m/>
    <n v="294909.43528545753"/>
  </r>
  <r>
    <s v="EU27"/>
    <x v="25"/>
    <n v="2023"/>
    <x v="1"/>
    <x v="1"/>
    <x v="0"/>
    <m/>
    <m/>
    <n v="40432.303120702243"/>
  </r>
  <r>
    <s v="EU27"/>
    <x v="25"/>
    <n v="2023"/>
    <x v="1"/>
    <x v="1"/>
    <x v="1"/>
    <m/>
    <m/>
    <n v="304705.27886524872"/>
  </r>
  <r>
    <s v="EU27"/>
    <x v="25"/>
    <n v="2023"/>
    <x v="1"/>
    <x v="1"/>
    <x v="2"/>
    <m/>
    <m/>
    <n v="344644.7560923362"/>
  </r>
  <r>
    <s v="EU27"/>
    <x v="25"/>
    <n v="2023"/>
    <x v="1"/>
    <x v="2"/>
    <x v="0"/>
    <m/>
    <m/>
    <n v="42.028460000000003"/>
  </r>
  <r>
    <s v="EU27"/>
    <x v="25"/>
    <n v="2023"/>
    <x v="1"/>
    <x v="2"/>
    <x v="1"/>
    <m/>
    <m/>
    <n v="7252.9741700000004"/>
  </r>
  <r>
    <s v="EU27"/>
    <x v="25"/>
    <n v="2023"/>
    <x v="1"/>
    <x v="2"/>
    <x v="2"/>
    <m/>
    <m/>
    <n v="48268.502630000003"/>
  </r>
  <r>
    <s v="EU27"/>
    <x v="25"/>
    <n v="2023"/>
    <x v="2"/>
    <x v="0"/>
    <x v="0"/>
    <m/>
    <m/>
    <n v="94155.532428337203"/>
  </r>
  <r>
    <s v="EU27"/>
    <x v="25"/>
    <n v="2023"/>
    <x v="2"/>
    <x v="0"/>
    <x v="1"/>
    <m/>
    <m/>
    <n v="160105.13696160811"/>
  </r>
  <r>
    <s v="EU27"/>
    <x v="25"/>
    <n v="2023"/>
    <x v="2"/>
    <x v="0"/>
    <x v="2"/>
    <m/>
    <m/>
    <n v="253648.6726835882"/>
  </r>
  <r>
    <s v="EU27"/>
    <x v="25"/>
    <n v="2023"/>
    <x v="2"/>
    <x v="1"/>
    <x v="0"/>
    <m/>
    <m/>
    <n v="101473.8813944389"/>
  </r>
  <r>
    <s v="EU27"/>
    <x v="25"/>
    <n v="2023"/>
    <x v="2"/>
    <x v="1"/>
    <x v="1"/>
    <m/>
    <m/>
    <n v="187818.43615240109"/>
  </r>
  <r>
    <s v="EU27"/>
    <x v="25"/>
    <n v="2023"/>
    <x v="2"/>
    <x v="1"/>
    <x v="2"/>
    <m/>
    <m/>
    <n v="288691.25381423812"/>
  </r>
  <r>
    <s v="EU27"/>
    <x v="25"/>
    <n v="2023"/>
    <x v="2"/>
    <x v="2"/>
    <x v="0"/>
    <m/>
    <m/>
    <n v="1154.4577999999999"/>
  </r>
  <r>
    <s v="EU27"/>
    <x v="25"/>
    <n v="2023"/>
    <x v="2"/>
    <x v="2"/>
    <x v="1"/>
    <m/>
    <m/>
    <n v="1505.88"/>
  </r>
  <r>
    <s v="EU27"/>
    <x v="25"/>
    <n v="2023"/>
    <x v="2"/>
    <x v="2"/>
    <x v="2"/>
    <m/>
    <m/>
    <n v="23121.197800000002"/>
  </r>
  <r>
    <s v="EU27"/>
    <x v="25"/>
    <n v="2023"/>
    <x v="3"/>
    <x v="0"/>
    <x v="0"/>
    <m/>
    <m/>
    <n v="382125.46379146067"/>
  </r>
  <r>
    <s v="EU27"/>
    <x v="25"/>
    <n v="2023"/>
    <x v="3"/>
    <x v="0"/>
    <x v="1"/>
    <m/>
    <m/>
    <n v="3207.607174961227"/>
  </r>
  <r>
    <s v="EU27"/>
    <x v="25"/>
    <n v="2023"/>
    <x v="3"/>
    <x v="0"/>
    <x v="2"/>
    <m/>
    <m/>
    <n v="402952.71128078358"/>
  </r>
  <r>
    <s v="EU27"/>
    <x v="25"/>
    <n v="2023"/>
    <x v="3"/>
    <x v="1"/>
    <x v="0"/>
    <m/>
    <m/>
    <n v="487538.29468783131"/>
  </r>
  <r>
    <s v="EU27"/>
    <x v="25"/>
    <n v="2023"/>
    <x v="3"/>
    <x v="1"/>
    <x v="1"/>
    <m/>
    <m/>
    <n v="3431.106881990183"/>
  </r>
  <r>
    <s v="EU27"/>
    <x v="25"/>
    <n v="2023"/>
    <x v="3"/>
    <x v="1"/>
    <x v="2"/>
    <m/>
    <m/>
    <n v="510337.9269237814"/>
  </r>
  <r>
    <s v="EU27"/>
    <x v="25"/>
    <n v="2023"/>
    <x v="3"/>
    <x v="2"/>
    <x v="0"/>
    <m/>
    <m/>
    <n v="9351.30998"/>
  </r>
  <r>
    <s v="EU27"/>
    <x v="25"/>
    <n v="2023"/>
    <x v="3"/>
    <x v="2"/>
    <x v="1"/>
    <m/>
    <m/>
    <n v="0"/>
  </r>
  <r>
    <s v="EU27"/>
    <x v="25"/>
    <n v="2023"/>
    <x v="3"/>
    <x v="2"/>
    <x v="2"/>
    <m/>
    <m/>
    <n v="45621.670919999997"/>
  </r>
  <r>
    <s v="EU27"/>
    <x v="25"/>
    <n v="2023"/>
    <x v="4"/>
    <x v="0"/>
    <x v="0"/>
    <m/>
    <m/>
    <n v="179.16267122337811"/>
  </r>
  <r>
    <s v="EU27"/>
    <x v="25"/>
    <n v="2023"/>
    <x v="4"/>
    <x v="0"/>
    <x v="1"/>
    <m/>
    <m/>
    <n v="0"/>
  </r>
  <r>
    <s v="EU27"/>
    <x v="25"/>
    <n v="2023"/>
    <x v="4"/>
    <x v="0"/>
    <x v="2"/>
    <m/>
    <m/>
    <n v="17329.968575072129"/>
  </r>
  <r>
    <s v="EU27"/>
    <x v="25"/>
    <n v="2023"/>
    <x v="4"/>
    <x v="1"/>
    <x v="0"/>
    <m/>
    <m/>
    <n v="192.0071941974463"/>
  </r>
  <r>
    <s v="EU27"/>
    <x v="25"/>
    <n v="2023"/>
    <x v="4"/>
    <x v="1"/>
    <x v="1"/>
    <m/>
    <m/>
    <n v="0"/>
  </r>
  <r>
    <s v="EU27"/>
    <x v="25"/>
    <n v="2023"/>
    <x v="4"/>
    <x v="1"/>
    <x v="2"/>
    <m/>
    <m/>
    <n v="19016.110505367491"/>
  </r>
  <r>
    <s v="EU27"/>
    <x v="25"/>
    <n v="2023"/>
    <x v="4"/>
    <x v="2"/>
    <x v="0"/>
    <m/>
    <m/>
    <n v="1.3690000000000001E-2"/>
  </r>
  <r>
    <s v="EU27"/>
    <x v="25"/>
    <n v="2023"/>
    <x v="4"/>
    <x v="2"/>
    <x v="2"/>
    <m/>
    <m/>
    <n v="538.09463000000005"/>
  </r>
  <r>
    <s v="EU27"/>
    <x v="25"/>
    <n v="2023"/>
    <x v="5"/>
    <x v="0"/>
    <x v="0"/>
    <m/>
    <m/>
    <n v="360563.44769405923"/>
  </r>
  <r>
    <s v="EU27"/>
    <x v="25"/>
    <n v="2023"/>
    <x v="5"/>
    <x v="0"/>
    <x v="1"/>
    <m/>
    <m/>
    <n v="0"/>
  </r>
  <r>
    <s v="EU27"/>
    <x v="25"/>
    <n v="2023"/>
    <x v="5"/>
    <x v="0"/>
    <x v="2"/>
    <m/>
    <m/>
    <n v="360952.26444663352"/>
  </r>
  <r>
    <s v="EU27"/>
    <x v="25"/>
    <n v="2023"/>
    <x v="5"/>
    <x v="1"/>
    <x v="0"/>
    <m/>
    <m/>
    <n v="463869.85764727253"/>
  </r>
  <r>
    <s v="EU27"/>
    <x v="25"/>
    <n v="2023"/>
    <x v="5"/>
    <x v="1"/>
    <x v="1"/>
    <m/>
    <m/>
    <n v="0"/>
  </r>
  <r>
    <s v="EU27"/>
    <x v="25"/>
    <n v="2023"/>
    <x v="5"/>
    <x v="1"/>
    <x v="2"/>
    <m/>
    <m/>
    <n v="464376.89277161309"/>
  </r>
  <r>
    <s v="EU27"/>
    <x v="25"/>
    <n v="2023"/>
    <x v="5"/>
    <x v="2"/>
    <x v="0"/>
    <m/>
    <m/>
    <n v="9247.0153499999997"/>
  </r>
  <r>
    <s v="EU27"/>
    <x v="25"/>
    <n v="2023"/>
    <x v="5"/>
    <x v="2"/>
    <x v="2"/>
    <m/>
    <m/>
    <n v="42737.215349999999"/>
  </r>
  <r>
    <s v="EU27"/>
    <x v="25"/>
    <n v="2023"/>
    <x v="6"/>
    <x v="0"/>
    <x v="0"/>
    <m/>
    <m/>
    <n v="3162.0620549247578"/>
  </r>
  <r>
    <s v="EU27"/>
    <x v="25"/>
    <n v="2023"/>
    <x v="6"/>
    <x v="0"/>
    <x v="1"/>
    <m/>
    <m/>
    <n v="0"/>
  </r>
  <r>
    <s v="EU27"/>
    <x v="25"/>
    <n v="2023"/>
    <x v="6"/>
    <x v="0"/>
    <x v="2"/>
    <m/>
    <m/>
    <n v="3163.722482592389"/>
  </r>
  <r>
    <s v="EU27"/>
    <x v="25"/>
    <n v="2023"/>
    <x v="6"/>
    <x v="1"/>
    <x v="0"/>
    <m/>
    <m/>
    <n v="4455.8828414609297"/>
  </r>
  <r>
    <s v="EU27"/>
    <x v="25"/>
    <n v="2023"/>
    <x v="6"/>
    <x v="1"/>
    <x v="1"/>
    <m/>
    <m/>
    <n v="0"/>
  </r>
  <r>
    <s v="EU27"/>
    <x v="25"/>
    <n v="2023"/>
    <x v="6"/>
    <x v="1"/>
    <x v="2"/>
    <m/>
    <m/>
    <n v="4457.5385799097203"/>
  </r>
  <r>
    <s v="EU27"/>
    <x v="25"/>
    <n v="2023"/>
    <x v="6"/>
    <x v="2"/>
    <x v="0"/>
    <m/>
    <m/>
    <n v="43.14"/>
  </r>
  <r>
    <s v="EU27"/>
    <x v="25"/>
    <n v="2023"/>
    <x v="6"/>
    <x v="2"/>
    <x v="2"/>
    <m/>
    <m/>
    <n v="1578.86"/>
  </r>
  <r>
    <s v="EU27"/>
    <x v="25"/>
    <n v="2023"/>
    <x v="7"/>
    <x v="0"/>
    <x v="0"/>
    <m/>
    <m/>
    <n v="17061.98556924452"/>
  </r>
  <r>
    <s v="EU27"/>
    <x v="25"/>
    <n v="2023"/>
    <x v="7"/>
    <x v="0"/>
    <x v="1"/>
    <m/>
    <m/>
    <n v="0"/>
  </r>
  <r>
    <s v="EU27"/>
    <x v="25"/>
    <n v="2023"/>
    <x v="7"/>
    <x v="0"/>
    <x v="2"/>
    <m/>
    <m/>
    <n v="17087.074053866821"/>
  </r>
  <r>
    <s v="EU27"/>
    <x v="25"/>
    <n v="2023"/>
    <x v="7"/>
    <x v="1"/>
    <x v="0"/>
    <m/>
    <m/>
    <n v="17516.79419541989"/>
  </r>
  <r>
    <s v="EU27"/>
    <x v="25"/>
    <n v="2023"/>
    <x v="7"/>
    <x v="1"/>
    <x v="1"/>
    <m/>
    <m/>
    <n v="0"/>
  </r>
  <r>
    <s v="EU27"/>
    <x v="25"/>
    <n v="2023"/>
    <x v="7"/>
    <x v="1"/>
    <x v="2"/>
    <m/>
    <m/>
    <n v="17541.56728889083"/>
  </r>
  <r>
    <s v="EU27"/>
    <x v="25"/>
    <n v="2023"/>
    <x v="7"/>
    <x v="2"/>
    <x v="0"/>
    <m/>
    <m/>
    <n v="53.840940000000003"/>
  </r>
  <r>
    <s v="EU27"/>
    <x v="25"/>
    <n v="2023"/>
    <x v="7"/>
    <x v="2"/>
    <x v="2"/>
    <m/>
    <m/>
    <n v="438.78093999999999"/>
  </r>
  <r>
    <s v="EU27"/>
    <x v="25"/>
    <n v="2023"/>
    <x v="8"/>
    <x v="0"/>
    <x v="0"/>
    <m/>
    <m/>
    <n v="1177.062762008896"/>
  </r>
  <r>
    <s v="EU27"/>
    <x v="25"/>
    <n v="2023"/>
    <x v="8"/>
    <x v="0"/>
    <x v="1"/>
    <m/>
    <m/>
    <n v="3260.9002106099201"/>
  </r>
  <r>
    <s v="EU27"/>
    <x v="25"/>
    <n v="2023"/>
    <x v="8"/>
    <x v="0"/>
    <x v="2"/>
    <m/>
    <m/>
    <n v="4437.882972618816"/>
  </r>
  <r>
    <s v="EU27"/>
    <x v="25"/>
    <n v="2023"/>
    <x v="8"/>
    <x v="1"/>
    <x v="0"/>
    <m/>
    <m/>
    <n v="1522.1529854805351"/>
  </r>
  <r>
    <s v="EU27"/>
    <x v="25"/>
    <n v="2023"/>
    <x v="8"/>
    <x v="1"/>
    <x v="1"/>
    <m/>
    <m/>
    <n v="3442.0660825196992"/>
  </r>
  <r>
    <s v="EU27"/>
    <x v="25"/>
    <n v="2023"/>
    <x v="8"/>
    <x v="1"/>
    <x v="2"/>
    <m/>
    <m/>
    <n v="4964.1390680002332"/>
  </r>
  <r>
    <s v="EU27"/>
    <x v="25"/>
    <n v="2023"/>
    <x v="8"/>
    <x v="2"/>
    <x v="0"/>
    <m/>
    <m/>
    <n v="7.2"/>
  </r>
  <r>
    <s v="EU27"/>
    <x v="25"/>
    <n v="2023"/>
    <x v="8"/>
    <x v="2"/>
    <x v="2"/>
    <m/>
    <m/>
    <n v="328.62"/>
  </r>
  <r>
    <s v="EU27"/>
    <x v="25"/>
    <n v="2023"/>
    <x v="9"/>
    <x v="0"/>
    <x v="0"/>
    <m/>
    <m/>
    <n v="250090.77857370349"/>
  </r>
  <r>
    <s v="EU27"/>
    <x v="25"/>
    <n v="2023"/>
    <x v="9"/>
    <x v="0"/>
    <x v="1"/>
    <m/>
    <m/>
    <n v="920.91495189803913"/>
  </r>
  <r>
    <s v="EU27"/>
    <x v="25"/>
    <n v="2023"/>
    <x v="9"/>
    <x v="0"/>
    <x v="2"/>
    <m/>
    <m/>
    <n v="251543.73421562149"/>
  </r>
  <r>
    <s v="EU27"/>
    <x v="25"/>
    <n v="2023"/>
    <x v="9"/>
    <x v="1"/>
    <x v="0"/>
    <m/>
    <m/>
    <n v="319946.38615944528"/>
  </r>
  <r>
    <s v="EU27"/>
    <x v="25"/>
    <n v="2023"/>
    <x v="9"/>
    <x v="1"/>
    <x v="1"/>
    <m/>
    <m/>
    <n v="1078.209428577049"/>
  </r>
  <r>
    <s v="EU27"/>
    <x v="25"/>
    <n v="2023"/>
    <x v="9"/>
    <x v="1"/>
    <x v="2"/>
    <m/>
    <m/>
    <n v="321555.80236771971"/>
  </r>
  <r>
    <s v="EU27"/>
    <x v="25"/>
    <n v="2023"/>
    <x v="9"/>
    <x v="2"/>
    <x v="0"/>
    <m/>
    <m/>
    <n v="1453.43336"/>
  </r>
  <r>
    <s v="EU27"/>
    <x v="25"/>
    <n v="2023"/>
    <x v="9"/>
    <x v="2"/>
    <x v="2"/>
    <m/>
    <m/>
    <n v="21281.353360000001"/>
  </r>
  <r>
    <s v="EU27"/>
    <x v="25"/>
    <n v="2023"/>
    <x v="10"/>
    <x v="0"/>
    <x v="0"/>
    <m/>
    <m/>
    <n v="3478.5670828126022"/>
  </r>
  <r>
    <s v="EU27"/>
    <x v="25"/>
    <n v="2023"/>
    <x v="10"/>
    <x v="0"/>
    <x v="1"/>
    <m/>
    <m/>
    <n v="0"/>
  </r>
  <r>
    <s v="EU27"/>
    <x v="25"/>
    <n v="2023"/>
    <x v="10"/>
    <x v="0"/>
    <x v="2"/>
    <m/>
    <m/>
    <n v="3482.6698164708519"/>
  </r>
  <r>
    <s v="EU27"/>
    <x v="25"/>
    <n v="2023"/>
    <x v="10"/>
    <x v="1"/>
    <x v="0"/>
    <m/>
    <m/>
    <n v="3479.448712812602"/>
  </r>
  <r>
    <s v="EU27"/>
    <x v="25"/>
    <n v="2023"/>
    <x v="10"/>
    <x v="1"/>
    <x v="1"/>
    <m/>
    <m/>
    <n v="0"/>
  </r>
  <r>
    <s v="EU27"/>
    <x v="25"/>
    <n v="2023"/>
    <x v="10"/>
    <x v="1"/>
    <x v="2"/>
    <m/>
    <m/>
    <n v="3483.5514464708522"/>
  </r>
  <r>
    <s v="EU27"/>
    <x v="25"/>
    <n v="2023"/>
    <x v="10"/>
    <x v="2"/>
    <x v="0"/>
    <m/>
    <m/>
    <n v="4.0999999999999996"/>
  </r>
  <r>
    <s v="EU27"/>
    <x v="25"/>
    <n v="2023"/>
    <x v="10"/>
    <x v="2"/>
    <x v="2"/>
    <m/>
    <m/>
    <n v="1246.2"/>
  </r>
  <r>
    <s v="EU27"/>
    <x v="25"/>
    <n v="2023"/>
    <x v="11"/>
    <x v="0"/>
    <x v="0"/>
    <m/>
    <m/>
    <n v="40418.514499489313"/>
  </r>
  <r>
    <s v="EU27"/>
    <x v="25"/>
    <n v="2023"/>
    <x v="11"/>
    <x v="0"/>
    <x v="1"/>
    <m/>
    <m/>
    <n v="10308.18829780236"/>
  </r>
  <r>
    <s v="EU27"/>
    <x v="25"/>
    <n v="2023"/>
    <x v="11"/>
    <x v="0"/>
    <x v="2"/>
    <m/>
    <m/>
    <n v="50722.892303601577"/>
  </r>
  <r>
    <s v="EU27"/>
    <x v="25"/>
    <n v="2023"/>
    <x v="11"/>
    <x v="1"/>
    <x v="0"/>
    <m/>
    <m/>
    <n v="42638.218981835031"/>
  </r>
  <r>
    <s v="EU27"/>
    <x v="25"/>
    <n v="2023"/>
    <x v="11"/>
    <x v="1"/>
    <x v="1"/>
    <m/>
    <m/>
    <n v="11928.96086816497"/>
  </r>
  <r>
    <s v="EU27"/>
    <x v="25"/>
    <n v="2023"/>
    <x v="11"/>
    <x v="1"/>
    <x v="2"/>
    <m/>
    <m/>
    <n v="54567.21385"/>
  </r>
  <r>
    <s v="EU27"/>
    <x v="25"/>
    <n v="2023"/>
    <x v="11"/>
    <x v="2"/>
    <x v="0"/>
    <m/>
    <m/>
    <n v="431.92"/>
  </r>
  <r>
    <s v="EU27"/>
    <x v="25"/>
    <n v="2023"/>
    <x v="11"/>
    <x v="2"/>
    <x v="1"/>
    <m/>
    <m/>
    <n v="69.900000000000006"/>
  </r>
  <r>
    <s v="EU27"/>
    <x v="25"/>
    <n v="2023"/>
    <x v="11"/>
    <x v="2"/>
    <x v="2"/>
    <m/>
    <m/>
    <n v="18677.599999999999"/>
  </r>
  <r>
    <s v="EU27"/>
    <x v="25"/>
    <n v="2023"/>
    <x v="12"/>
    <x v="0"/>
    <x v="0"/>
    <m/>
    <m/>
    <n v="0"/>
  </r>
  <r>
    <s v="EU27"/>
    <x v="25"/>
    <n v="2023"/>
    <x v="12"/>
    <x v="0"/>
    <x v="1"/>
    <m/>
    <m/>
    <n v="0"/>
  </r>
  <r>
    <s v="EU27"/>
    <x v="25"/>
    <n v="2023"/>
    <x v="12"/>
    <x v="0"/>
    <x v="2"/>
    <m/>
    <m/>
    <n v="0"/>
  </r>
  <r>
    <s v="EU27"/>
    <x v="25"/>
    <n v="2023"/>
    <x v="12"/>
    <x v="1"/>
    <x v="0"/>
    <m/>
    <m/>
    <n v="0"/>
  </r>
  <r>
    <s v="EU27"/>
    <x v="25"/>
    <n v="2023"/>
    <x v="12"/>
    <x v="1"/>
    <x v="1"/>
    <m/>
    <m/>
    <n v="0"/>
  </r>
  <r>
    <s v="EU27"/>
    <x v="25"/>
    <n v="2023"/>
    <x v="12"/>
    <x v="1"/>
    <x v="2"/>
    <m/>
    <m/>
    <n v="0"/>
  </r>
  <r>
    <s v="EU27"/>
    <x v="25"/>
    <n v="2023"/>
    <x v="13"/>
    <x v="0"/>
    <x v="0"/>
    <m/>
    <m/>
    <n v="43496.061431534457"/>
  </r>
  <r>
    <s v="EU27"/>
    <x v="25"/>
    <n v="2023"/>
    <x v="13"/>
    <x v="0"/>
    <x v="1"/>
    <m/>
    <m/>
    <n v="169515.80451970009"/>
  </r>
  <r>
    <s v="EU27"/>
    <x v="25"/>
    <n v="2023"/>
    <x v="13"/>
    <x v="0"/>
    <x v="2"/>
    <m/>
    <m/>
    <n v="212774.49066109871"/>
  </r>
  <r>
    <s v="EU27"/>
    <x v="25"/>
    <n v="2023"/>
    <x v="13"/>
    <x v="1"/>
    <x v="0"/>
    <m/>
    <m/>
    <n v="46782.45224802653"/>
  </r>
  <r>
    <s v="EU27"/>
    <x v="25"/>
    <n v="2023"/>
    <x v="13"/>
    <x v="1"/>
    <x v="1"/>
    <m/>
    <m/>
    <n v="179635.2410589564"/>
  </r>
  <r>
    <s v="EU27"/>
    <x v="25"/>
    <n v="2023"/>
    <x v="13"/>
    <x v="1"/>
    <x v="2"/>
    <m/>
    <m/>
    <n v="226158.3795613808"/>
  </r>
  <r>
    <s v="EU27"/>
    <x v="25"/>
    <n v="2023"/>
    <x v="13"/>
    <x v="2"/>
    <x v="0"/>
    <m/>
    <m/>
    <n v="1223.11681"/>
  </r>
  <r>
    <s v="EU27"/>
    <x v="25"/>
    <n v="2023"/>
    <x v="13"/>
    <x v="2"/>
    <x v="1"/>
    <m/>
    <m/>
    <n v="768.84"/>
  </r>
  <r>
    <s v="EU27"/>
    <x v="25"/>
    <n v="2023"/>
    <x v="13"/>
    <x v="2"/>
    <x v="2"/>
    <m/>
    <m/>
    <n v="17682.95681"/>
  </r>
  <r>
    <s v="EU27"/>
    <x v="25"/>
    <n v="2023"/>
    <x v="14"/>
    <x v="0"/>
    <x v="0"/>
    <m/>
    <m/>
    <n v="345896.98879298579"/>
  </r>
  <r>
    <s v="EU27"/>
    <x v="25"/>
    <n v="2023"/>
    <x v="14"/>
    <x v="0"/>
    <x v="2"/>
    <m/>
    <m/>
    <n v="345729.42047824932"/>
  </r>
  <r>
    <s v="EU27"/>
    <x v="25"/>
    <n v="2023"/>
    <x v="14"/>
    <x v="1"/>
    <x v="0"/>
    <m/>
    <m/>
    <n v="364483.53308889578"/>
  </r>
  <r>
    <s v="EU27"/>
    <x v="25"/>
    <n v="2023"/>
    <x v="14"/>
    <x v="1"/>
    <x v="2"/>
    <m/>
    <m/>
    <n v="364483.53308889578"/>
  </r>
  <r>
    <s v="EU27"/>
    <x v="25"/>
    <n v="2023"/>
    <x v="14"/>
    <x v="2"/>
    <x v="0"/>
    <m/>
    <m/>
    <n v="2085.0873099999999"/>
  </r>
  <r>
    <s v="EU27"/>
    <x v="25"/>
    <n v="2023"/>
    <x v="14"/>
    <x v="2"/>
    <x v="2"/>
    <m/>
    <m/>
    <n v="39326.547310000002"/>
  </r>
  <r>
    <s v="EU27"/>
    <x v="25"/>
    <n v="2023"/>
    <x v="15"/>
    <x v="0"/>
    <x v="2"/>
    <m/>
    <m/>
    <n v="-245125.69903039481"/>
  </r>
  <r>
    <s v="EU27"/>
    <x v="25"/>
    <n v="2023"/>
    <x v="15"/>
    <x v="1"/>
    <x v="2"/>
    <m/>
    <m/>
    <n v="-213752.26315340871"/>
  </r>
  <r>
    <s v="EU27"/>
    <x v="25"/>
    <n v="2023"/>
    <x v="15"/>
    <x v="2"/>
    <x v="2"/>
    <m/>
    <m/>
    <n v="-9270.5723999999991"/>
  </r>
  <r>
    <s v="EU27"/>
    <x v="25"/>
    <n v="2023"/>
    <x v="16"/>
    <x v="0"/>
    <x v="2"/>
    <m/>
    <m/>
    <n v="-284858.82364907372"/>
  </r>
  <r>
    <s v="EU27"/>
    <x v="25"/>
    <n v="2023"/>
    <x v="16"/>
    <x v="1"/>
    <x v="2"/>
    <m/>
    <m/>
    <n v="-265162.56070868328"/>
  </r>
  <r>
    <s v="EU27"/>
    <x v="25"/>
    <n v="2023"/>
    <x v="16"/>
    <x v="2"/>
    <x v="2"/>
    <m/>
    <m/>
    <n v="-15814.76161"/>
  </r>
  <r>
    <s v="EU27"/>
    <x v="25"/>
    <n v="2023"/>
    <x v="17"/>
    <x v="0"/>
    <x v="2"/>
    <m/>
    <m/>
    <n v="22076.496091990761"/>
  </r>
  <r>
    <s v="EU27"/>
    <x v="25"/>
    <n v="2023"/>
    <x v="17"/>
    <x v="1"/>
    <x v="2"/>
    <m/>
    <m/>
    <n v="30682.88803169064"/>
  </r>
  <r>
    <s v="EU27"/>
    <x v="25"/>
    <n v="2023"/>
    <x v="17"/>
    <x v="2"/>
    <x v="2"/>
    <m/>
    <m/>
    <n v="-2153.9560700000002"/>
  </r>
  <r>
    <s v="EU27"/>
    <x v="25"/>
    <n v="2023"/>
    <x v="18"/>
    <x v="0"/>
    <x v="2"/>
    <m/>
    <m/>
    <n v="11547.063358168491"/>
  </r>
  <r>
    <s v="EU27"/>
    <x v="25"/>
    <n v="2023"/>
    <x v="18"/>
    <x v="1"/>
    <x v="2"/>
    <m/>
    <m/>
    <n v="11163.209095078641"/>
  </r>
  <r>
    <s v="EU27"/>
    <x v="25"/>
    <n v="2023"/>
    <x v="18"/>
    <x v="2"/>
    <x v="2"/>
    <m/>
    <m/>
    <n v="5830.3531499999999"/>
  </r>
  <r>
    <s v="EU27"/>
    <x v="25"/>
    <n v="2023"/>
    <x v="19"/>
    <x v="0"/>
    <x v="2"/>
    <m/>
    <m/>
    <n v="11692.135231975581"/>
  </r>
  <r>
    <s v="EU27"/>
    <x v="25"/>
    <n v="2023"/>
    <x v="19"/>
    <x v="1"/>
    <x v="2"/>
    <m/>
    <m/>
    <n v="12918.2872665054"/>
  </r>
  <r>
    <s v="EU27"/>
    <x v="25"/>
    <n v="2023"/>
    <x v="19"/>
    <x v="2"/>
    <x v="2"/>
    <m/>
    <m/>
    <n v="764.06648000000007"/>
  </r>
  <r>
    <s v="EU27"/>
    <x v="25"/>
    <n v="2023"/>
    <x v="20"/>
    <x v="0"/>
    <x v="2"/>
    <m/>
    <m/>
    <n v="28538.77224912199"/>
  </r>
  <r>
    <s v="EU27"/>
    <x v="25"/>
    <n v="2023"/>
    <x v="20"/>
    <x v="1"/>
    <x v="2"/>
    <m/>
    <m/>
    <n v="28818.252129772962"/>
  </r>
  <r>
    <s v="EU27"/>
    <x v="25"/>
    <n v="2023"/>
    <x v="20"/>
    <x v="2"/>
    <x v="2"/>
    <m/>
    <m/>
    <n v="3281.1887000000002"/>
  </r>
  <r>
    <s v="EU27"/>
    <x v="25"/>
    <n v="2023"/>
    <x v="21"/>
    <x v="0"/>
    <x v="2"/>
    <m/>
    <m/>
    <n v="510.8932299999999"/>
  </r>
  <r>
    <s v="EU27"/>
    <x v="25"/>
    <n v="2023"/>
    <x v="21"/>
    <x v="1"/>
    <x v="2"/>
    <m/>
    <m/>
    <n v="333.53322999999989"/>
  </r>
  <r>
    <s v="EU27"/>
    <x v="25"/>
    <n v="2023"/>
    <x v="21"/>
    <x v="2"/>
    <x v="2"/>
    <m/>
    <m/>
    <n v="331.89695999999998"/>
  </r>
  <r>
    <s v="EU27"/>
    <x v="25"/>
    <n v="2023"/>
    <x v="22"/>
    <x v="0"/>
    <x v="2"/>
    <m/>
    <m/>
    <n v="-34137.385850697101"/>
  </r>
  <r>
    <s v="EU27"/>
    <x v="25"/>
    <n v="2023"/>
    <x v="22"/>
    <x v="1"/>
    <x v="2"/>
    <m/>
    <m/>
    <n v="-32912.370300697097"/>
  </r>
  <r>
    <s v="EU27"/>
    <x v="25"/>
    <n v="2023"/>
    <x v="22"/>
    <x v="2"/>
    <x v="2"/>
    <m/>
    <m/>
    <n v="-1509.42"/>
  </r>
  <r>
    <s v="EU27"/>
    <x v="25"/>
    <n v="2023"/>
    <x v="23"/>
    <x v="0"/>
    <x v="2"/>
    <m/>
    <m/>
    <n v="253.85033000000001"/>
  </r>
  <r>
    <s v="EU27"/>
    <x v="25"/>
    <n v="2023"/>
    <x v="23"/>
    <x v="1"/>
    <x v="2"/>
    <m/>
    <m/>
    <n v="253.85033000000001"/>
  </r>
  <r>
    <s v="EU27"/>
    <x v="25"/>
    <n v="2023"/>
    <x v="24"/>
    <x v="0"/>
    <x v="0"/>
    <m/>
    <m/>
    <n v="61282.72261246579"/>
  </r>
  <r>
    <s v="EU27"/>
    <x v="25"/>
    <n v="2023"/>
    <x v="24"/>
    <x v="0"/>
    <x v="1"/>
    <m/>
    <m/>
    <n v="222.26435189736199"/>
  </r>
  <r>
    <s v="EU27"/>
    <x v="25"/>
    <n v="2023"/>
    <x v="24"/>
    <x v="0"/>
    <x v="2"/>
    <m/>
    <m/>
    <n v="61717.465134363149"/>
  </r>
  <r>
    <s v="EU27"/>
    <x v="25"/>
    <n v="2023"/>
    <x v="24"/>
    <x v="1"/>
    <x v="0"/>
    <m/>
    <m/>
    <n v="62349.926292422213"/>
  </r>
  <r>
    <s v="EU27"/>
    <x v="25"/>
    <n v="2023"/>
    <x v="24"/>
    <x v="1"/>
    <x v="1"/>
    <m/>
    <m/>
    <n v="222.2643518790766"/>
  </r>
  <r>
    <s v="EU27"/>
    <x v="25"/>
    <n v="2023"/>
    <x v="24"/>
    <x v="1"/>
    <x v="2"/>
    <m/>
    <m/>
    <n v="62471.817474213603"/>
  </r>
  <r>
    <s v="EU27"/>
    <x v="25"/>
    <n v="2023"/>
    <x v="24"/>
    <x v="2"/>
    <x v="0"/>
    <m/>
    <m/>
    <n v="1714.65678"/>
  </r>
  <r>
    <s v="EU27"/>
    <x v="25"/>
    <n v="2023"/>
    <x v="24"/>
    <x v="2"/>
    <x v="2"/>
    <m/>
    <m/>
    <n v="10128.296780000001"/>
  </r>
  <r>
    <s v="EU27"/>
    <x v="25"/>
    <n v="2023"/>
    <x v="25"/>
    <x v="0"/>
    <x v="0"/>
    <m/>
    <m/>
    <n v="182.42"/>
  </r>
  <r>
    <s v="EU27"/>
    <x v="25"/>
    <n v="2023"/>
    <x v="25"/>
    <x v="0"/>
    <x v="2"/>
    <m/>
    <m/>
    <n v="126266.8212211052"/>
  </r>
  <r>
    <s v="EU27"/>
    <x v="25"/>
    <n v="2023"/>
    <x v="25"/>
    <x v="1"/>
    <x v="0"/>
    <m/>
    <m/>
    <n v="182.42"/>
  </r>
  <r>
    <s v="EU27"/>
    <x v="25"/>
    <n v="2023"/>
    <x v="25"/>
    <x v="1"/>
    <x v="2"/>
    <m/>
    <m/>
    <n v="135078.68764604841"/>
  </r>
  <r>
    <s v="EU27"/>
    <x v="25"/>
    <n v="2023"/>
    <x v="25"/>
    <x v="2"/>
    <x v="2"/>
    <m/>
    <m/>
    <n v="1342.7728500000001"/>
  </r>
  <r>
    <s v="EU27"/>
    <x v="25"/>
    <n v="2023"/>
    <x v="26"/>
    <x v="0"/>
    <x v="0"/>
    <m/>
    <m/>
    <n v="858.92"/>
  </r>
  <r>
    <s v="EU27"/>
    <x v="25"/>
    <n v="2023"/>
    <x v="26"/>
    <x v="0"/>
    <x v="2"/>
    <m/>
    <m/>
    <n v="143423.86441506149"/>
  </r>
  <r>
    <s v="EU27"/>
    <x v="25"/>
    <n v="2023"/>
    <x v="26"/>
    <x v="1"/>
    <x v="0"/>
    <m/>
    <m/>
    <n v="858.92"/>
  </r>
  <r>
    <s v="EU27"/>
    <x v="25"/>
    <n v="2023"/>
    <x v="26"/>
    <x v="1"/>
    <x v="2"/>
    <m/>
    <m/>
    <n v="145923.94530497101"/>
  </r>
  <r>
    <s v="EU27"/>
    <x v="25"/>
    <n v="2023"/>
    <x v="26"/>
    <x v="2"/>
    <x v="2"/>
    <m/>
    <m/>
    <n v="1009.22"/>
  </r>
  <r>
    <s v="EU27"/>
    <x v="25"/>
    <n v="2023"/>
    <x v="27"/>
    <x v="0"/>
    <x v="0"/>
    <m/>
    <m/>
    <n v="705.16980000000001"/>
  </r>
  <r>
    <s v="EU27"/>
    <x v="25"/>
    <n v="2023"/>
    <x v="27"/>
    <x v="0"/>
    <x v="2"/>
    <m/>
    <m/>
    <n v="849.06220793517537"/>
  </r>
  <r>
    <s v="EU27"/>
    <x v="25"/>
    <n v="2023"/>
    <x v="27"/>
    <x v="1"/>
    <x v="0"/>
    <m/>
    <m/>
    <n v="709.26980000000003"/>
  </r>
  <r>
    <s v="EU27"/>
    <x v="25"/>
    <n v="2023"/>
    <x v="27"/>
    <x v="1"/>
    <x v="2"/>
    <m/>
    <m/>
    <n v="853.16980000000001"/>
  </r>
  <r>
    <s v="EU27"/>
    <x v="25"/>
    <n v="2023"/>
    <x v="28"/>
    <x v="0"/>
    <x v="0"/>
    <m/>
    <m/>
    <n v="1261404.3785817949"/>
  </r>
  <r>
    <s v="EU27"/>
    <x v="25"/>
    <n v="2023"/>
    <x v="28"/>
    <x v="0"/>
    <x v="1"/>
    <m/>
    <m/>
    <n v="599646.25494983874"/>
  </r>
  <r>
    <s v="EU27"/>
    <x v="25"/>
    <n v="2023"/>
    <x v="28"/>
    <x v="0"/>
    <x v="2"/>
    <m/>
    <m/>
    <n v="1877834.9638092341"/>
  </r>
  <r>
    <s v="EU27"/>
    <x v="25"/>
    <n v="2023"/>
    <x v="28"/>
    <x v="1"/>
    <x v="0"/>
    <m/>
    <m/>
    <n v="1469772.35450641"/>
  </r>
  <r>
    <s v="EU27"/>
    <x v="25"/>
    <n v="2023"/>
    <x v="28"/>
    <x v="1"/>
    <x v="1"/>
    <m/>
    <m/>
    <n v="688819.4775958641"/>
  </r>
  <r>
    <s v="EU27"/>
    <x v="25"/>
    <n v="2023"/>
    <x v="28"/>
    <x v="1"/>
    <x v="2"/>
    <m/>
    <m/>
    <n v="2177041.8932590359"/>
  </r>
  <r>
    <s v="EU27"/>
    <x v="25"/>
    <n v="2023"/>
    <x v="28"/>
    <x v="2"/>
    <x v="0"/>
    <m/>
    <m/>
    <n v="17460.190500000001"/>
  </r>
  <r>
    <s v="EU27"/>
    <x v="25"/>
    <n v="2023"/>
    <x v="28"/>
    <x v="2"/>
    <x v="1"/>
    <m/>
    <m/>
    <n v="9597.6741700000002"/>
  </r>
  <r>
    <s v="EU27"/>
    <x v="25"/>
    <n v="2023"/>
    <x v="28"/>
    <x v="2"/>
    <x v="2"/>
    <m/>
    <m/>
    <n v="225354.42561000001"/>
  </r>
  <r>
    <s v="EU27"/>
    <x v="25"/>
    <n v="2023"/>
    <x v="29"/>
    <x v="0"/>
    <x v="0"/>
    <m/>
    <m/>
    <n v="1261404.3785817949"/>
  </r>
  <r>
    <s v="EU27"/>
    <x v="25"/>
    <n v="2023"/>
    <x v="29"/>
    <x v="0"/>
    <x v="1"/>
    <m/>
    <m/>
    <n v="599646.25494983874"/>
  </r>
  <r>
    <s v="EU27"/>
    <x v="25"/>
    <n v="2023"/>
    <x v="29"/>
    <x v="0"/>
    <x v="2"/>
    <m/>
    <m/>
    <n v="1621724.0786588399"/>
  </r>
  <r>
    <s v="EU27"/>
    <x v="25"/>
    <n v="2023"/>
    <x v="29"/>
    <x v="1"/>
    <x v="0"/>
    <m/>
    <m/>
    <n v="1469772.35450641"/>
  </r>
  <r>
    <s v="EU27"/>
    <x v="25"/>
    <n v="2023"/>
    <x v="29"/>
    <x v="1"/>
    <x v="1"/>
    <m/>
    <m/>
    <n v="688819.4775958641"/>
  </r>
  <r>
    <s v="EU27"/>
    <x v="25"/>
    <n v="2023"/>
    <x v="29"/>
    <x v="1"/>
    <x v="2"/>
    <m/>
    <m/>
    <n v="1963289.501325628"/>
  </r>
  <r>
    <s v="EU27"/>
    <x v="25"/>
    <n v="2023"/>
    <x v="29"/>
    <x v="2"/>
    <x v="0"/>
    <m/>
    <m/>
    <n v="17460.190500000001"/>
  </r>
  <r>
    <s v="EU27"/>
    <x v="25"/>
    <n v="2023"/>
    <x v="29"/>
    <x v="2"/>
    <x v="1"/>
    <m/>
    <m/>
    <n v="9597.6741700000002"/>
  </r>
  <r>
    <s v="EU27"/>
    <x v="25"/>
    <n v="2023"/>
    <x v="29"/>
    <x v="2"/>
    <x v="2"/>
    <m/>
    <m/>
    <n v="216397.63321999999"/>
  </r>
  <r>
    <s v="EU27"/>
    <x v="26"/>
    <n v="2023"/>
    <x v="0"/>
    <x v="0"/>
    <x v="0"/>
    <m/>
    <m/>
    <n v="801448.68489819788"/>
  </r>
  <r>
    <s v="EU27"/>
    <x v="26"/>
    <n v="2023"/>
    <x v="0"/>
    <x v="0"/>
    <x v="1"/>
    <m/>
    <m/>
    <n v="428790.02243340242"/>
  </r>
  <r>
    <s v="EU27"/>
    <x v="26"/>
    <n v="2023"/>
    <x v="0"/>
    <x v="0"/>
    <x v="2"/>
    <m/>
    <m/>
    <n v="1247320.7935738261"/>
  </r>
  <r>
    <s v="EU27"/>
    <x v="26"/>
    <n v="2023"/>
    <x v="0"/>
    <x v="1"/>
    <x v="0"/>
    <m/>
    <m/>
    <n v="985389.18883736595"/>
  </r>
  <r>
    <s v="EU27"/>
    <x v="26"/>
    <n v="2023"/>
    <x v="0"/>
    <x v="1"/>
    <x v="1"/>
    <m/>
    <m/>
    <n v="508157.18919380411"/>
  </r>
  <r>
    <s v="EU27"/>
    <x v="26"/>
    <n v="2023"/>
    <x v="0"/>
    <x v="1"/>
    <x v="2"/>
    <m/>
    <m/>
    <n v="1512478.450382387"/>
  </r>
  <r>
    <s v="EU27"/>
    <x v="26"/>
    <n v="2023"/>
    <x v="0"/>
    <x v="2"/>
    <x v="0"/>
    <m/>
    <m/>
    <n v="12439.64291"/>
  </r>
  <r>
    <s v="EU27"/>
    <x v="26"/>
    <n v="2023"/>
    <x v="0"/>
    <x v="2"/>
    <x v="1"/>
    <m/>
    <m/>
    <n v="8849.8727299999991"/>
  </r>
  <r>
    <s v="EU27"/>
    <x v="26"/>
    <n v="2023"/>
    <x v="0"/>
    <x v="2"/>
    <x v="2"/>
    <m/>
    <m/>
    <n v="158621.92756000001"/>
  </r>
  <r>
    <s v="EU27"/>
    <x v="26"/>
    <n v="2023"/>
    <x v="1"/>
    <x v="0"/>
    <x v="0"/>
    <m/>
    <m/>
    <n v="40558.401672125372"/>
  </r>
  <r>
    <s v="EU27"/>
    <x v="26"/>
    <n v="2023"/>
    <x v="1"/>
    <x v="0"/>
    <x v="1"/>
    <m/>
    <m/>
    <n v="255784.3378891951"/>
  </r>
  <r>
    <s v="EU27"/>
    <x v="26"/>
    <n v="2023"/>
    <x v="1"/>
    <x v="0"/>
    <x v="2"/>
    <m/>
    <m/>
    <n v="295792.62993010902"/>
  </r>
  <r>
    <s v="EU27"/>
    <x v="26"/>
    <n v="2023"/>
    <x v="1"/>
    <x v="1"/>
    <x v="0"/>
    <m/>
    <m/>
    <n v="39941.63448186421"/>
  </r>
  <r>
    <s v="EU27"/>
    <x v="26"/>
    <n v="2023"/>
    <x v="1"/>
    <x v="1"/>
    <x v="1"/>
    <m/>
    <m/>
    <n v="304989.74094711337"/>
  </r>
  <r>
    <s v="EU27"/>
    <x v="26"/>
    <n v="2023"/>
    <x v="1"/>
    <x v="1"/>
    <x v="2"/>
    <m/>
    <m/>
    <n v="344453.26820776361"/>
  </r>
  <r>
    <s v="EU27"/>
    <x v="26"/>
    <n v="2023"/>
    <x v="1"/>
    <x v="2"/>
    <x v="0"/>
    <m/>
    <m/>
    <n v="39.645510000000002"/>
  </r>
  <r>
    <s v="EU27"/>
    <x v="26"/>
    <n v="2023"/>
    <x v="1"/>
    <x v="2"/>
    <x v="1"/>
    <m/>
    <m/>
    <n v="7266.5127300000004"/>
  </r>
  <r>
    <s v="EU27"/>
    <x v="26"/>
    <n v="2023"/>
    <x v="1"/>
    <x v="2"/>
    <x v="2"/>
    <m/>
    <m/>
    <n v="48279.65825"/>
  </r>
  <r>
    <s v="EU27"/>
    <x v="26"/>
    <n v="2023"/>
    <x v="2"/>
    <x v="0"/>
    <x v="0"/>
    <m/>
    <m/>
    <n v="93927.953254920096"/>
  </r>
  <r>
    <s v="EU27"/>
    <x v="26"/>
    <n v="2023"/>
    <x v="2"/>
    <x v="0"/>
    <x v="1"/>
    <m/>
    <m/>
    <n v="158672.9945607002"/>
  </r>
  <r>
    <s v="EU27"/>
    <x v="26"/>
    <n v="2023"/>
    <x v="2"/>
    <x v="0"/>
    <x v="2"/>
    <m/>
    <m/>
    <n v="252007.74523154469"/>
  </r>
  <r>
    <s v="EU27"/>
    <x v="26"/>
    <n v="2023"/>
    <x v="2"/>
    <x v="1"/>
    <x v="0"/>
    <m/>
    <m/>
    <n v="101463.037920601"/>
  </r>
  <r>
    <s v="EU27"/>
    <x v="26"/>
    <n v="2023"/>
    <x v="2"/>
    <x v="1"/>
    <x v="1"/>
    <m/>
    <m/>
    <n v="186809.25573237511"/>
  </r>
  <r>
    <s v="EU27"/>
    <x v="26"/>
    <n v="2023"/>
    <x v="2"/>
    <x v="1"/>
    <x v="2"/>
    <m/>
    <m/>
    <n v="287689.67825977539"/>
  </r>
  <r>
    <s v="EU27"/>
    <x v="26"/>
    <n v="2023"/>
    <x v="2"/>
    <x v="2"/>
    <x v="0"/>
    <m/>
    <m/>
    <n v="1162.8536200000001"/>
  </r>
  <r>
    <s v="EU27"/>
    <x v="26"/>
    <n v="2023"/>
    <x v="2"/>
    <x v="2"/>
    <x v="1"/>
    <m/>
    <m/>
    <n v="1513.46"/>
  </r>
  <r>
    <s v="EU27"/>
    <x v="26"/>
    <n v="2023"/>
    <x v="2"/>
    <x v="2"/>
    <x v="2"/>
    <m/>
    <m/>
    <n v="23241.733619999999"/>
  </r>
  <r>
    <s v="EU27"/>
    <x v="26"/>
    <n v="2023"/>
    <x v="3"/>
    <x v="0"/>
    <x v="0"/>
    <m/>
    <m/>
    <n v="376432.01161135588"/>
  </r>
  <r>
    <s v="EU27"/>
    <x v="26"/>
    <n v="2023"/>
    <x v="3"/>
    <x v="0"/>
    <x v="1"/>
    <m/>
    <m/>
    <n v="3203.3905603381272"/>
  </r>
  <r>
    <s v="EU27"/>
    <x v="26"/>
    <n v="2023"/>
    <x v="3"/>
    <x v="0"/>
    <x v="2"/>
    <m/>
    <m/>
    <n v="397341.54167570022"/>
  </r>
  <r>
    <s v="EU27"/>
    <x v="26"/>
    <n v="2023"/>
    <x v="3"/>
    <x v="1"/>
    <x v="0"/>
    <m/>
    <m/>
    <n v="481327.43962164212"/>
  </r>
  <r>
    <s v="EU27"/>
    <x v="26"/>
    <n v="2023"/>
    <x v="3"/>
    <x v="1"/>
    <x v="1"/>
    <m/>
    <m/>
    <n v="3428.511767825446"/>
  </r>
  <r>
    <s v="EU27"/>
    <x v="26"/>
    <n v="2023"/>
    <x v="3"/>
    <x v="1"/>
    <x v="2"/>
    <m/>
    <m/>
    <n v="504230.13883169868"/>
  </r>
  <r>
    <s v="EU27"/>
    <x v="26"/>
    <n v="2023"/>
    <x v="3"/>
    <x v="2"/>
    <x v="0"/>
    <m/>
    <m/>
    <n v="9350.9333999999999"/>
  </r>
  <r>
    <s v="EU27"/>
    <x v="26"/>
    <n v="2023"/>
    <x v="3"/>
    <x v="2"/>
    <x v="1"/>
    <m/>
    <m/>
    <n v="0"/>
  </r>
  <r>
    <s v="EU27"/>
    <x v="26"/>
    <n v="2023"/>
    <x v="3"/>
    <x v="2"/>
    <x v="2"/>
    <m/>
    <m/>
    <n v="45683.045319999997"/>
  </r>
  <r>
    <s v="EU27"/>
    <x v="26"/>
    <n v="2023"/>
    <x v="4"/>
    <x v="0"/>
    <x v="0"/>
    <m/>
    <m/>
    <n v="211.99521482383611"/>
  </r>
  <r>
    <s v="EU27"/>
    <x v="26"/>
    <n v="2023"/>
    <x v="4"/>
    <x v="0"/>
    <x v="1"/>
    <m/>
    <m/>
    <n v="0"/>
  </r>
  <r>
    <s v="EU27"/>
    <x v="26"/>
    <n v="2023"/>
    <x v="4"/>
    <x v="0"/>
    <x v="2"/>
    <m/>
    <m/>
    <n v="17459.241529330891"/>
  </r>
  <r>
    <s v="EU27"/>
    <x v="26"/>
    <n v="2023"/>
    <x v="4"/>
    <x v="1"/>
    <x v="0"/>
    <m/>
    <m/>
    <n v="225.0031830834107"/>
  </r>
  <r>
    <s v="EU27"/>
    <x v="26"/>
    <n v="2023"/>
    <x v="4"/>
    <x v="1"/>
    <x v="1"/>
    <m/>
    <m/>
    <n v="0"/>
  </r>
  <r>
    <s v="EU27"/>
    <x v="26"/>
    <n v="2023"/>
    <x v="4"/>
    <x v="1"/>
    <x v="2"/>
    <m/>
    <m/>
    <n v="19170.673151559549"/>
  </r>
  <r>
    <s v="EU27"/>
    <x v="26"/>
    <n v="2023"/>
    <x v="4"/>
    <x v="2"/>
    <x v="0"/>
    <m/>
    <m/>
    <n v="1.375E-2"/>
  </r>
  <r>
    <s v="EU27"/>
    <x v="26"/>
    <n v="2023"/>
    <x v="4"/>
    <x v="2"/>
    <x v="2"/>
    <m/>
    <m/>
    <n v="538.16566999999998"/>
  </r>
  <r>
    <s v="EU27"/>
    <x v="26"/>
    <n v="2023"/>
    <x v="5"/>
    <x v="0"/>
    <x v="0"/>
    <m/>
    <m/>
    <n v="354959.23398047721"/>
  </r>
  <r>
    <s v="EU27"/>
    <x v="26"/>
    <n v="2023"/>
    <x v="5"/>
    <x v="0"/>
    <x v="1"/>
    <m/>
    <m/>
    <n v="0"/>
  </r>
  <r>
    <s v="EU27"/>
    <x v="26"/>
    <n v="2023"/>
    <x v="5"/>
    <x v="0"/>
    <x v="2"/>
    <m/>
    <m/>
    <n v="355335.97560140613"/>
  </r>
  <r>
    <s v="EU27"/>
    <x v="26"/>
    <n v="2023"/>
    <x v="5"/>
    <x v="1"/>
    <x v="0"/>
    <m/>
    <m/>
    <n v="457665.27002711891"/>
  </r>
  <r>
    <s v="EU27"/>
    <x v="26"/>
    <n v="2023"/>
    <x v="5"/>
    <x v="1"/>
    <x v="1"/>
    <m/>
    <m/>
    <n v="0"/>
  </r>
  <r>
    <s v="EU27"/>
    <x v="26"/>
    <n v="2023"/>
    <x v="5"/>
    <x v="1"/>
    <x v="2"/>
    <m/>
    <m/>
    <n v="458156.55861833133"/>
  </r>
  <r>
    <s v="EU27"/>
    <x v="26"/>
    <n v="2023"/>
    <x v="5"/>
    <x v="2"/>
    <x v="0"/>
    <m/>
    <m/>
    <n v="9245.6869000000006"/>
  </r>
  <r>
    <s v="EU27"/>
    <x v="26"/>
    <n v="2023"/>
    <x v="5"/>
    <x v="2"/>
    <x v="2"/>
    <m/>
    <m/>
    <n v="42740.586900000002"/>
  </r>
  <r>
    <s v="EU27"/>
    <x v="26"/>
    <n v="2023"/>
    <x v="6"/>
    <x v="0"/>
    <x v="0"/>
    <m/>
    <m/>
    <n v="3130.949786695458"/>
  </r>
  <r>
    <s v="EU27"/>
    <x v="26"/>
    <n v="2023"/>
    <x v="6"/>
    <x v="0"/>
    <x v="1"/>
    <m/>
    <m/>
    <n v="0"/>
  </r>
  <r>
    <s v="EU27"/>
    <x v="26"/>
    <n v="2023"/>
    <x v="6"/>
    <x v="0"/>
    <x v="2"/>
    <m/>
    <m/>
    <n v="3132.5586479567"/>
  </r>
  <r>
    <s v="EU27"/>
    <x v="26"/>
    <n v="2023"/>
    <x v="6"/>
    <x v="1"/>
    <x v="0"/>
    <m/>
    <m/>
    <n v="4485.631814276644"/>
  </r>
  <r>
    <s v="EU27"/>
    <x v="26"/>
    <n v="2023"/>
    <x v="6"/>
    <x v="1"/>
    <x v="1"/>
    <m/>
    <m/>
    <n v="0"/>
  </r>
  <r>
    <s v="EU27"/>
    <x v="26"/>
    <n v="2023"/>
    <x v="6"/>
    <x v="1"/>
    <x v="2"/>
    <m/>
    <m/>
    <n v="4487.2361319478914"/>
  </r>
  <r>
    <s v="EU27"/>
    <x v="26"/>
    <n v="2023"/>
    <x v="6"/>
    <x v="2"/>
    <x v="0"/>
    <m/>
    <m/>
    <n v="43.78"/>
  </r>
  <r>
    <s v="EU27"/>
    <x v="26"/>
    <n v="2023"/>
    <x v="6"/>
    <x v="2"/>
    <x v="2"/>
    <m/>
    <m/>
    <n v="1616.42"/>
  </r>
  <r>
    <s v="EU27"/>
    <x v="26"/>
    <n v="2023"/>
    <x v="7"/>
    <x v="0"/>
    <x v="0"/>
    <m/>
    <m/>
    <n v="16971.30680533775"/>
  </r>
  <r>
    <s v="EU27"/>
    <x v="26"/>
    <n v="2023"/>
    <x v="7"/>
    <x v="0"/>
    <x v="1"/>
    <m/>
    <m/>
    <n v="0"/>
  </r>
  <r>
    <s v="EU27"/>
    <x v="26"/>
    <n v="2023"/>
    <x v="7"/>
    <x v="0"/>
    <x v="2"/>
    <m/>
    <m/>
    <n v="16995.616134523421"/>
  </r>
  <r>
    <s v="EU27"/>
    <x v="26"/>
    <n v="2023"/>
    <x v="7"/>
    <x v="1"/>
    <x v="0"/>
    <m/>
    <m/>
    <n v="17439.600659926931"/>
  </r>
  <r>
    <s v="EU27"/>
    <x v="26"/>
    <n v="2023"/>
    <x v="7"/>
    <x v="1"/>
    <x v="1"/>
    <m/>
    <m/>
    <n v="0"/>
  </r>
  <r>
    <s v="EU27"/>
    <x v="26"/>
    <n v="2023"/>
    <x v="7"/>
    <x v="1"/>
    <x v="2"/>
    <m/>
    <m/>
    <n v="17463.60439278014"/>
  </r>
  <r>
    <s v="EU27"/>
    <x v="26"/>
    <n v="2023"/>
    <x v="7"/>
    <x v="2"/>
    <x v="0"/>
    <m/>
    <m/>
    <n v="54.152749999999997"/>
  </r>
  <r>
    <s v="EU27"/>
    <x v="26"/>
    <n v="2023"/>
    <x v="7"/>
    <x v="2"/>
    <x v="2"/>
    <m/>
    <m/>
    <n v="459.13274999999999"/>
  </r>
  <r>
    <s v="EU27"/>
    <x v="26"/>
    <n v="2023"/>
    <x v="8"/>
    <x v="0"/>
    <x v="0"/>
    <m/>
    <m/>
    <n v="1176.8827940217041"/>
  </r>
  <r>
    <s v="EU27"/>
    <x v="26"/>
    <n v="2023"/>
    <x v="8"/>
    <x v="0"/>
    <x v="1"/>
    <m/>
    <m/>
    <n v="3259.7682084613052"/>
  </r>
  <r>
    <s v="EU27"/>
    <x v="26"/>
    <n v="2023"/>
    <x v="8"/>
    <x v="0"/>
    <x v="2"/>
    <m/>
    <m/>
    <n v="4436.5909924830084"/>
  </r>
  <r>
    <s v="EU27"/>
    <x v="26"/>
    <n v="2023"/>
    <x v="8"/>
    <x v="1"/>
    <x v="0"/>
    <m/>
    <m/>
    <n v="1530.633389236235"/>
  </r>
  <r>
    <s v="EU27"/>
    <x v="26"/>
    <n v="2023"/>
    <x v="8"/>
    <x v="1"/>
    <x v="1"/>
    <m/>
    <m/>
    <n v="3440.1744078436941"/>
  </r>
  <r>
    <s v="EU27"/>
    <x v="26"/>
    <n v="2023"/>
    <x v="8"/>
    <x v="1"/>
    <x v="2"/>
    <m/>
    <m/>
    <n v="4970.7477970799291"/>
  </r>
  <r>
    <s v="EU27"/>
    <x v="26"/>
    <n v="2023"/>
    <x v="8"/>
    <x v="2"/>
    <x v="0"/>
    <m/>
    <m/>
    <n v="7.2"/>
  </r>
  <r>
    <s v="EU27"/>
    <x v="26"/>
    <n v="2023"/>
    <x v="8"/>
    <x v="2"/>
    <x v="2"/>
    <m/>
    <m/>
    <n v="328.64"/>
  </r>
  <r>
    <s v="EU27"/>
    <x v="26"/>
    <n v="2023"/>
    <x v="9"/>
    <x v="0"/>
    <x v="0"/>
    <m/>
    <m/>
    <n v="246727.24308264439"/>
  </r>
  <r>
    <s v="EU27"/>
    <x v="26"/>
    <n v="2023"/>
    <x v="9"/>
    <x v="0"/>
    <x v="1"/>
    <m/>
    <m/>
    <n v="913.07077947850667"/>
  </r>
  <r>
    <s v="EU27"/>
    <x v="26"/>
    <n v="2023"/>
    <x v="9"/>
    <x v="0"/>
    <x v="2"/>
    <m/>
    <m/>
    <n v="248155.7322684156"/>
  </r>
  <r>
    <s v="EU27"/>
    <x v="26"/>
    <n v="2023"/>
    <x v="9"/>
    <x v="1"/>
    <x v="0"/>
    <m/>
    <m/>
    <n v="316616.50071031431"/>
  </r>
  <r>
    <s v="EU27"/>
    <x v="26"/>
    <n v="2023"/>
    <x v="9"/>
    <x v="1"/>
    <x v="1"/>
    <m/>
    <m/>
    <n v="1069.1882097595651"/>
  </r>
  <r>
    <s v="EU27"/>
    <x v="26"/>
    <n v="2023"/>
    <x v="9"/>
    <x v="1"/>
    <x v="2"/>
    <m/>
    <m/>
    <n v="318200.39318328502"/>
  </r>
  <r>
    <s v="EU27"/>
    <x v="26"/>
    <n v="2023"/>
    <x v="9"/>
    <x v="2"/>
    <x v="0"/>
    <m/>
    <m/>
    <n v="1449.8703800000001"/>
  </r>
  <r>
    <s v="EU27"/>
    <x v="26"/>
    <n v="2023"/>
    <x v="9"/>
    <x v="2"/>
    <x v="2"/>
    <m/>
    <m/>
    <n v="21493.410380000001"/>
  </r>
  <r>
    <s v="EU27"/>
    <x v="26"/>
    <n v="2023"/>
    <x v="10"/>
    <x v="0"/>
    <x v="0"/>
    <m/>
    <m/>
    <n v="3489.2952411093661"/>
  </r>
  <r>
    <s v="EU27"/>
    <x v="26"/>
    <n v="2023"/>
    <x v="10"/>
    <x v="0"/>
    <x v="1"/>
    <m/>
    <m/>
    <n v="0"/>
  </r>
  <r>
    <s v="EU27"/>
    <x v="26"/>
    <n v="2023"/>
    <x v="10"/>
    <x v="0"/>
    <x v="2"/>
    <m/>
    <m/>
    <n v="3493.2705598640632"/>
  </r>
  <r>
    <s v="EU27"/>
    <x v="26"/>
    <n v="2023"/>
    <x v="10"/>
    <x v="1"/>
    <x v="0"/>
    <m/>
    <m/>
    <n v="3490.217121109366"/>
  </r>
  <r>
    <s v="EU27"/>
    <x v="26"/>
    <n v="2023"/>
    <x v="10"/>
    <x v="1"/>
    <x v="1"/>
    <m/>
    <m/>
    <n v="0"/>
  </r>
  <r>
    <s v="EU27"/>
    <x v="26"/>
    <n v="2023"/>
    <x v="10"/>
    <x v="1"/>
    <x v="2"/>
    <m/>
    <m/>
    <n v="3494.1924398640631"/>
  </r>
  <r>
    <s v="EU27"/>
    <x v="26"/>
    <n v="2023"/>
    <x v="10"/>
    <x v="2"/>
    <x v="0"/>
    <m/>
    <m/>
    <n v="4.0999999999999996"/>
  </r>
  <r>
    <s v="EU27"/>
    <x v="26"/>
    <n v="2023"/>
    <x v="10"/>
    <x v="2"/>
    <x v="2"/>
    <m/>
    <m/>
    <n v="1246.2"/>
  </r>
  <r>
    <s v="EU27"/>
    <x v="26"/>
    <n v="2023"/>
    <x v="11"/>
    <x v="0"/>
    <x v="0"/>
    <m/>
    <m/>
    <n v="40374.760026042677"/>
  </r>
  <r>
    <s v="EU27"/>
    <x v="26"/>
    <n v="2023"/>
    <x v="11"/>
    <x v="0"/>
    <x v="1"/>
    <m/>
    <m/>
    <n v="10223.748643690469"/>
  </r>
  <r>
    <s v="EU27"/>
    <x v="26"/>
    <n v="2023"/>
    <x v="11"/>
    <x v="0"/>
    <x v="2"/>
    <m/>
    <m/>
    <n v="50590.873938192453"/>
  </r>
  <r>
    <s v="EU27"/>
    <x v="26"/>
    <n v="2023"/>
    <x v="11"/>
    <x v="1"/>
    <x v="0"/>
    <m/>
    <m/>
    <n v="42611.198941835028"/>
  </r>
  <r>
    <s v="EU27"/>
    <x v="26"/>
    <n v="2023"/>
    <x v="11"/>
    <x v="1"/>
    <x v="1"/>
    <m/>
    <m/>
    <n v="11860.492518164971"/>
  </r>
  <r>
    <s v="EU27"/>
    <x v="26"/>
    <n v="2023"/>
    <x v="11"/>
    <x v="1"/>
    <x v="2"/>
    <m/>
    <m/>
    <n v="54471.739459999997"/>
  </r>
  <r>
    <s v="EU27"/>
    <x v="26"/>
    <n v="2023"/>
    <x v="11"/>
    <x v="2"/>
    <x v="0"/>
    <m/>
    <m/>
    <n v="432.14"/>
  </r>
  <r>
    <s v="EU27"/>
    <x v="26"/>
    <n v="2023"/>
    <x v="11"/>
    <x v="2"/>
    <x v="1"/>
    <m/>
    <m/>
    <n v="69.900000000000006"/>
  </r>
  <r>
    <s v="EU27"/>
    <x v="26"/>
    <n v="2023"/>
    <x v="11"/>
    <x v="2"/>
    <x v="2"/>
    <m/>
    <m/>
    <n v="18677.8"/>
  </r>
  <r>
    <s v="EU27"/>
    <x v="26"/>
    <n v="2023"/>
    <x v="12"/>
    <x v="0"/>
    <x v="0"/>
    <m/>
    <m/>
    <n v="0"/>
  </r>
  <r>
    <s v="EU27"/>
    <x v="26"/>
    <n v="2023"/>
    <x v="12"/>
    <x v="0"/>
    <x v="1"/>
    <m/>
    <m/>
    <n v="0"/>
  </r>
  <r>
    <s v="EU27"/>
    <x v="26"/>
    <n v="2023"/>
    <x v="12"/>
    <x v="0"/>
    <x v="2"/>
    <m/>
    <m/>
    <n v="0"/>
  </r>
  <r>
    <s v="EU27"/>
    <x v="26"/>
    <n v="2023"/>
    <x v="12"/>
    <x v="1"/>
    <x v="0"/>
    <m/>
    <m/>
    <n v="0"/>
  </r>
  <r>
    <s v="EU27"/>
    <x v="26"/>
    <n v="2023"/>
    <x v="12"/>
    <x v="1"/>
    <x v="1"/>
    <m/>
    <m/>
    <n v="0"/>
  </r>
  <r>
    <s v="EU27"/>
    <x v="26"/>
    <n v="2023"/>
    <x v="12"/>
    <x v="1"/>
    <x v="2"/>
    <m/>
    <m/>
    <n v="0"/>
  </r>
  <r>
    <s v="EU27"/>
    <x v="26"/>
    <n v="2023"/>
    <x v="13"/>
    <x v="0"/>
    <x v="0"/>
    <m/>
    <m/>
    <n v="43159.783821628182"/>
  </r>
  <r>
    <s v="EU27"/>
    <x v="26"/>
    <n v="2023"/>
    <x v="13"/>
    <x v="0"/>
    <x v="1"/>
    <m/>
    <m/>
    <n v="169755.55228430461"/>
  </r>
  <r>
    <s v="EU27"/>
    <x v="26"/>
    <n v="2023"/>
    <x v="13"/>
    <x v="0"/>
    <x v="2"/>
    <m/>
    <m/>
    <n v="212678.37857478831"/>
  </r>
  <r>
    <s v="EU27"/>
    <x v="26"/>
    <n v="2023"/>
    <x v="13"/>
    <x v="1"/>
    <x v="0"/>
    <m/>
    <m/>
    <n v="46442.936958885373"/>
  </r>
  <r>
    <s v="EU27"/>
    <x v="26"/>
    <n v="2023"/>
    <x v="13"/>
    <x v="1"/>
    <x v="1"/>
    <m/>
    <m/>
    <n v="180085.97256395861"/>
  </r>
  <r>
    <s v="EU27"/>
    <x v="26"/>
    <n v="2023"/>
    <x v="13"/>
    <x v="1"/>
    <x v="2"/>
    <m/>
    <m/>
    <n v="226269.59240476001"/>
  </r>
  <r>
    <s v="EU27"/>
    <x v="26"/>
    <n v="2023"/>
    <x v="13"/>
    <x v="2"/>
    <x v="0"/>
    <m/>
    <m/>
    <n v="1229.3968400000001"/>
  </r>
  <r>
    <s v="EU27"/>
    <x v="26"/>
    <n v="2023"/>
    <x v="13"/>
    <x v="2"/>
    <x v="1"/>
    <m/>
    <m/>
    <n v="770.28"/>
  </r>
  <r>
    <s v="EU27"/>
    <x v="26"/>
    <n v="2023"/>
    <x v="13"/>
    <x v="2"/>
    <x v="2"/>
    <m/>
    <m/>
    <n v="17764.876840000001"/>
  </r>
  <r>
    <s v="EU27"/>
    <x v="26"/>
    <n v="2023"/>
    <x v="14"/>
    <x v="0"/>
    <x v="0"/>
    <m/>
    <m/>
    <n v="345255.52747518022"/>
  </r>
  <r>
    <s v="EU27"/>
    <x v="26"/>
    <n v="2023"/>
    <x v="14"/>
    <x v="0"/>
    <x v="2"/>
    <m/>
    <m/>
    <n v="345088.23197466979"/>
  </r>
  <r>
    <s v="EU27"/>
    <x v="26"/>
    <n v="2023"/>
    <x v="14"/>
    <x v="1"/>
    <x v="0"/>
    <m/>
    <m/>
    <n v="364068.94571682223"/>
  </r>
  <r>
    <s v="EU27"/>
    <x v="26"/>
    <n v="2023"/>
    <x v="14"/>
    <x v="1"/>
    <x v="2"/>
    <m/>
    <m/>
    <n v="364068.94571682223"/>
  </r>
  <r>
    <s v="EU27"/>
    <x v="26"/>
    <n v="2023"/>
    <x v="14"/>
    <x v="2"/>
    <x v="0"/>
    <m/>
    <m/>
    <n v="2087.8398499999998"/>
  </r>
  <r>
    <s v="EU27"/>
    <x v="26"/>
    <n v="2023"/>
    <x v="14"/>
    <x v="2"/>
    <x v="2"/>
    <m/>
    <m/>
    <n v="39958.459849999999"/>
  </r>
  <r>
    <s v="EU27"/>
    <x v="26"/>
    <n v="2023"/>
    <x v="15"/>
    <x v="0"/>
    <x v="2"/>
    <m/>
    <m/>
    <n v="-245008.98795065889"/>
  </r>
  <r>
    <s v="EU27"/>
    <x v="26"/>
    <n v="2023"/>
    <x v="15"/>
    <x v="1"/>
    <x v="2"/>
    <m/>
    <m/>
    <n v="-213750.15956958759"/>
  </r>
  <r>
    <s v="EU27"/>
    <x v="26"/>
    <n v="2023"/>
    <x v="15"/>
    <x v="2"/>
    <x v="2"/>
    <m/>
    <m/>
    <n v="-8618.0522700000001"/>
  </r>
  <r>
    <s v="EU27"/>
    <x v="26"/>
    <n v="2023"/>
    <x v="16"/>
    <x v="0"/>
    <x v="2"/>
    <m/>
    <m/>
    <n v="-284454.93768183532"/>
  </r>
  <r>
    <s v="EU27"/>
    <x v="26"/>
    <n v="2023"/>
    <x v="16"/>
    <x v="1"/>
    <x v="2"/>
    <m/>
    <m/>
    <n v="-264584.7353804782"/>
  </r>
  <r>
    <s v="EU27"/>
    <x v="26"/>
    <n v="2023"/>
    <x v="16"/>
    <x v="2"/>
    <x v="2"/>
    <m/>
    <m/>
    <n v="-15538.60161"/>
  </r>
  <r>
    <s v="EU27"/>
    <x v="26"/>
    <n v="2023"/>
    <x v="17"/>
    <x v="0"/>
    <x v="2"/>
    <m/>
    <m/>
    <n v="21512.498239804801"/>
  </r>
  <r>
    <s v="EU27"/>
    <x v="26"/>
    <n v="2023"/>
    <x v="17"/>
    <x v="1"/>
    <x v="2"/>
    <m/>
    <m/>
    <n v="30335.7072737079"/>
  </r>
  <r>
    <s v="EU27"/>
    <x v="26"/>
    <n v="2023"/>
    <x v="17"/>
    <x v="2"/>
    <x v="2"/>
    <m/>
    <m/>
    <n v="-2142.5960599999999"/>
  </r>
  <r>
    <s v="EU27"/>
    <x v="26"/>
    <n v="2023"/>
    <x v="18"/>
    <x v="0"/>
    <x v="2"/>
    <m/>
    <m/>
    <n v="11756.89802772146"/>
  </r>
  <r>
    <s v="EU27"/>
    <x v="26"/>
    <n v="2023"/>
    <x v="18"/>
    <x v="1"/>
    <x v="2"/>
    <m/>
    <m/>
    <n v="10840.45479100448"/>
  </r>
  <r>
    <s v="EU27"/>
    <x v="26"/>
    <n v="2023"/>
    <x v="18"/>
    <x v="2"/>
    <x v="2"/>
    <m/>
    <m/>
    <n v="6116.9930199999999"/>
  </r>
  <r>
    <s v="EU27"/>
    <x v="26"/>
    <n v="2023"/>
    <x v="19"/>
    <x v="0"/>
    <x v="2"/>
    <m/>
    <m/>
    <n v="11695.607515762211"/>
  </r>
  <r>
    <s v="EU27"/>
    <x v="26"/>
    <n v="2023"/>
    <x v="19"/>
    <x v="1"/>
    <x v="2"/>
    <m/>
    <m/>
    <n v="12940.97576037848"/>
  </r>
  <r>
    <s v="EU27"/>
    <x v="26"/>
    <n v="2023"/>
    <x v="19"/>
    <x v="2"/>
    <x v="2"/>
    <m/>
    <m/>
    <n v="763.84648000000004"/>
  </r>
  <r>
    <s v="EU27"/>
    <x v="26"/>
    <n v="2023"/>
    <x v="20"/>
    <x v="0"/>
    <x v="2"/>
    <m/>
    <m/>
    <n v="28402.273181237681"/>
  </r>
  <r>
    <s v="EU27"/>
    <x v="26"/>
    <n v="2023"/>
    <x v="20"/>
    <x v="1"/>
    <x v="2"/>
    <m/>
    <m/>
    <n v="28744.352220158049"/>
  </r>
  <r>
    <s v="EU27"/>
    <x v="26"/>
    <n v="2023"/>
    <x v="20"/>
    <x v="2"/>
    <x v="2"/>
    <m/>
    <m/>
    <n v="3307.8088600000001"/>
  </r>
  <r>
    <s v="EU27"/>
    <x v="26"/>
    <n v="2023"/>
    <x v="21"/>
    <x v="0"/>
    <x v="2"/>
    <m/>
    <m/>
    <n v="518.23322999999993"/>
  </r>
  <r>
    <s v="EU27"/>
    <x v="26"/>
    <n v="2023"/>
    <x v="21"/>
    <x v="1"/>
    <x v="2"/>
    <m/>
    <m/>
    <n v="334.31322999999998"/>
  </r>
  <r>
    <s v="EU27"/>
    <x v="26"/>
    <n v="2023"/>
    <x v="21"/>
    <x v="2"/>
    <x v="2"/>
    <m/>
    <m/>
    <n v="338.11705000000001"/>
  </r>
  <r>
    <s v="EU27"/>
    <x v="26"/>
    <n v="2023"/>
    <x v="22"/>
    <x v="0"/>
    <x v="2"/>
    <m/>
    <m/>
    <n v="-33972.709894706371"/>
  </r>
  <r>
    <s v="EU27"/>
    <x v="26"/>
    <n v="2023"/>
    <x v="22"/>
    <x v="1"/>
    <x v="2"/>
    <m/>
    <m/>
    <n v="-32767.22177470637"/>
  </r>
  <r>
    <s v="EU27"/>
    <x v="26"/>
    <n v="2023"/>
    <x v="22"/>
    <x v="2"/>
    <x v="2"/>
    <m/>
    <m/>
    <n v="-1463.64"/>
  </r>
  <r>
    <s v="EU27"/>
    <x v="26"/>
    <n v="2023"/>
    <x v="23"/>
    <x v="0"/>
    <x v="2"/>
    <m/>
    <m/>
    <n v="253.85033000000001"/>
  </r>
  <r>
    <s v="EU27"/>
    <x v="26"/>
    <n v="2023"/>
    <x v="23"/>
    <x v="1"/>
    <x v="2"/>
    <m/>
    <m/>
    <n v="253.85033000000001"/>
  </r>
  <r>
    <s v="EU27"/>
    <x v="26"/>
    <n v="2023"/>
    <x v="24"/>
    <x v="0"/>
    <x v="0"/>
    <m/>
    <m/>
    <n v="60310.686055865241"/>
  </r>
  <r>
    <s v="EU27"/>
    <x v="26"/>
    <n v="2023"/>
    <x v="24"/>
    <x v="0"/>
    <x v="1"/>
    <m/>
    <m/>
    <n v="220.1999697792659"/>
  </r>
  <r>
    <s v="EU27"/>
    <x v="26"/>
    <n v="2023"/>
    <x v="24"/>
    <x v="0"/>
    <x v="2"/>
    <m/>
    <m/>
    <n v="60782.59619564451"/>
  </r>
  <r>
    <s v="EU27"/>
    <x v="26"/>
    <n v="2023"/>
    <x v="24"/>
    <x v="1"/>
    <x v="0"/>
    <m/>
    <m/>
    <n v="61392.173475819312"/>
  </r>
  <r>
    <s v="EU27"/>
    <x v="26"/>
    <n v="2023"/>
    <x v="24"/>
    <x v="1"/>
    <x v="1"/>
    <m/>
    <m/>
    <n v="220.19996975999061"/>
  </r>
  <r>
    <s v="EU27"/>
    <x v="26"/>
    <n v="2023"/>
    <x v="24"/>
    <x v="1"/>
    <x v="2"/>
    <m/>
    <m/>
    <n v="61512.932537349217"/>
  </r>
  <r>
    <s v="EU27"/>
    <x v="26"/>
    <n v="2023"/>
    <x v="24"/>
    <x v="2"/>
    <x v="0"/>
    <m/>
    <m/>
    <n v="1720.13618"/>
  </r>
  <r>
    <s v="EU27"/>
    <x v="26"/>
    <n v="2023"/>
    <x v="24"/>
    <x v="2"/>
    <x v="2"/>
    <m/>
    <m/>
    <n v="10107.31618"/>
  </r>
  <r>
    <s v="EU27"/>
    <x v="26"/>
    <n v="2023"/>
    <x v="25"/>
    <x v="0"/>
    <x v="0"/>
    <m/>
    <m/>
    <n v="185.64"/>
  </r>
  <r>
    <s v="EU27"/>
    <x v="26"/>
    <n v="2023"/>
    <x v="25"/>
    <x v="0"/>
    <x v="2"/>
    <m/>
    <m/>
    <n v="126779.8009481372"/>
  </r>
  <r>
    <s v="EU27"/>
    <x v="26"/>
    <n v="2023"/>
    <x v="25"/>
    <x v="1"/>
    <x v="0"/>
    <m/>
    <m/>
    <n v="185.64"/>
  </r>
  <r>
    <s v="EU27"/>
    <x v="26"/>
    <n v="2023"/>
    <x v="25"/>
    <x v="1"/>
    <x v="2"/>
    <m/>
    <m/>
    <n v="135651.97794724061"/>
  </r>
  <r>
    <s v="EU27"/>
    <x v="26"/>
    <n v="2023"/>
    <x v="25"/>
    <x v="2"/>
    <x v="2"/>
    <m/>
    <m/>
    <n v="1349.1088299999999"/>
  </r>
  <r>
    <s v="EU27"/>
    <x v="26"/>
    <n v="2023"/>
    <x v="26"/>
    <x v="0"/>
    <x v="0"/>
    <m/>
    <m/>
    <n v="861.34"/>
  </r>
  <r>
    <s v="EU27"/>
    <x v="26"/>
    <n v="2023"/>
    <x v="26"/>
    <x v="0"/>
    <x v="2"/>
    <m/>
    <m/>
    <n v="144092.55973838619"/>
  </r>
  <r>
    <s v="EU27"/>
    <x v="26"/>
    <n v="2023"/>
    <x v="26"/>
    <x v="1"/>
    <x v="0"/>
    <m/>
    <m/>
    <n v="861.34"/>
  </r>
  <r>
    <s v="EU27"/>
    <x v="26"/>
    <n v="2023"/>
    <x v="26"/>
    <x v="1"/>
    <x v="2"/>
    <m/>
    <m/>
    <n v="146632.45673425301"/>
  </r>
  <r>
    <s v="EU27"/>
    <x v="26"/>
    <n v="2023"/>
    <x v="26"/>
    <x v="2"/>
    <x v="2"/>
    <m/>
    <m/>
    <n v="1011.64"/>
  </r>
  <r>
    <s v="EU27"/>
    <x v="26"/>
    <n v="2023"/>
    <x v="27"/>
    <x v="0"/>
    <x v="0"/>
    <m/>
    <m/>
    <n v="709.26980000000003"/>
  </r>
  <r>
    <s v="EU27"/>
    <x v="26"/>
    <n v="2023"/>
    <x v="27"/>
    <x v="0"/>
    <x v="2"/>
    <m/>
    <m/>
    <n v="853.16214386711772"/>
  </r>
  <r>
    <s v="EU27"/>
    <x v="26"/>
    <n v="2023"/>
    <x v="27"/>
    <x v="1"/>
    <x v="0"/>
    <m/>
    <m/>
    <n v="713.16980000000001"/>
  </r>
  <r>
    <s v="EU27"/>
    <x v="26"/>
    <n v="2023"/>
    <x v="27"/>
    <x v="1"/>
    <x v="2"/>
    <m/>
    <m/>
    <n v="857.06979999999999"/>
  </r>
  <r>
    <s v="EU27"/>
    <x v="26"/>
    <n v="2023"/>
    <x v="28"/>
    <x v="0"/>
    <x v="0"/>
    <m/>
    <m/>
    <n v="1250588.348240871"/>
  </r>
  <r>
    <s v="EU27"/>
    <x v="26"/>
    <n v="2023"/>
    <x v="28"/>
    <x v="0"/>
    <x v="1"/>
    <m/>
    <m/>
    <n v="598765.37469748629"/>
  </r>
  <r>
    <s v="EU27"/>
    <x v="26"/>
    <n v="2023"/>
    <x v="28"/>
    <x v="0"/>
    <x v="2"/>
    <m/>
    <m/>
    <n v="1866283.666328928"/>
  </r>
  <r>
    <s v="EU27"/>
    <x v="26"/>
    <n v="2023"/>
    <x v="28"/>
    <x v="1"/>
    <x v="0"/>
    <m/>
    <m/>
    <n v="1458006.4347788929"/>
  </r>
  <r>
    <s v="EU27"/>
    <x v="26"/>
    <n v="2023"/>
    <x v="28"/>
    <x v="1"/>
    <x v="1"/>
    <m/>
    <m/>
    <n v="688463.0217275226"/>
  </r>
  <r>
    <s v="EU27"/>
    <x v="26"/>
    <n v="2023"/>
    <x v="28"/>
    <x v="1"/>
    <x v="2"/>
    <m/>
    <m/>
    <n v="2165042.917831318"/>
  </r>
  <r>
    <s v="EU27"/>
    <x v="26"/>
    <n v="2023"/>
    <x v="28"/>
    <x v="2"/>
    <x v="0"/>
    <m/>
    <m/>
    <n v="17476.97579"/>
  </r>
  <r>
    <s v="EU27"/>
    <x v="26"/>
    <n v="2023"/>
    <x v="28"/>
    <x v="2"/>
    <x v="1"/>
    <m/>
    <m/>
    <n v="9620.2127300000011"/>
  </r>
  <r>
    <s v="EU27"/>
    <x v="26"/>
    <n v="2023"/>
    <x v="28"/>
    <x v="2"/>
    <x v="2"/>
    <m/>
    <m/>
    <n v="226452.60044000001"/>
  </r>
  <r>
    <s v="EU27"/>
    <x v="26"/>
    <n v="2023"/>
    <x v="29"/>
    <x v="0"/>
    <x v="0"/>
    <m/>
    <m/>
    <n v="1250588.2482408709"/>
  </r>
  <r>
    <s v="EU27"/>
    <x v="26"/>
    <n v="2023"/>
    <x v="29"/>
    <x v="0"/>
    <x v="1"/>
    <m/>
    <m/>
    <n v="598765.47469748626"/>
  </r>
  <r>
    <s v="EU27"/>
    <x v="26"/>
    <n v="2023"/>
    <x v="29"/>
    <x v="0"/>
    <x v="2"/>
    <m/>
    <m/>
    <n v="1614452.409778269"/>
  </r>
  <r>
    <s v="EU27"/>
    <x v="26"/>
    <n v="2023"/>
    <x v="29"/>
    <x v="1"/>
    <x v="0"/>
    <m/>
    <m/>
    <n v="1458006.334778893"/>
  </r>
  <r>
    <s v="EU27"/>
    <x v="26"/>
    <n v="2023"/>
    <x v="29"/>
    <x v="1"/>
    <x v="1"/>
    <m/>
    <m/>
    <n v="688463.1217275227"/>
  </r>
  <r>
    <s v="EU27"/>
    <x v="26"/>
    <n v="2023"/>
    <x v="29"/>
    <x v="1"/>
    <x v="2"/>
    <m/>
    <m/>
    <n v="1951292.6112817309"/>
  </r>
  <r>
    <s v="EU27"/>
    <x v="26"/>
    <n v="2023"/>
    <x v="29"/>
    <x v="2"/>
    <x v="0"/>
    <m/>
    <m/>
    <n v="17476.97579"/>
  </r>
  <r>
    <s v="EU27"/>
    <x v="26"/>
    <n v="2023"/>
    <x v="29"/>
    <x v="2"/>
    <x v="1"/>
    <m/>
    <m/>
    <n v="9620.2127300000011"/>
  </r>
  <r>
    <s v="EU27"/>
    <x v="26"/>
    <n v="2023"/>
    <x v="29"/>
    <x v="2"/>
    <x v="2"/>
    <m/>
    <m/>
    <n v="218148.60816999999"/>
  </r>
  <r>
    <s v="EU27"/>
    <x v="27"/>
    <n v="2023"/>
    <x v="0"/>
    <x v="0"/>
    <x v="0"/>
    <m/>
    <m/>
    <n v="792948.54378051998"/>
  </r>
  <r>
    <s v="EU27"/>
    <x v="27"/>
    <n v="2023"/>
    <x v="0"/>
    <x v="0"/>
    <x v="1"/>
    <m/>
    <m/>
    <n v="427438.81118482101"/>
  </r>
  <r>
    <s v="EU27"/>
    <x v="27"/>
    <n v="2023"/>
    <x v="0"/>
    <x v="0"/>
    <x v="2"/>
    <m/>
    <m/>
    <n v="1237575.138498256"/>
  </r>
  <r>
    <s v="EU27"/>
    <x v="27"/>
    <n v="2023"/>
    <x v="0"/>
    <x v="1"/>
    <x v="0"/>
    <m/>
    <m/>
    <n v="975769.68947766651"/>
  </r>
  <r>
    <s v="EU27"/>
    <x v="27"/>
    <n v="2023"/>
    <x v="0"/>
    <x v="1"/>
    <x v="1"/>
    <m/>
    <m/>
    <n v="507579.17513257952"/>
  </r>
  <r>
    <s v="EU27"/>
    <x v="27"/>
    <n v="2023"/>
    <x v="0"/>
    <x v="1"/>
    <x v="2"/>
    <m/>
    <m/>
    <n v="1502403.2754002269"/>
  </r>
  <r>
    <s v="EU27"/>
    <x v="27"/>
    <n v="2023"/>
    <x v="0"/>
    <x v="2"/>
    <x v="0"/>
    <m/>
    <m/>
    <n v="12441.936229999999"/>
  </r>
  <r>
    <s v="EU27"/>
    <x v="27"/>
    <n v="2023"/>
    <x v="0"/>
    <x v="2"/>
    <x v="1"/>
    <m/>
    <m/>
    <n v="8870.9912899999999"/>
  </r>
  <r>
    <s v="EU27"/>
    <x v="27"/>
    <n v="2023"/>
    <x v="0"/>
    <x v="2"/>
    <x v="2"/>
    <m/>
    <m/>
    <n v="159027.29042"/>
  </r>
  <r>
    <s v="EU27"/>
    <x v="27"/>
    <n v="2023"/>
    <x v="1"/>
    <x v="0"/>
    <x v="0"/>
    <m/>
    <m/>
    <n v="40981.815285244782"/>
  </r>
  <r>
    <s v="EU27"/>
    <x v="27"/>
    <n v="2023"/>
    <x v="1"/>
    <x v="0"/>
    <x v="1"/>
    <m/>
    <m/>
    <n v="255849.24143267609"/>
  </r>
  <r>
    <s v="EU27"/>
    <x v="27"/>
    <n v="2023"/>
    <x v="1"/>
    <x v="0"/>
    <x v="2"/>
    <m/>
    <m/>
    <n v="296298.31818101788"/>
  </r>
  <r>
    <s v="EU27"/>
    <x v="27"/>
    <n v="2023"/>
    <x v="1"/>
    <x v="1"/>
    <x v="0"/>
    <m/>
    <m/>
    <n v="39448.494093026187"/>
  </r>
  <r>
    <s v="EU27"/>
    <x v="27"/>
    <n v="2023"/>
    <x v="1"/>
    <x v="1"/>
    <x v="1"/>
    <m/>
    <m/>
    <n v="305305.38006897812"/>
  </r>
  <r>
    <s v="EU27"/>
    <x v="27"/>
    <n v="2023"/>
    <x v="1"/>
    <x v="1"/>
    <x v="2"/>
    <m/>
    <m/>
    <n v="344290.78555319092"/>
  </r>
  <r>
    <s v="EU27"/>
    <x v="27"/>
    <n v="2023"/>
    <x v="1"/>
    <x v="2"/>
    <x v="0"/>
    <m/>
    <m/>
    <n v="37.262569999999997"/>
  </r>
  <r>
    <s v="EU27"/>
    <x v="27"/>
    <n v="2023"/>
    <x v="1"/>
    <x v="2"/>
    <x v="1"/>
    <m/>
    <m/>
    <n v="7280.0512900000003"/>
  </r>
  <r>
    <s v="EU27"/>
    <x v="27"/>
    <n v="2023"/>
    <x v="1"/>
    <x v="2"/>
    <x v="2"/>
    <m/>
    <m/>
    <n v="48290.813860000002"/>
  </r>
  <r>
    <s v="EU27"/>
    <x v="27"/>
    <n v="2023"/>
    <x v="2"/>
    <x v="0"/>
    <x v="0"/>
    <m/>
    <m/>
    <n v="93754.697411503003"/>
  </r>
  <r>
    <s v="EU27"/>
    <x v="27"/>
    <n v="2023"/>
    <x v="2"/>
    <x v="0"/>
    <x v="1"/>
    <m/>
    <m/>
    <n v="157316.40866979229"/>
  </r>
  <r>
    <s v="EU27"/>
    <x v="27"/>
    <n v="2023"/>
    <x v="2"/>
    <x v="0"/>
    <x v="2"/>
    <m/>
    <m/>
    <n v="250496.59758950109"/>
  </r>
  <r>
    <s v="EU27"/>
    <x v="27"/>
    <n v="2023"/>
    <x v="2"/>
    <x v="1"/>
    <x v="0"/>
    <m/>
    <m/>
    <n v="101485.9652667631"/>
  </r>
  <r>
    <s v="EU27"/>
    <x v="27"/>
    <n v="2023"/>
    <x v="2"/>
    <x v="1"/>
    <x v="1"/>
    <m/>
    <m/>
    <n v="185857.21971234921"/>
  </r>
  <r>
    <s v="EU27"/>
    <x v="27"/>
    <n v="2023"/>
    <x v="2"/>
    <x v="1"/>
    <x v="2"/>
    <m/>
    <m/>
    <n v="286778.91786531277"/>
  </r>
  <r>
    <s v="EU27"/>
    <x v="27"/>
    <n v="2023"/>
    <x v="2"/>
    <x v="2"/>
    <x v="0"/>
    <m/>
    <m/>
    <n v="1171.24944"/>
  </r>
  <r>
    <s v="EU27"/>
    <x v="27"/>
    <n v="2023"/>
    <x v="2"/>
    <x v="2"/>
    <x v="1"/>
    <m/>
    <m/>
    <n v="1521.04"/>
  </r>
  <r>
    <s v="EU27"/>
    <x v="27"/>
    <n v="2023"/>
    <x v="2"/>
    <x v="2"/>
    <x v="2"/>
    <m/>
    <m/>
    <n v="23362.26944"/>
  </r>
  <r>
    <s v="EU27"/>
    <x v="27"/>
    <n v="2023"/>
    <x v="3"/>
    <x v="0"/>
    <x v="0"/>
    <m/>
    <m/>
    <n v="370987.72030841652"/>
  </r>
  <r>
    <s v="EU27"/>
    <x v="27"/>
    <n v="2023"/>
    <x v="3"/>
    <x v="0"/>
    <x v="1"/>
    <m/>
    <m/>
    <n v="3238.0188657150279"/>
  </r>
  <r>
    <s v="EU27"/>
    <x v="27"/>
    <n v="2023"/>
    <x v="3"/>
    <x v="0"/>
    <x v="2"/>
    <m/>
    <m/>
    <n v="392018.28461871791"/>
  </r>
  <r>
    <s v="EU27"/>
    <x v="27"/>
    <n v="2023"/>
    <x v="3"/>
    <x v="1"/>
    <x v="0"/>
    <m/>
    <m/>
    <n v="475417.43009545287"/>
  </r>
  <r>
    <s v="EU27"/>
    <x v="27"/>
    <n v="2023"/>
    <x v="3"/>
    <x v="1"/>
    <x v="1"/>
    <m/>
    <m/>
    <n v="3562.92912366071"/>
  </r>
  <r>
    <s v="EU27"/>
    <x v="27"/>
    <n v="2023"/>
    <x v="3"/>
    <x v="1"/>
    <x v="2"/>
    <m/>
    <m/>
    <n v="498559.99406961608"/>
  </r>
  <r>
    <s v="EU27"/>
    <x v="27"/>
    <n v="2023"/>
    <x v="3"/>
    <x v="2"/>
    <x v="0"/>
    <m/>
    <m/>
    <n v="9350.5568300000014"/>
  </r>
  <r>
    <s v="EU27"/>
    <x v="27"/>
    <n v="2023"/>
    <x v="3"/>
    <x v="2"/>
    <x v="1"/>
    <m/>
    <m/>
    <n v="0"/>
  </r>
  <r>
    <s v="EU27"/>
    <x v="27"/>
    <n v="2023"/>
    <x v="3"/>
    <x v="2"/>
    <x v="2"/>
    <m/>
    <m/>
    <n v="45744.419720000013"/>
  </r>
  <r>
    <s v="EU27"/>
    <x v="27"/>
    <n v="2023"/>
    <x v="4"/>
    <x v="0"/>
    <x v="0"/>
    <m/>
    <m/>
    <n v="244.82614324113899"/>
  </r>
  <r>
    <s v="EU27"/>
    <x v="27"/>
    <n v="2023"/>
    <x v="4"/>
    <x v="0"/>
    <x v="1"/>
    <m/>
    <m/>
    <n v="0"/>
  </r>
  <r>
    <s v="EU27"/>
    <x v="27"/>
    <n v="2023"/>
    <x v="4"/>
    <x v="0"/>
    <x v="2"/>
    <m/>
    <m/>
    <n v="17588.41965934234"/>
  </r>
  <r>
    <s v="EU27"/>
    <x v="27"/>
    <n v="2023"/>
    <x v="4"/>
    <x v="1"/>
    <x v="0"/>
    <m/>
    <m/>
    <n v="257.99817196937522"/>
  </r>
  <r>
    <s v="EU27"/>
    <x v="27"/>
    <n v="2023"/>
    <x v="4"/>
    <x v="1"/>
    <x v="1"/>
    <m/>
    <m/>
    <n v="0"/>
  </r>
  <r>
    <s v="EU27"/>
    <x v="27"/>
    <n v="2023"/>
    <x v="4"/>
    <x v="1"/>
    <x v="2"/>
    <m/>
    <m/>
    <n v="19325.120197751599"/>
  </r>
  <r>
    <s v="EU27"/>
    <x v="27"/>
    <n v="2023"/>
    <x v="4"/>
    <x v="2"/>
    <x v="0"/>
    <m/>
    <m/>
    <n v="1.3820000000000001E-2"/>
  </r>
  <r>
    <s v="EU27"/>
    <x v="27"/>
    <n v="2023"/>
    <x v="4"/>
    <x v="2"/>
    <x v="2"/>
    <m/>
    <m/>
    <n v="538.23671000000002"/>
  </r>
  <r>
    <s v="EU27"/>
    <x v="27"/>
    <n v="2023"/>
    <x v="5"/>
    <x v="0"/>
    <x v="0"/>
    <m/>
    <m/>
    <n v="349608.9918065269"/>
  </r>
  <r>
    <s v="EU27"/>
    <x v="27"/>
    <n v="2023"/>
    <x v="5"/>
    <x v="0"/>
    <x v="1"/>
    <m/>
    <m/>
    <n v="0"/>
  </r>
  <r>
    <s v="EU27"/>
    <x v="27"/>
    <n v="2023"/>
    <x v="5"/>
    <x v="0"/>
    <x v="2"/>
    <m/>
    <m/>
    <n v="349973.65829581051"/>
  </r>
  <r>
    <s v="EU27"/>
    <x v="27"/>
    <n v="2023"/>
    <x v="5"/>
    <x v="1"/>
    <x v="0"/>
    <m/>
    <m/>
    <n v="451758.72574696533"/>
  </r>
  <r>
    <s v="EU27"/>
    <x v="27"/>
    <n v="2023"/>
    <x v="5"/>
    <x v="1"/>
    <x v="1"/>
    <m/>
    <m/>
    <n v="0"/>
  </r>
  <r>
    <s v="EU27"/>
    <x v="27"/>
    <n v="2023"/>
    <x v="5"/>
    <x v="1"/>
    <x v="2"/>
    <m/>
    <m/>
    <n v="452234.26780504943"/>
  </r>
  <r>
    <s v="EU27"/>
    <x v="27"/>
    <n v="2023"/>
    <x v="5"/>
    <x v="2"/>
    <x v="0"/>
    <m/>
    <m/>
    <n v="9244.3584499999997"/>
  </r>
  <r>
    <s v="EU27"/>
    <x v="27"/>
    <n v="2023"/>
    <x v="5"/>
    <x v="2"/>
    <x v="2"/>
    <m/>
    <m/>
    <n v="42743.958449999998"/>
  </r>
  <r>
    <s v="EU27"/>
    <x v="27"/>
    <n v="2023"/>
    <x v="6"/>
    <x v="0"/>
    <x v="0"/>
    <m/>
    <m/>
    <n v="3094.437768384008"/>
  </r>
  <r>
    <s v="EU27"/>
    <x v="27"/>
    <n v="2023"/>
    <x v="6"/>
    <x v="0"/>
    <x v="1"/>
    <m/>
    <m/>
    <n v="0"/>
  </r>
  <r>
    <s v="EU27"/>
    <x v="27"/>
    <n v="2023"/>
    <x v="6"/>
    <x v="0"/>
    <x v="2"/>
    <m/>
    <m/>
    <n v="3095.99506323886"/>
  </r>
  <r>
    <s v="EU27"/>
    <x v="27"/>
    <n v="2023"/>
    <x v="6"/>
    <x v="1"/>
    <x v="0"/>
    <m/>
    <m/>
    <n v="4515.0863470923596"/>
  </r>
  <r>
    <s v="EU27"/>
    <x v="27"/>
    <n v="2023"/>
    <x v="6"/>
    <x v="1"/>
    <x v="1"/>
    <m/>
    <m/>
    <n v="0"/>
  </r>
  <r>
    <s v="EU27"/>
    <x v="27"/>
    <n v="2023"/>
    <x v="6"/>
    <x v="1"/>
    <x v="2"/>
    <m/>
    <m/>
    <n v="4516.6392439860629"/>
  </r>
  <r>
    <s v="EU27"/>
    <x v="27"/>
    <n v="2023"/>
    <x v="6"/>
    <x v="2"/>
    <x v="0"/>
    <m/>
    <m/>
    <n v="44.42"/>
  </r>
  <r>
    <s v="EU27"/>
    <x v="27"/>
    <n v="2023"/>
    <x v="6"/>
    <x v="2"/>
    <x v="2"/>
    <m/>
    <m/>
    <n v="1653.98"/>
  </r>
  <r>
    <s v="EU27"/>
    <x v="27"/>
    <n v="2023"/>
    <x v="7"/>
    <x v="0"/>
    <x v="0"/>
    <m/>
    <m/>
    <n v="16881.010804229951"/>
  </r>
  <r>
    <s v="EU27"/>
    <x v="27"/>
    <n v="2023"/>
    <x v="7"/>
    <x v="0"/>
    <x v="1"/>
    <m/>
    <m/>
    <n v="0"/>
  </r>
  <r>
    <s v="EU27"/>
    <x v="27"/>
    <n v="2023"/>
    <x v="7"/>
    <x v="0"/>
    <x v="2"/>
    <m/>
    <m/>
    <n v="16904.54097797901"/>
  </r>
  <r>
    <s v="EU27"/>
    <x v="27"/>
    <n v="2023"/>
    <x v="7"/>
    <x v="1"/>
    <x v="0"/>
    <m/>
    <m/>
    <n v="17362.596364433979"/>
  </r>
  <r>
    <s v="EU27"/>
    <x v="27"/>
    <n v="2023"/>
    <x v="7"/>
    <x v="1"/>
    <x v="1"/>
    <m/>
    <m/>
    <n v="0"/>
  </r>
  <r>
    <s v="EU27"/>
    <x v="27"/>
    <n v="2023"/>
    <x v="7"/>
    <x v="1"/>
    <x v="2"/>
    <m/>
    <m/>
    <n v="17385.83073666945"/>
  </r>
  <r>
    <s v="EU27"/>
    <x v="27"/>
    <n v="2023"/>
    <x v="7"/>
    <x v="2"/>
    <x v="0"/>
    <m/>
    <m/>
    <n v="54.464559999999999"/>
  </r>
  <r>
    <s v="EU27"/>
    <x v="27"/>
    <n v="2023"/>
    <x v="7"/>
    <x v="2"/>
    <x v="2"/>
    <m/>
    <m/>
    <n v="479.48455999999999"/>
  </r>
  <r>
    <s v="EU27"/>
    <x v="27"/>
    <n v="2023"/>
    <x v="8"/>
    <x v="0"/>
    <x v="0"/>
    <m/>
    <m/>
    <n v="1176.610756034511"/>
  </r>
  <r>
    <s v="EU27"/>
    <x v="27"/>
    <n v="2023"/>
    <x v="8"/>
    <x v="0"/>
    <x v="1"/>
    <m/>
    <m/>
    <n v="3297.4811263126899"/>
  </r>
  <r>
    <s v="EU27"/>
    <x v="27"/>
    <n v="2023"/>
    <x v="8"/>
    <x v="0"/>
    <x v="2"/>
    <m/>
    <m/>
    <n v="4473.9518823472008"/>
  </r>
  <r>
    <s v="EU27"/>
    <x v="27"/>
    <n v="2023"/>
    <x v="8"/>
    <x v="1"/>
    <x v="0"/>
    <m/>
    <m/>
    <n v="1541.322162991936"/>
  </r>
  <r>
    <s v="EU27"/>
    <x v="27"/>
    <n v="2023"/>
    <x v="8"/>
    <x v="1"/>
    <x v="1"/>
    <m/>
    <m/>
    <n v="3575.29520316769"/>
  </r>
  <r>
    <s v="EU27"/>
    <x v="27"/>
    <n v="2023"/>
    <x v="8"/>
    <x v="1"/>
    <x v="2"/>
    <m/>
    <m/>
    <n v="5116.4773661596246"/>
  </r>
  <r>
    <s v="EU27"/>
    <x v="27"/>
    <n v="2023"/>
    <x v="8"/>
    <x v="2"/>
    <x v="0"/>
    <m/>
    <m/>
    <n v="7.2"/>
  </r>
  <r>
    <s v="EU27"/>
    <x v="27"/>
    <n v="2023"/>
    <x v="8"/>
    <x v="2"/>
    <x v="2"/>
    <m/>
    <m/>
    <n v="328.66"/>
  </r>
  <r>
    <s v="EU27"/>
    <x v="27"/>
    <n v="2023"/>
    <x v="9"/>
    <x v="0"/>
    <x v="0"/>
    <m/>
    <m/>
    <n v="243430.10405335351"/>
  </r>
  <r>
    <s v="EU27"/>
    <x v="27"/>
    <n v="2023"/>
    <x v="9"/>
    <x v="0"/>
    <x v="1"/>
    <m/>
    <m/>
    <n v="906.38832705897426"/>
  </r>
  <r>
    <s v="EU27"/>
    <x v="27"/>
    <n v="2023"/>
    <x v="9"/>
    <x v="0"/>
    <x v="2"/>
    <m/>
    <m/>
    <n v="244835.2885529779"/>
  </r>
  <r>
    <s v="EU27"/>
    <x v="27"/>
    <n v="2023"/>
    <x v="9"/>
    <x v="1"/>
    <x v="0"/>
    <m/>
    <m/>
    <n v="313298.63145118317"/>
  </r>
  <r>
    <s v="EU27"/>
    <x v="27"/>
    <n v="2023"/>
    <x v="9"/>
    <x v="1"/>
    <x v="1"/>
    <m/>
    <m/>
    <n v="1060.9398609420809"/>
  </r>
  <r>
    <s v="EU27"/>
    <x v="27"/>
    <n v="2023"/>
    <x v="9"/>
    <x v="1"/>
    <x v="2"/>
    <m/>
    <m/>
    <n v="314857.67305885023"/>
  </r>
  <r>
    <s v="EU27"/>
    <x v="27"/>
    <n v="2023"/>
    <x v="9"/>
    <x v="2"/>
    <x v="0"/>
    <m/>
    <m/>
    <n v="1446.3074099999999"/>
  </r>
  <r>
    <s v="EU27"/>
    <x v="27"/>
    <n v="2023"/>
    <x v="9"/>
    <x v="2"/>
    <x v="2"/>
    <m/>
    <m/>
    <n v="21705.467410000001"/>
  </r>
  <r>
    <s v="EU27"/>
    <x v="27"/>
    <n v="2023"/>
    <x v="10"/>
    <x v="0"/>
    <x v="0"/>
    <m/>
    <m/>
    <n v="3500.826049406131"/>
  </r>
  <r>
    <s v="EU27"/>
    <x v="27"/>
    <n v="2023"/>
    <x v="10"/>
    <x v="0"/>
    <x v="1"/>
    <m/>
    <m/>
    <n v="0"/>
  </r>
  <r>
    <s v="EU27"/>
    <x v="27"/>
    <n v="2023"/>
    <x v="10"/>
    <x v="0"/>
    <x v="2"/>
    <m/>
    <m/>
    <n v="3504.6739532572742"/>
  </r>
  <r>
    <s v="EU27"/>
    <x v="27"/>
    <n v="2023"/>
    <x v="10"/>
    <x v="1"/>
    <x v="0"/>
    <m/>
    <m/>
    <n v="3501.88552940613"/>
  </r>
  <r>
    <s v="EU27"/>
    <x v="27"/>
    <n v="2023"/>
    <x v="10"/>
    <x v="1"/>
    <x v="1"/>
    <m/>
    <m/>
    <n v="0"/>
  </r>
  <r>
    <s v="EU27"/>
    <x v="27"/>
    <n v="2023"/>
    <x v="10"/>
    <x v="1"/>
    <x v="2"/>
    <m/>
    <m/>
    <n v="3505.7334332572741"/>
  </r>
  <r>
    <s v="EU27"/>
    <x v="27"/>
    <n v="2023"/>
    <x v="10"/>
    <x v="2"/>
    <x v="0"/>
    <m/>
    <m/>
    <n v="4.0999999999999996"/>
  </r>
  <r>
    <s v="EU27"/>
    <x v="27"/>
    <n v="2023"/>
    <x v="10"/>
    <x v="2"/>
    <x v="2"/>
    <m/>
    <m/>
    <n v="1246.2"/>
  </r>
  <r>
    <s v="EU27"/>
    <x v="27"/>
    <n v="2023"/>
    <x v="11"/>
    <x v="0"/>
    <x v="0"/>
    <m/>
    <m/>
    <n v="40354.500662596067"/>
  </r>
  <r>
    <s v="EU27"/>
    <x v="27"/>
    <n v="2023"/>
    <x v="11"/>
    <x v="0"/>
    <x v="1"/>
    <m/>
    <m/>
    <n v="10140.133909578601"/>
  </r>
  <r>
    <s v="EU27"/>
    <x v="27"/>
    <n v="2023"/>
    <x v="11"/>
    <x v="0"/>
    <x v="2"/>
    <m/>
    <m/>
    <n v="50483.175622783332"/>
  </r>
  <r>
    <s v="EU27"/>
    <x v="27"/>
    <n v="2023"/>
    <x v="11"/>
    <x v="1"/>
    <x v="0"/>
    <m/>
    <m/>
    <n v="42678.343031835029"/>
  </r>
  <r>
    <s v="EU27"/>
    <x v="27"/>
    <n v="2023"/>
    <x v="11"/>
    <x v="1"/>
    <x v="1"/>
    <m/>
    <m/>
    <n v="11793.00635816497"/>
  </r>
  <r>
    <s v="EU27"/>
    <x v="27"/>
    <n v="2023"/>
    <x v="11"/>
    <x v="1"/>
    <x v="2"/>
    <m/>
    <m/>
    <n v="54471.411399999997"/>
  </r>
  <r>
    <s v="EU27"/>
    <x v="27"/>
    <n v="2023"/>
    <x v="11"/>
    <x v="2"/>
    <x v="0"/>
    <m/>
    <m/>
    <n v="432.36"/>
  </r>
  <r>
    <s v="EU27"/>
    <x v="27"/>
    <n v="2023"/>
    <x v="11"/>
    <x v="2"/>
    <x v="1"/>
    <m/>
    <m/>
    <n v="69.900000000000006"/>
  </r>
  <r>
    <s v="EU27"/>
    <x v="27"/>
    <n v="2023"/>
    <x v="11"/>
    <x v="2"/>
    <x v="2"/>
    <m/>
    <m/>
    <n v="18678"/>
  </r>
  <r>
    <s v="EU27"/>
    <x v="27"/>
    <n v="2023"/>
    <x v="12"/>
    <x v="0"/>
    <x v="0"/>
    <m/>
    <m/>
    <n v="0"/>
  </r>
  <r>
    <s v="EU27"/>
    <x v="27"/>
    <n v="2023"/>
    <x v="12"/>
    <x v="0"/>
    <x v="1"/>
    <m/>
    <m/>
    <n v="0"/>
  </r>
  <r>
    <s v="EU27"/>
    <x v="27"/>
    <n v="2023"/>
    <x v="12"/>
    <x v="0"/>
    <x v="2"/>
    <m/>
    <m/>
    <n v="0"/>
  </r>
  <r>
    <s v="EU27"/>
    <x v="27"/>
    <n v="2023"/>
    <x v="12"/>
    <x v="1"/>
    <x v="0"/>
    <m/>
    <m/>
    <n v="0"/>
  </r>
  <r>
    <s v="EU27"/>
    <x v="27"/>
    <n v="2023"/>
    <x v="12"/>
    <x v="1"/>
    <x v="1"/>
    <m/>
    <m/>
    <n v="0"/>
  </r>
  <r>
    <s v="EU27"/>
    <x v="27"/>
    <n v="2023"/>
    <x v="12"/>
    <x v="1"/>
    <x v="2"/>
    <m/>
    <m/>
    <n v="0"/>
  </r>
  <r>
    <s v="EU27"/>
    <x v="27"/>
    <n v="2023"/>
    <x v="13"/>
    <x v="0"/>
    <x v="0"/>
    <m/>
    <m/>
    <n v="42820.64331016285"/>
  </r>
  <r>
    <s v="EU27"/>
    <x v="27"/>
    <n v="2023"/>
    <x v="13"/>
    <x v="0"/>
    <x v="1"/>
    <m/>
    <m/>
    <n v="169997.9819921958"/>
  </r>
  <r>
    <s v="EU27"/>
    <x v="27"/>
    <n v="2023"/>
    <x v="13"/>
    <x v="0"/>
    <x v="2"/>
    <m/>
    <m/>
    <n v="212581.78555020539"/>
  </r>
  <r>
    <s v="EU27"/>
    <x v="27"/>
    <n v="2023"/>
    <x v="13"/>
    <x v="1"/>
    <x v="0"/>
    <m/>
    <m/>
    <n v="46100.973359744217"/>
  </r>
  <r>
    <s v="EU27"/>
    <x v="27"/>
    <n v="2023"/>
    <x v="13"/>
    <x v="1"/>
    <x v="1"/>
    <m/>
    <m/>
    <n v="180537.18217896071"/>
  </r>
  <r>
    <s v="EU27"/>
    <x v="27"/>
    <n v="2023"/>
    <x v="13"/>
    <x v="1"/>
    <x v="2"/>
    <m/>
    <m/>
    <n v="226378.83507813909"/>
  </r>
  <r>
    <s v="EU27"/>
    <x v="27"/>
    <n v="2023"/>
    <x v="13"/>
    <x v="2"/>
    <x v="0"/>
    <m/>
    <m/>
    <n v="1235.5525399999999"/>
  </r>
  <r>
    <s v="EU27"/>
    <x v="27"/>
    <n v="2023"/>
    <x v="13"/>
    <x v="2"/>
    <x v="1"/>
    <m/>
    <m/>
    <n v="771.72"/>
  </r>
  <r>
    <s v="EU27"/>
    <x v="27"/>
    <n v="2023"/>
    <x v="13"/>
    <x v="2"/>
    <x v="2"/>
    <m/>
    <m/>
    <n v="17846.67254"/>
  </r>
  <r>
    <s v="EU27"/>
    <x v="27"/>
    <n v="2023"/>
    <x v="14"/>
    <x v="0"/>
    <x v="0"/>
    <m/>
    <m/>
    <n v="344654.91207215551"/>
  </r>
  <r>
    <s v="EU27"/>
    <x v="27"/>
    <n v="2023"/>
    <x v="14"/>
    <x v="0"/>
    <x v="2"/>
    <m/>
    <m/>
    <n v="344487.88938587141"/>
  </r>
  <r>
    <s v="EU27"/>
    <x v="27"/>
    <n v="2023"/>
    <x v="14"/>
    <x v="1"/>
    <x v="0"/>
    <m/>
    <m/>
    <n v="363698.31999474863"/>
  </r>
  <r>
    <s v="EU27"/>
    <x v="27"/>
    <n v="2023"/>
    <x v="14"/>
    <x v="1"/>
    <x v="2"/>
    <m/>
    <m/>
    <n v="363698.31999474863"/>
  </r>
  <r>
    <s v="EU27"/>
    <x v="27"/>
    <n v="2023"/>
    <x v="14"/>
    <x v="2"/>
    <x v="0"/>
    <m/>
    <m/>
    <n v="2090.6452399999998"/>
  </r>
  <r>
    <s v="EU27"/>
    <x v="27"/>
    <n v="2023"/>
    <x v="14"/>
    <x v="2"/>
    <x v="2"/>
    <m/>
    <m/>
    <n v="40590.425239999997"/>
  </r>
  <r>
    <s v="EU27"/>
    <x v="27"/>
    <n v="2023"/>
    <x v="15"/>
    <x v="0"/>
    <x v="2"/>
    <m/>
    <m/>
    <n v="-244398.34416341741"/>
  </r>
  <r>
    <s v="EU27"/>
    <x v="27"/>
    <n v="2023"/>
    <x v="15"/>
    <x v="1"/>
    <x v="2"/>
    <m/>
    <m/>
    <n v="-210285.7380457664"/>
  </r>
  <r>
    <s v="EU27"/>
    <x v="27"/>
    <n v="2023"/>
    <x v="15"/>
    <x v="2"/>
    <x v="2"/>
    <m/>
    <m/>
    <n v="-7965.53244"/>
  </r>
  <r>
    <s v="EU27"/>
    <x v="27"/>
    <n v="2023"/>
    <x v="16"/>
    <x v="0"/>
    <x v="2"/>
    <m/>
    <m/>
    <n v="-283426.15033829189"/>
  </r>
  <r>
    <s v="EU27"/>
    <x v="27"/>
    <n v="2023"/>
    <x v="16"/>
    <x v="1"/>
    <x v="2"/>
    <m/>
    <m/>
    <n v="-261408.452392273"/>
  </r>
  <r>
    <s v="EU27"/>
    <x v="27"/>
    <n v="2023"/>
    <x v="16"/>
    <x v="2"/>
    <x v="2"/>
    <m/>
    <m/>
    <n v="-15262.44162"/>
  </r>
  <r>
    <s v="EU27"/>
    <x v="27"/>
    <n v="2023"/>
    <x v="17"/>
    <x v="0"/>
    <x v="2"/>
    <m/>
    <m/>
    <n v="21138.03480283825"/>
  </r>
  <r>
    <s v="EU27"/>
    <x v="27"/>
    <n v="2023"/>
    <x v="17"/>
    <x v="1"/>
    <x v="2"/>
    <m/>
    <m/>
    <n v="30274.72608572516"/>
  </r>
  <r>
    <s v="EU27"/>
    <x v="27"/>
    <n v="2023"/>
    <x v="17"/>
    <x v="2"/>
    <x v="2"/>
    <m/>
    <m/>
    <n v="-2131.23605"/>
  </r>
  <r>
    <s v="EU27"/>
    <x v="27"/>
    <n v="2023"/>
    <x v="18"/>
    <x v="0"/>
    <x v="2"/>
    <m/>
    <m/>
    <n v="11961.394543255679"/>
  </r>
  <r>
    <s v="EU27"/>
    <x v="27"/>
    <n v="2023"/>
    <x v="18"/>
    <x v="1"/>
    <x v="2"/>
    <m/>
    <m/>
    <n v="11431.548896930321"/>
  </r>
  <r>
    <s v="EU27"/>
    <x v="27"/>
    <n v="2023"/>
    <x v="18"/>
    <x v="2"/>
    <x v="2"/>
    <m/>
    <m/>
    <n v="6403.63303"/>
  </r>
  <r>
    <s v="EU27"/>
    <x v="27"/>
    <n v="2023"/>
    <x v="19"/>
    <x v="0"/>
    <x v="2"/>
    <m/>
    <m/>
    <n v="11699.079809548841"/>
  </r>
  <r>
    <s v="EU27"/>
    <x v="27"/>
    <n v="2023"/>
    <x v="19"/>
    <x v="1"/>
    <x v="2"/>
    <m/>
    <m/>
    <n v="12967.07567425156"/>
  </r>
  <r>
    <s v="EU27"/>
    <x v="27"/>
    <n v="2023"/>
    <x v="19"/>
    <x v="2"/>
    <x v="2"/>
    <m/>
    <m/>
    <n v="763.62648000000002"/>
  </r>
  <r>
    <s v="EU27"/>
    <x v="27"/>
    <n v="2023"/>
    <x v="20"/>
    <x v="0"/>
    <x v="2"/>
    <m/>
    <m/>
    <n v="28281.77532335338"/>
  </r>
  <r>
    <s v="EU27"/>
    <x v="27"/>
    <n v="2023"/>
    <x v="20"/>
    <x v="1"/>
    <x v="2"/>
    <m/>
    <m/>
    <n v="28662.126730543128"/>
  </r>
  <r>
    <s v="EU27"/>
    <x v="27"/>
    <n v="2023"/>
    <x v="20"/>
    <x v="2"/>
    <x v="2"/>
    <m/>
    <m/>
    <n v="3334.4286699999998"/>
  </r>
  <r>
    <s v="EU27"/>
    <x v="27"/>
    <n v="2023"/>
    <x v="21"/>
    <x v="0"/>
    <x v="2"/>
    <m/>
    <m/>
    <n v="525.72722999999996"/>
  </r>
  <r>
    <s v="EU27"/>
    <x v="27"/>
    <n v="2023"/>
    <x v="21"/>
    <x v="1"/>
    <x v="2"/>
    <m/>
    <m/>
    <n v="335.14722999999992"/>
  </r>
  <r>
    <s v="EU27"/>
    <x v="27"/>
    <n v="2023"/>
    <x v="21"/>
    <x v="2"/>
    <x v="2"/>
    <m/>
    <m/>
    <n v="344.33704"/>
  </r>
  <r>
    <s v="EU27"/>
    <x v="27"/>
    <n v="2023"/>
    <x v="22"/>
    <x v="0"/>
    <x v="2"/>
    <m/>
    <m/>
    <n v="-34139.154078715648"/>
  </r>
  <r>
    <s v="EU27"/>
    <x v="27"/>
    <n v="2023"/>
    <x v="22"/>
    <x v="1"/>
    <x v="2"/>
    <m/>
    <m/>
    <n v="-32953.539068715647"/>
  </r>
  <r>
    <s v="EU27"/>
    <x v="27"/>
    <n v="2023"/>
    <x v="22"/>
    <x v="2"/>
    <x v="2"/>
    <m/>
    <m/>
    <n v="-1417.86"/>
  </r>
  <r>
    <s v="EU27"/>
    <x v="27"/>
    <n v="2023"/>
    <x v="23"/>
    <x v="0"/>
    <x v="2"/>
    <m/>
    <m/>
    <n v="253.85033000000001"/>
  </r>
  <r>
    <s v="EU27"/>
    <x v="27"/>
    <n v="2023"/>
    <x v="23"/>
    <x v="1"/>
    <x v="2"/>
    <m/>
    <m/>
    <n v="253.85033000000001"/>
  </r>
  <r>
    <s v="EU27"/>
    <x v="27"/>
    <n v="2023"/>
    <x v="24"/>
    <x v="0"/>
    <x v="0"/>
    <m/>
    <m/>
    <n v="59360.528559264698"/>
  </r>
  <r>
    <s v="EU27"/>
    <x v="27"/>
    <n v="2023"/>
    <x v="24"/>
    <x v="0"/>
    <x v="1"/>
    <m/>
    <m/>
    <n v="218.13558766116969"/>
  </r>
  <r>
    <s v="EU27"/>
    <x v="27"/>
    <n v="2023"/>
    <x v="24"/>
    <x v="0"/>
    <x v="2"/>
    <m/>
    <m/>
    <n v="59869.60631692587"/>
  </r>
  <r>
    <s v="EU27"/>
    <x v="27"/>
    <n v="2023"/>
    <x v="24"/>
    <x v="1"/>
    <x v="0"/>
    <m/>
    <m/>
    <n v="60448.653019216399"/>
  </r>
  <r>
    <s v="EU27"/>
    <x v="27"/>
    <n v="2023"/>
    <x v="24"/>
    <x v="1"/>
    <x v="1"/>
    <m/>
    <m/>
    <n v="218.13558764090411"/>
  </r>
  <r>
    <s v="EU27"/>
    <x v="27"/>
    <n v="2023"/>
    <x v="24"/>
    <x v="1"/>
    <x v="2"/>
    <m/>
    <m/>
    <n v="60568.279960484848"/>
  </r>
  <r>
    <s v="EU27"/>
    <x v="27"/>
    <n v="2023"/>
    <x v="24"/>
    <x v="2"/>
    <x v="0"/>
    <m/>
    <m/>
    <n v="1725.7270900000001"/>
  </r>
  <r>
    <s v="EU27"/>
    <x v="27"/>
    <n v="2023"/>
    <x v="24"/>
    <x v="2"/>
    <x v="2"/>
    <m/>
    <m/>
    <n v="10086.44709"/>
  </r>
  <r>
    <s v="EU27"/>
    <x v="27"/>
    <n v="2023"/>
    <x v="25"/>
    <x v="0"/>
    <x v="0"/>
    <m/>
    <m/>
    <n v="188.86"/>
  </r>
  <r>
    <s v="EU27"/>
    <x v="27"/>
    <n v="2023"/>
    <x v="25"/>
    <x v="0"/>
    <x v="2"/>
    <m/>
    <m/>
    <n v="127282.11285516911"/>
  </r>
  <r>
    <s v="EU27"/>
    <x v="27"/>
    <n v="2023"/>
    <x v="25"/>
    <x v="1"/>
    <x v="0"/>
    <m/>
    <m/>
    <n v="188.86"/>
  </r>
  <r>
    <s v="EU27"/>
    <x v="27"/>
    <n v="2023"/>
    <x v="25"/>
    <x v="1"/>
    <x v="2"/>
    <m/>
    <m/>
    <n v="136214.35035843271"/>
  </r>
  <r>
    <s v="EU27"/>
    <x v="27"/>
    <n v="2023"/>
    <x v="25"/>
    <x v="2"/>
    <x v="2"/>
    <m/>
    <m/>
    <n v="1355.4448"/>
  </r>
  <r>
    <s v="EU27"/>
    <x v="27"/>
    <n v="2023"/>
    <x v="26"/>
    <x v="0"/>
    <x v="0"/>
    <m/>
    <m/>
    <n v="863.76"/>
  </r>
  <r>
    <s v="EU27"/>
    <x v="27"/>
    <n v="2023"/>
    <x v="26"/>
    <x v="0"/>
    <x v="2"/>
    <m/>
    <m/>
    <n v="144761.39735171091"/>
  </r>
  <r>
    <s v="EU27"/>
    <x v="27"/>
    <n v="2023"/>
    <x v="26"/>
    <x v="1"/>
    <x v="0"/>
    <m/>
    <m/>
    <n v="863.76"/>
  </r>
  <r>
    <s v="EU27"/>
    <x v="27"/>
    <n v="2023"/>
    <x v="26"/>
    <x v="1"/>
    <x v="2"/>
    <m/>
    <m/>
    <n v="147341.11046353489"/>
  </r>
  <r>
    <s v="EU27"/>
    <x v="27"/>
    <n v="2023"/>
    <x v="26"/>
    <x v="2"/>
    <x v="2"/>
    <m/>
    <m/>
    <n v="1014.06"/>
  </r>
  <r>
    <s v="EU27"/>
    <x v="27"/>
    <n v="2023"/>
    <x v="27"/>
    <x v="0"/>
    <x v="0"/>
    <m/>
    <m/>
    <n v="713.16980000000001"/>
  </r>
  <r>
    <s v="EU27"/>
    <x v="27"/>
    <n v="2023"/>
    <x v="27"/>
    <x v="0"/>
    <x v="2"/>
    <m/>
    <m/>
    <n v="857.06207979906014"/>
  </r>
  <r>
    <s v="EU27"/>
    <x v="27"/>
    <n v="2023"/>
    <x v="27"/>
    <x v="1"/>
    <x v="0"/>
    <m/>
    <m/>
    <n v="716.76980000000003"/>
  </r>
  <r>
    <s v="EU27"/>
    <x v="27"/>
    <n v="2023"/>
    <x v="27"/>
    <x v="1"/>
    <x v="2"/>
    <m/>
    <m/>
    <n v="860.66980000000001"/>
  </r>
  <r>
    <s v="EU27"/>
    <x v="27"/>
    <n v="2023"/>
    <x v="28"/>
    <x v="0"/>
    <x v="0"/>
    <m/>
    <m/>
    <n v="1240196.8099821031"/>
  </r>
  <r>
    <s v="EU27"/>
    <x v="27"/>
    <n v="2023"/>
    <x v="28"/>
    <x v="0"/>
    <x v="1"/>
    <m/>
    <m/>
    <n v="597654.52876467793"/>
  </r>
  <r>
    <s v="EU27"/>
    <x v="27"/>
    <n v="2023"/>
    <x v="28"/>
    <x v="0"/>
    <x v="2"/>
    <m/>
    <m/>
    <n v="1854926.702001258"/>
  </r>
  <r>
    <s v="EU27"/>
    <x v="27"/>
    <n v="2023"/>
    <x v="28"/>
    <x v="1"/>
    <x v="0"/>
    <m/>
    <m/>
    <n v="1446734.485651376"/>
  </r>
  <r>
    <s v="EU27"/>
    <x v="27"/>
    <n v="2023"/>
    <x v="28"/>
    <x v="1"/>
    <x v="1"/>
    <m/>
    <m/>
    <n v="688334.53288918105"/>
  </r>
  <r>
    <s v="EU27"/>
    <x v="27"/>
    <n v="2023"/>
    <x v="28"/>
    <x v="1"/>
    <x v="2"/>
    <m/>
    <m/>
    <n v="2153765.3914636001"/>
  </r>
  <r>
    <s v="EU27"/>
    <x v="27"/>
    <n v="2023"/>
    <x v="28"/>
    <x v="2"/>
    <x v="0"/>
    <m/>
    <m/>
    <n v="17493.801100000001"/>
  </r>
  <r>
    <s v="EU27"/>
    <x v="27"/>
    <n v="2023"/>
    <x v="28"/>
    <x v="2"/>
    <x v="1"/>
    <m/>
    <m/>
    <n v="9642.7512900000002"/>
  </r>
  <r>
    <s v="EU27"/>
    <x v="27"/>
    <n v="2023"/>
    <x v="28"/>
    <x v="2"/>
    <x v="2"/>
    <m/>
    <m/>
    <n v="227550.81529"/>
  </r>
  <r>
    <s v="EU27"/>
    <x v="27"/>
    <n v="2023"/>
    <x v="29"/>
    <x v="0"/>
    <x v="0"/>
    <m/>
    <m/>
    <n v="1240196.709982103"/>
  </r>
  <r>
    <s v="EU27"/>
    <x v="27"/>
    <n v="2023"/>
    <x v="29"/>
    <x v="0"/>
    <x v="1"/>
    <m/>
    <m/>
    <n v="597654.42876467796"/>
  </r>
  <r>
    <s v="EU27"/>
    <x v="27"/>
    <n v="2023"/>
    <x v="29"/>
    <x v="0"/>
    <x v="2"/>
    <m/>
    <m/>
    <n v="1607317.2577478411"/>
  </r>
  <r>
    <s v="EU27"/>
    <x v="27"/>
    <n v="2023"/>
    <x v="29"/>
    <x v="1"/>
    <x v="0"/>
    <m/>
    <m/>
    <n v="1446734.3856513761"/>
  </r>
  <r>
    <s v="EU27"/>
    <x v="27"/>
    <n v="2023"/>
    <x v="29"/>
    <x v="1"/>
    <x v="1"/>
    <m/>
    <m/>
    <n v="688334.43288918107"/>
  </r>
  <r>
    <s v="EU27"/>
    <x v="27"/>
    <n v="2023"/>
    <x v="29"/>
    <x v="1"/>
    <x v="2"/>
    <m/>
    <m/>
    <n v="1943479.8621978329"/>
  </r>
  <r>
    <s v="EU27"/>
    <x v="27"/>
    <n v="2023"/>
    <x v="29"/>
    <x v="2"/>
    <x v="0"/>
    <m/>
    <m/>
    <n v="17493.801100000001"/>
  </r>
  <r>
    <s v="EU27"/>
    <x v="27"/>
    <n v="2023"/>
    <x v="29"/>
    <x v="2"/>
    <x v="1"/>
    <m/>
    <m/>
    <n v="9642.7512900000002"/>
  </r>
  <r>
    <s v="EU27"/>
    <x v="27"/>
    <n v="2023"/>
    <x v="29"/>
    <x v="2"/>
    <x v="2"/>
    <m/>
    <m/>
    <n v="219899.62285000001"/>
  </r>
  <r>
    <s v="EU27"/>
    <x v="28"/>
    <n v="2023"/>
    <x v="0"/>
    <x v="0"/>
    <x v="0"/>
    <m/>
    <m/>
    <n v="784885.83696595335"/>
  </r>
  <r>
    <s v="EU27"/>
    <x v="28"/>
    <n v="2023"/>
    <x v="0"/>
    <x v="0"/>
    <x v="1"/>
    <m/>
    <m/>
    <n v="426527.69174238213"/>
  </r>
  <r>
    <s v="EU27"/>
    <x v="28"/>
    <n v="2023"/>
    <x v="0"/>
    <x v="0"/>
    <x v="2"/>
    <m/>
    <m/>
    <n v="1228707.242811003"/>
  </r>
  <r>
    <s v="EU27"/>
    <x v="28"/>
    <n v="2023"/>
    <x v="0"/>
    <x v="1"/>
    <x v="0"/>
    <m/>
    <m/>
    <n v="966526.41998796712"/>
  </r>
  <r>
    <s v="EU27"/>
    <x v="28"/>
    <n v="2023"/>
    <x v="0"/>
    <x v="1"/>
    <x v="1"/>
    <m/>
    <m/>
    <n v="506895.77962135489"/>
  </r>
  <r>
    <s v="EU27"/>
    <x v="28"/>
    <n v="2023"/>
    <x v="0"/>
    <x v="1"/>
    <x v="2"/>
    <m/>
    <m/>
    <n v="1492598.7035480679"/>
  </r>
  <r>
    <s v="EU27"/>
    <x v="28"/>
    <n v="2023"/>
    <x v="0"/>
    <x v="2"/>
    <x v="0"/>
    <m/>
    <m/>
    <n v="12444.22955"/>
  </r>
  <r>
    <s v="EU27"/>
    <x v="28"/>
    <n v="2023"/>
    <x v="0"/>
    <x v="2"/>
    <x v="1"/>
    <m/>
    <m/>
    <n v="8892.1098500000007"/>
  </r>
  <r>
    <s v="EU27"/>
    <x v="28"/>
    <n v="2023"/>
    <x v="0"/>
    <x v="2"/>
    <x v="2"/>
    <m/>
    <m/>
    <n v="159432.65328"/>
  </r>
  <r>
    <s v="EU27"/>
    <x v="28"/>
    <n v="2023"/>
    <x v="1"/>
    <x v="0"/>
    <x v="0"/>
    <m/>
    <m/>
    <n v="41400.267472820116"/>
  </r>
  <r>
    <s v="EU27"/>
    <x v="28"/>
    <n v="2023"/>
    <x v="1"/>
    <x v="0"/>
    <x v="1"/>
    <m/>
    <m/>
    <n v="256336.14627967289"/>
  </r>
  <r>
    <s v="EU27"/>
    <x v="28"/>
    <n v="2023"/>
    <x v="1"/>
    <x v="0"/>
    <x v="2"/>
    <m/>
    <m/>
    <n v="297221.24635989871"/>
  </r>
  <r>
    <s v="EU27"/>
    <x v="28"/>
    <n v="2023"/>
    <x v="1"/>
    <x v="1"/>
    <x v="0"/>
    <m/>
    <m/>
    <n v="38960.493444188163"/>
  </r>
  <r>
    <s v="EU27"/>
    <x v="28"/>
    <n v="2023"/>
    <x v="1"/>
    <x v="1"/>
    <x v="1"/>
    <m/>
    <m/>
    <n v="305661.22377084277"/>
  </r>
  <r>
    <s v="EU27"/>
    <x v="28"/>
    <n v="2023"/>
    <x v="1"/>
    <x v="1"/>
    <x v="2"/>
    <m/>
    <m/>
    <n v="344173.74725861818"/>
  </r>
  <r>
    <s v="EU27"/>
    <x v="28"/>
    <n v="2023"/>
    <x v="1"/>
    <x v="2"/>
    <x v="0"/>
    <m/>
    <m/>
    <n v="34.879620000000003"/>
  </r>
  <r>
    <s v="EU27"/>
    <x v="28"/>
    <n v="2023"/>
    <x v="1"/>
    <x v="2"/>
    <x v="1"/>
    <m/>
    <m/>
    <n v="7293.5898500000003"/>
  </r>
  <r>
    <s v="EU27"/>
    <x v="28"/>
    <n v="2023"/>
    <x v="1"/>
    <x v="2"/>
    <x v="2"/>
    <m/>
    <m/>
    <n v="48301.969469999996"/>
  </r>
  <r>
    <s v="EU27"/>
    <x v="28"/>
    <n v="2023"/>
    <x v="2"/>
    <x v="0"/>
    <x v="0"/>
    <m/>
    <m/>
    <n v="93607.018468085895"/>
  </r>
  <r>
    <s v="EU27"/>
    <x v="28"/>
    <n v="2023"/>
    <x v="2"/>
    <x v="0"/>
    <x v="1"/>
    <m/>
    <m/>
    <n v="156016.22492888439"/>
  </r>
  <r>
    <s v="EU27"/>
    <x v="28"/>
    <n v="2023"/>
    <x v="2"/>
    <x v="0"/>
    <x v="2"/>
    <m/>
    <m/>
    <n v="249067.12901745751"/>
  </r>
  <r>
    <s v="EU27"/>
    <x v="28"/>
    <n v="2023"/>
    <x v="2"/>
    <x v="1"/>
    <x v="0"/>
    <m/>
    <m/>
    <n v="101500.3411029252"/>
  </r>
  <r>
    <s v="EU27"/>
    <x v="28"/>
    <n v="2023"/>
    <x v="2"/>
    <x v="1"/>
    <x v="1"/>
    <m/>
    <m/>
    <n v="184897.88956232331"/>
  </r>
  <r>
    <s v="EU27"/>
    <x v="28"/>
    <n v="2023"/>
    <x v="2"/>
    <x v="1"/>
    <x v="2"/>
    <m/>
    <m/>
    <n v="285852.11188085022"/>
  </r>
  <r>
    <s v="EU27"/>
    <x v="28"/>
    <n v="2023"/>
    <x v="2"/>
    <x v="2"/>
    <x v="0"/>
    <m/>
    <m/>
    <n v="1179.64525"/>
  </r>
  <r>
    <s v="EU27"/>
    <x v="28"/>
    <n v="2023"/>
    <x v="2"/>
    <x v="2"/>
    <x v="1"/>
    <m/>
    <m/>
    <n v="1528.62"/>
  </r>
  <r>
    <s v="EU27"/>
    <x v="28"/>
    <n v="2023"/>
    <x v="2"/>
    <x v="2"/>
    <x v="2"/>
    <m/>
    <m/>
    <n v="23482.805250000001"/>
  </r>
  <r>
    <s v="EU27"/>
    <x v="28"/>
    <n v="2023"/>
    <x v="3"/>
    <x v="0"/>
    <x v="0"/>
    <m/>
    <m/>
    <n v="365855.14250856551"/>
  </r>
  <r>
    <s v="EU27"/>
    <x v="28"/>
    <n v="2023"/>
    <x v="3"/>
    <x v="0"/>
    <x v="1"/>
    <m/>
    <m/>
    <n v="3232.5565610919289"/>
  </r>
  <r>
    <s v="EU27"/>
    <x v="28"/>
    <n v="2023"/>
    <x v="3"/>
    <x v="0"/>
    <x v="2"/>
    <m/>
    <m/>
    <n v="386966.78370388818"/>
  </r>
  <r>
    <s v="EU27"/>
    <x v="28"/>
    <n v="2023"/>
    <x v="3"/>
    <x v="1"/>
    <x v="0"/>
    <m/>
    <m/>
    <n v="469841.52463926369"/>
  </r>
  <r>
    <s v="EU27"/>
    <x v="28"/>
    <n v="2023"/>
    <x v="3"/>
    <x v="1"/>
    <x v="1"/>
    <m/>
    <m/>
    <n v="3557.1830294959741"/>
  </r>
  <r>
    <s v="EU27"/>
    <x v="28"/>
    <n v="2023"/>
    <x v="3"/>
    <x v="1"/>
    <x v="2"/>
    <m/>
    <m/>
    <n v="493083.94457753352"/>
  </r>
  <r>
    <s v="EU27"/>
    <x v="28"/>
    <n v="2023"/>
    <x v="3"/>
    <x v="2"/>
    <x v="0"/>
    <m/>
    <m/>
    <n v="9350.1802500000013"/>
  </r>
  <r>
    <s v="EU27"/>
    <x v="28"/>
    <n v="2023"/>
    <x v="3"/>
    <x v="2"/>
    <x v="1"/>
    <m/>
    <m/>
    <n v="0"/>
  </r>
  <r>
    <s v="EU27"/>
    <x v="28"/>
    <n v="2023"/>
    <x v="3"/>
    <x v="2"/>
    <x v="2"/>
    <m/>
    <m/>
    <n v="45805.794130000002"/>
  </r>
  <r>
    <s v="EU27"/>
    <x v="28"/>
    <n v="2023"/>
    <x v="4"/>
    <x v="0"/>
    <x v="0"/>
    <m/>
    <m/>
    <n v="277.657196841597"/>
  </r>
  <r>
    <s v="EU27"/>
    <x v="28"/>
    <n v="2023"/>
    <x v="4"/>
    <x v="0"/>
    <x v="1"/>
    <m/>
    <m/>
    <n v="0"/>
  </r>
  <r>
    <s v="EU27"/>
    <x v="28"/>
    <n v="2023"/>
    <x v="4"/>
    <x v="0"/>
    <x v="2"/>
    <m/>
    <m/>
    <n v="17717.5311536011"/>
  </r>
  <r>
    <s v="EU27"/>
    <x v="28"/>
    <n v="2023"/>
    <x v="4"/>
    <x v="1"/>
    <x v="0"/>
    <m/>
    <m/>
    <n v="290.99267085533961"/>
  </r>
  <r>
    <s v="EU27"/>
    <x v="28"/>
    <n v="2023"/>
    <x v="4"/>
    <x v="1"/>
    <x v="1"/>
    <m/>
    <m/>
    <n v="0"/>
  </r>
  <r>
    <s v="EU27"/>
    <x v="28"/>
    <n v="2023"/>
    <x v="4"/>
    <x v="1"/>
    <x v="2"/>
    <m/>
    <m/>
    <n v="19479.421393943659"/>
  </r>
  <r>
    <s v="EU27"/>
    <x v="28"/>
    <n v="2023"/>
    <x v="4"/>
    <x v="2"/>
    <x v="0"/>
    <m/>
    <m/>
    <n v="1.388E-2"/>
  </r>
  <r>
    <s v="EU27"/>
    <x v="28"/>
    <n v="2023"/>
    <x v="4"/>
    <x v="2"/>
    <x v="2"/>
    <m/>
    <m/>
    <n v="538.30775999999992"/>
  </r>
  <r>
    <s v="EU27"/>
    <x v="28"/>
    <n v="2023"/>
    <x v="5"/>
    <x v="0"/>
    <x v="0"/>
    <m/>
    <m/>
    <n v="344575.51214319869"/>
  </r>
  <r>
    <s v="EU27"/>
    <x v="28"/>
    <n v="2023"/>
    <x v="5"/>
    <x v="0"/>
    <x v="1"/>
    <m/>
    <m/>
    <n v="0"/>
  </r>
  <r>
    <s v="EU27"/>
    <x v="28"/>
    <n v="2023"/>
    <x v="5"/>
    <x v="0"/>
    <x v="2"/>
    <m/>
    <m/>
    <n v="344928.10350083688"/>
  </r>
  <r>
    <s v="EU27"/>
    <x v="28"/>
    <n v="2023"/>
    <x v="5"/>
    <x v="1"/>
    <x v="0"/>
    <m/>
    <m/>
    <n v="446191.26874681161"/>
  </r>
  <r>
    <s v="EU27"/>
    <x v="28"/>
    <n v="2023"/>
    <x v="5"/>
    <x v="1"/>
    <x v="1"/>
    <m/>
    <m/>
    <n v="0"/>
  </r>
  <r>
    <s v="EU27"/>
    <x v="28"/>
    <n v="2023"/>
    <x v="5"/>
    <x v="1"/>
    <x v="2"/>
    <m/>
    <m/>
    <n v="446651.06427176751"/>
  </r>
  <r>
    <s v="EU27"/>
    <x v="28"/>
    <n v="2023"/>
    <x v="5"/>
    <x v="2"/>
    <x v="0"/>
    <m/>
    <m/>
    <n v="9243.0299899999991"/>
  </r>
  <r>
    <s v="EU27"/>
    <x v="28"/>
    <n v="2023"/>
    <x v="5"/>
    <x v="2"/>
    <x v="2"/>
    <m/>
    <m/>
    <n v="42747.329989999998"/>
  </r>
  <r>
    <s v="EU27"/>
    <x v="28"/>
    <n v="2023"/>
    <x v="6"/>
    <x v="0"/>
    <x v="0"/>
    <m/>
    <m/>
    <n v="3054.111980154707"/>
  </r>
  <r>
    <s v="EU27"/>
    <x v="28"/>
    <n v="2023"/>
    <x v="6"/>
    <x v="0"/>
    <x v="1"/>
    <m/>
    <m/>
    <n v="0"/>
  </r>
  <r>
    <s v="EU27"/>
    <x v="28"/>
    <n v="2023"/>
    <x v="6"/>
    <x v="0"/>
    <x v="2"/>
    <m/>
    <m/>
    <n v="3055.6177086031712"/>
  </r>
  <r>
    <s v="EU27"/>
    <x v="28"/>
    <n v="2023"/>
    <x v="6"/>
    <x v="1"/>
    <x v="0"/>
    <m/>
    <m/>
    <n v="4543.8256599080742"/>
  </r>
  <r>
    <s v="EU27"/>
    <x v="28"/>
    <n v="2023"/>
    <x v="6"/>
    <x v="1"/>
    <x v="1"/>
    <m/>
    <m/>
    <n v="0"/>
  </r>
  <r>
    <s v="EU27"/>
    <x v="28"/>
    <n v="2023"/>
    <x v="6"/>
    <x v="1"/>
    <x v="2"/>
    <m/>
    <m/>
    <n v="4545.3271360242343"/>
  </r>
  <r>
    <s v="EU27"/>
    <x v="28"/>
    <n v="2023"/>
    <x v="6"/>
    <x v="2"/>
    <x v="0"/>
    <m/>
    <m/>
    <n v="45.06"/>
  </r>
  <r>
    <s v="EU27"/>
    <x v="28"/>
    <n v="2023"/>
    <x v="6"/>
    <x v="2"/>
    <x v="2"/>
    <m/>
    <m/>
    <n v="1691.54"/>
  </r>
  <r>
    <s v="EU27"/>
    <x v="28"/>
    <n v="2023"/>
    <x v="7"/>
    <x v="0"/>
    <x v="0"/>
    <m/>
    <m/>
    <n v="16790.207850323179"/>
  </r>
  <r>
    <s v="EU27"/>
    <x v="28"/>
    <n v="2023"/>
    <x v="7"/>
    <x v="0"/>
    <x v="1"/>
    <m/>
    <m/>
    <n v="0"/>
  </r>
  <r>
    <s v="EU27"/>
    <x v="28"/>
    <n v="2023"/>
    <x v="7"/>
    <x v="0"/>
    <x v="2"/>
    <m/>
    <m/>
    <n v="16812.958868635611"/>
  </r>
  <r>
    <s v="EU27"/>
    <x v="28"/>
    <n v="2023"/>
    <x v="7"/>
    <x v="1"/>
    <x v="0"/>
    <m/>
    <m/>
    <n v="17285.278638941021"/>
  </r>
  <r>
    <s v="EU27"/>
    <x v="28"/>
    <n v="2023"/>
    <x v="7"/>
    <x v="1"/>
    <x v="1"/>
    <m/>
    <m/>
    <n v="0"/>
  </r>
  <r>
    <s v="EU27"/>
    <x v="28"/>
    <n v="2023"/>
    <x v="7"/>
    <x v="1"/>
    <x v="2"/>
    <m/>
    <m/>
    <n v="17307.743650558768"/>
  </r>
  <r>
    <s v="EU27"/>
    <x v="28"/>
    <n v="2023"/>
    <x v="7"/>
    <x v="2"/>
    <x v="0"/>
    <m/>
    <m/>
    <n v="54.776380000000003"/>
  </r>
  <r>
    <s v="EU27"/>
    <x v="28"/>
    <n v="2023"/>
    <x v="7"/>
    <x v="2"/>
    <x v="2"/>
    <m/>
    <m/>
    <n v="499.83638000000002"/>
  </r>
  <r>
    <s v="EU27"/>
    <x v="28"/>
    <n v="2023"/>
    <x v="8"/>
    <x v="0"/>
    <x v="0"/>
    <m/>
    <m/>
    <n v="1176.0103080473179"/>
  </r>
  <r>
    <s v="EU27"/>
    <x v="28"/>
    <n v="2023"/>
    <x v="8"/>
    <x v="0"/>
    <x v="1"/>
    <m/>
    <m/>
    <n v="3295.1034341640739"/>
  </r>
  <r>
    <s v="EU27"/>
    <x v="28"/>
    <n v="2023"/>
    <x v="8"/>
    <x v="0"/>
    <x v="2"/>
    <m/>
    <m/>
    <n v="4471.0937322113932"/>
  </r>
  <r>
    <s v="EU27"/>
    <x v="28"/>
    <n v="2023"/>
    <x v="8"/>
    <x v="1"/>
    <x v="0"/>
    <m/>
    <m/>
    <n v="1548.556836747636"/>
  </r>
  <r>
    <s v="EU27"/>
    <x v="28"/>
    <n v="2023"/>
    <x v="8"/>
    <x v="1"/>
    <x v="1"/>
    <m/>
    <m/>
    <n v="3570.252548491685"/>
  </r>
  <r>
    <s v="EU27"/>
    <x v="28"/>
    <n v="2023"/>
    <x v="8"/>
    <x v="1"/>
    <x v="2"/>
    <m/>
    <m/>
    <n v="5118.7893852393199"/>
  </r>
  <r>
    <s v="EU27"/>
    <x v="28"/>
    <n v="2023"/>
    <x v="8"/>
    <x v="2"/>
    <x v="0"/>
    <m/>
    <m/>
    <n v="7.2"/>
  </r>
  <r>
    <s v="EU27"/>
    <x v="28"/>
    <n v="2023"/>
    <x v="8"/>
    <x v="2"/>
    <x v="2"/>
    <m/>
    <m/>
    <n v="328.68"/>
  </r>
  <r>
    <s v="EU27"/>
    <x v="28"/>
    <n v="2023"/>
    <x v="9"/>
    <x v="0"/>
    <x v="0"/>
    <m/>
    <m/>
    <n v="240262.6416896295"/>
  </r>
  <r>
    <s v="EU27"/>
    <x v="28"/>
    <n v="2023"/>
    <x v="9"/>
    <x v="0"/>
    <x v="1"/>
    <m/>
    <m/>
    <n v="900.30518726621892"/>
  </r>
  <r>
    <s v="EU27"/>
    <x v="28"/>
    <n v="2023"/>
    <x v="9"/>
    <x v="0"/>
    <x v="2"/>
    <m/>
    <m/>
    <n v="241645.120815734"/>
  </r>
  <r>
    <s v="EU27"/>
    <x v="28"/>
    <n v="2023"/>
    <x v="9"/>
    <x v="1"/>
    <x v="0"/>
    <m/>
    <m/>
    <n v="310122.83537205221"/>
  </r>
  <r>
    <s v="EU27"/>
    <x v="28"/>
    <n v="2023"/>
    <x v="9"/>
    <x v="1"/>
    <x v="1"/>
    <m/>
    <m/>
    <n v="1052.983112124597"/>
  </r>
  <r>
    <s v="EU27"/>
    <x v="28"/>
    <n v="2023"/>
    <x v="9"/>
    <x v="1"/>
    <x v="2"/>
    <m/>
    <m/>
    <n v="311657.5177444155"/>
  </r>
  <r>
    <s v="EU27"/>
    <x v="28"/>
    <n v="2023"/>
    <x v="9"/>
    <x v="2"/>
    <x v="0"/>
    <m/>
    <m/>
    <n v="1442.74443"/>
  </r>
  <r>
    <s v="EU27"/>
    <x v="28"/>
    <n v="2023"/>
    <x v="9"/>
    <x v="2"/>
    <x v="2"/>
    <m/>
    <m/>
    <n v="21917.524430000001"/>
  </r>
  <r>
    <s v="EU27"/>
    <x v="28"/>
    <n v="2023"/>
    <x v="10"/>
    <x v="0"/>
    <x v="0"/>
    <m/>
    <m/>
    <n v="3512.959517702895"/>
  </r>
  <r>
    <s v="EU27"/>
    <x v="28"/>
    <n v="2023"/>
    <x v="10"/>
    <x v="0"/>
    <x v="1"/>
    <m/>
    <m/>
    <n v="0"/>
  </r>
  <r>
    <s v="EU27"/>
    <x v="28"/>
    <n v="2023"/>
    <x v="10"/>
    <x v="0"/>
    <x v="2"/>
    <m/>
    <m/>
    <n v="3516.6800066504852"/>
  </r>
  <r>
    <s v="EU27"/>
    <x v="28"/>
    <n v="2023"/>
    <x v="10"/>
    <x v="1"/>
    <x v="0"/>
    <m/>
    <m/>
    <n v="3514.0539477028951"/>
  </r>
  <r>
    <s v="EU27"/>
    <x v="28"/>
    <n v="2023"/>
    <x v="10"/>
    <x v="1"/>
    <x v="1"/>
    <m/>
    <m/>
    <n v="0"/>
  </r>
  <r>
    <s v="EU27"/>
    <x v="28"/>
    <n v="2023"/>
    <x v="10"/>
    <x v="1"/>
    <x v="2"/>
    <m/>
    <m/>
    <n v="3517.7744366504849"/>
  </r>
  <r>
    <s v="EU27"/>
    <x v="28"/>
    <n v="2023"/>
    <x v="10"/>
    <x v="2"/>
    <x v="0"/>
    <m/>
    <m/>
    <n v="4.0999999999999996"/>
  </r>
  <r>
    <s v="EU27"/>
    <x v="28"/>
    <n v="2023"/>
    <x v="10"/>
    <x v="2"/>
    <x v="2"/>
    <m/>
    <m/>
    <n v="1246.2"/>
  </r>
  <r>
    <s v="EU27"/>
    <x v="28"/>
    <n v="2023"/>
    <x v="11"/>
    <x v="0"/>
    <x v="0"/>
    <m/>
    <m/>
    <n v="40309.467329149447"/>
  </r>
  <r>
    <s v="EU27"/>
    <x v="28"/>
    <n v="2023"/>
    <x v="11"/>
    <x v="0"/>
    <x v="1"/>
    <m/>
    <m/>
    <n v="10057.698775466721"/>
  </r>
  <r>
    <s v="EU27"/>
    <x v="28"/>
    <n v="2023"/>
    <x v="11"/>
    <x v="0"/>
    <x v="2"/>
    <m/>
    <m/>
    <n v="50351.882917374212"/>
  </r>
  <r>
    <s v="EU27"/>
    <x v="28"/>
    <n v="2023"/>
    <x v="11"/>
    <x v="1"/>
    <x v="0"/>
    <m/>
    <m/>
    <n v="42648.451511835032"/>
  </r>
  <r>
    <s v="EU27"/>
    <x v="28"/>
    <n v="2023"/>
    <x v="11"/>
    <x v="1"/>
    <x v="1"/>
    <m/>
    <m/>
    <n v="11726.50015816497"/>
  </r>
  <r>
    <s v="EU27"/>
    <x v="28"/>
    <n v="2023"/>
    <x v="11"/>
    <x v="1"/>
    <x v="2"/>
    <m/>
    <m/>
    <n v="54375.127669999987"/>
  </r>
  <r>
    <s v="EU27"/>
    <x v="28"/>
    <n v="2023"/>
    <x v="11"/>
    <x v="2"/>
    <x v="0"/>
    <m/>
    <m/>
    <n v="432.58"/>
  </r>
  <r>
    <s v="EU27"/>
    <x v="28"/>
    <n v="2023"/>
    <x v="11"/>
    <x v="2"/>
    <x v="1"/>
    <m/>
    <m/>
    <n v="69.900000000000006"/>
  </r>
  <r>
    <s v="EU27"/>
    <x v="28"/>
    <n v="2023"/>
    <x v="11"/>
    <x v="2"/>
    <x v="2"/>
    <m/>
    <m/>
    <n v="18678.2"/>
  </r>
  <r>
    <s v="EU27"/>
    <x v="28"/>
    <n v="2023"/>
    <x v="12"/>
    <x v="0"/>
    <x v="0"/>
    <m/>
    <m/>
    <n v="0"/>
  </r>
  <r>
    <s v="EU27"/>
    <x v="28"/>
    <n v="2023"/>
    <x v="12"/>
    <x v="0"/>
    <x v="1"/>
    <m/>
    <m/>
    <n v="0"/>
  </r>
  <r>
    <s v="EU27"/>
    <x v="28"/>
    <n v="2023"/>
    <x v="12"/>
    <x v="0"/>
    <x v="2"/>
    <m/>
    <m/>
    <n v="0"/>
  </r>
  <r>
    <s v="EU27"/>
    <x v="28"/>
    <n v="2023"/>
    <x v="12"/>
    <x v="1"/>
    <x v="0"/>
    <m/>
    <m/>
    <n v="0"/>
  </r>
  <r>
    <s v="EU27"/>
    <x v="28"/>
    <n v="2023"/>
    <x v="12"/>
    <x v="1"/>
    <x v="1"/>
    <m/>
    <m/>
    <n v="0"/>
  </r>
  <r>
    <s v="EU27"/>
    <x v="28"/>
    <n v="2023"/>
    <x v="12"/>
    <x v="1"/>
    <x v="2"/>
    <m/>
    <m/>
    <n v="0"/>
  </r>
  <r>
    <s v="EU27"/>
    <x v="28"/>
    <n v="2023"/>
    <x v="13"/>
    <x v="0"/>
    <x v="0"/>
    <m/>
    <m/>
    <n v="42486.68753203081"/>
  </r>
  <r>
    <s v="EU27"/>
    <x v="28"/>
    <n v="2023"/>
    <x v="13"/>
    <x v="0"/>
    <x v="1"/>
    <m/>
    <m/>
    <n v="170244.5385217517"/>
  </r>
  <r>
    <s v="EU27"/>
    <x v="28"/>
    <n v="2023"/>
    <x v="13"/>
    <x v="0"/>
    <x v="2"/>
    <m/>
    <m/>
    <n v="212494.5040906207"/>
  </r>
  <r>
    <s v="EU27"/>
    <x v="28"/>
    <n v="2023"/>
    <x v="13"/>
    <x v="1"/>
    <x v="0"/>
    <m/>
    <m/>
    <n v="45768.280760603047"/>
  </r>
  <r>
    <s v="EU27"/>
    <x v="28"/>
    <n v="2023"/>
    <x v="13"/>
    <x v="1"/>
    <x v="1"/>
    <m/>
    <m/>
    <n v="180990.77074396281"/>
  </r>
  <r>
    <s v="EU27"/>
    <x v="28"/>
    <n v="2023"/>
    <x v="13"/>
    <x v="1"/>
    <x v="2"/>
    <m/>
    <m/>
    <n v="226499.4276915183"/>
  </r>
  <r>
    <s v="EU27"/>
    <x v="28"/>
    <n v="2023"/>
    <x v="13"/>
    <x v="2"/>
    <x v="0"/>
    <m/>
    <m/>
    <n v="1241.56078"/>
  </r>
  <r>
    <s v="EU27"/>
    <x v="28"/>
    <n v="2023"/>
    <x v="13"/>
    <x v="2"/>
    <x v="1"/>
    <m/>
    <m/>
    <n v="773.16"/>
  </r>
  <r>
    <s v="EU27"/>
    <x v="28"/>
    <n v="2023"/>
    <x v="13"/>
    <x v="2"/>
    <x v="2"/>
    <m/>
    <m/>
    <n v="17928.320779999998"/>
  </r>
  <r>
    <s v="EU27"/>
    <x v="28"/>
    <n v="2023"/>
    <x v="14"/>
    <x v="0"/>
    <x v="0"/>
    <m/>
    <m/>
    <n v="344045.86634434981"/>
  </r>
  <r>
    <s v="EU27"/>
    <x v="28"/>
    <n v="2023"/>
    <x v="14"/>
    <x v="0"/>
    <x v="2"/>
    <m/>
    <m/>
    <n v="343879.11647229188"/>
  </r>
  <r>
    <s v="EU27"/>
    <x v="28"/>
    <n v="2023"/>
    <x v="14"/>
    <x v="1"/>
    <x v="0"/>
    <m/>
    <m/>
    <n v="363317.213662675"/>
  </r>
  <r>
    <s v="EU27"/>
    <x v="28"/>
    <n v="2023"/>
    <x v="14"/>
    <x v="1"/>
    <x v="2"/>
    <m/>
    <m/>
    <n v="363317.213662675"/>
  </r>
  <r>
    <s v="EU27"/>
    <x v="28"/>
    <n v="2023"/>
    <x v="14"/>
    <x v="2"/>
    <x v="0"/>
    <m/>
    <m/>
    <n v="2093.3640599999999"/>
  </r>
  <r>
    <s v="EU27"/>
    <x v="28"/>
    <n v="2023"/>
    <x v="14"/>
    <x v="2"/>
    <x v="2"/>
    <m/>
    <m/>
    <n v="41222.304060000002"/>
  </r>
  <r>
    <s v="EU27"/>
    <x v="28"/>
    <n v="2023"/>
    <x v="15"/>
    <x v="0"/>
    <x v="2"/>
    <m/>
    <m/>
    <n v="-243920.62397035109"/>
  </r>
  <r>
    <s v="EU27"/>
    <x v="28"/>
    <n v="2023"/>
    <x v="15"/>
    <x v="1"/>
    <x v="2"/>
    <m/>
    <m/>
    <n v="-209044.0320619453"/>
  </r>
  <r>
    <s v="EU27"/>
    <x v="28"/>
    <n v="2023"/>
    <x v="15"/>
    <x v="2"/>
    <x v="2"/>
    <m/>
    <m/>
    <n v="-7313.0125099999996"/>
  </r>
  <r>
    <s v="EU27"/>
    <x v="28"/>
    <n v="2023"/>
    <x v="16"/>
    <x v="0"/>
    <x v="2"/>
    <m/>
    <m/>
    <n v="-282716.9141184435"/>
  </r>
  <r>
    <s v="EU27"/>
    <x v="28"/>
    <n v="2023"/>
    <x v="16"/>
    <x v="1"/>
    <x v="2"/>
    <m/>
    <m/>
    <n v="-260716.13088406791"/>
  </r>
  <r>
    <s v="EU27"/>
    <x v="28"/>
    <n v="2023"/>
    <x v="16"/>
    <x v="2"/>
    <x v="2"/>
    <m/>
    <m/>
    <n v="-14986.28161"/>
  </r>
  <r>
    <s v="EU27"/>
    <x v="28"/>
    <n v="2023"/>
    <x v="17"/>
    <x v="0"/>
    <x v="2"/>
    <m/>
    <m/>
    <n v="20760.187335391529"/>
  </r>
  <r>
    <s v="EU27"/>
    <x v="28"/>
    <n v="2023"/>
    <x v="17"/>
    <x v="1"/>
    <x v="2"/>
    <m/>
    <m/>
    <n v="30210.363847742421"/>
  </r>
  <r>
    <s v="EU27"/>
    <x v="28"/>
    <n v="2023"/>
    <x v="17"/>
    <x v="2"/>
    <x v="2"/>
    <m/>
    <m/>
    <n v="-2119.8760499999999"/>
  </r>
  <r>
    <s v="EU27"/>
    <x v="28"/>
    <n v="2023"/>
    <x v="18"/>
    <x v="0"/>
    <x v="2"/>
    <m/>
    <m/>
    <n v="12161.9389587899"/>
  </r>
  <r>
    <s v="EU27"/>
    <x v="28"/>
    <n v="2023"/>
    <x v="18"/>
    <x v="1"/>
    <x v="2"/>
    <m/>
    <m/>
    <n v="12313.057882856159"/>
  </r>
  <r>
    <s v="EU27"/>
    <x v="28"/>
    <n v="2023"/>
    <x v="18"/>
    <x v="2"/>
    <x v="2"/>
    <m/>
    <m/>
    <n v="6690.2731100000001"/>
  </r>
  <r>
    <s v="EU27"/>
    <x v="28"/>
    <n v="2023"/>
    <x v="19"/>
    <x v="0"/>
    <x v="2"/>
    <m/>
    <m/>
    <n v="11702.45210333547"/>
  </r>
  <r>
    <s v="EU27"/>
    <x v="28"/>
    <n v="2023"/>
    <x v="19"/>
    <x v="1"/>
    <x v="2"/>
    <m/>
    <m/>
    <n v="12982.52950812465"/>
  </r>
  <r>
    <s v="EU27"/>
    <x v="28"/>
    <n v="2023"/>
    <x v="19"/>
    <x v="2"/>
    <x v="2"/>
    <m/>
    <m/>
    <n v="763.40647999999999"/>
  </r>
  <r>
    <s v="EU27"/>
    <x v="28"/>
    <n v="2023"/>
    <x v="20"/>
    <x v="0"/>
    <x v="2"/>
    <m/>
    <m/>
    <n v="28155.401105469082"/>
  </r>
  <r>
    <s v="EU27"/>
    <x v="28"/>
    <n v="2023"/>
    <x v="20"/>
    <x v="1"/>
    <x v="2"/>
    <m/>
    <m/>
    <n v="28585.466790928222"/>
  </r>
  <r>
    <s v="EU27"/>
    <x v="28"/>
    <n v="2023"/>
    <x v="20"/>
    <x v="2"/>
    <x v="2"/>
    <m/>
    <m/>
    <n v="3361.0485800000001"/>
  </r>
  <r>
    <s v="EU27"/>
    <x v="28"/>
    <n v="2023"/>
    <x v="21"/>
    <x v="0"/>
    <x v="2"/>
    <m/>
    <m/>
    <n v="533.01402999999993"/>
  </r>
  <r>
    <s v="EU27"/>
    <x v="28"/>
    <n v="2023"/>
    <x v="21"/>
    <x v="1"/>
    <x v="2"/>
    <m/>
    <m/>
    <n v="335.87402999999989"/>
  </r>
  <r>
    <s v="EU27"/>
    <x v="28"/>
    <n v="2023"/>
    <x v="21"/>
    <x v="2"/>
    <x v="2"/>
    <m/>
    <m/>
    <n v="350.55698999999998"/>
  </r>
  <r>
    <s v="EU27"/>
    <x v="28"/>
    <n v="2023"/>
    <x v="22"/>
    <x v="0"/>
    <x v="2"/>
    <m/>
    <m/>
    <n v="-34106.051102724923"/>
  </r>
  <r>
    <s v="EU27"/>
    <x v="28"/>
    <n v="2023"/>
    <x v="22"/>
    <x v="1"/>
    <x v="2"/>
    <m/>
    <m/>
    <n v="-33160.617352724919"/>
  </r>
  <r>
    <s v="EU27"/>
    <x v="28"/>
    <n v="2023"/>
    <x v="22"/>
    <x v="2"/>
    <x v="2"/>
    <m/>
    <m/>
    <n v="-1372.08"/>
  </r>
  <r>
    <s v="EU27"/>
    <x v="28"/>
    <n v="2023"/>
    <x v="23"/>
    <x v="0"/>
    <x v="2"/>
    <m/>
    <m/>
    <n v="253.85033000000001"/>
  </r>
  <r>
    <s v="EU27"/>
    <x v="28"/>
    <n v="2023"/>
    <x v="23"/>
    <x v="1"/>
    <x v="2"/>
    <m/>
    <m/>
    <n v="253.85033000000001"/>
  </r>
  <r>
    <s v="EU27"/>
    <x v="28"/>
    <n v="2023"/>
    <x v="24"/>
    <x v="0"/>
    <x v="0"/>
    <m/>
    <m/>
    <n v="58418.165292664147"/>
  </r>
  <r>
    <s v="EU27"/>
    <x v="28"/>
    <n v="2023"/>
    <x v="24"/>
    <x v="0"/>
    <x v="1"/>
    <m/>
    <m/>
    <n v="216.07120554307349"/>
  </r>
  <r>
    <s v="EU27"/>
    <x v="28"/>
    <n v="2023"/>
    <x v="24"/>
    <x v="0"/>
    <x v="2"/>
    <m/>
    <m/>
    <n v="58964.410668207231"/>
  </r>
  <r>
    <s v="EU27"/>
    <x v="28"/>
    <n v="2023"/>
    <x v="24"/>
    <x v="1"/>
    <x v="0"/>
    <m/>
    <m/>
    <n v="59518.67169261349"/>
  </r>
  <r>
    <s v="EU27"/>
    <x v="28"/>
    <n v="2023"/>
    <x v="24"/>
    <x v="1"/>
    <x v="1"/>
    <m/>
    <m/>
    <n v="216.07120552181749"/>
  </r>
  <r>
    <s v="EU27"/>
    <x v="28"/>
    <n v="2023"/>
    <x v="24"/>
    <x v="1"/>
    <x v="2"/>
    <m/>
    <m/>
    <n v="59637.166513620483"/>
  </r>
  <r>
    <s v="EU27"/>
    <x v="28"/>
    <n v="2023"/>
    <x v="24"/>
    <x v="2"/>
    <x v="0"/>
    <m/>
    <m/>
    <n v="1731.4232"/>
  </r>
  <r>
    <s v="EU27"/>
    <x v="28"/>
    <n v="2023"/>
    <x v="24"/>
    <x v="2"/>
    <x v="2"/>
    <m/>
    <m/>
    <n v="10065.683199999999"/>
  </r>
  <r>
    <s v="EU27"/>
    <x v="28"/>
    <n v="2023"/>
    <x v="25"/>
    <x v="0"/>
    <x v="0"/>
    <m/>
    <m/>
    <n v="192.08"/>
  </r>
  <r>
    <s v="EU27"/>
    <x v="28"/>
    <n v="2023"/>
    <x v="25"/>
    <x v="0"/>
    <x v="2"/>
    <m/>
    <m/>
    <n v="127773.7289378556"/>
  </r>
  <r>
    <s v="EU27"/>
    <x v="28"/>
    <n v="2023"/>
    <x v="25"/>
    <x v="1"/>
    <x v="0"/>
    <m/>
    <m/>
    <n v="192.08"/>
  </r>
  <r>
    <s v="EU27"/>
    <x v="28"/>
    <n v="2023"/>
    <x v="25"/>
    <x v="1"/>
    <x v="2"/>
    <m/>
    <m/>
    <n v="136765.75155962491"/>
  </r>
  <r>
    <s v="EU27"/>
    <x v="28"/>
    <n v="2023"/>
    <x v="25"/>
    <x v="2"/>
    <x v="2"/>
    <m/>
    <m/>
    <n v="1361.7807700000001"/>
  </r>
  <r>
    <s v="EU27"/>
    <x v="28"/>
    <n v="2023"/>
    <x v="26"/>
    <x v="0"/>
    <x v="0"/>
    <m/>
    <m/>
    <n v="866.18"/>
  </r>
  <r>
    <s v="EU27"/>
    <x v="28"/>
    <n v="2023"/>
    <x v="26"/>
    <x v="0"/>
    <x v="2"/>
    <m/>
    <m/>
    <n v="145430.47946503561"/>
  </r>
  <r>
    <s v="EU27"/>
    <x v="28"/>
    <n v="2023"/>
    <x v="26"/>
    <x v="1"/>
    <x v="0"/>
    <m/>
    <m/>
    <n v="866.18"/>
  </r>
  <r>
    <s v="EU27"/>
    <x v="28"/>
    <n v="2023"/>
    <x v="26"/>
    <x v="1"/>
    <x v="2"/>
    <m/>
    <m/>
    <n v="148050.0086828169"/>
  </r>
  <r>
    <s v="EU27"/>
    <x v="28"/>
    <n v="2023"/>
    <x v="26"/>
    <x v="2"/>
    <x v="2"/>
    <m/>
    <m/>
    <n v="1016.48"/>
  </r>
  <r>
    <s v="EU27"/>
    <x v="28"/>
    <n v="2023"/>
    <x v="27"/>
    <x v="0"/>
    <x v="0"/>
    <m/>
    <m/>
    <n v="717.16980000000001"/>
  </r>
  <r>
    <s v="EU27"/>
    <x v="28"/>
    <n v="2023"/>
    <x v="27"/>
    <x v="0"/>
    <x v="2"/>
    <m/>
    <m/>
    <n v="861.06201573100259"/>
  </r>
  <r>
    <s v="EU27"/>
    <x v="28"/>
    <n v="2023"/>
    <x v="27"/>
    <x v="1"/>
    <x v="0"/>
    <m/>
    <m/>
    <n v="720.56979999999999"/>
  </r>
  <r>
    <s v="EU27"/>
    <x v="28"/>
    <n v="2023"/>
    <x v="27"/>
    <x v="1"/>
    <x v="2"/>
    <m/>
    <m/>
    <n v="864.46979999999996"/>
  </r>
  <r>
    <s v="EU27"/>
    <x v="28"/>
    <n v="2023"/>
    <x v="28"/>
    <x v="0"/>
    <x v="0"/>
    <m/>
    <m/>
    <n v="1230247.3619149979"/>
  </r>
  <r>
    <s v="EU27"/>
    <x v="28"/>
    <n v="2023"/>
    <x v="28"/>
    <x v="0"/>
    <x v="1"/>
    <m/>
    <m/>
    <n v="596988.10144967691"/>
  </r>
  <r>
    <s v="EU27"/>
    <x v="28"/>
    <n v="2023"/>
    <x v="28"/>
    <x v="0"/>
    <x v="2"/>
    <m/>
    <m/>
    <n v="1844456.2797821229"/>
  </r>
  <r>
    <s v="EU27"/>
    <x v="28"/>
    <n v="2023"/>
    <x v="28"/>
    <x v="1"/>
    <x v="0"/>
    <m/>
    <m/>
    <n v="1435850.9959038589"/>
  </r>
  <r>
    <s v="EU27"/>
    <x v="28"/>
    <n v="2023"/>
    <x v="28"/>
    <x v="1"/>
    <x v="1"/>
    <m/>
    <m/>
    <n v="688102.44160083949"/>
  </r>
  <r>
    <s v="EU27"/>
    <x v="28"/>
    <n v="2023"/>
    <x v="28"/>
    <x v="1"/>
    <x v="2"/>
    <m/>
    <m/>
    <n v="2142773.1116958819"/>
  </r>
  <r>
    <s v="EU27"/>
    <x v="28"/>
    <n v="2023"/>
    <x v="28"/>
    <x v="2"/>
    <x v="0"/>
    <m/>
    <m/>
    <n v="17510.497589999999"/>
  </r>
  <r>
    <s v="EU27"/>
    <x v="28"/>
    <n v="2023"/>
    <x v="28"/>
    <x v="2"/>
    <x v="1"/>
    <m/>
    <m/>
    <n v="9665.289850000001"/>
  </r>
  <r>
    <s v="EU27"/>
    <x v="28"/>
    <n v="2023"/>
    <x v="28"/>
    <x v="2"/>
    <x v="2"/>
    <m/>
    <m/>
    <n v="228648.90132"/>
  </r>
  <r>
    <s v="EU27"/>
    <x v="28"/>
    <n v="2023"/>
    <x v="29"/>
    <x v="0"/>
    <x v="0"/>
    <m/>
    <m/>
    <n v="1230247.2619149981"/>
  </r>
  <r>
    <s v="EU27"/>
    <x v="28"/>
    <n v="2023"/>
    <x v="29"/>
    <x v="0"/>
    <x v="1"/>
    <m/>
    <m/>
    <n v="596988.00144967693"/>
  </r>
  <r>
    <s v="EU27"/>
    <x v="28"/>
    <n v="2023"/>
    <x v="29"/>
    <x v="0"/>
    <x v="2"/>
    <m/>
    <m/>
    <n v="1600535.535801772"/>
  </r>
  <r>
    <s v="EU27"/>
    <x v="28"/>
    <n v="2023"/>
    <x v="29"/>
    <x v="1"/>
    <x v="0"/>
    <m/>
    <m/>
    <n v="1435850.8959038591"/>
  </r>
  <r>
    <s v="EU27"/>
    <x v="28"/>
    <n v="2023"/>
    <x v="29"/>
    <x v="1"/>
    <x v="1"/>
    <m/>
    <m/>
    <n v="688102.34160083951"/>
  </r>
  <r>
    <s v="EU27"/>
    <x v="28"/>
    <n v="2023"/>
    <x v="29"/>
    <x v="1"/>
    <x v="2"/>
    <m/>
    <m/>
    <n v="1933729.4091439359"/>
  </r>
  <r>
    <s v="EU27"/>
    <x v="28"/>
    <n v="2023"/>
    <x v="29"/>
    <x v="2"/>
    <x v="0"/>
    <m/>
    <m/>
    <n v="17510.497589999999"/>
  </r>
  <r>
    <s v="EU27"/>
    <x v="28"/>
    <n v="2023"/>
    <x v="29"/>
    <x v="2"/>
    <x v="1"/>
    <m/>
    <m/>
    <n v="9665.289850000001"/>
  </r>
  <r>
    <s v="EU27"/>
    <x v="28"/>
    <n v="2023"/>
    <x v="29"/>
    <x v="2"/>
    <x v="2"/>
    <m/>
    <m/>
    <n v="221650.50881"/>
  </r>
  <r>
    <s v="EU27"/>
    <x v="29"/>
    <n v="2023"/>
    <x v="0"/>
    <x v="0"/>
    <x v="0"/>
    <m/>
    <m/>
    <n v="777288.37682931754"/>
  </r>
  <r>
    <s v="EU27"/>
    <x v="29"/>
    <n v="2023"/>
    <x v="0"/>
    <x v="0"/>
    <x v="1"/>
    <m/>
    <m/>
    <n v="424710.59795950481"/>
  </r>
  <r>
    <s v="EU27"/>
    <x v="29"/>
    <n v="2023"/>
    <x v="0"/>
    <x v="0"/>
    <x v="2"/>
    <m/>
    <m/>
    <n v="1219398.4901402099"/>
  </r>
  <r>
    <s v="EU27"/>
    <x v="29"/>
    <n v="2023"/>
    <x v="0"/>
    <x v="1"/>
    <x v="0"/>
    <m/>
    <m/>
    <n v="957622.71815826779"/>
  </r>
  <r>
    <s v="EU27"/>
    <x v="29"/>
    <n v="2023"/>
    <x v="0"/>
    <x v="1"/>
    <x v="1"/>
    <m/>
    <m/>
    <n v="505718.2616701303"/>
  </r>
  <r>
    <s v="EU27"/>
    <x v="29"/>
    <n v="2023"/>
    <x v="0"/>
    <x v="1"/>
    <x v="2"/>
    <m/>
    <m/>
    <n v="1482639.728295909"/>
  </r>
  <r>
    <s v="EU27"/>
    <x v="29"/>
    <n v="2023"/>
    <x v="0"/>
    <x v="2"/>
    <x v="0"/>
    <m/>
    <m/>
    <n v="12446.522870000001"/>
  </r>
  <r>
    <s v="EU27"/>
    <x v="29"/>
    <n v="2023"/>
    <x v="0"/>
    <x v="2"/>
    <x v="1"/>
    <m/>
    <m/>
    <n v="8913.2284099999997"/>
  </r>
  <r>
    <s v="EU27"/>
    <x v="29"/>
    <n v="2023"/>
    <x v="0"/>
    <x v="2"/>
    <x v="2"/>
    <m/>
    <m/>
    <n v="159838.01613"/>
  </r>
  <r>
    <s v="EU27"/>
    <x v="29"/>
    <n v="2023"/>
    <x v="1"/>
    <x v="0"/>
    <x v="0"/>
    <m/>
    <m/>
    <n v="41802.741465939529"/>
  </r>
  <r>
    <s v="EU27"/>
    <x v="29"/>
    <n v="2023"/>
    <x v="1"/>
    <x v="0"/>
    <x v="1"/>
    <m/>
    <m/>
    <n v="256704.9794468965"/>
  </r>
  <r>
    <s v="EU27"/>
    <x v="29"/>
    <n v="2023"/>
    <x v="1"/>
    <x v="0"/>
    <x v="2"/>
    <m/>
    <m/>
    <n v="298009.82464455022"/>
  </r>
  <r>
    <s v="EU27"/>
    <x v="29"/>
    <n v="2023"/>
    <x v="1"/>
    <x v="1"/>
    <x v="0"/>
    <m/>
    <m/>
    <n v="38478.347435350137"/>
  </r>
  <r>
    <s v="EU27"/>
    <x v="29"/>
    <n v="2023"/>
    <x v="1"/>
    <x v="1"/>
    <x v="1"/>
    <m/>
    <m/>
    <n v="306306.5599527075"/>
  </r>
  <r>
    <s v="EU27"/>
    <x v="29"/>
    <n v="2023"/>
    <x v="1"/>
    <x v="1"/>
    <x v="2"/>
    <m/>
    <m/>
    <n v="344352.25606404548"/>
  </r>
  <r>
    <s v="EU27"/>
    <x v="29"/>
    <n v="2023"/>
    <x v="1"/>
    <x v="2"/>
    <x v="0"/>
    <m/>
    <m/>
    <n v="32.496670000000002"/>
  </r>
  <r>
    <s v="EU27"/>
    <x v="29"/>
    <n v="2023"/>
    <x v="1"/>
    <x v="2"/>
    <x v="1"/>
    <m/>
    <m/>
    <n v="7307.1284100000003"/>
  </r>
  <r>
    <s v="EU27"/>
    <x v="29"/>
    <n v="2023"/>
    <x v="1"/>
    <x v="2"/>
    <x v="2"/>
    <m/>
    <m/>
    <n v="48313.125079999998"/>
  </r>
  <r>
    <s v="EU27"/>
    <x v="29"/>
    <n v="2023"/>
    <x v="2"/>
    <x v="0"/>
    <x v="0"/>
    <m/>
    <m/>
    <n v="93298.29734476305"/>
  </r>
  <r>
    <s v="EU27"/>
    <x v="29"/>
    <n v="2023"/>
    <x v="2"/>
    <x v="0"/>
    <x v="1"/>
    <m/>
    <m/>
    <n v="153928.1955499379"/>
  </r>
  <r>
    <s v="EU27"/>
    <x v="29"/>
    <n v="2023"/>
    <x v="2"/>
    <x v="0"/>
    <x v="2"/>
    <m/>
    <m/>
    <n v="246689.27261746969"/>
  </r>
  <r>
    <s v="EU27"/>
    <x v="29"/>
    <n v="2023"/>
    <x v="2"/>
    <x v="1"/>
    <x v="0"/>
    <m/>
    <m/>
    <n v="101284.99269908731"/>
  </r>
  <r>
    <s v="EU27"/>
    <x v="29"/>
    <n v="2023"/>
    <x v="2"/>
    <x v="1"/>
    <x v="1"/>
    <m/>
    <m/>
    <n v="183153.8777522973"/>
  </r>
  <r>
    <s v="EU27"/>
    <x v="29"/>
    <n v="2023"/>
    <x v="2"/>
    <x v="1"/>
    <x v="2"/>
    <m/>
    <m/>
    <n v="283911.09997638757"/>
  </r>
  <r>
    <s v="EU27"/>
    <x v="29"/>
    <n v="2023"/>
    <x v="2"/>
    <x v="2"/>
    <x v="0"/>
    <m/>
    <m/>
    <n v="1188.04107"/>
  </r>
  <r>
    <s v="EU27"/>
    <x v="29"/>
    <n v="2023"/>
    <x v="2"/>
    <x v="2"/>
    <x v="1"/>
    <m/>
    <m/>
    <n v="1536.2"/>
  </r>
  <r>
    <s v="EU27"/>
    <x v="29"/>
    <n v="2023"/>
    <x v="2"/>
    <x v="2"/>
    <x v="2"/>
    <m/>
    <m/>
    <n v="23603.341069999999"/>
  </r>
  <r>
    <s v="EU27"/>
    <x v="29"/>
    <n v="2023"/>
    <x v="3"/>
    <x v="0"/>
    <x v="0"/>
    <m/>
    <m/>
    <n v="361219.70286000823"/>
  </r>
  <r>
    <s v="EU27"/>
    <x v="29"/>
    <n v="2023"/>
    <x v="3"/>
    <x v="0"/>
    <x v="1"/>
    <m/>
    <m/>
    <n v="3229.9352764688292"/>
  </r>
  <r>
    <s v="EU27"/>
    <x v="29"/>
    <n v="2023"/>
    <x v="3"/>
    <x v="0"/>
    <x v="2"/>
    <m/>
    <m/>
    <n v="382415.13271931908"/>
  </r>
  <r>
    <s v="EU27"/>
    <x v="29"/>
    <n v="2023"/>
    <x v="3"/>
    <x v="1"/>
    <x v="0"/>
    <m/>
    <m/>
    <n v="464790.58871307463"/>
  </r>
  <r>
    <s v="EU27"/>
    <x v="29"/>
    <n v="2023"/>
    <x v="3"/>
    <x v="1"/>
    <x v="1"/>
    <m/>
    <m/>
    <n v="3553.9421353312368"/>
  </r>
  <r>
    <s v="EU27"/>
    <x v="29"/>
    <n v="2023"/>
    <x v="3"/>
    <x v="1"/>
    <x v="2"/>
    <m/>
    <m/>
    <n v="488135.32130545093"/>
  </r>
  <r>
    <s v="EU27"/>
    <x v="29"/>
    <n v="2023"/>
    <x v="3"/>
    <x v="2"/>
    <x v="0"/>
    <m/>
    <m/>
    <n v="9349.8036800000009"/>
  </r>
  <r>
    <s v="EU27"/>
    <x v="29"/>
    <n v="2023"/>
    <x v="3"/>
    <x v="2"/>
    <x v="1"/>
    <m/>
    <m/>
    <n v="0"/>
  </r>
  <r>
    <s v="EU27"/>
    <x v="29"/>
    <n v="2023"/>
    <x v="3"/>
    <x v="2"/>
    <x v="2"/>
    <m/>
    <m/>
    <n v="45867.168530000003"/>
  </r>
  <r>
    <s v="EU27"/>
    <x v="29"/>
    <n v="2023"/>
    <x v="4"/>
    <x v="0"/>
    <x v="0"/>
    <m/>
    <m/>
    <n v="310.48716849402803"/>
  </r>
  <r>
    <s v="EU27"/>
    <x v="29"/>
    <n v="2023"/>
    <x v="4"/>
    <x v="0"/>
    <x v="1"/>
    <m/>
    <m/>
    <n v="0"/>
  </r>
  <r>
    <s v="EU27"/>
    <x v="29"/>
    <n v="2023"/>
    <x v="4"/>
    <x v="0"/>
    <x v="2"/>
    <m/>
    <m/>
    <n v="17846.612274878698"/>
  </r>
  <r>
    <s v="EU27"/>
    <x v="29"/>
    <n v="2023"/>
    <x v="4"/>
    <x v="1"/>
    <x v="0"/>
    <m/>
    <m/>
    <n v="323.88672974130401"/>
  </r>
  <r>
    <s v="EU27"/>
    <x v="29"/>
    <n v="2023"/>
    <x v="4"/>
    <x v="1"/>
    <x v="1"/>
    <m/>
    <m/>
    <n v="0"/>
  </r>
  <r>
    <s v="EU27"/>
    <x v="29"/>
    <n v="2023"/>
    <x v="4"/>
    <x v="1"/>
    <x v="2"/>
    <m/>
    <m/>
    <n v="19633.87360013571"/>
  </r>
  <r>
    <s v="EU27"/>
    <x v="29"/>
    <n v="2023"/>
    <x v="4"/>
    <x v="2"/>
    <x v="0"/>
    <m/>
    <m/>
    <n v="1.3950000000000001E-2"/>
  </r>
  <r>
    <s v="EU27"/>
    <x v="29"/>
    <n v="2023"/>
    <x v="4"/>
    <x v="2"/>
    <x v="2"/>
    <m/>
    <m/>
    <n v="538.37880000000007"/>
  </r>
  <r>
    <s v="EU27"/>
    <x v="29"/>
    <n v="2023"/>
    <x v="5"/>
    <x v="0"/>
    <x v="0"/>
    <m/>
    <m/>
    <n v="340048.13538961671"/>
  </r>
  <r>
    <s v="EU27"/>
    <x v="29"/>
    <n v="2023"/>
    <x v="5"/>
    <x v="0"/>
    <x v="1"/>
    <m/>
    <m/>
    <n v="0"/>
  </r>
  <r>
    <s v="EU27"/>
    <x v="29"/>
    <n v="2023"/>
    <x v="5"/>
    <x v="0"/>
    <x v="2"/>
    <m/>
    <m/>
    <n v="340388.65161560959"/>
  </r>
  <r>
    <s v="EU27"/>
    <x v="29"/>
    <n v="2023"/>
    <x v="5"/>
    <x v="1"/>
    <x v="0"/>
    <m/>
    <m/>
    <n v="441152.11996665812"/>
  </r>
  <r>
    <s v="EU27"/>
    <x v="29"/>
    <n v="2023"/>
    <x v="5"/>
    <x v="1"/>
    <x v="1"/>
    <m/>
    <m/>
    <n v="0"/>
  </r>
  <r>
    <s v="EU27"/>
    <x v="29"/>
    <n v="2023"/>
    <x v="5"/>
    <x v="1"/>
    <x v="2"/>
    <m/>
    <m/>
    <n v="441596.16895848571"/>
  </r>
  <r>
    <s v="EU27"/>
    <x v="29"/>
    <n v="2023"/>
    <x v="5"/>
    <x v="2"/>
    <x v="0"/>
    <m/>
    <m/>
    <n v="9241.70154"/>
  </r>
  <r>
    <s v="EU27"/>
    <x v="29"/>
    <n v="2023"/>
    <x v="5"/>
    <x v="2"/>
    <x v="2"/>
    <m/>
    <m/>
    <n v="42750.701540000002"/>
  </r>
  <r>
    <s v="EU27"/>
    <x v="29"/>
    <n v="2023"/>
    <x v="6"/>
    <x v="0"/>
    <x v="0"/>
    <m/>
    <m/>
    <n v="3007.397502621925"/>
  </r>
  <r>
    <s v="EU27"/>
    <x v="29"/>
    <n v="2023"/>
    <x v="6"/>
    <x v="0"/>
    <x v="1"/>
    <m/>
    <m/>
    <n v="0"/>
  </r>
  <r>
    <s v="EU27"/>
    <x v="29"/>
    <n v="2023"/>
    <x v="6"/>
    <x v="0"/>
    <x v="2"/>
    <m/>
    <m/>
    <n v="3008.8516646639991"/>
  </r>
  <r>
    <s v="EU27"/>
    <x v="29"/>
    <n v="2023"/>
    <x v="6"/>
    <x v="1"/>
    <x v="0"/>
    <m/>
    <m/>
    <n v="4569.9997127237893"/>
  </r>
  <r>
    <s v="EU27"/>
    <x v="29"/>
    <n v="2023"/>
    <x v="6"/>
    <x v="1"/>
    <x v="1"/>
    <m/>
    <m/>
    <n v="0"/>
  </r>
  <r>
    <s v="EU27"/>
    <x v="29"/>
    <n v="2023"/>
    <x v="6"/>
    <x v="1"/>
    <x v="2"/>
    <m/>
    <m/>
    <n v="4571.4497680624054"/>
  </r>
  <r>
    <s v="EU27"/>
    <x v="29"/>
    <n v="2023"/>
    <x v="6"/>
    <x v="2"/>
    <x v="0"/>
    <m/>
    <m/>
    <n v="45.7"/>
  </r>
  <r>
    <s v="EU27"/>
    <x v="29"/>
    <n v="2023"/>
    <x v="6"/>
    <x v="2"/>
    <x v="2"/>
    <m/>
    <m/>
    <n v="1729.1"/>
  </r>
  <r>
    <s v="EU27"/>
    <x v="29"/>
    <n v="2023"/>
    <x v="7"/>
    <x v="0"/>
    <x v="0"/>
    <m/>
    <m/>
    <n v="16699.29493921539"/>
  </r>
  <r>
    <s v="EU27"/>
    <x v="29"/>
    <n v="2023"/>
    <x v="7"/>
    <x v="0"/>
    <x v="1"/>
    <m/>
    <m/>
    <n v="0"/>
  </r>
  <r>
    <s v="EU27"/>
    <x v="29"/>
    <n v="2023"/>
    <x v="7"/>
    <x v="0"/>
    <x v="2"/>
    <m/>
    <m/>
    <n v="16721.266962091198"/>
  </r>
  <r>
    <s v="EU27"/>
    <x v="29"/>
    <n v="2023"/>
    <x v="7"/>
    <x v="1"/>
    <x v="0"/>
    <m/>
    <m/>
    <n v="17207.857433448069"/>
  </r>
  <r>
    <s v="EU27"/>
    <x v="29"/>
    <n v="2023"/>
    <x v="7"/>
    <x v="1"/>
    <x v="1"/>
    <m/>
    <m/>
    <n v="0"/>
  </r>
  <r>
    <s v="EU27"/>
    <x v="29"/>
    <n v="2023"/>
    <x v="7"/>
    <x v="1"/>
    <x v="2"/>
    <m/>
    <m/>
    <n v="17229.553244448081"/>
  </r>
  <r>
    <s v="EU27"/>
    <x v="29"/>
    <n v="2023"/>
    <x v="7"/>
    <x v="2"/>
    <x v="0"/>
    <m/>
    <m/>
    <n v="55.088189999999997"/>
  </r>
  <r>
    <s v="EU27"/>
    <x v="29"/>
    <n v="2023"/>
    <x v="7"/>
    <x v="2"/>
    <x v="2"/>
    <m/>
    <m/>
    <n v="520.18819000000008"/>
  </r>
  <r>
    <s v="EU27"/>
    <x v="29"/>
    <n v="2023"/>
    <x v="8"/>
    <x v="0"/>
    <x v="0"/>
    <m/>
    <m/>
    <n v="1172.7448300601261"/>
  </r>
  <r>
    <s v="EU27"/>
    <x v="29"/>
    <n v="2023"/>
    <x v="8"/>
    <x v="0"/>
    <x v="1"/>
    <m/>
    <m/>
    <n v="3295.5667620154591"/>
  </r>
  <r>
    <s v="EU27"/>
    <x v="29"/>
    <n v="2023"/>
    <x v="8"/>
    <x v="0"/>
    <x v="2"/>
    <m/>
    <m/>
    <n v="4468.3116020755851"/>
  </r>
  <r>
    <s v="EU27"/>
    <x v="29"/>
    <n v="2023"/>
    <x v="8"/>
    <x v="1"/>
    <x v="0"/>
    <m/>
    <m/>
    <n v="1555.222070503336"/>
  </r>
  <r>
    <s v="EU27"/>
    <x v="29"/>
    <n v="2023"/>
    <x v="8"/>
    <x v="1"/>
    <x v="1"/>
    <m/>
    <m/>
    <n v="3567.7150938156801"/>
  </r>
  <r>
    <s v="EU27"/>
    <x v="29"/>
    <n v="2023"/>
    <x v="8"/>
    <x v="1"/>
    <x v="2"/>
    <m/>
    <m/>
    <n v="5122.9371543190146"/>
  </r>
  <r>
    <s v="EU27"/>
    <x v="29"/>
    <n v="2023"/>
    <x v="8"/>
    <x v="2"/>
    <x v="0"/>
    <m/>
    <m/>
    <n v="7.2"/>
  </r>
  <r>
    <s v="EU27"/>
    <x v="29"/>
    <n v="2023"/>
    <x v="8"/>
    <x v="2"/>
    <x v="2"/>
    <m/>
    <m/>
    <n v="328.7"/>
  </r>
  <r>
    <s v="EU27"/>
    <x v="29"/>
    <n v="2023"/>
    <x v="9"/>
    <x v="0"/>
    <x v="0"/>
    <m/>
    <m/>
    <n v="237249.6708669044"/>
  </r>
  <r>
    <s v="EU27"/>
    <x v="29"/>
    <n v="2023"/>
    <x v="9"/>
    <x v="0"/>
    <x v="1"/>
    <m/>
    <m/>
    <n v="892.75995484668647"/>
  </r>
  <r>
    <s v="EU27"/>
    <x v="29"/>
    <n v="2023"/>
    <x v="9"/>
    <x v="0"/>
    <x v="2"/>
    <m/>
    <m/>
    <n v="238608.18248686209"/>
  </r>
  <r>
    <s v="EU27"/>
    <x v="29"/>
    <n v="2023"/>
    <x v="9"/>
    <x v="1"/>
    <x v="0"/>
    <m/>
    <m/>
    <n v="306981.11231292109"/>
  </r>
  <r>
    <s v="EU27"/>
    <x v="29"/>
    <n v="2023"/>
    <x v="9"/>
    <x v="1"/>
    <x v="1"/>
    <m/>
    <m/>
    <n v="1045.374933307113"/>
  </r>
  <r>
    <s v="EU27"/>
    <x v="29"/>
    <n v="2023"/>
    <x v="9"/>
    <x v="1"/>
    <x v="2"/>
    <m/>
    <m/>
    <n v="308491.68400998082"/>
  </r>
  <r>
    <s v="EU27"/>
    <x v="29"/>
    <n v="2023"/>
    <x v="9"/>
    <x v="2"/>
    <x v="0"/>
    <m/>
    <m/>
    <n v="1439.18145"/>
  </r>
  <r>
    <s v="EU27"/>
    <x v="29"/>
    <n v="2023"/>
    <x v="9"/>
    <x v="2"/>
    <x v="2"/>
    <m/>
    <m/>
    <n v="22129.581450000001"/>
  </r>
  <r>
    <s v="EU27"/>
    <x v="29"/>
    <n v="2023"/>
    <x v="10"/>
    <x v="0"/>
    <x v="0"/>
    <m/>
    <m/>
    <n v="3525.4982759996601"/>
  </r>
  <r>
    <s v="EU27"/>
    <x v="29"/>
    <n v="2023"/>
    <x v="10"/>
    <x v="0"/>
    <x v="1"/>
    <m/>
    <m/>
    <n v="0"/>
  </r>
  <r>
    <s v="EU27"/>
    <x v="29"/>
    <n v="2023"/>
    <x v="10"/>
    <x v="0"/>
    <x v="2"/>
    <m/>
    <m/>
    <n v="3529.0913500436959"/>
  </r>
  <r>
    <s v="EU27"/>
    <x v="29"/>
    <n v="2023"/>
    <x v="10"/>
    <x v="1"/>
    <x v="0"/>
    <m/>
    <m/>
    <n v="3526.6223559996588"/>
  </r>
  <r>
    <s v="EU27"/>
    <x v="29"/>
    <n v="2023"/>
    <x v="10"/>
    <x v="1"/>
    <x v="1"/>
    <m/>
    <m/>
    <n v="0"/>
  </r>
  <r>
    <s v="EU27"/>
    <x v="29"/>
    <n v="2023"/>
    <x v="10"/>
    <x v="1"/>
    <x v="2"/>
    <m/>
    <m/>
    <n v="3530.215430043696"/>
  </r>
  <r>
    <s v="EU27"/>
    <x v="29"/>
    <n v="2023"/>
    <x v="10"/>
    <x v="2"/>
    <x v="0"/>
    <m/>
    <m/>
    <n v="4.0999999999999996"/>
  </r>
  <r>
    <s v="EU27"/>
    <x v="29"/>
    <n v="2023"/>
    <x v="10"/>
    <x v="2"/>
    <x v="2"/>
    <m/>
    <m/>
    <n v="1246.2"/>
  </r>
  <r>
    <s v="EU27"/>
    <x v="29"/>
    <n v="2023"/>
    <x v="11"/>
    <x v="0"/>
    <x v="0"/>
    <m/>
    <m/>
    <n v="40253.866015702821"/>
  </r>
  <r>
    <s v="EU27"/>
    <x v="29"/>
    <n v="2023"/>
    <x v="11"/>
    <x v="0"/>
    <x v="1"/>
    <m/>
    <m/>
    <n v="9973.5277413548356"/>
  </r>
  <r>
    <s v="EU27"/>
    <x v="29"/>
    <n v="2023"/>
    <x v="11"/>
    <x v="0"/>
    <x v="2"/>
    <m/>
    <m/>
    <n v="50208.286341965089"/>
  </r>
  <r>
    <s v="EU27"/>
    <x v="29"/>
    <n v="2023"/>
    <x v="11"/>
    <x v="1"/>
    <x v="0"/>
    <m/>
    <m/>
    <n v="42621.754621835033"/>
  </r>
  <r>
    <s v="EU27"/>
    <x v="29"/>
    <n v="2023"/>
    <x v="11"/>
    <x v="1"/>
    <x v="1"/>
    <m/>
    <m/>
    <n v="11658.30689816497"/>
  </r>
  <r>
    <s v="EU27"/>
    <x v="29"/>
    <n v="2023"/>
    <x v="11"/>
    <x v="1"/>
    <x v="2"/>
    <m/>
    <m/>
    <n v="54280.151519999999"/>
  </r>
  <r>
    <s v="EU27"/>
    <x v="29"/>
    <n v="2023"/>
    <x v="11"/>
    <x v="2"/>
    <x v="0"/>
    <m/>
    <m/>
    <n v="432.8"/>
  </r>
  <r>
    <s v="EU27"/>
    <x v="29"/>
    <n v="2023"/>
    <x v="11"/>
    <x v="2"/>
    <x v="1"/>
    <m/>
    <m/>
    <n v="69.900000000000006"/>
  </r>
  <r>
    <s v="EU27"/>
    <x v="29"/>
    <n v="2023"/>
    <x v="11"/>
    <x v="2"/>
    <x v="2"/>
    <m/>
    <m/>
    <n v="18678.400000000001"/>
  </r>
  <r>
    <s v="EU27"/>
    <x v="29"/>
    <n v="2023"/>
    <x v="12"/>
    <x v="0"/>
    <x v="0"/>
    <m/>
    <m/>
    <n v="0"/>
  </r>
  <r>
    <s v="EU27"/>
    <x v="29"/>
    <n v="2023"/>
    <x v="12"/>
    <x v="0"/>
    <x v="1"/>
    <m/>
    <m/>
    <n v="0"/>
  </r>
  <r>
    <s v="EU27"/>
    <x v="29"/>
    <n v="2023"/>
    <x v="12"/>
    <x v="0"/>
    <x v="2"/>
    <m/>
    <m/>
    <n v="0"/>
  </r>
  <r>
    <s v="EU27"/>
    <x v="29"/>
    <n v="2023"/>
    <x v="12"/>
    <x v="1"/>
    <x v="0"/>
    <m/>
    <m/>
    <n v="0"/>
  </r>
  <r>
    <s v="EU27"/>
    <x v="29"/>
    <n v="2023"/>
    <x v="12"/>
    <x v="1"/>
    <x v="1"/>
    <m/>
    <m/>
    <n v="0"/>
  </r>
  <r>
    <s v="EU27"/>
    <x v="29"/>
    <n v="2023"/>
    <x v="12"/>
    <x v="1"/>
    <x v="2"/>
    <m/>
    <m/>
    <n v="0"/>
  </r>
  <r>
    <s v="EU27"/>
    <x v="29"/>
    <n v="2023"/>
    <x v="13"/>
    <x v="0"/>
    <x v="0"/>
    <m/>
    <m/>
    <n v="41901.129863391507"/>
  </r>
  <r>
    <s v="EU27"/>
    <x v="29"/>
    <n v="2023"/>
    <x v="13"/>
    <x v="0"/>
    <x v="1"/>
    <m/>
    <m/>
    <n v="170508.50454439389"/>
  </r>
  <r>
    <s v="EU27"/>
    <x v="29"/>
    <n v="2023"/>
    <x v="13"/>
    <x v="0"/>
    <x v="2"/>
    <m/>
    <m/>
    <n v="212173.23018361491"/>
  </r>
  <r>
    <s v="EU27"/>
    <x v="29"/>
    <n v="2023"/>
    <x v="13"/>
    <x v="1"/>
    <x v="0"/>
    <m/>
    <m/>
    <n v="45247.749231461901"/>
  </r>
  <r>
    <s v="EU27"/>
    <x v="29"/>
    <n v="2023"/>
    <x v="13"/>
    <x v="1"/>
    <x v="1"/>
    <m/>
    <m/>
    <n v="181419.78591896489"/>
  </r>
  <r>
    <s v="EU27"/>
    <x v="29"/>
    <n v="2023"/>
    <x v="13"/>
    <x v="1"/>
    <x v="2"/>
    <m/>
    <m/>
    <n v="226407.80793489749"/>
  </r>
  <r>
    <s v="EU27"/>
    <x v="29"/>
    <n v="2023"/>
    <x v="13"/>
    <x v="2"/>
    <x v="0"/>
    <m/>
    <m/>
    <n v="1247.4186199999999"/>
  </r>
  <r>
    <s v="EU27"/>
    <x v="29"/>
    <n v="2023"/>
    <x v="13"/>
    <x v="2"/>
    <x v="1"/>
    <m/>
    <m/>
    <n v="774.6"/>
  </r>
  <r>
    <s v="EU27"/>
    <x v="29"/>
    <n v="2023"/>
    <x v="13"/>
    <x v="2"/>
    <x v="2"/>
    <m/>
    <m/>
    <n v="18009.818619999998"/>
  </r>
  <r>
    <s v="EU27"/>
    <x v="29"/>
    <n v="2023"/>
    <x v="14"/>
    <x v="0"/>
    <x v="0"/>
    <m/>
    <m/>
    <n v="343391.39607149758"/>
  </r>
  <r>
    <s v="EU27"/>
    <x v="29"/>
    <n v="2023"/>
    <x v="14"/>
    <x v="0"/>
    <x v="2"/>
    <m/>
    <m/>
    <n v="343224.91901366599"/>
  </r>
  <r>
    <s v="EU27"/>
    <x v="29"/>
    <n v="2023"/>
    <x v="14"/>
    <x v="1"/>
    <x v="0"/>
    <m/>
    <m/>
    <n v="362921.06127060141"/>
  </r>
  <r>
    <s v="EU27"/>
    <x v="29"/>
    <n v="2023"/>
    <x v="14"/>
    <x v="1"/>
    <x v="2"/>
    <m/>
    <m/>
    <n v="362921.06127060141"/>
  </r>
  <r>
    <s v="EU27"/>
    <x v="29"/>
    <n v="2023"/>
    <x v="14"/>
    <x v="2"/>
    <x v="0"/>
    <m/>
    <m/>
    <n v="2096.13744"/>
  </r>
  <r>
    <s v="EU27"/>
    <x v="29"/>
    <n v="2023"/>
    <x v="14"/>
    <x v="2"/>
    <x v="2"/>
    <m/>
    <m/>
    <n v="41854.237439999997"/>
  </r>
  <r>
    <s v="EU27"/>
    <x v="29"/>
    <n v="2023"/>
    <x v="15"/>
    <x v="0"/>
    <x v="2"/>
    <m/>
    <m/>
    <n v="-244475.98638542299"/>
  </r>
  <r>
    <s v="EU27"/>
    <x v="29"/>
    <n v="2023"/>
    <x v="15"/>
    <x v="1"/>
    <x v="2"/>
    <m/>
    <m/>
    <n v="-208698.25356812411"/>
  </r>
  <r>
    <s v="EU27"/>
    <x v="29"/>
    <n v="2023"/>
    <x v="15"/>
    <x v="2"/>
    <x v="2"/>
    <m/>
    <m/>
    <n v="-6660.4924700000001"/>
  </r>
  <r>
    <s v="EU27"/>
    <x v="29"/>
    <n v="2023"/>
    <x v="16"/>
    <x v="0"/>
    <x v="2"/>
    <m/>
    <m/>
    <n v="-283049.42513651139"/>
  </r>
  <r>
    <s v="EU27"/>
    <x v="29"/>
    <n v="2023"/>
    <x v="16"/>
    <x v="1"/>
    <x v="2"/>
    <m/>
    <m/>
    <n v="-260868.62871586269"/>
  </r>
  <r>
    <s v="EU27"/>
    <x v="29"/>
    <n v="2023"/>
    <x v="16"/>
    <x v="2"/>
    <x v="2"/>
    <m/>
    <m/>
    <n v="-14710.12161"/>
  </r>
  <r>
    <s v="EU27"/>
    <x v="29"/>
    <n v="2023"/>
    <x v="17"/>
    <x v="0"/>
    <x v="2"/>
    <m/>
    <m/>
    <n v="20390.841077722878"/>
  </r>
  <r>
    <s v="EU27"/>
    <x v="29"/>
    <n v="2023"/>
    <x v="17"/>
    <x v="1"/>
    <x v="2"/>
    <m/>
    <m/>
    <n v="30453.13866975969"/>
  </r>
  <r>
    <s v="EU27"/>
    <x v="29"/>
    <n v="2023"/>
    <x v="17"/>
    <x v="2"/>
    <x v="2"/>
    <m/>
    <m/>
    <n v="-2108.5160599999999"/>
  </r>
  <r>
    <s v="EU27"/>
    <x v="29"/>
    <n v="2023"/>
    <x v="18"/>
    <x v="0"/>
    <x v="2"/>
    <m/>
    <m/>
    <n v="12346.72893432411"/>
  </r>
  <r>
    <s v="EU27"/>
    <x v="29"/>
    <n v="2023"/>
    <x v="18"/>
    <x v="1"/>
    <x v="2"/>
    <m/>
    <m/>
    <n v="12592.048788782"/>
  </r>
  <r>
    <s v="EU27"/>
    <x v="29"/>
    <n v="2023"/>
    <x v="18"/>
    <x v="2"/>
    <x v="2"/>
    <m/>
    <m/>
    <n v="6976.9131199999993"/>
  </r>
  <r>
    <s v="EU27"/>
    <x v="29"/>
    <n v="2023"/>
    <x v="19"/>
    <x v="0"/>
    <x v="2"/>
    <m/>
    <m/>
    <n v="11712.725647122101"/>
  </r>
  <r>
    <s v="EU27"/>
    <x v="29"/>
    <n v="2023"/>
    <x v="19"/>
    <x v="1"/>
    <x v="2"/>
    <m/>
    <m/>
    <n v="12993.140681997729"/>
  </r>
  <r>
    <s v="EU27"/>
    <x v="29"/>
    <n v="2023"/>
    <x v="19"/>
    <x v="2"/>
    <x v="2"/>
    <m/>
    <m/>
    <n v="763.18648000000007"/>
  </r>
  <r>
    <s v="EU27"/>
    <x v="29"/>
    <n v="2023"/>
    <x v="20"/>
    <x v="0"/>
    <x v="2"/>
    <m/>
    <m/>
    <n v="28028.566087584779"/>
  </r>
  <r>
    <s v="EU27"/>
    <x v="29"/>
    <n v="2023"/>
    <x v="20"/>
    <x v="1"/>
    <x v="2"/>
    <m/>
    <m/>
    <n v="28656.659571313299"/>
  </r>
  <r>
    <s v="EU27"/>
    <x v="29"/>
    <n v="2023"/>
    <x v="20"/>
    <x v="2"/>
    <x v="2"/>
    <m/>
    <m/>
    <n v="3387.6686199999999"/>
  </r>
  <r>
    <s v="EU27"/>
    <x v="29"/>
    <n v="2023"/>
    <x v="21"/>
    <x v="0"/>
    <x v="2"/>
    <m/>
    <m/>
    <n v="540.45402999999999"/>
  </r>
  <r>
    <s v="EU27"/>
    <x v="29"/>
    <n v="2023"/>
    <x v="21"/>
    <x v="1"/>
    <x v="2"/>
    <m/>
    <m/>
    <n v="336.65402999999992"/>
  </r>
  <r>
    <s v="EU27"/>
    <x v="29"/>
    <n v="2023"/>
    <x v="21"/>
    <x v="2"/>
    <x v="2"/>
    <m/>
    <m/>
    <n v="356.77697999999998"/>
  </r>
  <r>
    <s v="EU27"/>
    <x v="29"/>
    <n v="2023"/>
    <x v="22"/>
    <x v="0"/>
    <x v="2"/>
    <m/>
    <m/>
    <n v="-34062.922566734203"/>
  </r>
  <r>
    <s v="EU27"/>
    <x v="29"/>
    <n v="2023"/>
    <x v="22"/>
    <x v="1"/>
    <x v="2"/>
    <m/>
    <m/>
    <n v="-33109.239686734203"/>
  </r>
  <r>
    <s v="EU27"/>
    <x v="29"/>
    <n v="2023"/>
    <x v="22"/>
    <x v="2"/>
    <x v="2"/>
    <m/>
    <m/>
    <n v="-1326.3"/>
  </r>
  <r>
    <s v="EU27"/>
    <x v="29"/>
    <n v="2023"/>
    <x v="23"/>
    <x v="0"/>
    <x v="2"/>
    <m/>
    <m/>
    <n v="253.85033000000001"/>
  </r>
  <r>
    <s v="EU27"/>
    <x v="29"/>
    <n v="2023"/>
    <x v="23"/>
    <x v="1"/>
    <x v="2"/>
    <m/>
    <m/>
    <n v="253.85033000000001"/>
  </r>
  <r>
    <s v="EU27"/>
    <x v="29"/>
    <n v="2023"/>
    <x v="24"/>
    <x v="0"/>
    <x v="0"/>
    <m/>
    <m/>
    <n v="57493.116236063608"/>
  </r>
  <r>
    <s v="EU27"/>
    <x v="29"/>
    <n v="2023"/>
    <x v="24"/>
    <x v="0"/>
    <x v="1"/>
    <m/>
    <m/>
    <n v="214.00682342497731"/>
  </r>
  <r>
    <s v="EU27"/>
    <x v="29"/>
    <n v="2023"/>
    <x v="24"/>
    <x v="0"/>
    <x v="2"/>
    <m/>
    <m/>
    <n v="58076.529229488588"/>
  </r>
  <r>
    <s v="EU27"/>
    <x v="29"/>
    <n v="2023"/>
    <x v="24"/>
    <x v="1"/>
    <x v="0"/>
    <m/>
    <m/>
    <n v="58599.33808601059"/>
  </r>
  <r>
    <s v="EU27"/>
    <x v="29"/>
    <n v="2023"/>
    <x v="24"/>
    <x v="1"/>
    <x v="1"/>
    <m/>
    <m/>
    <n v="214.0068234027315"/>
  </r>
  <r>
    <s v="EU27"/>
    <x v="29"/>
    <n v="2023"/>
    <x v="24"/>
    <x v="1"/>
    <x v="2"/>
    <m/>
    <m/>
    <n v="58716.700786756097"/>
  </r>
  <r>
    <s v="EU27"/>
    <x v="29"/>
    <n v="2023"/>
    <x v="24"/>
    <x v="2"/>
    <x v="0"/>
    <m/>
    <m/>
    <n v="1737.2189100000001"/>
  </r>
  <r>
    <s v="EU27"/>
    <x v="29"/>
    <n v="2023"/>
    <x v="24"/>
    <x v="2"/>
    <x v="2"/>
    <m/>
    <m/>
    <n v="10045.018910000001"/>
  </r>
  <r>
    <s v="EU27"/>
    <x v="29"/>
    <n v="2023"/>
    <x v="25"/>
    <x v="0"/>
    <x v="0"/>
    <m/>
    <m/>
    <n v="195.3"/>
  </r>
  <r>
    <s v="EU27"/>
    <x v="29"/>
    <n v="2023"/>
    <x v="25"/>
    <x v="0"/>
    <x v="2"/>
    <m/>
    <m/>
    <n v="127857.4773248875"/>
  </r>
  <r>
    <s v="EU27"/>
    <x v="29"/>
    <n v="2023"/>
    <x v="25"/>
    <x v="1"/>
    <x v="0"/>
    <m/>
    <m/>
    <n v="195.3"/>
  </r>
  <r>
    <s v="EU27"/>
    <x v="29"/>
    <n v="2023"/>
    <x v="25"/>
    <x v="1"/>
    <x v="2"/>
    <m/>
    <m/>
    <n v="137306.550510817"/>
  </r>
  <r>
    <s v="EU27"/>
    <x v="29"/>
    <n v="2023"/>
    <x v="25"/>
    <x v="2"/>
    <x v="2"/>
    <m/>
    <m/>
    <n v="1368.1167499999999"/>
  </r>
  <r>
    <s v="EU27"/>
    <x v="29"/>
    <n v="2023"/>
    <x v="26"/>
    <x v="0"/>
    <x v="0"/>
    <m/>
    <m/>
    <n v="868.6"/>
  </r>
  <r>
    <s v="EU27"/>
    <x v="29"/>
    <n v="2023"/>
    <x v="26"/>
    <x v="0"/>
    <x v="2"/>
    <m/>
    <m/>
    <n v="146099.6068483603"/>
  </r>
  <r>
    <s v="EU27"/>
    <x v="29"/>
    <n v="2023"/>
    <x v="26"/>
    <x v="1"/>
    <x v="0"/>
    <m/>
    <m/>
    <n v="868.6"/>
  </r>
  <r>
    <s v="EU27"/>
    <x v="29"/>
    <n v="2023"/>
    <x v="26"/>
    <x v="1"/>
    <x v="2"/>
    <m/>
    <m/>
    <n v="148758.95217209891"/>
  </r>
  <r>
    <s v="EU27"/>
    <x v="29"/>
    <n v="2023"/>
    <x v="26"/>
    <x v="2"/>
    <x v="2"/>
    <m/>
    <m/>
    <n v="1018.9"/>
  </r>
  <r>
    <s v="EU27"/>
    <x v="29"/>
    <n v="2023"/>
    <x v="27"/>
    <x v="0"/>
    <x v="0"/>
    <m/>
    <m/>
    <n v="721.26980000000003"/>
  </r>
  <r>
    <s v="EU27"/>
    <x v="29"/>
    <n v="2023"/>
    <x v="27"/>
    <x v="0"/>
    <x v="2"/>
    <m/>
    <m/>
    <n v="865.16195166294494"/>
  </r>
  <r>
    <s v="EU27"/>
    <x v="29"/>
    <n v="2023"/>
    <x v="27"/>
    <x v="1"/>
    <x v="0"/>
    <m/>
    <m/>
    <n v="724.36980000000005"/>
  </r>
  <r>
    <s v="EU27"/>
    <x v="29"/>
    <n v="2023"/>
    <x v="27"/>
    <x v="1"/>
    <x v="2"/>
    <m/>
    <m/>
    <n v="868.26980000000003"/>
  </r>
  <r>
    <s v="EU27"/>
    <x v="29"/>
    <n v="2023"/>
    <x v="28"/>
    <x v="0"/>
    <x v="0"/>
    <m/>
    <m/>
    <n v="1220483.94581027"/>
  </r>
  <r>
    <s v="EU27"/>
    <x v="29"/>
    <n v="2023"/>
    <x v="28"/>
    <x v="0"/>
    <x v="1"/>
    <m/>
    <m/>
    <n v="595432.90929732367"/>
  </r>
  <r>
    <s v="EU27"/>
    <x v="29"/>
    <n v="2023"/>
    <x v="28"/>
    <x v="0"/>
    <x v="2"/>
    <m/>
    <m/>
    <n v="1833283.3953769789"/>
  </r>
  <r>
    <s v="EU27"/>
    <x v="29"/>
    <n v="2023"/>
    <x v="28"/>
    <x v="1"/>
    <x v="0"/>
    <m/>
    <m/>
    <n v="1425114.7365263421"/>
  </r>
  <r>
    <s v="EU27"/>
    <x v="29"/>
    <n v="2023"/>
    <x v="28"/>
    <x v="1"/>
    <x v="1"/>
    <m/>
    <m/>
    <n v="687352.05440249795"/>
  </r>
  <r>
    <s v="EU27"/>
    <x v="29"/>
    <n v="2023"/>
    <x v="28"/>
    <x v="1"/>
    <x v="2"/>
    <m/>
    <m/>
    <n v="2131409.886268164"/>
  </r>
  <r>
    <s v="EU27"/>
    <x v="29"/>
    <n v="2023"/>
    <x v="28"/>
    <x v="2"/>
    <x v="0"/>
    <m/>
    <m/>
    <n v="17527.19785"/>
  </r>
  <r>
    <s v="EU27"/>
    <x v="29"/>
    <n v="2023"/>
    <x v="28"/>
    <x v="2"/>
    <x v="1"/>
    <m/>
    <m/>
    <n v="9687.8284100000001"/>
  </r>
  <r>
    <s v="EU27"/>
    <x v="29"/>
    <n v="2023"/>
    <x v="28"/>
    <x v="2"/>
    <x v="2"/>
    <m/>
    <m/>
    <n v="229746.99111"/>
  </r>
  <r>
    <s v="EU27"/>
    <x v="29"/>
    <n v="2023"/>
    <x v="29"/>
    <x v="0"/>
    <x v="0"/>
    <m/>
    <m/>
    <n v="1220483.94581027"/>
  </r>
  <r>
    <s v="EU27"/>
    <x v="29"/>
    <n v="2023"/>
    <x v="29"/>
    <x v="0"/>
    <x v="1"/>
    <m/>
    <m/>
    <n v="595432.90929732367"/>
  </r>
  <r>
    <s v="EU27"/>
    <x v="29"/>
    <n v="2023"/>
    <x v="29"/>
    <x v="0"/>
    <x v="2"/>
    <m/>
    <m/>
    <n v="1588807.2089815559"/>
  </r>
  <r>
    <s v="EU27"/>
    <x v="29"/>
    <n v="2023"/>
    <x v="29"/>
    <x v="1"/>
    <x v="0"/>
    <m/>
    <m/>
    <n v="1425114.7365263421"/>
  </r>
  <r>
    <s v="EU27"/>
    <x v="29"/>
    <n v="2023"/>
    <x v="29"/>
    <x v="1"/>
    <x v="1"/>
    <m/>
    <m/>
    <n v="687352.05440249795"/>
  </r>
  <r>
    <s v="EU27"/>
    <x v="29"/>
    <n v="2023"/>
    <x v="29"/>
    <x v="1"/>
    <x v="2"/>
    <m/>
    <m/>
    <n v="1922711.314530039"/>
  </r>
  <r>
    <s v="EU27"/>
    <x v="29"/>
    <n v="2023"/>
    <x v="29"/>
    <x v="2"/>
    <x v="0"/>
    <m/>
    <m/>
    <n v="17527.19785"/>
  </r>
  <r>
    <s v="EU27"/>
    <x v="29"/>
    <n v="2023"/>
    <x v="29"/>
    <x v="2"/>
    <x v="1"/>
    <m/>
    <m/>
    <n v="9687.8284100000001"/>
  </r>
  <r>
    <s v="EU27"/>
    <x v="29"/>
    <n v="2023"/>
    <x v="29"/>
    <x v="2"/>
    <x v="2"/>
    <m/>
    <m/>
    <n v="223401.39864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6BA916-DE95-4F83-8B9A-191B81F4C165}" name="PivotTable1" cacheId="2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G+M5:AM14Row Labels">
  <location ref="M4:AR16" firstHeaderRow="1" firstDataRow="2" firstDataCol="1" rowPageCount="2" colPageCount="1"/>
  <pivotFields count="9">
    <pivotField showAll="0"/>
    <pivotField axis="axisCol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axis="axisRow" showAll="0">
      <items count="31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x="13"/>
        <item x="14"/>
        <item x="15"/>
        <item h="1" x="16"/>
        <item h="1" x="17"/>
        <item h="1" x="18"/>
        <item h="1" x="19"/>
        <item h="1" x="20"/>
        <item h="1" x="21"/>
        <item h="1" x="22"/>
        <item h="1" x="23"/>
        <item x="24"/>
        <item x="25"/>
        <item x="26"/>
        <item x="27"/>
        <item x="28"/>
        <item x="29"/>
        <item t="default"/>
      </items>
    </pivotField>
    <pivotField axis="axisPage" multipleItemSelectionAllowed="1" showAll="0">
      <items count="4">
        <item x="0"/>
        <item h="1" x="1"/>
        <item h="1" x="2"/>
        <item t="default"/>
      </items>
    </pivotField>
    <pivotField axis="axisPage" multipleItemSelectionAllowed="1" showAll="0">
      <items count="4">
        <item h="1" x="0"/>
        <item h="1" x="1"/>
        <item x="2"/>
        <item t="default"/>
      </items>
    </pivotField>
    <pivotField showAll="0"/>
    <pivotField showAll="0"/>
    <pivotField dataField="1" showAll="0"/>
  </pivotFields>
  <rowFields count="1">
    <field x="3"/>
  </rowFields>
  <rowItems count="11">
    <i>
      <x/>
    </i>
    <i>
      <x v="13"/>
    </i>
    <i>
      <x v="14"/>
    </i>
    <i>
      <x v="15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1"/>
  </colFields>
  <col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colItems>
  <pageFields count="2">
    <pageField fld="4" hier="-1"/>
    <pageField fld="5" hier="-1"/>
  </pageFields>
  <dataFields count="1">
    <dataField name="Sum of Gapfilled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ea.org/data-and-statistics/data-tools/unit-convert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B02D7-6426-4741-A83C-7C9F388F8448}">
  <dimension ref="A1"/>
  <sheetViews>
    <sheetView workbookViewId="0">
      <selection activeCell="D41" sqref="D41"/>
    </sheetView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0277A-B7E3-49D2-A53C-90FF380A50C8}">
  <dimension ref="A1:T16"/>
  <sheetViews>
    <sheetView showGridLines="0" workbookViewId="0">
      <selection activeCell="A20" sqref="A20"/>
    </sheetView>
  </sheetViews>
  <sheetFormatPr defaultRowHeight="15"/>
  <cols>
    <col min="1" max="1" width="51.5703125" bestFit="1" customWidth="1"/>
    <col min="2" max="2" width="14.42578125" hidden="1" customWidth="1"/>
    <col min="3" max="3" width="7.5703125" hidden="1" customWidth="1"/>
  </cols>
  <sheetData>
    <row r="1" spans="1:20">
      <c r="B1" t="s">
        <v>0</v>
      </c>
      <c r="C1" t="s">
        <v>1</v>
      </c>
      <c r="D1">
        <v>2005</v>
      </c>
      <c r="I1">
        <v>2010</v>
      </c>
      <c r="N1">
        <v>2015</v>
      </c>
      <c r="S1">
        <v>2020</v>
      </c>
    </row>
    <row r="2" spans="1:20">
      <c r="A2" t="s">
        <v>2</v>
      </c>
      <c r="C2" t="s">
        <v>3</v>
      </c>
      <c r="D2" s="39">
        <f t="shared" ref="D2:T2" si="0">D4/D5</f>
        <v>0.69521017585858091</v>
      </c>
      <c r="E2" s="39">
        <f t="shared" si="0"/>
        <v>0.69214644218400867</v>
      </c>
      <c r="F2" s="39">
        <f t="shared" si="0"/>
        <v>0.69020326479718996</v>
      </c>
      <c r="G2" s="39">
        <f t="shared" si="0"/>
        <v>0.69635794697566333</v>
      </c>
      <c r="H2" s="39">
        <f t="shared" si="0"/>
        <v>0.69899125375740434</v>
      </c>
      <c r="I2" s="39">
        <f t="shared" si="0"/>
        <v>0.70289205680961353</v>
      </c>
      <c r="J2" s="39">
        <f t="shared" si="0"/>
        <v>0.69724589986529972</v>
      </c>
      <c r="K2" s="39">
        <f t="shared" si="0"/>
        <v>0.70374931953923336</v>
      </c>
      <c r="L2" s="39">
        <f t="shared" si="0"/>
        <v>0.70826787243342926</v>
      </c>
      <c r="M2" s="39">
        <f t="shared" si="0"/>
        <v>0.70561178684202708</v>
      </c>
      <c r="N2" s="39">
        <f t="shared" si="0"/>
        <v>0.70811449109408209</v>
      </c>
      <c r="O2" s="39">
        <f t="shared" si="0"/>
        <v>0.71615427115035679</v>
      </c>
      <c r="P2" s="39">
        <f t="shared" si="0"/>
        <v>0.71469982227985474</v>
      </c>
      <c r="Q2" s="39">
        <f t="shared" si="0"/>
        <v>0.71991223890014044</v>
      </c>
      <c r="R2" s="39">
        <f t="shared" si="0"/>
        <v>0.72814818589316987</v>
      </c>
      <c r="S2" s="39">
        <f t="shared" si="0"/>
        <v>0.7333446768241012</v>
      </c>
      <c r="T2" s="39">
        <f t="shared" si="0"/>
        <v>0.73862901637596978</v>
      </c>
    </row>
    <row r="3" spans="1:20">
      <c r="A3" t="s">
        <v>4</v>
      </c>
      <c r="C3" t="s">
        <v>3</v>
      </c>
      <c r="D3" s="39">
        <f t="shared" ref="D3:T3" si="1">D7/D6</f>
        <v>0.47143998823060229</v>
      </c>
      <c r="E3" s="39">
        <f t="shared" si="1"/>
        <v>0.47030422897415136</v>
      </c>
      <c r="F3" s="39">
        <f t="shared" si="1"/>
        <v>0.47198021041386373</v>
      </c>
      <c r="G3" s="39">
        <f t="shared" si="1"/>
        <v>0.4783301499328067</v>
      </c>
      <c r="H3" s="39">
        <f t="shared" si="1"/>
        <v>0.4846353505049007</v>
      </c>
      <c r="I3" s="39">
        <f t="shared" si="1"/>
        <v>0.49364166768896128</v>
      </c>
      <c r="J3" s="39">
        <f t="shared" si="1"/>
        <v>0.48974153725715019</v>
      </c>
      <c r="K3" s="39">
        <f t="shared" si="1"/>
        <v>0.49330399600890157</v>
      </c>
      <c r="L3" s="39">
        <f t="shared" si="1"/>
        <v>0.50203317752919951</v>
      </c>
      <c r="M3" s="39">
        <f t="shared" si="1"/>
        <v>0.4981817671872743</v>
      </c>
      <c r="N3" s="39">
        <f t="shared" si="1"/>
        <v>0.50263070913366437</v>
      </c>
      <c r="O3" s="39">
        <f t="shared" si="1"/>
        <v>0.51336653506765217</v>
      </c>
      <c r="P3" s="39">
        <f t="shared" si="1"/>
        <v>0.51556110709474245</v>
      </c>
      <c r="Q3" s="39">
        <f t="shared" si="1"/>
        <v>0.52139109531520067</v>
      </c>
      <c r="R3" s="39">
        <f t="shared" si="1"/>
        <v>0.53117645269317726</v>
      </c>
      <c r="S3" s="39">
        <f t="shared" si="1"/>
        <v>0.54890301768492222</v>
      </c>
      <c r="T3" s="39">
        <f t="shared" si="1"/>
        <v>0.54513901410280075</v>
      </c>
    </row>
    <row r="4" spans="1:20">
      <c r="A4" t="s">
        <v>5</v>
      </c>
      <c r="B4" t="s">
        <v>6</v>
      </c>
      <c r="C4" t="s">
        <v>7</v>
      </c>
      <c r="D4" s="4">
        <v>1041.257368</v>
      </c>
      <c r="E4" s="4">
        <v>1045.846092</v>
      </c>
      <c r="F4" s="4">
        <v>1028.5167260000001</v>
      </c>
      <c r="G4" s="4">
        <v>1036.7124650000001</v>
      </c>
      <c r="H4" s="4">
        <v>980.82991299999992</v>
      </c>
      <c r="I4" s="4">
        <v>1024.503136</v>
      </c>
      <c r="J4">
        <v>984.60139099999992</v>
      </c>
      <c r="K4" s="4">
        <v>982.56257299999993</v>
      </c>
      <c r="L4">
        <v>980.34901599999989</v>
      </c>
      <c r="M4" s="4">
        <v>938.785753</v>
      </c>
      <c r="N4" s="4">
        <v>957.87004100000001</v>
      </c>
      <c r="O4" s="4">
        <v>976.88392500000009</v>
      </c>
      <c r="P4" s="4">
        <v>989.00025899999991</v>
      </c>
      <c r="Q4" s="4">
        <v>991.56332200000008</v>
      </c>
      <c r="R4" s="4">
        <v>985.96801500000004</v>
      </c>
      <c r="S4" s="4">
        <v>906.25317900000005</v>
      </c>
      <c r="T4" s="4">
        <v>968.42633599999999</v>
      </c>
    </row>
    <row r="5" spans="1:20">
      <c r="A5" t="s">
        <v>8</v>
      </c>
      <c r="B5" t="s">
        <v>6</v>
      </c>
      <c r="C5" t="s">
        <v>7</v>
      </c>
      <c r="D5" s="4">
        <v>1497.7591010000001</v>
      </c>
      <c r="E5" s="4">
        <v>1511.0185190000002</v>
      </c>
      <c r="F5" s="4">
        <v>1490.164968</v>
      </c>
      <c r="G5" s="4">
        <v>1488.7637450000002</v>
      </c>
      <c r="H5" s="4">
        <v>1403.207705</v>
      </c>
      <c r="I5" s="4">
        <v>1457.5540100000001</v>
      </c>
      <c r="J5">
        <v>1412.129338</v>
      </c>
      <c r="K5" s="4">
        <v>1396.182626</v>
      </c>
      <c r="L5">
        <v>1384.1500570000001</v>
      </c>
      <c r="M5" s="4">
        <v>1330.4564499999999</v>
      </c>
      <c r="N5" s="4">
        <v>1352.7050400000001</v>
      </c>
      <c r="O5" s="4">
        <v>1364.0691180000001</v>
      </c>
      <c r="P5" s="4">
        <v>1383.798104</v>
      </c>
      <c r="Q5" s="4">
        <v>1377.3391650000001</v>
      </c>
      <c r="R5" s="4">
        <v>1354.0760439999999</v>
      </c>
      <c r="S5" s="4">
        <v>1235.7806740000001</v>
      </c>
      <c r="T5" s="4">
        <v>1311.113312</v>
      </c>
    </row>
    <row r="6" spans="1:20">
      <c r="A6" t="s">
        <v>9</v>
      </c>
      <c r="B6" t="s">
        <v>6</v>
      </c>
      <c r="C6" t="s">
        <v>10</v>
      </c>
      <c r="D6" s="4">
        <v>663293.07400000002</v>
      </c>
      <c r="E6" s="4">
        <v>672015.90700000001</v>
      </c>
      <c r="F6" s="4">
        <v>667542.61100000003</v>
      </c>
      <c r="G6" s="4">
        <v>660778.19900000002</v>
      </c>
      <c r="H6" s="4">
        <v>623432.51</v>
      </c>
      <c r="I6" s="4">
        <v>648117.11600000004</v>
      </c>
      <c r="J6" s="4">
        <v>635568.08299999998</v>
      </c>
      <c r="K6" s="4">
        <v>632820.26199999999</v>
      </c>
      <c r="L6" s="4">
        <v>618297.45900000003</v>
      </c>
      <c r="M6" s="4">
        <v>603986.18500000006</v>
      </c>
      <c r="N6" s="4">
        <v>608191.33499999996</v>
      </c>
      <c r="O6" s="4">
        <v>603565.05700000003</v>
      </c>
      <c r="P6" s="4">
        <v>606794.68000000005</v>
      </c>
      <c r="Q6" s="4">
        <v>594360.30799999996</v>
      </c>
      <c r="R6" s="4">
        <v>576070.97499999998</v>
      </c>
      <c r="S6" s="4">
        <v>535150.10400000005</v>
      </c>
      <c r="T6" s="4">
        <v>566253.196</v>
      </c>
    </row>
    <row r="7" spans="1:20">
      <c r="A7" t="s">
        <v>11</v>
      </c>
      <c r="B7" t="s">
        <v>6</v>
      </c>
      <c r="C7" t="s">
        <v>10</v>
      </c>
      <c r="D7" s="4">
        <v>312702.87900000002</v>
      </c>
      <c r="E7" s="4">
        <v>316051.92300000001</v>
      </c>
      <c r="F7" s="4">
        <v>315066.902</v>
      </c>
      <c r="G7" s="4">
        <v>316070.13500000001</v>
      </c>
      <c r="H7" s="4">
        <v>302137.43300000002</v>
      </c>
      <c r="I7" s="4">
        <v>319937.614</v>
      </c>
      <c r="J7" s="4">
        <v>311264.09000000003</v>
      </c>
      <c r="K7" s="4">
        <v>312172.76400000002</v>
      </c>
      <c r="L7" s="4">
        <v>310405.83799999999</v>
      </c>
      <c r="M7" s="4">
        <v>300894.90500000003</v>
      </c>
      <c r="N7" s="4">
        <v>305695.64199999999</v>
      </c>
      <c r="O7" s="4">
        <v>309850.10200000001</v>
      </c>
      <c r="P7" s="4">
        <v>312839.73700000002</v>
      </c>
      <c r="Q7" s="4">
        <v>309894.17200000002</v>
      </c>
      <c r="R7" s="4">
        <v>305995.337</v>
      </c>
      <c r="S7" s="4">
        <v>293745.50699999998</v>
      </c>
      <c r="T7" s="4">
        <v>308686.70899999997</v>
      </c>
    </row>
    <row r="8" spans="1:20">
      <c r="A8" t="s">
        <v>12</v>
      </c>
      <c r="B8" t="s">
        <v>6</v>
      </c>
      <c r="C8" t="s">
        <v>10</v>
      </c>
      <c r="D8" s="4">
        <v>250757.52900000001</v>
      </c>
      <c r="E8" s="4">
        <v>255170.573</v>
      </c>
      <c r="F8" s="4">
        <v>256472.875</v>
      </c>
      <c r="G8" s="4">
        <v>257443.64300000001</v>
      </c>
      <c r="H8" s="4">
        <v>244409.38699999999</v>
      </c>
      <c r="I8" s="4">
        <v>256204.67499999999</v>
      </c>
      <c r="J8" s="4">
        <v>252541.88399999999</v>
      </c>
      <c r="K8" s="4">
        <v>252307.682</v>
      </c>
      <c r="L8" s="4">
        <v>250764.58199999999</v>
      </c>
      <c r="M8" s="4">
        <v>245615.353</v>
      </c>
      <c r="N8" s="4">
        <v>249402.59700000001</v>
      </c>
      <c r="O8" s="4">
        <v>251248.163</v>
      </c>
      <c r="P8" s="4">
        <v>254043.302</v>
      </c>
      <c r="Q8" s="4">
        <v>252625.11799999999</v>
      </c>
      <c r="R8" s="4">
        <v>249558.90299999999</v>
      </c>
      <c r="S8" s="4">
        <v>239455.84099999999</v>
      </c>
      <c r="T8" s="4">
        <v>249915.15299999999</v>
      </c>
    </row>
    <row r="9" spans="1:20">
      <c r="A9" t="s">
        <v>13</v>
      </c>
      <c r="B9" t="s">
        <v>6</v>
      </c>
      <c r="C9" t="s">
        <v>10</v>
      </c>
      <c r="D9" s="4">
        <v>59679.315999999999</v>
      </c>
      <c r="E9" s="4">
        <v>58988.21</v>
      </c>
      <c r="F9" s="4">
        <v>56678.904000000002</v>
      </c>
      <c r="G9" s="4">
        <v>56703.184999999998</v>
      </c>
      <c r="H9" s="4">
        <v>55920.872000000003</v>
      </c>
      <c r="I9" s="4">
        <v>61638.428</v>
      </c>
      <c r="J9" s="4">
        <v>56963.915999999997</v>
      </c>
      <c r="K9" s="4">
        <v>58058.012999999999</v>
      </c>
      <c r="L9" s="4">
        <v>57703.080999999998</v>
      </c>
      <c r="M9" s="4">
        <v>53326.667000000001</v>
      </c>
      <c r="N9" s="4">
        <v>53957.767999999996</v>
      </c>
      <c r="O9" s="4">
        <v>56160.635999999999</v>
      </c>
      <c r="P9" s="4">
        <v>56068.398999999998</v>
      </c>
      <c r="Q9" s="4">
        <v>54791.658000000003</v>
      </c>
      <c r="R9" s="4">
        <v>53882.349000000002</v>
      </c>
      <c r="S9" s="4">
        <v>51684.572999999997</v>
      </c>
      <c r="T9" s="4">
        <v>56002.997000000003</v>
      </c>
    </row>
    <row r="10" spans="1:20"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5" spans="1:20">
      <c r="E15" s="4"/>
      <c r="F15" s="4"/>
      <c r="G15" s="4"/>
      <c r="H15" s="4"/>
      <c r="I15" s="28"/>
      <c r="J15" s="28"/>
      <c r="K15" s="28"/>
      <c r="L15" s="28"/>
      <c r="M15" s="28"/>
      <c r="N15" s="28"/>
      <c r="O15" s="28"/>
      <c r="P15" s="28"/>
    </row>
    <row r="16" spans="1:20">
      <c r="E16" s="4"/>
      <c r="F16" s="4"/>
      <c r="G16" s="4"/>
      <c r="H16" s="4"/>
      <c r="I16" s="28"/>
      <c r="J16" s="28"/>
      <c r="K16" s="28"/>
      <c r="L16" s="28"/>
      <c r="M16" s="28"/>
      <c r="N16" s="28"/>
      <c r="O16" s="28"/>
      <c r="P16" s="28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38391-97FF-4B9C-9B5F-39946F161033}">
  <dimension ref="A1:AX52"/>
  <sheetViews>
    <sheetView workbookViewId="0">
      <selection activeCell="B27" sqref="B27"/>
    </sheetView>
  </sheetViews>
  <sheetFormatPr defaultRowHeight="15"/>
  <sheetData>
    <row r="1" spans="1:50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9"/>
      <c r="S1" s="9">
        <v>2020</v>
      </c>
      <c r="T1" s="9">
        <v>2021</v>
      </c>
      <c r="U1" s="9">
        <v>2022</v>
      </c>
      <c r="V1" s="9">
        <v>2023</v>
      </c>
      <c r="W1" s="9">
        <v>2024</v>
      </c>
      <c r="X1" s="9">
        <v>2025</v>
      </c>
      <c r="Y1" s="9">
        <v>2026</v>
      </c>
      <c r="Z1" s="9">
        <v>2027</v>
      </c>
      <c r="AA1" s="9">
        <v>2028</v>
      </c>
      <c r="AB1" s="9">
        <v>2029</v>
      </c>
      <c r="AC1" s="9">
        <v>2030</v>
      </c>
      <c r="AD1" s="9">
        <v>2031</v>
      </c>
      <c r="AE1" s="9">
        <v>2032</v>
      </c>
      <c r="AF1" s="9">
        <v>2033</v>
      </c>
      <c r="AG1" s="9">
        <v>2034</v>
      </c>
      <c r="AH1" s="9">
        <v>2035</v>
      </c>
      <c r="AI1" s="9">
        <v>2036</v>
      </c>
      <c r="AJ1" s="9">
        <v>2037</v>
      </c>
      <c r="AK1" s="9">
        <v>2038</v>
      </c>
      <c r="AL1" s="9">
        <v>2039</v>
      </c>
      <c r="AM1" s="9">
        <v>2040</v>
      </c>
      <c r="AN1" s="9">
        <v>2041</v>
      </c>
      <c r="AO1" s="9">
        <v>2042</v>
      </c>
      <c r="AP1" s="9">
        <v>2043</v>
      </c>
      <c r="AQ1" s="9">
        <v>2044</v>
      </c>
      <c r="AR1" s="9">
        <v>2045</v>
      </c>
      <c r="AS1" s="9">
        <v>2046</v>
      </c>
      <c r="AT1" s="9">
        <v>2047</v>
      </c>
      <c r="AU1" s="9">
        <v>2048</v>
      </c>
      <c r="AV1" s="9">
        <v>2049</v>
      </c>
      <c r="AW1" s="9">
        <v>2050</v>
      </c>
      <c r="AX1" s="8"/>
    </row>
    <row r="2" spans="1:50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10" t="s">
        <v>14</v>
      </c>
      <c r="R2" s="11">
        <v>1</v>
      </c>
      <c r="S2" s="11">
        <v>1</v>
      </c>
      <c r="T2" s="11">
        <v>0.98</v>
      </c>
      <c r="U2" s="11">
        <v>0.96</v>
      </c>
      <c r="V2" s="11">
        <v>0.94</v>
      </c>
      <c r="W2" s="11">
        <v>0.92</v>
      </c>
      <c r="X2" s="11">
        <v>0.9</v>
      </c>
      <c r="Y2" s="11">
        <v>0.88</v>
      </c>
      <c r="Z2" s="11">
        <v>0.86</v>
      </c>
      <c r="AA2" s="11">
        <v>0.85</v>
      </c>
      <c r="AB2" s="11">
        <v>0.83</v>
      </c>
      <c r="AC2" s="11">
        <v>0.81</v>
      </c>
      <c r="AD2" s="11">
        <v>0.79</v>
      </c>
      <c r="AE2" s="11">
        <v>0.77</v>
      </c>
      <c r="AF2" s="11">
        <v>0.75</v>
      </c>
      <c r="AG2" s="11">
        <v>0.73</v>
      </c>
      <c r="AH2" s="11">
        <v>0.71</v>
      </c>
      <c r="AI2" s="11">
        <v>0.69</v>
      </c>
      <c r="AJ2" s="11">
        <v>0.67</v>
      </c>
      <c r="AK2" s="11">
        <v>0.65</v>
      </c>
      <c r="AL2" s="11">
        <v>0.63</v>
      </c>
      <c r="AM2" s="11">
        <v>0.61</v>
      </c>
      <c r="AN2" s="11">
        <v>0.6</v>
      </c>
      <c r="AO2" s="11">
        <v>0.57999999999999996</v>
      </c>
      <c r="AP2" s="11">
        <v>0.56999999999999995</v>
      </c>
      <c r="AQ2" s="11">
        <v>0.56000000000000005</v>
      </c>
      <c r="AR2" s="11">
        <v>0.54</v>
      </c>
      <c r="AS2" s="11">
        <v>0.53</v>
      </c>
      <c r="AT2" s="11">
        <v>0.52</v>
      </c>
      <c r="AU2" s="11">
        <v>0.51</v>
      </c>
      <c r="AV2" s="11">
        <v>0.5</v>
      </c>
      <c r="AW2" s="11">
        <v>0.49</v>
      </c>
      <c r="AX2" s="8"/>
    </row>
    <row r="3" spans="1:50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10" t="s">
        <v>15</v>
      </c>
      <c r="R3" s="11">
        <v>1</v>
      </c>
      <c r="S3" s="11">
        <v>1</v>
      </c>
      <c r="T3" s="11">
        <v>0.99</v>
      </c>
      <c r="U3" s="11">
        <v>0.99</v>
      </c>
      <c r="V3" s="11">
        <v>0.98</v>
      </c>
      <c r="W3" s="11">
        <v>0.97</v>
      </c>
      <c r="X3" s="11">
        <v>0.96</v>
      </c>
      <c r="Y3" s="11">
        <v>0.94</v>
      </c>
      <c r="Z3" s="11">
        <v>0.92</v>
      </c>
      <c r="AA3" s="11">
        <v>0.89</v>
      </c>
      <c r="AB3" s="11">
        <v>0.87</v>
      </c>
      <c r="AC3" s="11">
        <v>0.85</v>
      </c>
      <c r="AD3" s="11">
        <v>0.83</v>
      </c>
      <c r="AE3" s="11">
        <v>0.8</v>
      </c>
      <c r="AF3" s="11">
        <v>0.78</v>
      </c>
      <c r="AG3" s="11">
        <v>0.75</v>
      </c>
      <c r="AH3" s="11">
        <v>0.73</v>
      </c>
      <c r="AI3" s="11">
        <v>0.71</v>
      </c>
      <c r="AJ3" s="11">
        <v>0.69</v>
      </c>
      <c r="AK3" s="11">
        <v>0.67</v>
      </c>
      <c r="AL3" s="11">
        <v>0.64</v>
      </c>
      <c r="AM3" s="11">
        <v>0.62</v>
      </c>
      <c r="AN3" s="11">
        <v>0.61</v>
      </c>
      <c r="AO3" s="11">
        <v>0.6</v>
      </c>
      <c r="AP3" s="11">
        <v>0.59</v>
      </c>
      <c r="AQ3" s="11">
        <v>0.57999999999999996</v>
      </c>
      <c r="AR3" s="11">
        <v>0.56000000000000005</v>
      </c>
      <c r="AS3" s="11">
        <v>0.56000000000000005</v>
      </c>
      <c r="AT3" s="11">
        <v>0.55000000000000004</v>
      </c>
      <c r="AU3" s="11">
        <v>0.55000000000000004</v>
      </c>
      <c r="AV3" s="11">
        <v>0.55000000000000004</v>
      </c>
      <c r="AW3" s="11">
        <v>0.54</v>
      </c>
      <c r="AX3" s="8"/>
    </row>
    <row r="4" spans="1:50">
      <c r="A4" s="8"/>
      <c r="B4" s="12" t="s">
        <v>16</v>
      </c>
      <c r="C4" s="8"/>
      <c r="D4" s="8"/>
      <c r="E4" s="12" t="s">
        <v>17</v>
      </c>
      <c r="F4" s="12"/>
      <c r="G4" s="8"/>
      <c r="H4" s="8"/>
      <c r="I4" s="8"/>
      <c r="J4" s="8"/>
      <c r="K4" s="8"/>
      <c r="L4" s="8"/>
      <c r="M4" s="8"/>
      <c r="N4" s="8"/>
      <c r="O4" s="8"/>
      <c r="P4" s="8"/>
      <c r="Q4" s="10" t="s">
        <v>18</v>
      </c>
      <c r="R4" s="11">
        <v>1</v>
      </c>
      <c r="S4" s="11">
        <v>1.01</v>
      </c>
      <c r="T4" s="11">
        <v>0.99</v>
      </c>
      <c r="U4" s="11">
        <v>0.98</v>
      </c>
      <c r="V4" s="11">
        <v>0.96</v>
      </c>
      <c r="W4" s="11">
        <v>0.95</v>
      </c>
      <c r="X4" s="11">
        <v>0.93</v>
      </c>
      <c r="Y4" s="11">
        <v>0.92</v>
      </c>
      <c r="Z4" s="11">
        <v>0.9</v>
      </c>
      <c r="AA4" s="11">
        <v>0.89</v>
      </c>
      <c r="AB4" s="11">
        <v>0.88</v>
      </c>
      <c r="AC4" s="11">
        <v>0.86</v>
      </c>
      <c r="AD4" s="11">
        <v>0.85</v>
      </c>
      <c r="AE4" s="11">
        <v>0.83</v>
      </c>
      <c r="AF4" s="11">
        <v>0.82</v>
      </c>
      <c r="AG4" s="11">
        <v>0.8</v>
      </c>
      <c r="AH4" s="11">
        <v>0.79</v>
      </c>
      <c r="AI4" s="11">
        <v>0.78</v>
      </c>
      <c r="AJ4" s="11">
        <v>0.77</v>
      </c>
      <c r="AK4" s="11">
        <v>0.77</v>
      </c>
      <c r="AL4" s="11">
        <v>0.76</v>
      </c>
      <c r="AM4" s="11">
        <v>0.76</v>
      </c>
      <c r="AN4" s="11">
        <v>0.76</v>
      </c>
      <c r="AO4" s="11">
        <v>0.76</v>
      </c>
      <c r="AP4" s="11">
        <v>0.76</v>
      </c>
      <c r="AQ4" s="11">
        <v>0.76</v>
      </c>
      <c r="AR4" s="11">
        <v>0.76</v>
      </c>
      <c r="AS4" s="11">
        <v>0.76</v>
      </c>
      <c r="AT4" s="11">
        <v>0.76</v>
      </c>
      <c r="AU4" s="11">
        <v>0.77</v>
      </c>
      <c r="AV4" s="11">
        <v>0.77</v>
      </c>
      <c r="AW4" s="11">
        <v>0.77</v>
      </c>
      <c r="AX4" s="8"/>
    </row>
    <row r="5" spans="1:50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 t="e">
        <v>#REF!</v>
      </c>
      <c r="R5" s="11">
        <v>1</v>
      </c>
      <c r="S5" s="11">
        <v>1</v>
      </c>
      <c r="T5" s="11">
        <v>0.99</v>
      </c>
      <c r="U5" s="11">
        <v>0.97</v>
      </c>
      <c r="V5" s="11">
        <v>0.95</v>
      </c>
      <c r="W5" s="11">
        <v>0.93</v>
      </c>
      <c r="X5" s="11">
        <v>0.91</v>
      </c>
      <c r="Y5" s="11">
        <v>0.9</v>
      </c>
      <c r="Z5" s="11">
        <v>0.88</v>
      </c>
      <c r="AA5" s="11">
        <v>0.86</v>
      </c>
      <c r="AB5" s="11">
        <v>0.84</v>
      </c>
      <c r="AC5" s="11">
        <v>0.83</v>
      </c>
      <c r="AD5" s="11">
        <v>0.81</v>
      </c>
      <c r="AE5" s="11">
        <v>0.79</v>
      </c>
      <c r="AF5" s="11">
        <v>0.77</v>
      </c>
      <c r="AG5" s="11">
        <v>0.76</v>
      </c>
      <c r="AH5" s="11">
        <v>0.74</v>
      </c>
      <c r="AI5" s="11">
        <v>0.73</v>
      </c>
      <c r="AJ5" s="11">
        <v>0.72</v>
      </c>
      <c r="AK5" s="11">
        <v>0.72</v>
      </c>
      <c r="AL5" s="11">
        <v>0.71</v>
      </c>
      <c r="AM5" s="11">
        <v>0.7</v>
      </c>
      <c r="AN5" s="11">
        <v>0.7</v>
      </c>
      <c r="AO5" s="11">
        <v>0.7</v>
      </c>
      <c r="AP5" s="11">
        <v>0.7</v>
      </c>
      <c r="AQ5" s="11">
        <v>0.7</v>
      </c>
      <c r="AR5" s="11">
        <v>0.7</v>
      </c>
      <c r="AS5" s="11">
        <v>0.7</v>
      </c>
      <c r="AT5" s="11">
        <v>0.71</v>
      </c>
      <c r="AU5" s="11">
        <v>0.71</v>
      </c>
      <c r="AV5" s="11">
        <v>0.71</v>
      </c>
      <c r="AW5" s="11">
        <v>0.71</v>
      </c>
      <c r="AX5" s="8"/>
    </row>
    <row r="6" spans="1:50">
      <c r="A6" s="9" t="s">
        <v>19</v>
      </c>
      <c r="B6" s="8" t="s">
        <v>20</v>
      </c>
      <c r="C6" s="8"/>
      <c r="D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 t="e">
        <v>#REF!</v>
      </c>
      <c r="R6" s="11">
        <v>1</v>
      </c>
      <c r="S6" s="11">
        <v>1</v>
      </c>
      <c r="T6" s="11">
        <v>0.99</v>
      </c>
      <c r="U6" s="11">
        <v>0.97</v>
      </c>
      <c r="V6" s="11">
        <v>0.96</v>
      </c>
      <c r="W6" s="11">
        <v>0.95</v>
      </c>
      <c r="X6" s="11">
        <v>0.94</v>
      </c>
      <c r="Y6" s="11">
        <v>0.93</v>
      </c>
      <c r="Z6" s="11">
        <v>0.91</v>
      </c>
      <c r="AA6" s="11">
        <v>0.9</v>
      </c>
      <c r="AB6" s="11">
        <v>0.88</v>
      </c>
      <c r="AC6" s="11">
        <v>0.87</v>
      </c>
      <c r="AD6" s="11">
        <v>0.85</v>
      </c>
      <c r="AE6" s="11">
        <v>0.83</v>
      </c>
      <c r="AF6" s="11">
        <v>0.81</v>
      </c>
      <c r="AG6" s="11">
        <v>0.79</v>
      </c>
      <c r="AH6" s="11">
        <v>0.77</v>
      </c>
      <c r="AI6" s="11">
        <v>0.76</v>
      </c>
      <c r="AJ6" s="11">
        <v>0.74</v>
      </c>
      <c r="AK6" s="11">
        <v>0.72</v>
      </c>
      <c r="AL6" s="11">
        <v>0.71</v>
      </c>
      <c r="AM6" s="11">
        <v>0.69</v>
      </c>
      <c r="AN6" s="11">
        <v>0.69</v>
      </c>
      <c r="AO6" s="11">
        <v>0.68</v>
      </c>
      <c r="AP6" s="11">
        <v>0.68</v>
      </c>
      <c r="AQ6" s="11">
        <v>0.68</v>
      </c>
      <c r="AR6" s="11">
        <v>0.67</v>
      </c>
      <c r="AS6" s="11">
        <v>0.67</v>
      </c>
      <c r="AT6" s="11">
        <v>0.67</v>
      </c>
      <c r="AU6" s="11">
        <v>0.66</v>
      </c>
      <c r="AV6" s="11">
        <v>0.66</v>
      </c>
      <c r="AW6" s="11">
        <v>0.66</v>
      </c>
      <c r="AX6" s="8"/>
    </row>
    <row r="7" spans="1:50">
      <c r="A7" s="8"/>
      <c r="B7" s="13" t="s">
        <v>21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 t="e">
        <v>#REF!</v>
      </c>
      <c r="R7" s="11">
        <v>1</v>
      </c>
      <c r="S7" s="11">
        <v>1</v>
      </c>
      <c r="T7" s="11">
        <v>0.98</v>
      </c>
      <c r="U7" s="11">
        <v>0.96</v>
      </c>
      <c r="V7" s="11">
        <v>0.94</v>
      </c>
      <c r="W7" s="11">
        <v>0.92</v>
      </c>
      <c r="X7" s="11">
        <v>0.9</v>
      </c>
      <c r="Y7" s="11">
        <v>0.88</v>
      </c>
      <c r="Z7" s="11">
        <v>0.86</v>
      </c>
      <c r="AA7" s="11">
        <v>0.84</v>
      </c>
      <c r="AB7" s="11">
        <v>0.83</v>
      </c>
      <c r="AC7" s="11">
        <v>0.81</v>
      </c>
      <c r="AD7" s="11">
        <v>0.79</v>
      </c>
      <c r="AE7" s="11">
        <v>0.77</v>
      </c>
      <c r="AF7" s="11">
        <v>0.75</v>
      </c>
      <c r="AG7" s="11">
        <v>0.73</v>
      </c>
      <c r="AH7" s="11">
        <v>0.71</v>
      </c>
      <c r="AI7" s="11">
        <v>0.7</v>
      </c>
      <c r="AJ7" s="11">
        <v>0.7</v>
      </c>
      <c r="AK7" s="11">
        <v>0.69</v>
      </c>
      <c r="AL7" s="11">
        <v>0.68</v>
      </c>
      <c r="AM7" s="11">
        <v>0.68</v>
      </c>
      <c r="AN7" s="11">
        <v>0.68</v>
      </c>
      <c r="AO7" s="11">
        <v>0.69</v>
      </c>
      <c r="AP7" s="11">
        <v>0.69</v>
      </c>
      <c r="AQ7" s="11">
        <v>0.7</v>
      </c>
      <c r="AR7" s="11">
        <v>0.7</v>
      </c>
      <c r="AS7" s="11">
        <v>0.71</v>
      </c>
      <c r="AT7" s="11">
        <v>0.71</v>
      </c>
      <c r="AU7" s="11">
        <v>0.71</v>
      </c>
      <c r="AV7" s="11">
        <v>0.71</v>
      </c>
      <c r="AW7" s="11">
        <v>0.71</v>
      </c>
      <c r="AX7" s="8"/>
    </row>
    <row r="8" spans="1:50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 t="e">
        <v>#REF!</v>
      </c>
      <c r="R8" s="11">
        <v>1</v>
      </c>
      <c r="S8" s="11">
        <v>1</v>
      </c>
      <c r="T8" s="11">
        <v>0.99</v>
      </c>
      <c r="U8" s="11">
        <v>0.99</v>
      </c>
      <c r="V8" s="11">
        <v>0.98</v>
      </c>
      <c r="W8" s="11">
        <v>0.97</v>
      </c>
      <c r="X8" s="11">
        <v>0.96</v>
      </c>
      <c r="Y8" s="11">
        <v>0.94</v>
      </c>
      <c r="Z8" s="11">
        <v>0.92</v>
      </c>
      <c r="AA8" s="11">
        <v>0.89</v>
      </c>
      <c r="AB8" s="11">
        <v>0.87</v>
      </c>
      <c r="AC8" s="11">
        <v>0.85</v>
      </c>
      <c r="AD8" s="11">
        <v>0.83</v>
      </c>
      <c r="AE8" s="11">
        <v>0.8</v>
      </c>
      <c r="AF8" s="11">
        <v>0.78</v>
      </c>
      <c r="AG8" s="11">
        <v>0.76</v>
      </c>
      <c r="AH8" s="11">
        <v>0.73</v>
      </c>
      <c r="AI8" s="11">
        <v>0.71</v>
      </c>
      <c r="AJ8" s="11">
        <v>0.69</v>
      </c>
      <c r="AK8" s="11">
        <v>0.67</v>
      </c>
      <c r="AL8" s="11">
        <v>0.65</v>
      </c>
      <c r="AM8" s="11">
        <v>0.63</v>
      </c>
      <c r="AN8" s="11">
        <v>0.62</v>
      </c>
      <c r="AO8" s="11">
        <v>0.6</v>
      </c>
      <c r="AP8" s="11">
        <v>0.59</v>
      </c>
      <c r="AQ8" s="11">
        <v>0.57999999999999996</v>
      </c>
      <c r="AR8" s="11">
        <v>0.56999999999999995</v>
      </c>
      <c r="AS8" s="11">
        <v>0.56000000000000005</v>
      </c>
      <c r="AT8" s="11">
        <v>0.56000000000000005</v>
      </c>
      <c r="AU8" s="11">
        <v>0.55000000000000004</v>
      </c>
      <c r="AV8" s="11">
        <v>0.55000000000000004</v>
      </c>
      <c r="AW8" s="11">
        <v>0.54</v>
      </c>
      <c r="AX8" s="8"/>
    </row>
    <row r="9" spans="1:50">
      <c r="A9" s="9" t="s">
        <v>22</v>
      </c>
      <c r="B9" s="13" t="s">
        <v>21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 t="e">
        <v>#REF!</v>
      </c>
      <c r="R9" s="11">
        <v>1</v>
      </c>
      <c r="S9" s="11">
        <v>1</v>
      </c>
      <c r="T9" s="11">
        <v>0.99</v>
      </c>
      <c r="U9" s="11">
        <v>0.99</v>
      </c>
      <c r="V9" s="11">
        <v>0.98</v>
      </c>
      <c r="W9" s="11">
        <v>0.97</v>
      </c>
      <c r="X9" s="11">
        <v>0.96</v>
      </c>
      <c r="Y9" s="11">
        <v>0.94</v>
      </c>
      <c r="Z9" s="11">
        <v>0.92</v>
      </c>
      <c r="AA9" s="11">
        <v>0.89</v>
      </c>
      <c r="AB9" s="11">
        <v>0.87</v>
      </c>
      <c r="AC9" s="11">
        <v>0.85</v>
      </c>
      <c r="AD9" s="11">
        <v>0.83</v>
      </c>
      <c r="AE9" s="11">
        <v>0.8</v>
      </c>
      <c r="AF9" s="11">
        <v>0.78</v>
      </c>
      <c r="AG9" s="11">
        <v>0.76</v>
      </c>
      <c r="AH9" s="11">
        <v>0.73</v>
      </c>
      <c r="AI9" s="11">
        <v>0.71</v>
      </c>
      <c r="AJ9" s="11">
        <v>0.69</v>
      </c>
      <c r="AK9" s="11">
        <v>0.67</v>
      </c>
      <c r="AL9" s="11">
        <v>0.65</v>
      </c>
      <c r="AM9" s="11">
        <v>0.63</v>
      </c>
      <c r="AN9" s="11">
        <v>0.62</v>
      </c>
      <c r="AO9" s="11">
        <v>0.6</v>
      </c>
      <c r="AP9" s="11">
        <v>0.59</v>
      </c>
      <c r="AQ9" s="11">
        <v>0.57999999999999996</v>
      </c>
      <c r="AR9" s="11">
        <v>0.56999999999999995</v>
      </c>
      <c r="AS9" s="11">
        <v>0.56000000000000005</v>
      </c>
      <c r="AT9" s="11">
        <v>0.56000000000000005</v>
      </c>
      <c r="AU9" s="11">
        <v>0.55000000000000004</v>
      </c>
      <c r="AV9" s="11">
        <v>0.55000000000000004</v>
      </c>
      <c r="AW9" s="11">
        <v>0.54</v>
      </c>
      <c r="AX9" s="8"/>
    </row>
    <row r="10" spans="1:50">
      <c r="A10" s="8"/>
      <c r="B10" s="8" t="s">
        <v>23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 t="e">
        <v>#REF!</v>
      </c>
      <c r="R10" s="11">
        <v>1</v>
      </c>
      <c r="S10" s="11">
        <v>1</v>
      </c>
      <c r="T10" s="11">
        <v>0.99</v>
      </c>
      <c r="U10" s="11">
        <v>0.99</v>
      </c>
      <c r="V10" s="11">
        <v>0.98</v>
      </c>
      <c r="W10" s="11">
        <v>0.97</v>
      </c>
      <c r="X10" s="11">
        <v>0.96</v>
      </c>
      <c r="Y10" s="11">
        <v>0.94</v>
      </c>
      <c r="Z10" s="11">
        <v>0.92</v>
      </c>
      <c r="AA10" s="11">
        <v>0.89</v>
      </c>
      <c r="AB10" s="11">
        <v>0.87</v>
      </c>
      <c r="AC10" s="11">
        <v>0.85</v>
      </c>
      <c r="AD10" s="11">
        <v>0.82</v>
      </c>
      <c r="AE10" s="11">
        <v>0.8</v>
      </c>
      <c r="AF10" s="11">
        <v>0.77</v>
      </c>
      <c r="AG10" s="11">
        <v>0.75</v>
      </c>
      <c r="AH10" s="11">
        <v>0.73</v>
      </c>
      <c r="AI10" s="11">
        <v>0.7</v>
      </c>
      <c r="AJ10" s="11">
        <v>0.68</v>
      </c>
      <c r="AK10" s="11">
        <v>0.66</v>
      </c>
      <c r="AL10" s="11">
        <v>0.64</v>
      </c>
      <c r="AM10" s="11">
        <v>0.61</v>
      </c>
      <c r="AN10" s="11">
        <v>0.6</v>
      </c>
      <c r="AO10" s="11">
        <v>0.59</v>
      </c>
      <c r="AP10" s="11">
        <v>0.57999999999999996</v>
      </c>
      <c r="AQ10" s="11">
        <v>0.56999999999999995</v>
      </c>
      <c r="AR10" s="11">
        <v>0.56000000000000005</v>
      </c>
      <c r="AS10" s="11">
        <v>0.56000000000000005</v>
      </c>
      <c r="AT10" s="11">
        <v>0.56000000000000005</v>
      </c>
      <c r="AU10" s="11">
        <v>0.55000000000000004</v>
      </c>
      <c r="AV10" s="11">
        <v>0.55000000000000004</v>
      </c>
      <c r="AW10" s="11">
        <v>0.55000000000000004</v>
      </c>
      <c r="AX10" s="8"/>
    </row>
    <row r="11" spans="1:50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 t="e">
        <v>#REF!</v>
      </c>
      <c r="R11" s="11">
        <v>1</v>
      </c>
      <c r="S11" s="11">
        <v>1</v>
      </c>
      <c r="T11" s="11">
        <v>0.99</v>
      </c>
      <c r="U11" s="11">
        <v>0.99</v>
      </c>
      <c r="V11" s="11">
        <v>0.98</v>
      </c>
      <c r="W11" s="11">
        <v>0.97</v>
      </c>
      <c r="X11" s="11">
        <v>0.96</v>
      </c>
      <c r="Y11" s="11">
        <v>0.94</v>
      </c>
      <c r="Z11" s="11">
        <v>0.92</v>
      </c>
      <c r="AA11" s="11">
        <v>0.89</v>
      </c>
      <c r="AB11" s="11">
        <v>0.87</v>
      </c>
      <c r="AC11" s="11">
        <v>0.85</v>
      </c>
      <c r="AD11" s="11">
        <v>0.82</v>
      </c>
      <c r="AE11" s="11">
        <v>0.8</v>
      </c>
      <c r="AF11" s="11">
        <v>0.77</v>
      </c>
      <c r="AG11" s="11">
        <v>0.75</v>
      </c>
      <c r="AH11" s="11">
        <v>0.73</v>
      </c>
      <c r="AI11" s="11">
        <v>0.7</v>
      </c>
      <c r="AJ11" s="11">
        <v>0.68</v>
      </c>
      <c r="AK11" s="11">
        <v>0.66</v>
      </c>
      <c r="AL11" s="11">
        <v>0.64</v>
      </c>
      <c r="AM11" s="11">
        <v>0.62</v>
      </c>
      <c r="AN11" s="11">
        <v>0.6</v>
      </c>
      <c r="AO11" s="11">
        <v>0.59</v>
      </c>
      <c r="AP11" s="11">
        <v>0.57999999999999996</v>
      </c>
      <c r="AQ11" s="11">
        <v>0.56999999999999995</v>
      </c>
      <c r="AR11" s="11">
        <v>0.56000000000000005</v>
      </c>
      <c r="AS11" s="11">
        <v>0.56000000000000005</v>
      </c>
      <c r="AT11" s="11">
        <v>0.56000000000000005</v>
      </c>
      <c r="AU11" s="11">
        <v>0.55000000000000004</v>
      </c>
      <c r="AV11" s="11">
        <v>0.55000000000000004</v>
      </c>
      <c r="AW11" s="11">
        <v>0.55000000000000004</v>
      </c>
      <c r="AX11" s="8"/>
    </row>
    <row r="12" spans="1:50">
      <c r="A12" s="9" t="s">
        <v>24</v>
      </c>
      <c r="B12" s="8" t="s">
        <v>25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 t="e">
        <v>#REF!</v>
      </c>
      <c r="R12" s="8" t="e">
        <v>#N/A</v>
      </c>
      <c r="S12" s="8" t="e">
        <v>#N/A</v>
      </c>
      <c r="T12" s="8" t="e">
        <v>#N/A</v>
      </c>
      <c r="U12" s="8" t="e">
        <v>#N/A</v>
      </c>
      <c r="V12" s="8" t="e">
        <v>#N/A</v>
      </c>
      <c r="W12" s="8" t="e">
        <v>#N/A</v>
      </c>
      <c r="X12" s="8" t="e">
        <v>#N/A</v>
      </c>
      <c r="Y12" s="8" t="e">
        <v>#N/A</v>
      </c>
      <c r="Z12" s="8" t="e">
        <v>#N/A</v>
      </c>
      <c r="AA12" s="8" t="e">
        <v>#N/A</v>
      </c>
      <c r="AB12" s="8" t="e">
        <v>#N/A</v>
      </c>
      <c r="AC12" s="8" t="e">
        <v>#N/A</v>
      </c>
      <c r="AD12" s="8" t="e">
        <v>#N/A</v>
      </c>
      <c r="AE12" s="8" t="e">
        <v>#N/A</v>
      </c>
      <c r="AF12" s="8" t="e">
        <v>#N/A</v>
      </c>
      <c r="AG12" s="8" t="e">
        <v>#N/A</v>
      </c>
      <c r="AH12" s="8" t="e">
        <v>#N/A</v>
      </c>
      <c r="AI12" s="8" t="e">
        <v>#N/A</v>
      </c>
      <c r="AJ12" s="8" t="e">
        <v>#N/A</v>
      </c>
      <c r="AK12" s="8" t="e">
        <v>#N/A</v>
      </c>
      <c r="AL12" s="8" t="e">
        <v>#N/A</v>
      </c>
      <c r="AM12" s="8" t="e">
        <v>#N/A</v>
      </c>
      <c r="AN12" s="8" t="e">
        <v>#N/A</v>
      </c>
      <c r="AO12" s="8" t="e">
        <v>#N/A</v>
      </c>
      <c r="AP12" s="8" t="e">
        <v>#N/A</v>
      </c>
      <c r="AQ12" s="8" t="e">
        <v>#N/A</v>
      </c>
      <c r="AR12" s="8" t="e">
        <v>#N/A</v>
      </c>
      <c r="AS12" s="8" t="e">
        <v>#N/A</v>
      </c>
      <c r="AT12" s="8" t="e">
        <v>#N/A</v>
      </c>
      <c r="AU12" s="8" t="e">
        <v>#N/A</v>
      </c>
      <c r="AV12" s="8" t="e">
        <v>#N/A</v>
      </c>
      <c r="AW12" s="8" t="e">
        <v>#N/A</v>
      </c>
      <c r="AX12" s="8"/>
    </row>
    <row r="13" spans="1:50">
      <c r="A13" s="8"/>
      <c r="B13" s="8" t="s">
        <v>26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 t="e">
        <v>#REF!</v>
      </c>
      <c r="R13" s="8" t="e">
        <v>#N/A</v>
      </c>
      <c r="S13" s="8" t="e">
        <v>#N/A</v>
      </c>
      <c r="T13" s="8" t="e">
        <v>#N/A</v>
      </c>
      <c r="U13" s="8" t="e">
        <v>#N/A</v>
      </c>
      <c r="V13" s="8" t="e">
        <v>#N/A</v>
      </c>
      <c r="W13" s="8" t="e">
        <v>#N/A</v>
      </c>
      <c r="X13" s="8" t="e">
        <v>#N/A</v>
      </c>
      <c r="Y13" s="8" t="e">
        <v>#N/A</v>
      </c>
      <c r="Z13" s="8" t="e">
        <v>#N/A</v>
      </c>
      <c r="AA13" s="8" t="e">
        <v>#N/A</v>
      </c>
      <c r="AB13" s="8" t="e">
        <v>#N/A</v>
      </c>
      <c r="AC13" s="8" t="e">
        <v>#N/A</v>
      </c>
      <c r="AD13" s="8" t="e">
        <v>#N/A</v>
      </c>
      <c r="AE13" s="8" t="e">
        <v>#N/A</v>
      </c>
      <c r="AF13" s="8" t="e">
        <v>#N/A</v>
      </c>
      <c r="AG13" s="8" t="e">
        <v>#N/A</v>
      </c>
      <c r="AH13" s="8" t="e">
        <v>#N/A</v>
      </c>
      <c r="AI13" s="8" t="e">
        <v>#N/A</v>
      </c>
      <c r="AJ13" s="8" t="e">
        <v>#N/A</v>
      </c>
      <c r="AK13" s="8" t="e">
        <v>#N/A</v>
      </c>
      <c r="AL13" s="8" t="e">
        <v>#N/A</v>
      </c>
      <c r="AM13" s="8" t="e">
        <v>#N/A</v>
      </c>
      <c r="AN13" s="8" t="e">
        <v>#N/A</v>
      </c>
      <c r="AO13" s="8" t="e">
        <v>#N/A</v>
      </c>
      <c r="AP13" s="8" t="e">
        <v>#N/A</v>
      </c>
      <c r="AQ13" s="8" t="e">
        <v>#N/A</v>
      </c>
      <c r="AR13" s="8" t="e">
        <v>#N/A</v>
      </c>
      <c r="AS13" s="8" t="e">
        <v>#N/A</v>
      </c>
      <c r="AT13" s="8" t="e">
        <v>#N/A</v>
      </c>
      <c r="AU13" s="8" t="e">
        <v>#N/A</v>
      </c>
      <c r="AV13" s="8" t="e">
        <v>#N/A</v>
      </c>
      <c r="AW13" s="8" t="e">
        <v>#N/A</v>
      </c>
      <c r="AX13" s="8"/>
    </row>
    <row r="14" spans="1:50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 t="e">
        <v>#REF!</v>
      </c>
      <c r="R14" s="11">
        <v>1</v>
      </c>
      <c r="S14" s="11">
        <v>1</v>
      </c>
      <c r="T14" s="11">
        <v>0.99</v>
      </c>
      <c r="U14" s="11">
        <v>0.99</v>
      </c>
      <c r="V14" s="11">
        <v>0.98</v>
      </c>
      <c r="W14" s="11">
        <v>0.97</v>
      </c>
      <c r="X14" s="11">
        <v>0.96</v>
      </c>
      <c r="Y14" s="11">
        <v>0.94</v>
      </c>
      <c r="Z14" s="11">
        <v>0.92</v>
      </c>
      <c r="AA14" s="11">
        <v>0.89</v>
      </c>
      <c r="AB14" s="11">
        <v>0.87</v>
      </c>
      <c r="AC14" s="11">
        <v>0.85</v>
      </c>
      <c r="AD14" s="11">
        <v>0.82</v>
      </c>
      <c r="AE14" s="11">
        <v>0.8</v>
      </c>
      <c r="AF14" s="11">
        <v>0.78</v>
      </c>
      <c r="AG14" s="11">
        <v>0.75</v>
      </c>
      <c r="AH14" s="11">
        <v>0.73</v>
      </c>
      <c r="AI14" s="11">
        <v>0.71</v>
      </c>
      <c r="AJ14" s="11">
        <v>0.68</v>
      </c>
      <c r="AK14" s="11">
        <v>0.66</v>
      </c>
      <c r="AL14" s="11">
        <v>0.64</v>
      </c>
      <c r="AM14" s="11">
        <v>0.62</v>
      </c>
      <c r="AN14" s="11">
        <v>0.61</v>
      </c>
      <c r="AO14" s="11">
        <v>0.59</v>
      </c>
      <c r="AP14" s="11">
        <v>0.57999999999999996</v>
      </c>
      <c r="AQ14" s="11">
        <v>0.56999999999999995</v>
      </c>
      <c r="AR14" s="11">
        <v>0.56000000000000005</v>
      </c>
      <c r="AS14" s="11">
        <v>0.56000000000000005</v>
      </c>
      <c r="AT14" s="11">
        <v>0.55000000000000004</v>
      </c>
      <c r="AU14" s="11">
        <v>0.55000000000000004</v>
      </c>
      <c r="AV14" s="11">
        <v>0.55000000000000004</v>
      </c>
      <c r="AW14" s="11">
        <v>0.54</v>
      </c>
      <c r="AX14" s="8"/>
    </row>
    <row r="15" spans="1:50">
      <c r="A15" s="9" t="s">
        <v>27</v>
      </c>
      <c r="B15" s="14" t="s">
        <v>28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 t="e">
        <v>#REF!</v>
      </c>
      <c r="R15" s="11">
        <v>1</v>
      </c>
      <c r="S15" s="11">
        <v>1</v>
      </c>
      <c r="T15" s="11">
        <v>0.99</v>
      </c>
      <c r="U15" s="11">
        <v>0.99</v>
      </c>
      <c r="V15" s="11">
        <v>0.98</v>
      </c>
      <c r="W15" s="11">
        <v>0.97</v>
      </c>
      <c r="X15" s="11">
        <v>0.96</v>
      </c>
      <c r="Y15" s="11">
        <v>0.94</v>
      </c>
      <c r="Z15" s="11">
        <v>0.92</v>
      </c>
      <c r="AA15" s="11">
        <v>0.89</v>
      </c>
      <c r="AB15" s="11">
        <v>0.87</v>
      </c>
      <c r="AC15" s="11">
        <v>0.85</v>
      </c>
      <c r="AD15" s="11">
        <v>0.82</v>
      </c>
      <c r="AE15" s="11">
        <v>0.79</v>
      </c>
      <c r="AF15" s="11">
        <v>0.77</v>
      </c>
      <c r="AG15" s="11">
        <v>0.74</v>
      </c>
      <c r="AH15" s="11">
        <v>0.71</v>
      </c>
      <c r="AI15" s="11">
        <v>0.69</v>
      </c>
      <c r="AJ15" s="11">
        <v>0.67</v>
      </c>
      <c r="AK15" s="11">
        <v>0.65</v>
      </c>
      <c r="AL15" s="11">
        <v>0.62</v>
      </c>
      <c r="AM15" s="11">
        <v>0.6</v>
      </c>
      <c r="AN15" s="11">
        <v>0.59</v>
      </c>
      <c r="AO15" s="11">
        <v>0.57999999999999996</v>
      </c>
      <c r="AP15" s="11">
        <v>0.57999999999999996</v>
      </c>
      <c r="AQ15" s="11">
        <v>0.56999999999999995</v>
      </c>
      <c r="AR15" s="11">
        <v>0.56000000000000005</v>
      </c>
      <c r="AS15" s="11">
        <v>0.56000000000000005</v>
      </c>
      <c r="AT15" s="11">
        <v>0.55000000000000004</v>
      </c>
      <c r="AU15" s="11">
        <v>0.55000000000000004</v>
      </c>
      <c r="AV15" s="11">
        <v>0.55000000000000004</v>
      </c>
      <c r="AW15" s="11">
        <v>0.55000000000000004</v>
      </c>
      <c r="AX15" s="8"/>
    </row>
    <row r="16" spans="1:50">
      <c r="A16" s="8"/>
      <c r="B16" s="15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 t="e">
        <v>#REF!</v>
      </c>
      <c r="R16" s="11">
        <v>1</v>
      </c>
      <c r="S16" s="11">
        <v>1.01</v>
      </c>
      <c r="T16" s="11">
        <v>0.99</v>
      </c>
      <c r="U16" s="11">
        <v>0.98</v>
      </c>
      <c r="V16" s="11">
        <v>0.97</v>
      </c>
      <c r="W16" s="11">
        <v>0.95</v>
      </c>
      <c r="X16" s="11">
        <v>0.94</v>
      </c>
      <c r="Y16" s="11">
        <v>0.93</v>
      </c>
      <c r="Z16" s="11">
        <v>0.91</v>
      </c>
      <c r="AA16" s="11">
        <v>0.9</v>
      </c>
      <c r="AB16" s="11">
        <v>0.89</v>
      </c>
      <c r="AC16" s="11">
        <v>0.87</v>
      </c>
      <c r="AD16" s="11">
        <v>0.86</v>
      </c>
      <c r="AE16" s="11">
        <v>0.85</v>
      </c>
      <c r="AF16" s="11">
        <v>0.83</v>
      </c>
      <c r="AG16" s="11">
        <v>0.82</v>
      </c>
      <c r="AH16" s="11">
        <v>0.8</v>
      </c>
      <c r="AI16" s="11">
        <v>0.79</v>
      </c>
      <c r="AJ16" s="11">
        <v>0.78</v>
      </c>
      <c r="AK16" s="11">
        <v>0.77</v>
      </c>
      <c r="AL16" s="11">
        <v>0.76</v>
      </c>
      <c r="AM16" s="11">
        <v>0.75</v>
      </c>
      <c r="AN16" s="11">
        <v>0.75</v>
      </c>
      <c r="AO16" s="11">
        <v>0.75</v>
      </c>
      <c r="AP16" s="11">
        <v>0.75</v>
      </c>
      <c r="AQ16" s="11">
        <v>0.75</v>
      </c>
      <c r="AR16" s="11">
        <v>0.75</v>
      </c>
      <c r="AS16" s="11">
        <v>0.76</v>
      </c>
      <c r="AT16" s="11">
        <v>0.76</v>
      </c>
      <c r="AU16" s="11">
        <v>0.76</v>
      </c>
      <c r="AV16" s="11">
        <v>0.76</v>
      </c>
      <c r="AW16" s="11">
        <v>0.77</v>
      </c>
      <c r="AX16" s="8"/>
    </row>
    <row r="17" spans="1:50">
      <c r="A17" s="8"/>
      <c r="B17" s="16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 t="e">
        <v>#REF!</v>
      </c>
      <c r="R17" s="8" t="e">
        <v>#N/A</v>
      </c>
      <c r="S17" s="8" t="e">
        <v>#N/A</v>
      </c>
      <c r="T17" s="8" t="e">
        <v>#N/A</v>
      </c>
      <c r="U17" s="8" t="e">
        <v>#N/A</v>
      </c>
      <c r="V17" s="8" t="e">
        <v>#N/A</v>
      </c>
      <c r="W17" s="8" t="e">
        <v>#N/A</v>
      </c>
      <c r="X17" s="8" t="e">
        <v>#N/A</v>
      </c>
      <c r="Y17" s="8" t="e">
        <v>#N/A</v>
      </c>
      <c r="Z17" s="8" t="e">
        <v>#N/A</v>
      </c>
      <c r="AA17" s="8" t="e">
        <v>#N/A</v>
      </c>
      <c r="AB17" s="8" t="e">
        <v>#N/A</v>
      </c>
      <c r="AC17" s="8" t="e">
        <v>#N/A</v>
      </c>
      <c r="AD17" s="8" t="e">
        <v>#N/A</v>
      </c>
      <c r="AE17" s="8" t="e">
        <v>#N/A</v>
      </c>
      <c r="AF17" s="8" t="e">
        <v>#N/A</v>
      </c>
      <c r="AG17" s="8" t="e">
        <v>#N/A</v>
      </c>
      <c r="AH17" s="8" t="e">
        <v>#N/A</v>
      </c>
      <c r="AI17" s="8" t="e">
        <v>#N/A</v>
      </c>
      <c r="AJ17" s="8" t="e">
        <v>#N/A</v>
      </c>
      <c r="AK17" s="8" t="e">
        <v>#N/A</v>
      </c>
      <c r="AL17" s="8" t="e">
        <v>#N/A</v>
      </c>
      <c r="AM17" s="8" t="e">
        <v>#N/A</v>
      </c>
      <c r="AN17" s="8" t="e">
        <v>#N/A</v>
      </c>
      <c r="AO17" s="8" t="e">
        <v>#N/A</v>
      </c>
      <c r="AP17" s="8" t="e">
        <v>#N/A</v>
      </c>
      <c r="AQ17" s="8" t="e">
        <v>#N/A</v>
      </c>
      <c r="AR17" s="8" t="e">
        <v>#N/A</v>
      </c>
      <c r="AS17" s="8" t="e">
        <v>#N/A</v>
      </c>
      <c r="AT17" s="8" t="e">
        <v>#N/A</v>
      </c>
      <c r="AU17" s="8" t="e">
        <v>#N/A</v>
      </c>
      <c r="AV17" s="8" t="e">
        <v>#N/A</v>
      </c>
      <c r="AW17" s="8" t="e">
        <v>#N/A</v>
      </c>
      <c r="AX17" s="8"/>
    </row>
    <row r="18" spans="1:50">
      <c r="A18" s="8"/>
      <c r="B18" s="17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 t="e">
        <v>#REF!</v>
      </c>
      <c r="R18" s="11">
        <v>1</v>
      </c>
      <c r="S18" s="11">
        <v>1</v>
      </c>
      <c r="T18" s="11">
        <v>0.99</v>
      </c>
      <c r="U18" s="11">
        <v>0.99</v>
      </c>
      <c r="V18" s="11">
        <v>0.98</v>
      </c>
      <c r="W18" s="11">
        <v>0.97</v>
      </c>
      <c r="X18" s="11">
        <v>0.96</v>
      </c>
      <c r="Y18" s="11">
        <v>0.94</v>
      </c>
      <c r="Z18" s="11">
        <v>0.92</v>
      </c>
      <c r="AA18" s="11">
        <v>0.89</v>
      </c>
      <c r="AB18" s="11">
        <v>0.87</v>
      </c>
      <c r="AC18" s="11">
        <v>0.85</v>
      </c>
      <c r="AD18" s="11">
        <v>0.82</v>
      </c>
      <c r="AE18" s="11">
        <v>0.8</v>
      </c>
      <c r="AF18" s="11">
        <v>0.77</v>
      </c>
      <c r="AG18" s="11">
        <v>0.75</v>
      </c>
      <c r="AH18" s="11">
        <v>0.72</v>
      </c>
      <c r="AI18" s="11">
        <v>0.7</v>
      </c>
      <c r="AJ18" s="11">
        <v>0.68</v>
      </c>
      <c r="AK18" s="11">
        <v>0.66</v>
      </c>
      <c r="AL18" s="11">
        <v>0.64</v>
      </c>
      <c r="AM18" s="11">
        <v>0.61</v>
      </c>
      <c r="AN18" s="11">
        <v>0.6</v>
      </c>
      <c r="AO18" s="11">
        <v>0.59</v>
      </c>
      <c r="AP18" s="11">
        <v>0.57999999999999996</v>
      </c>
      <c r="AQ18" s="11">
        <v>0.56999999999999995</v>
      </c>
      <c r="AR18" s="11">
        <v>0.56000000000000005</v>
      </c>
      <c r="AS18" s="11">
        <v>0.56000000000000005</v>
      </c>
      <c r="AT18" s="11">
        <v>0.55000000000000004</v>
      </c>
      <c r="AU18" s="11">
        <v>0.55000000000000004</v>
      </c>
      <c r="AV18" s="11">
        <v>0.55000000000000004</v>
      </c>
      <c r="AW18" s="11">
        <v>0.54</v>
      </c>
      <c r="AX18" s="8"/>
    </row>
    <row r="19" spans="1:50">
      <c r="A19" s="8"/>
      <c r="B19" s="13" t="s">
        <v>28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 t="e">
        <v>#REF!</v>
      </c>
      <c r="R19" s="11">
        <v>1</v>
      </c>
      <c r="S19" s="11">
        <v>1</v>
      </c>
      <c r="T19" s="11">
        <v>0.99</v>
      </c>
      <c r="U19" s="11">
        <v>0.99</v>
      </c>
      <c r="V19" s="11">
        <v>0.98</v>
      </c>
      <c r="W19" s="11">
        <v>0.97</v>
      </c>
      <c r="X19" s="11">
        <v>0.96</v>
      </c>
      <c r="Y19" s="11">
        <v>0.94</v>
      </c>
      <c r="Z19" s="11">
        <v>0.92</v>
      </c>
      <c r="AA19" s="11">
        <v>0.89</v>
      </c>
      <c r="AB19" s="11">
        <v>0.87</v>
      </c>
      <c r="AC19" s="11">
        <v>0.85</v>
      </c>
      <c r="AD19" s="11">
        <v>0.82</v>
      </c>
      <c r="AE19" s="11">
        <v>0.8</v>
      </c>
      <c r="AF19" s="11">
        <v>0.77</v>
      </c>
      <c r="AG19" s="11">
        <v>0.75</v>
      </c>
      <c r="AH19" s="11">
        <v>0.72</v>
      </c>
      <c r="AI19" s="11">
        <v>0.7</v>
      </c>
      <c r="AJ19" s="11">
        <v>0.68</v>
      </c>
      <c r="AK19" s="11">
        <v>0.66</v>
      </c>
      <c r="AL19" s="11">
        <v>0.64</v>
      </c>
      <c r="AM19" s="11">
        <v>0.61</v>
      </c>
      <c r="AN19" s="11">
        <v>0.6</v>
      </c>
      <c r="AO19" s="11">
        <v>0.59</v>
      </c>
      <c r="AP19" s="11">
        <v>0.57999999999999996</v>
      </c>
      <c r="AQ19" s="11">
        <v>0.56999999999999995</v>
      </c>
      <c r="AR19" s="11">
        <v>0.56000000000000005</v>
      </c>
      <c r="AS19" s="11">
        <v>0.56000000000000005</v>
      </c>
      <c r="AT19" s="11">
        <v>0.56000000000000005</v>
      </c>
      <c r="AU19" s="11">
        <v>0.55000000000000004</v>
      </c>
      <c r="AV19" s="11">
        <v>0.55000000000000004</v>
      </c>
      <c r="AW19" s="11">
        <v>0.54</v>
      </c>
      <c r="AX19" s="8"/>
    </row>
    <row r="20" spans="1:50">
      <c r="A20" s="8"/>
      <c r="B20" s="1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 t="e">
        <v>#REF!</v>
      </c>
      <c r="R20" s="8" t="e">
        <v>#N/A</v>
      </c>
      <c r="S20" s="8" t="e">
        <v>#N/A</v>
      </c>
      <c r="T20" s="8" t="e">
        <v>#N/A</v>
      </c>
      <c r="U20" s="8" t="e">
        <v>#N/A</v>
      </c>
      <c r="V20" s="8" t="e">
        <v>#N/A</v>
      </c>
      <c r="W20" s="8" t="e">
        <v>#N/A</v>
      </c>
      <c r="X20" s="8" t="e">
        <v>#N/A</v>
      </c>
      <c r="Y20" s="8" t="e">
        <v>#N/A</v>
      </c>
      <c r="Z20" s="8" t="e">
        <v>#N/A</v>
      </c>
      <c r="AA20" s="8" t="e">
        <v>#N/A</v>
      </c>
      <c r="AB20" s="8" t="e">
        <v>#N/A</v>
      </c>
      <c r="AC20" s="8" t="e">
        <v>#N/A</v>
      </c>
      <c r="AD20" s="8" t="e">
        <v>#N/A</v>
      </c>
      <c r="AE20" s="8" t="e">
        <v>#N/A</v>
      </c>
      <c r="AF20" s="8" t="e">
        <v>#N/A</v>
      </c>
      <c r="AG20" s="8" t="e">
        <v>#N/A</v>
      </c>
      <c r="AH20" s="8" t="e">
        <v>#N/A</v>
      </c>
      <c r="AI20" s="8" t="e">
        <v>#N/A</v>
      </c>
      <c r="AJ20" s="8" t="e">
        <v>#N/A</v>
      </c>
      <c r="AK20" s="8" t="e">
        <v>#N/A</v>
      </c>
      <c r="AL20" s="8" t="e">
        <v>#N/A</v>
      </c>
      <c r="AM20" s="8" t="e">
        <v>#N/A</v>
      </c>
      <c r="AN20" s="8" t="e">
        <v>#N/A</v>
      </c>
      <c r="AO20" s="8" t="e">
        <v>#N/A</v>
      </c>
      <c r="AP20" s="8" t="e">
        <v>#N/A</v>
      </c>
      <c r="AQ20" s="8" t="e">
        <v>#N/A</v>
      </c>
      <c r="AR20" s="8" t="e">
        <v>#N/A</v>
      </c>
      <c r="AS20" s="8" t="e">
        <v>#N/A</v>
      </c>
      <c r="AT20" s="8" t="e">
        <v>#N/A</v>
      </c>
      <c r="AU20" s="8" t="e">
        <v>#N/A</v>
      </c>
      <c r="AV20" s="8" t="e">
        <v>#N/A</v>
      </c>
      <c r="AW20" s="8" t="e">
        <v>#N/A</v>
      </c>
      <c r="AX20" s="8"/>
    </row>
    <row r="21" spans="1:50">
      <c r="A21" s="8"/>
      <c r="B21" s="19" t="s">
        <v>28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 t="e">
        <v>#REF!</v>
      </c>
      <c r="R21" s="8" t="e">
        <v>#N/A</v>
      </c>
      <c r="S21" s="8" t="e">
        <v>#N/A</v>
      </c>
      <c r="T21" s="8" t="e">
        <v>#N/A</v>
      </c>
      <c r="U21" s="8" t="e">
        <v>#N/A</v>
      </c>
      <c r="V21" s="8" t="e">
        <v>#N/A</v>
      </c>
      <c r="W21" s="8" t="e">
        <v>#N/A</v>
      </c>
      <c r="X21" s="8" t="e">
        <v>#N/A</v>
      </c>
      <c r="Y21" s="8" t="e">
        <v>#N/A</v>
      </c>
      <c r="Z21" s="8" t="e">
        <v>#N/A</v>
      </c>
      <c r="AA21" s="8" t="e">
        <v>#N/A</v>
      </c>
      <c r="AB21" s="8" t="e">
        <v>#N/A</v>
      </c>
      <c r="AC21" s="8" t="e">
        <v>#N/A</v>
      </c>
      <c r="AD21" s="8" t="e">
        <v>#N/A</v>
      </c>
      <c r="AE21" s="8" t="e">
        <v>#N/A</v>
      </c>
      <c r="AF21" s="8" t="e">
        <v>#N/A</v>
      </c>
      <c r="AG21" s="8" t="e">
        <v>#N/A</v>
      </c>
      <c r="AH21" s="8" t="e">
        <v>#N/A</v>
      </c>
      <c r="AI21" s="8" t="e">
        <v>#N/A</v>
      </c>
      <c r="AJ21" s="8" t="e">
        <v>#N/A</v>
      </c>
      <c r="AK21" s="8" t="e">
        <v>#N/A</v>
      </c>
      <c r="AL21" s="8" t="e">
        <v>#N/A</v>
      </c>
      <c r="AM21" s="8" t="e">
        <v>#N/A</v>
      </c>
      <c r="AN21" s="8" t="e">
        <v>#N/A</v>
      </c>
      <c r="AO21" s="8" t="e">
        <v>#N/A</v>
      </c>
      <c r="AP21" s="8" t="e">
        <v>#N/A</v>
      </c>
      <c r="AQ21" s="8" t="e">
        <v>#N/A</v>
      </c>
      <c r="AR21" s="8" t="e">
        <v>#N/A</v>
      </c>
      <c r="AS21" s="8" t="e">
        <v>#N/A</v>
      </c>
      <c r="AT21" s="8" t="e">
        <v>#N/A</v>
      </c>
      <c r="AU21" s="8" t="e">
        <v>#N/A</v>
      </c>
      <c r="AV21" s="8" t="e">
        <v>#N/A</v>
      </c>
      <c r="AW21" s="8" t="e">
        <v>#N/A</v>
      </c>
      <c r="AX21" s="8"/>
    </row>
    <row r="22" spans="1:50">
      <c r="A22" s="8"/>
      <c r="B22" s="20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 t="e">
        <v>#REF!</v>
      </c>
      <c r="R22" s="11">
        <v>1</v>
      </c>
      <c r="S22" s="11">
        <v>1</v>
      </c>
      <c r="T22" s="11">
        <v>0.99</v>
      </c>
      <c r="U22" s="11">
        <v>0.98</v>
      </c>
      <c r="V22" s="11">
        <v>0.98</v>
      </c>
      <c r="W22" s="11">
        <v>0.97</v>
      </c>
      <c r="X22" s="11">
        <v>0.96</v>
      </c>
      <c r="Y22" s="11">
        <v>0.94</v>
      </c>
      <c r="Z22" s="11">
        <v>0.92</v>
      </c>
      <c r="AA22" s="11">
        <v>0.89</v>
      </c>
      <c r="AB22" s="11">
        <v>0.87</v>
      </c>
      <c r="AC22" s="11">
        <v>0.85</v>
      </c>
      <c r="AD22" s="11">
        <v>0.82</v>
      </c>
      <c r="AE22" s="11">
        <v>0.8</v>
      </c>
      <c r="AF22" s="11">
        <v>0.77</v>
      </c>
      <c r="AG22" s="11">
        <v>0.75</v>
      </c>
      <c r="AH22" s="11">
        <v>0.73</v>
      </c>
      <c r="AI22" s="11">
        <v>0.7</v>
      </c>
      <c r="AJ22" s="11">
        <v>0.68</v>
      </c>
      <c r="AK22" s="11">
        <v>0.66</v>
      </c>
      <c r="AL22" s="11">
        <v>0.64</v>
      </c>
      <c r="AM22" s="11">
        <v>0.62</v>
      </c>
      <c r="AN22" s="11">
        <v>0.6</v>
      </c>
      <c r="AO22" s="11">
        <v>0.59</v>
      </c>
      <c r="AP22" s="11">
        <v>0.57999999999999996</v>
      </c>
      <c r="AQ22" s="11">
        <v>0.56999999999999995</v>
      </c>
      <c r="AR22" s="11">
        <v>0.56000000000000005</v>
      </c>
      <c r="AS22" s="11">
        <v>0.56000000000000005</v>
      </c>
      <c r="AT22" s="11">
        <v>0.55000000000000004</v>
      </c>
      <c r="AU22" s="11">
        <v>0.55000000000000004</v>
      </c>
      <c r="AV22" s="11">
        <v>0.54</v>
      </c>
      <c r="AW22" s="11">
        <v>0.54</v>
      </c>
      <c r="AX22" s="8"/>
    </row>
    <row r="23" spans="1:50">
      <c r="A23" s="8"/>
      <c r="B23" s="21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 t="e">
        <v>#REF!</v>
      </c>
      <c r="R23" s="11">
        <v>1</v>
      </c>
      <c r="S23" s="11">
        <v>1</v>
      </c>
      <c r="T23" s="11">
        <v>0.99</v>
      </c>
      <c r="U23" s="11">
        <v>0.99</v>
      </c>
      <c r="V23" s="11">
        <v>0.98</v>
      </c>
      <c r="W23" s="11">
        <v>0.97</v>
      </c>
      <c r="X23" s="11">
        <v>0.96</v>
      </c>
      <c r="Y23" s="11">
        <v>0.94</v>
      </c>
      <c r="Z23" s="11">
        <v>0.92</v>
      </c>
      <c r="AA23" s="11">
        <v>0.89</v>
      </c>
      <c r="AB23" s="11">
        <v>0.87</v>
      </c>
      <c r="AC23" s="11">
        <v>0.84</v>
      </c>
      <c r="AD23" s="11">
        <v>0.82</v>
      </c>
      <c r="AE23" s="11">
        <v>0.79</v>
      </c>
      <c r="AF23" s="11">
        <v>0.77</v>
      </c>
      <c r="AG23" s="11">
        <v>0.74</v>
      </c>
      <c r="AH23" s="11">
        <v>0.71</v>
      </c>
      <c r="AI23" s="11">
        <v>0.69</v>
      </c>
      <c r="AJ23" s="11">
        <v>0.67</v>
      </c>
      <c r="AK23" s="11">
        <v>0.65</v>
      </c>
      <c r="AL23" s="11">
        <v>0.63</v>
      </c>
      <c r="AM23" s="11">
        <v>0.6</v>
      </c>
      <c r="AN23" s="11">
        <v>0.6</v>
      </c>
      <c r="AO23" s="11">
        <v>0.59</v>
      </c>
      <c r="AP23" s="11">
        <v>0.57999999999999996</v>
      </c>
      <c r="AQ23" s="11">
        <v>0.56999999999999995</v>
      </c>
      <c r="AR23" s="11">
        <v>0.56000000000000005</v>
      </c>
      <c r="AS23" s="11">
        <v>0.56000000000000005</v>
      </c>
      <c r="AT23" s="11">
        <v>0.56000000000000005</v>
      </c>
      <c r="AU23" s="11">
        <v>0.55000000000000004</v>
      </c>
      <c r="AV23" s="11">
        <v>0.55000000000000004</v>
      </c>
      <c r="AW23" s="11">
        <v>0.55000000000000004</v>
      </c>
      <c r="AX23" s="8"/>
    </row>
    <row r="24" spans="1:50">
      <c r="A24" s="8"/>
      <c r="B24" s="22" t="s">
        <v>28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 t="e">
        <v>#REF!</v>
      </c>
      <c r="R24" s="8" t="e">
        <v>#N/A</v>
      </c>
      <c r="S24" s="8" t="e">
        <v>#N/A</v>
      </c>
      <c r="T24" s="8" t="e">
        <v>#N/A</v>
      </c>
      <c r="U24" s="8" t="e">
        <v>#N/A</v>
      </c>
      <c r="V24" s="8" t="e">
        <v>#N/A</v>
      </c>
      <c r="W24" s="8" t="e">
        <v>#N/A</v>
      </c>
      <c r="X24" s="8" t="e">
        <v>#N/A</v>
      </c>
      <c r="Y24" s="8" t="e">
        <v>#N/A</v>
      </c>
      <c r="Z24" s="8" t="e">
        <v>#N/A</v>
      </c>
      <c r="AA24" s="8" t="e">
        <v>#N/A</v>
      </c>
      <c r="AB24" s="8" t="e">
        <v>#N/A</v>
      </c>
      <c r="AC24" s="8" t="e">
        <v>#N/A</v>
      </c>
      <c r="AD24" s="8" t="e">
        <v>#N/A</v>
      </c>
      <c r="AE24" s="8" t="e">
        <v>#N/A</v>
      </c>
      <c r="AF24" s="8" t="e">
        <v>#N/A</v>
      </c>
      <c r="AG24" s="8" t="e">
        <v>#N/A</v>
      </c>
      <c r="AH24" s="8" t="e">
        <v>#N/A</v>
      </c>
      <c r="AI24" s="8" t="e">
        <v>#N/A</v>
      </c>
      <c r="AJ24" s="8" t="e">
        <v>#N/A</v>
      </c>
      <c r="AK24" s="8" t="e">
        <v>#N/A</v>
      </c>
      <c r="AL24" s="8" t="e">
        <v>#N/A</v>
      </c>
      <c r="AM24" s="8" t="e">
        <v>#N/A</v>
      </c>
      <c r="AN24" s="8" t="e">
        <v>#N/A</v>
      </c>
      <c r="AO24" s="8" t="e">
        <v>#N/A</v>
      </c>
      <c r="AP24" s="8" t="e">
        <v>#N/A</v>
      </c>
      <c r="AQ24" s="8" t="e">
        <v>#N/A</v>
      </c>
      <c r="AR24" s="8" t="e">
        <v>#N/A</v>
      </c>
      <c r="AS24" s="8" t="e">
        <v>#N/A</v>
      </c>
      <c r="AT24" s="8" t="e">
        <v>#N/A</v>
      </c>
      <c r="AU24" s="8" t="e">
        <v>#N/A</v>
      </c>
      <c r="AV24" s="8" t="e">
        <v>#N/A</v>
      </c>
      <c r="AW24" s="8" t="e">
        <v>#N/A</v>
      </c>
      <c r="AX24" s="8"/>
    </row>
    <row r="25" spans="1:50">
      <c r="A25" s="8"/>
      <c r="B25" s="23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 t="e">
        <v>#REF!</v>
      </c>
      <c r="R25" s="11">
        <v>1</v>
      </c>
      <c r="S25" s="11">
        <v>1</v>
      </c>
      <c r="T25" s="11">
        <v>0.99</v>
      </c>
      <c r="U25" s="11">
        <v>0.99</v>
      </c>
      <c r="V25" s="11">
        <v>0.98</v>
      </c>
      <c r="W25" s="11">
        <v>0.97</v>
      </c>
      <c r="X25" s="11">
        <v>0.96</v>
      </c>
      <c r="Y25" s="11">
        <v>0.94</v>
      </c>
      <c r="Z25" s="11">
        <v>0.92</v>
      </c>
      <c r="AA25" s="11">
        <v>0.89</v>
      </c>
      <c r="AB25" s="11">
        <v>0.87</v>
      </c>
      <c r="AC25" s="11">
        <v>0.85</v>
      </c>
      <c r="AD25" s="11">
        <v>0.83</v>
      </c>
      <c r="AE25" s="11">
        <v>0.81</v>
      </c>
      <c r="AF25" s="11">
        <v>0.8</v>
      </c>
      <c r="AG25" s="11">
        <v>0.78</v>
      </c>
      <c r="AH25" s="11">
        <v>0.76</v>
      </c>
      <c r="AI25" s="11">
        <v>0.74</v>
      </c>
      <c r="AJ25" s="11">
        <v>0.72</v>
      </c>
      <c r="AK25" s="11">
        <v>0.7</v>
      </c>
      <c r="AL25" s="11">
        <v>0.68</v>
      </c>
      <c r="AM25" s="11">
        <v>0.66</v>
      </c>
      <c r="AN25" s="11">
        <v>0.65</v>
      </c>
      <c r="AO25" s="11">
        <v>0.64</v>
      </c>
      <c r="AP25" s="11">
        <v>0.63</v>
      </c>
      <c r="AQ25" s="11">
        <v>0.62</v>
      </c>
      <c r="AR25" s="11">
        <v>0.61</v>
      </c>
      <c r="AS25" s="11">
        <v>0.61</v>
      </c>
      <c r="AT25" s="11">
        <v>0.61</v>
      </c>
      <c r="AU25" s="11">
        <v>0.61</v>
      </c>
      <c r="AV25" s="11">
        <v>0.61</v>
      </c>
      <c r="AW25" s="11">
        <v>0.6</v>
      </c>
      <c r="AX25" s="8"/>
    </row>
    <row r="26" spans="1:50">
      <c r="A26" s="8"/>
      <c r="B26" s="24"/>
      <c r="C26" s="8"/>
      <c r="D26" s="8"/>
      <c r="E26" s="12" t="s">
        <v>29</v>
      </c>
      <c r="F26" s="12"/>
      <c r="G26" s="8"/>
      <c r="H26" s="8"/>
      <c r="I26" s="8"/>
      <c r="J26" s="8"/>
      <c r="K26" s="8"/>
      <c r="L26" s="8"/>
      <c r="M26" s="8"/>
      <c r="N26" s="8"/>
      <c r="O26" s="8"/>
      <c r="P26" s="8"/>
      <c r="Q26" s="8" t="e">
        <v>#REF!</v>
      </c>
      <c r="R26" s="11">
        <v>1</v>
      </c>
      <c r="S26" s="11">
        <v>1</v>
      </c>
      <c r="T26" s="11">
        <v>0.99</v>
      </c>
      <c r="U26" s="11">
        <v>0.99</v>
      </c>
      <c r="V26" s="11">
        <v>0.98</v>
      </c>
      <c r="W26" s="11">
        <v>0.97</v>
      </c>
      <c r="X26" s="11">
        <v>0.96</v>
      </c>
      <c r="Y26" s="11">
        <v>0.94</v>
      </c>
      <c r="Z26" s="11">
        <v>0.92</v>
      </c>
      <c r="AA26" s="11">
        <v>0.89</v>
      </c>
      <c r="AB26" s="11">
        <v>0.87</v>
      </c>
      <c r="AC26" s="11">
        <v>0.85</v>
      </c>
      <c r="AD26" s="11">
        <v>0.83</v>
      </c>
      <c r="AE26" s="11">
        <v>0.81</v>
      </c>
      <c r="AF26" s="11">
        <v>0.8</v>
      </c>
      <c r="AG26" s="11">
        <v>0.78</v>
      </c>
      <c r="AH26" s="11">
        <v>0.76</v>
      </c>
      <c r="AI26" s="11">
        <v>0.74</v>
      </c>
      <c r="AJ26" s="11">
        <v>0.72</v>
      </c>
      <c r="AK26" s="11">
        <v>0.7</v>
      </c>
      <c r="AL26" s="11">
        <v>0.68</v>
      </c>
      <c r="AM26" s="11">
        <v>0.66</v>
      </c>
      <c r="AN26" s="11">
        <v>0.65</v>
      </c>
      <c r="AO26" s="11">
        <v>0.64</v>
      </c>
      <c r="AP26" s="11">
        <v>0.63</v>
      </c>
      <c r="AQ26" s="11">
        <v>0.62</v>
      </c>
      <c r="AR26" s="11">
        <v>0.61</v>
      </c>
      <c r="AS26" s="11">
        <v>0.61</v>
      </c>
      <c r="AT26" s="11">
        <v>0.61</v>
      </c>
      <c r="AU26" s="11">
        <v>0.61</v>
      </c>
      <c r="AV26" s="11">
        <v>0.61</v>
      </c>
      <c r="AW26" s="11">
        <v>0.6</v>
      </c>
      <c r="AX26" s="8"/>
    </row>
    <row r="27" spans="1:50">
      <c r="A27" s="8"/>
      <c r="B27" s="25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 t="e">
        <v>#REF!</v>
      </c>
      <c r="R27" s="11">
        <v>1</v>
      </c>
      <c r="S27" s="11">
        <v>1.01</v>
      </c>
      <c r="T27" s="11">
        <v>0.99</v>
      </c>
      <c r="U27" s="11">
        <v>0.98</v>
      </c>
      <c r="V27" s="11">
        <v>0.96</v>
      </c>
      <c r="W27" s="11">
        <v>0.95</v>
      </c>
      <c r="X27" s="11">
        <v>0.94</v>
      </c>
      <c r="Y27" s="11">
        <v>0.92</v>
      </c>
      <c r="Z27" s="11">
        <v>0.91</v>
      </c>
      <c r="AA27" s="11">
        <v>0.89</v>
      </c>
      <c r="AB27" s="11">
        <v>0.88</v>
      </c>
      <c r="AC27" s="11">
        <v>0.87</v>
      </c>
      <c r="AD27" s="11">
        <v>0.85</v>
      </c>
      <c r="AE27" s="11">
        <v>0.84</v>
      </c>
      <c r="AF27" s="11">
        <v>0.82</v>
      </c>
      <c r="AG27" s="11">
        <v>0.81</v>
      </c>
      <c r="AH27" s="11">
        <v>0.79</v>
      </c>
      <c r="AI27" s="11">
        <v>0.78</v>
      </c>
      <c r="AJ27" s="11">
        <v>0.78</v>
      </c>
      <c r="AK27" s="11">
        <v>0.77</v>
      </c>
      <c r="AL27" s="11">
        <v>0.76</v>
      </c>
      <c r="AM27" s="11">
        <v>0.75</v>
      </c>
      <c r="AN27" s="11">
        <v>0.75</v>
      </c>
      <c r="AO27" s="11">
        <v>0.75</v>
      </c>
      <c r="AP27" s="11">
        <v>0.75</v>
      </c>
      <c r="AQ27" s="11">
        <v>0.75</v>
      </c>
      <c r="AR27" s="11">
        <v>0.75</v>
      </c>
      <c r="AS27" s="11">
        <v>0.75</v>
      </c>
      <c r="AT27" s="11">
        <v>0.75</v>
      </c>
      <c r="AU27" s="11">
        <v>0.76</v>
      </c>
      <c r="AV27" s="11">
        <v>0.76</v>
      </c>
      <c r="AW27" s="11">
        <v>0.76</v>
      </c>
      <c r="AX27" s="8"/>
    </row>
    <row r="28" spans="1:50">
      <c r="A28" s="8"/>
      <c r="B28" s="26"/>
      <c r="C28" s="8"/>
      <c r="D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 t="e">
        <v>#REF!</v>
      </c>
      <c r="R28" s="8" t="e">
        <v>#N/A</v>
      </c>
      <c r="S28" s="8" t="e">
        <v>#N/A</v>
      </c>
      <c r="T28" s="8" t="e">
        <v>#N/A</v>
      </c>
      <c r="U28" s="8" t="e">
        <v>#N/A</v>
      </c>
      <c r="V28" s="8" t="e">
        <v>#N/A</v>
      </c>
      <c r="W28" s="8" t="e">
        <v>#N/A</v>
      </c>
      <c r="X28" s="8" t="e">
        <v>#N/A</v>
      </c>
      <c r="Y28" s="8" t="e">
        <v>#N/A</v>
      </c>
      <c r="Z28" s="8" t="e">
        <v>#N/A</v>
      </c>
      <c r="AA28" s="8" t="e">
        <v>#N/A</v>
      </c>
      <c r="AB28" s="8" t="e">
        <v>#N/A</v>
      </c>
      <c r="AC28" s="8" t="e">
        <v>#N/A</v>
      </c>
      <c r="AD28" s="8" t="e">
        <v>#N/A</v>
      </c>
      <c r="AE28" s="8" t="e">
        <v>#N/A</v>
      </c>
      <c r="AF28" s="8" t="e">
        <v>#N/A</v>
      </c>
      <c r="AG28" s="8" t="e">
        <v>#N/A</v>
      </c>
      <c r="AH28" s="8" t="e">
        <v>#N/A</v>
      </c>
      <c r="AI28" s="8" t="e">
        <v>#N/A</v>
      </c>
      <c r="AJ28" s="8" t="e">
        <v>#N/A</v>
      </c>
      <c r="AK28" s="8" t="e">
        <v>#N/A</v>
      </c>
      <c r="AL28" s="8" t="e">
        <v>#N/A</v>
      </c>
      <c r="AM28" s="8" t="e">
        <v>#N/A</v>
      </c>
      <c r="AN28" s="8" t="e">
        <v>#N/A</v>
      </c>
      <c r="AO28" s="8" t="e">
        <v>#N/A</v>
      </c>
      <c r="AP28" s="8" t="e">
        <v>#N/A</v>
      </c>
      <c r="AQ28" s="8" t="e">
        <v>#N/A</v>
      </c>
      <c r="AR28" s="8" t="e">
        <v>#N/A</v>
      </c>
      <c r="AS28" s="8" t="e">
        <v>#N/A</v>
      </c>
      <c r="AT28" s="8" t="e">
        <v>#N/A</v>
      </c>
      <c r="AU28" s="8" t="e">
        <v>#N/A</v>
      </c>
      <c r="AV28" s="8" t="e">
        <v>#N/A</v>
      </c>
      <c r="AW28" s="8" t="e">
        <v>#N/A</v>
      </c>
      <c r="AX28" s="8"/>
    </row>
    <row r="29" spans="1:50">
      <c r="A29" s="8"/>
      <c r="B29" s="2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 t="e">
        <v>#REF!</v>
      </c>
      <c r="R29" s="8" t="e">
        <v>#N/A</v>
      </c>
      <c r="S29" s="8" t="e">
        <v>#N/A</v>
      </c>
      <c r="T29" s="8" t="e">
        <v>#N/A</v>
      </c>
      <c r="U29" s="8" t="e">
        <v>#N/A</v>
      </c>
      <c r="V29" s="8" t="e">
        <v>#N/A</v>
      </c>
      <c r="W29" s="8" t="e">
        <v>#N/A</v>
      </c>
      <c r="X29" s="8" t="e">
        <v>#N/A</v>
      </c>
      <c r="Y29" s="8" t="e">
        <v>#N/A</v>
      </c>
      <c r="Z29" s="8" t="e">
        <v>#N/A</v>
      </c>
      <c r="AA29" s="8" t="e">
        <v>#N/A</v>
      </c>
      <c r="AB29" s="8" t="e">
        <v>#N/A</v>
      </c>
      <c r="AC29" s="8" t="e">
        <v>#N/A</v>
      </c>
      <c r="AD29" s="8" t="e">
        <v>#N/A</v>
      </c>
      <c r="AE29" s="8" t="e">
        <v>#N/A</v>
      </c>
      <c r="AF29" s="8" t="e">
        <v>#N/A</v>
      </c>
      <c r="AG29" s="8" t="e">
        <v>#N/A</v>
      </c>
      <c r="AH29" s="8" t="e">
        <v>#N/A</v>
      </c>
      <c r="AI29" s="8" t="e">
        <v>#N/A</v>
      </c>
      <c r="AJ29" s="8" t="e">
        <v>#N/A</v>
      </c>
      <c r="AK29" s="8" t="e">
        <v>#N/A</v>
      </c>
      <c r="AL29" s="8" t="e">
        <v>#N/A</v>
      </c>
      <c r="AM29" s="8" t="e">
        <v>#N/A</v>
      </c>
      <c r="AN29" s="8" t="e">
        <v>#N/A</v>
      </c>
      <c r="AO29" s="8" t="e">
        <v>#N/A</v>
      </c>
      <c r="AP29" s="8" t="e">
        <v>#N/A</v>
      </c>
      <c r="AQ29" s="8" t="e">
        <v>#N/A</v>
      </c>
      <c r="AR29" s="8" t="e">
        <v>#N/A</v>
      </c>
      <c r="AS29" s="8" t="e">
        <v>#N/A</v>
      </c>
      <c r="AT29" s="8" t="e">
        <v>#N/A</v>
      </c>
      <c r="AU29" s="8" t="e">
        <v>#N/A</v>
      </c>
      <c r="AV29" s="8" t="e">
        <v>#N/A</v>
      </c>
      <c r="AW29" s="8" t="e">
        <v>#N/A</v>
      </c>
      <c r="AX29" s="8"/>
    </row>
    <row r="30" spans="1:5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 t="e">
        <v>#REF!</v>
      </c>
      <c r="R30" s="11">
        <v>1</v>
      </c>
      <c r="S30" s="11">
        <v>1</v>
      </c>
      <c r="T30" s="11">
        <v>0.99</v>
      </c>
      <c r="U30" s="11">
        <v>0.99</v>
      </c>
      <c r="V30" s="11">
        <v>0.98</v>
      </c>
      <c r="W30" s="11">
        <v>0.97</v>
      </c>
      <c r="X30" s="11">
        <v>0.96</v>
      </c>
      <c r="Y30" s="11">
        <v>0.94</v>
      </c>
      <c r="Z30" s="11">
        <v>0.92</v>
      </c>
      <c r="AA30" s="11">
        <v>0.89</v>
      </c>
      <c r="AB30" s="11">
        <v>0.87</v>
      </c>
      <c r="AC30" s="11">
        <v>0.85</v>
      </c>
      <c r="AD30" s="11">
        <v>0.83</v>
      </c>
      <c r="AE30" s="11">
        <v>0.81</v>
      </c>
      <c r="AF30" s="11">
        <v>0.8</v>
      </c>
      <c r="AG30" s="11">
        <v>0.78</v>
      </c>
      <c r="AH30" s="11">
        <v>0.76</v>
      </c>
      <c r="AI30" s="11">
        <v>0.74</v>
      </c>
      <c r="AJ30" s="11">
        <v>0.72</v>
      </c>
      <c r="AK30" s="11">
        <v>0.7</v>
      </c>
      <c r="AL30" s="11">
        <v>0.68</v>
      </c>
      <c r="AM30" s="11">
        <v>0.65</v>
      </c>
      <c r="AN30" s="11">
        <v>0.65</v>
      </c>
      <c r="AO30" s="11">
        <v>0.64</v>
      </c>
      <c r="AP30" s="11">
        <v>0.63</v>
      </c>
      <c r="AQ30" s="11">
        <v>0.62</v>
      </c>
      <c r="AR30" s="11">
        <v>0.61</v>
      </c>
      <c r="AS30" s="11">
        <v>0.61</v>
      </c>
      <c r="AT30" s="11">
        <v>0.6</v>
      </c>
      <c r="AU30" s="11">
        <v>0.6</v>
      </c>
      <c r="AV30" s="11">
        <v>0.6</v>
      </c>
      <c r="AW30" s="11">
        <v>0.59</v>
      </c>
      <c r="AX30" s="8"/>
    </row>
    <row r="31" spans="1:50">
      <c r="A31" s="9" t="s">
        <v>30</v>
      </c>
      <c r="B31" s="8" t="s">
        <v>31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 t="e">
        <v>#REF!</v>
      </c>
      <c r="R31" s="11">
        <v>1</v>
      </c>
      <c r="S31" s="11">
        <v>1</v>
      </c>
      <c r="T31" s="11">
        <v>0.99</v>
      </c>
      <c r="U31" s="11">
        <v>0.99</v>
      </c>
      <c r="V31" s="11">
        <v>0.98</v>
      </c>
      <c r="W31" s="11">
        <v>0.97</v>
      </c>
      <c r="X31" s="11">
        <v>0.96</v>
      </c>
      <c r="Y31" s="11">
        <v>0.94</v>
      </c>
      <c r="Z31" s="11">
        <v>0.92</v>
      </c>
      <c r="AA31" s="11">
        <v>0.89</v>
      </c>
      <c r="AB31" s="11">
        <v>0.87</v>
      </c>
      <c r="AC31" s="11">
        <v>0.85</v>
      </c>
      <c r="AD31" s="11">
        <v>0.83</v>
      </c>
      <c r="AE31" s="11">
        <v>0.8</v>
      </c>
      <c r="AF31" s="11">
        <v>0.78</v>
      </c>
      <c r="AG31" s="11">
        <v>0.76</v>
      </c>
      <c r="AH31" s="11">
        <v>0.73</v>
      </c>
      <c r="AI31" s="11">
        <v>0.71</v>
      </c>
      <c r="AJ31" s="11">
        <v>0.69</v>
      </c>
      <c r="AK31" s="11">
        <v>0.66</v>
      </c>
      <c r="AL31" s="11">
        <v>0.64</v>
      </c>
      <c r="AM31" s="11">
        <v>0.62</v>
      </c>
      <c r="AN31" s="11">
        <v>0.61</v>
      </c>
      <c r="AO31" s="11">
        <v>0.6</v>
      </c>
      <c r="AP31" s="11">
        <v>0.6</v>
      </c>
      <c r="AQ31" s="11">
        <v>0.59</v>
      </c>
      <c r="AR31" s="11">
        <v>0.59</v>
      </c>
      <c r="AS31" s="11">
        <v>0.57999999999999996</v>
      </c>
      <c r="AT31" s="11">
        <v>0.57999999999999996</v>
      </c>
      <c r="AU31" s="11">
        <v>0.57999999999999996</v>
      </c>
      <c r="AV31" s="11">
        <v>0.57999999999999996</v>
      </c>
      <c r="AW31" s="11">
        <v>0.57999999999999996</v>
      </c>
      <c r="AX31" s="8"/>
    </row>
    <row r="32" spans="1:50">
      <c r="A32" s="9" t="s">
        <v>32</v>
      </c>
      <c r="B32" s="8" t="s">
        <v>33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 t="e">
        <v>#REF!</v>
      </c>
      <c r="R32" s="11">
        <v>1</v>
      </c>
      <c r="S32" s="11">
        <v>1</v>
      </c>
      <c r="T32" s="11">
        <v>0.99</v>
      </c>
      <c r="U32" s="11">
        <v>0.99</v>
      </c>
      <c r="V32" s="11">
        <v>0.98</v>
      </c>
      <c r="W32" s="11">
        <v>0.97</v>
      </c>
      <c r="X32" s="11">
        <v>0.96</v>
      </c>
      <c r="Y32" s="11">
        <v>0.94</v>
      </c>
      <c r="Z32" s="11">
        <v>0.92</v>
      </c>
      <c r="AA32" s="11">
        <v>0.89</v>
      </c>
      <c r="AB32" s="11">
        <v>0.87</v>
      </c>
      <c r="AC32" s="11">
        <v>0.85</v>
      </c>
      <c r="AD32" s="11">
        <v>0.82</v>
      </c>
      <c r="AE32" s="11">
        <v>0.79</v>
      </c>
      <c r="AF32" s="11">
        <v>0.76</v>
      </c>
      <c r="AG32" s="11">
        <v>0.73</v>
      </c>
      <c r="AH32" s="11">
        <v>0.7</v>
      </c>
      <c r="AI32" s="11">
        <v>0.68</v>
      </c>
      <c r="AJ32" s="11">
        <v>0.66</v>
      </c>
      <c r="AK32" s="11">
        <v>0.64</v>
      </c>
      <c r="AL32" s="11">
        <v>0.62</v>
      </c>
      <c r="AM32" s="11">
        <v>0.6</v>
      </c>
      <c r="AN32" s="11">
        <v>0.6</v>
      </c>
      <c r="AO32" s="11">
        <v>0.6</v>
      </c>
      <c r="AP32" s="11">
        <v>0.59</v>
      </c>
      <c r="AQ32" s="11">
        <v>0.59</v>
      </c>
      <c r="AR32" s="11">
        <v>0.59</v>
      </c>
      <c r="AS32" s="11">
        <v>0.59</v>
      </c>
      <c r="AT32" s="11">
        <v>0.59</v>
      </c>
      <c r="AU32" s="11">
        <v>0.6</v>
      </c>
      <c r="AV32" s="11">
        <v>0.6</v>
      </c>
      <c r="AW32" s="11">
        <v>0.6</v>
      </c>
      <c r="AX32" s="8"/>
    </row>
    <row r="33" spans="1:50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 t="e">
        <v>#REF!</v>
      </c>
      <c r="R33" s="11">
        <v>1</v>
      </c>
      <c r="S33" s="11">
        <v>1</v>
      </c>
      <c r="T33" s="11">
        <v>0.99</v>
      </c>
      <c r="U33" s="11">
        <v>0.99</v>
      </c>
      <c r="V33" s="11">
        <v>0.98</v>
      </c>
      <c r="W33" s="11">
        <v>0.97</v>
      </c>
      <c r="X33" s="11">
        <v>0.97</v>
      </c>
      <c r="Y33" s="11">
        <v>0.96</v>
      </c>
      <c r="Z33" s="11">
        <v>0.95</v>
      </c>
      <c r="AA33" s="11">
        <v>0.94</v>
      </c>
      <c r="AB33" s="11">
        <v>0.94</v>
      </c>
      <c r="AC33" s="11">
        <v>0.93</v>
      </c>
      <c r="AD33" s="11">
        <v>0.92</v>
      </c>
      <c r="AE33" s="11">
        <v>0.9</v>
      </c>
      <c r="AF33" s="11">
        <v>0.89</v>
      </c>
      <c r="AG33" s="11">
        <v>0.88</v>
      </c>
      <c r="AH33" s="11">
        <v>0.87</v>
      </c>
      <c r="AI33" s="11">
        <v>0.85</v>
      </c>
      <c r="AJ33" s="11">
        <v>0.83</v>
      </c>
      <c r="AK33" s="11">
        <v>0.81</v>
      </c>
      <c r="AL33" s="11">
        <v>0.8</v>
      </c>
      <c r="AM33" s="11">
        <v>0.78</v>
      </c>
      <c r="AN33" s="11">
        <v>0.77</v>
      </c>
      <c r="AO33" s="11">
        <v>0.76</v>
      </c>
      <c r="AP33" s="11">
        <v>0.76</v>
      </c>
      <c r="AQ33" s="11">
        <v>0.75</v>
      </c>
      <c r="AR33" s="11">
        <v>0.74</v>
      </c>
      <c r="AS33" s="11">
        <v>0.74</v>
      </c>
      <c r="AT33" s="11">
        <v>0.73</v>
      </c>
      <c r="AU33" s="11">
        <v>0.72</v>
      </c>
      <c r="AV33" s="11">
        <v>0.72</v>
      </c>
      <c r="AW33" s="11">
        <v>0.71</v>
      </c>
      <c r="AX33" s="8"/>
    </row>
    <row r="34" spans="1:50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 t="e">
        <v>#REF!</v>
      </c>
      <c r="R34" s="11">
        <v>1</v>
      </c>
      <c r="S34" s="11">
        <v>1</v>
      </c>
      <c r="T34" s="11">
        <v>0.99</v>
      </c>
      <c r="U34" s="11">
        <v>0.99</v>
      </c>
      <c r="V34" s="11">
        <v>0.98</v>
      </c>
      <c r="W34" s="11">
        <v>0.98</v>
      </c>
      <c r="X34" s="11">
        <v>0.97</v>
      </c>
      <c r="Y34" s="11">
        <v>0.96</v>
      </c>
      <c r="Z34" s="11">
        <v>0.95</v>
      </c>
      <c r="AA34" s="11">
        <v>0.95</v>
      </c>
      <c r="AB34" s="11">
        <v>0.94</v>
      </c>
      <c r="AC34" s="11">
        <v>0.93</v>
      </c>
      <c r="AD34" s="11">
        <v>0.92</v>
      </c>
      <c r="AE34" s="11">
        <v>0.91</v>
      </c>
      <c r="AF34" s="11">
        <v>0.9</v>
      </c>
      <c r="AG34" s="11">
        <v>0.89</v>
      </c>
      <c r="AH34" s="11">
        <v>0.87</v>
      </c>
      <c r="AI34" s="11">
        <v>0.86</v>
      </c>
      <c r="AJ34" s="11">
        <v>0.84</v>
      </c>
      <c r="AK34" s="11">
        <v>0.82</v>
      </c>
      <c r="AL34" s="11">
        <v>0.8</v>
      </c>
      <c r="AM34" s="11">
        <v>0.78</v>
      </c>
      <c r="AN34" s="11">
        <v>0.78</v>
      </c>
      <c r="AO34" s="11">
        <v>0.77</v>
      </c>
      <c r="AP34" s="11">
        <v>0.76</v>
      </c>
      <c r="AQ34" s="11">
        <v>0.76</v>
      </c>
      <c r="AR34" s="11">
        <v>0.75</v>
      </c>
      <c r="AS34" s="11">
        <v>0.74</v>
      </c>
      <c r="AT34" s="11">
        <v>0.74</v>
      </c>
      <c r="AU34" s="11">
        <v>0.73</v>
      </c>
      <c r="AV34" s="11">
        <v>0.72</v>
      </c>
      <c r="AW34" s="11">
        <v>0.71</v>
      </c>
      <c r="AX34" s="8"/>
    </row>
    <row r="35" spans="1:50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 t="e">
        <v>#REF!</v>
      </c>
      <c r="R35" s="11">
        <v>1</v>
      </c>
      <c r="S35" s="11">
        <v>1</v>
      </c>
      <c r="T35" s="11">
        <v>0.99</v>
      </c>
      <c r="U35" s="11">
        <v>0.99</v>
      </c>
      <c r="V35" s="11">
        <v>0.98</v>
      </c>
      <c r="W35" s="11">
        <v>0.98</v>
      </c>
      <c r="X35" s="11">
        <v>0.97</v>
      </c>
      <c r="Y35" s="11">
        <v>0.97</v>
      </c>
      <c r="Z35" s="11">
        <v>0.96</v>
      </c>
      <c r="AA35" s="11">
        <v>0.95</v>
      </c>
      <c r="AB35" s="11">
        <v>0.95</v>
      </c>
      <c r="AC35" s="11">
        <v>0.94</v>
      </c>
      <c r="AD35" s="11">
        <v>0.93</v>
      </c>
      <c r="AE35" s="11">
        <v>0.92</v>
      </c>
      <c r="AF35" s="11">
        <v>0.9</v>
      </c>
      <c r="AG35" s="11">
        <v>0.89</v>
      </c>
      <c r="AH35" s="11">
        <v>0.88</v>
      </c>
      <c r="AI35" s="11">
        <v>0.86</v>
      </c>
      <c r="AJ35" s="11">
        <v>0.85</v>
      </c>
      <c r="AK35" s="11">
        <v>0.83</v>
      </c>
      <c r="AL35" s="11">
        <v>0.81</v>
      </c>
      <c r="AM35" s="11">
        <v>0.79</v>
      </c>
      <c r="AN35" s="11">
        <v>0.78</v>
      </c>
      <c r="AO35" s="11">
        <v>0.78</v>
      </c>
      <c r="AP35" s="11">
        <v>0.77</v>
      </c>
      <c r="AQ35" s="11">
        <v>0.76</v>
      </c>
      <c r="AR35" s="11">
        <v>0.75</v>
      </c>
      <c r="AS35" s="11">
        <v>0.75</v>
      </c>
      <c r="AT35" s="11">
        <v>0.74</v>
      </c>
      <c r="AU35" s="11">
        <v>0.73</v>
      </c>
      <c r="AV35" s="11">
        <v>0.72</v>
      </c>
      <c r="AW35" s="11">
        <v>0.71</v>
      </c>
      <c r="AX35" s="8"/>
    </row>
    <row r="36" spans="1:50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 t="e">
        <v>#REF!</v>
      </c>
      <c r="R36" s="11">
        <v>1</v>
      </c>
      <c r="S36" s="11">
        <v>1</v>
      </c>
      <c r="T36" s="11">
        <v>0.99</v>
      </c>
      <c r="U36" s="11">
        <v>0.99</v>
      </c>
      <c r="V36" s="11">
        <v>0.98</v>
      </c>
      <c r="W36" s="11">
        <v>0.97</v>
      </c>
      <c r="X36" s="11">
        <v>0.97</v>
      </c>
      <c r="Y36" s="11">
        <v>0.96</v>
      </c>
      <c r="Z36" s="11">
        <v>0.95</v>
      </c>
      <c r="AA36" s="11">
        <v>0.94</v>
      </c>
      <c r="AB36" s="11">
        <v>0.93</v>
      </c>
      <c r="AC36" s="11">
        <v>0.92</v>
      </c>
      <c r="AD36" s="11">
        <v>0.91</v>
      </c>
      <c r="AE36" s="11">
        <v>0.9</v>
      </c>
      <c r="AF36" s="11">
        <v>0.89</v>
      </c>
      <c r="AG36" s="11">
        <v>0.88</v>
      </c>
      <c r="AH36" s="11">
        <v>0.86</v>
      </c>
      <c r="AI36" s="11">
        <v>0.85</v>
      </c>
      <c r="AJ36" s="11">
        <v>0.83</v>
      </c>
      <c r="AK36" s="11">
        <v>0.81</v>
      </c>
      <c r="AL36" s="11">
        <v>0.79</v>
      </c>
      <c r="AM36" s="11">
        <v>0.77</v>
      </c>
      <c r="AN36" s="11">
        <v>0.77</v>
      </c>
      <c r="AO36" s="11">
        <v>0.76</v>
      </c>
      <c r="AP36" s="11">
        <v>0.75</v>
      </c>
      <c r="AQ36" s="11">
        <v>0.75</v>
      </c>
      <c r="AR36" s="11">
        <v>0.74</v>
      </c>
      <c r="AS36" s="11">
        <v>0.73</v>
      </c>
      <c r="AT36" s="11">
        <v>0.73</v>
      </c>
      <c r="AU36" s="11">
        <v>0.72</v>
      </c>
      <c r="AV36" s="11">
        <v>0.71</v>
      </c>
      <c r="AW36" s="11">
        <v>0.71</v>
      </c>
      <c r="AX36" s="8"/>
    </row>
    <row r="37" spans="1:50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 t="e">
        <v>#REF!</v>
      </c>
      <c r="R37" s="11">
        <v>1</v>
      </c>
      <c r="S37" s="11">
        <v>1</v>
      </c>
      <c r="T37" s="11">
        <v>0.98</v>
      </c>
      <c r="U37" s="11">
        <v>0.96</v>
      </c>
      <c r="V37" s="11">
        <v>0.95</v>
      </c>
      <c r="W37" s="11">
        <v>0.93</v>
      </c>
      <c r="X37" s="11">
        <v>0.91</v>
      </c>
      <c r="Y37" s="11">
        <v>0.9</v>
      </c>
      <c r="Z37" s="11">
        <v>0.89</v>
      </c>
      <c r="AA37" s="11">
        <v>0.88</v>
      </c>
      <c r="AB37" s="11">
        <v>0.87</v>
      </c>
      <c r="AC37" s="11">
        <v>0.86</v>
      </c>
      <c r="AD37" s="11">
        <v>0.84</v>
      </c>
      <c r="AE37" s="11">
        <v>0.83</v>
      </c>
      <c r="AF37" s="11">
        <v>0.82</v>
      </c>
      <c r="AG37" s="11">
        <v>0.8</v>
      </c>
      <c r="AH37" s="11">
        <v>0.79</v>
      </c>
      <c r="AI37" s="11">
        <v>0.77</v>
      </c>
      <c r="AJ37" s="11">
        <v>0.75</v>
      </c>
      <c r="AK37" s="11">
        <v>0.72</v>
      </c>
      <c r="AL37" s="11">
        <v>0.7</v>
      </c>
      <c r="AM37" s="11">
        <v>0.68</v>
      </c>
      <c r="AN37" s="11">
        <v>0.67</v>
      </c>
      <c r="AO37" s="11">
        <v>0.66</v>
      </c>
      <c r="AP37" s="11">
        <v>0.65</v>
      </c>
      <c r="AQ37" s="11">
        <v>0.64</v>
      </c>
      <c r="AR37" s="11">
        <v>0.63</v>
      </c>
      <c r="AS37" s="11">
        <v>0.63</v>
      </c>
      <c r="AT37" s="11">
        <v>0.62</v>
      </c>
      <c r="AU37" s="11">
        <v>0.61</v>
      </c>
      <c r="AV37" s="11">
        <v>0.61</v>
      </c>
      <c r="AW37" s="11">
        <v>0.6</v>
      </c>
      <c r="AX37" s="8"/>
    </row>
    <row r="38" spans="1:50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 t="e">
        <v>#REF!</v>
      </c>
      <c r="R38" s="11">
        <v>1</v>
      </c>
      <c r="S38" s="11">
        <v>1</v>
      </c>
      <c r="T38" s="11">
        <v>0.99</v>
      </c>
      <c r="U38" s="11">
        <v>0.98</v>
      </c>
      <c r="V38" s="11">
        <v>0.96</v>
      </c>
      <c r="W38" s="11">
        <v>0.95</v>
      </c>
      <c r="X38" s="11">
        <v>0.94</v>
      </c>
      <c r="Y38" s="11">
        <v>0.92</v>
      </c>
      <c r="Z38" s="11">
        <v>0.91</v>
      </c>
      <c r="AA38" s="11">
        <v>0.89</v>
      </c>
      <c r="AB38" s="11">
        <v>0.88</v>
      </c>
      <c r="AC38" s="11">
        <v>0.86</v>
      </c>
      <c r="AD38" s="11">
        <v>0.85</v>
      </c>
      <c r="AE38" s="11">
        <v>0.83</v>
      </c>
      <c r="AF38" s="11">
        <v>0.81</v>
      </c>
      <c r="AG38" s="11">
        <v>0.8</v>
      </c>
      <c r="AH38" s="11">
        <v>0.78</v>
      </c>
      <c r="AI38" s="11">
        <v>0.78</v>
      </c>
      <c r="AJ38" s="11">
        <v>0.77</v>
      </c>
      <c r="AK38" s="11">
        <v>0.76</v>
      </c>
      <c r="AL38" s="11">
        <v>0.76</v>
      </c>
      <c r="AM38" s="11">
        <v>0.75</v>
      </c>
      <c r="AN38" s="11">
        <v>0.75</v>
      </c>
      <c r="AO38" s="11">
        <v>0.75</v>
      </c>
      <c r="AP38" s="11">
        <v>0.75</v>
      </c>
      <c r="AQ38" s="11">
        <v>0.75</v>
      </c>
      <c r="AR38" s="11">
        <v>0.75</v>
      </c>
      <c r="AS38" s="11">
        <v>0.75</v>
      </c>
      <c r="AT38" s="11">
        <v>0.75</v>
      </c>
      <c r="AU38" s="11">
        <v>0.75</v>
      </c>
      <c r="AV38" s="11">
        <v>0.75</v>
      </c>
      <c r="AW38" s="11">
        <v>0.76</v>
      </c>
      <c r="AX38" s="8"/>
    </row>
    <row r="39" spans="1:50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 t="e">
        <v>#REF!</v>
      </c>
      <c r="R39" s="11">
        <v>1</v>
      </c>
      <c r="S39" s="11">
        <v>0.99</v>
      </c>
      <c r="T39" s="11">
        <v>0.97</v>
      </c>
      <c r="U39" s="11">
        <v>0.95</v>
      </c>
      <c r="V39" s="11">
        <v>0.93</v>
      </c>
      <c r="W39" s="11">
        <v>0.91</v>
      </c>
      <c r="X39" s="11">
        <v>0.89</v>
      </c>
      <c r="Y39" s="11">
        <v>0.88</v>
      </c>
      <c r="Z39" s="11">
        <v>0.87</v>
      </c>
      <c r="AA39" s="11">
        <v>0.85</v>
      </c>
      <c r="AB39" s="11">
        <v>0.84</v>
      </c>
      <c r="AC39" s="11">
        <v>0.83</v>
      </c>
      <c r="AD39" s="11">
        <v>0.81</v>
      </c>
      <c r="AE39" s="11">
        <v>0.79</v>
      </c>
      <c r="AF39" s="11">
        <v>0.77</v>
      </c>
      <c r="AG39" s="11">
        <v>0.76</v>
      </c>
      <c r="AH39" s="11">
        <v>0.74</v>
      </c>
      <c r="AI39" s="11">
        <v>0.72</v>
      </c>
      <c r="AJ39" s="11">
        <v>0.71</v>
      </c>
      <c r="AK39" s="11">
        <v>0.69</v>
      </c>
      <c r="AL39" s="11">
        <v>0.68</v>
      </c>
      <c r="AM39" s="11">
        <v>0.66</v>
      </c>
      <c r="AN39" s="11">
        <v>0.65</v>
      </c>
      <c r="AO39" s="11">
        <v>0.64</v>
      </c>
      <c r="AP39" s="11">
        <v>0.64</v>
      </c>
      <c r="AQ39" s="11">
        <v>0.63</v>
      </c>
      <c r="AR39" s="11">
        <v>0.62</v>
      </c>
      <c r="AS39" s="11">
        <v>0.62</v>
      </c>
      <c r="AT39" s="11">
        <v>0.61</v>
      </c>
      <c r="AU39" s="11">
        <v>0.61</v>
      </c>
      <c r="AV39" s="11">
        <v>0.6</v>
      </c>
      <c r="AW39" s="11">
        <v>0.6</v>
      </c>
      <c r="AX39" s="8"/>
    </row>
    <row r="40" spans="1:5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 t="e">
        <v>#REF!</v>
      </c>
      <c r="R40" s="11">
        <v>1</v>
      </c>
      <c r="S40" s="11">
        <v>1</v>
      </c>
      <c r="T40" s="11">
        <v>0.99</v>
      </c>
      <c r="U40" s="11">
        <v>0.97</v>
      </c>
      <c r="V40" s="11">
        <v>0.96</v>
      </c>
      <c r="W40" s="11">
        <v>0.95</v>
      </c>
      <c r="X40" s="11">
        <v>0.94</v>
      </c>
      <c r="Y40" s="11">
        <v>0.93</v>
      </c>
      <c r="Z40" s="11">
        <v>0.91</v>
      </c>
      <c r="AA40" s="11">
        <v>0.9</v>
      </c>
      <c r="AB40" s="11">
        <v>0.88</v>
      </c>
      <c r="AC40" s="11">
        <v>0.87</v>
      </c>
      <c r="AD40" s="11">
        <v>0.85</v>
      </c>
      <c r="AE40" s="11">
        <v>0.83</v>
      </c>
      <c r="AF40" s="11">
        <v>0.81</v>
      </c>
      <c r="AG40" s="11">
        <v>0.79</v>
      </c>
      <c r="AH40" s="11">
        <v>0.77</v>
      </c>
      <c r="AI40" s="11">
        <v>0.76</v>
      </c>
      <c r="AJ40" s="11">
        <v>0.74</v>
      </c>
      <c r="AK40" s="11">
        <v>0.73</v>
      </c>
      <c r="AL40" s="11">
        <v>0.71</v>
      </c>
      <c r="AM40" s="11">
        <v>0.69</v>
      </c>
      <c r="AN40" s="11">
        <v>0.69</v>
      </c>
      <c r="AO40" s="11">
        <v>0.68</v>
      </c>
      <c r="AP40" s="11">
        <v>0.68</v>
      </c>
      <c r="AQ40" s="11">
        <v>0.68</v>
      </c>
      <c r="AR40" s="11">
        <v>0.67</v>
      </c>
      <c r="AS40" s="11">
        <v>0.67</v>
      </c>
      <c r="AT40" s="11">
        <v>0.67</v>
      </c>
      <c r="AU40" s="11">
        <v>0.66</v>
      </c>
      <c r="AV40" s="11">
        <v>0.66</v>
      </c>
      <c r="AW40" s="11">
        <v>0.66</v>
      </c>
      <c r="AX40" s="8"/>
    </row>
    <row r="41" spans="1:50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 t="e">
        <v>#REF!</v>
      </c>
      <c r="R41" s="11">
        <v>1</v>
      </c>
      <c r="S41" s="11">
        <v>1</v>
      </c>
      <c r="T41" s="11">
        <v>0.98</v>
      </c>
      <c r="U41" s="11">
        <v>0.97</v>
      </c>
      <c r="V41" s="11">
        <v>0.95</v>
      </c>
      <c r="W41" s="11">
        <v>0.94</v>
      </c>
      <c r="X41" s="11">
        <v>0.93</v>
      </c>
      <c r="Y41" s="11">
        <v>0.91</v>
      </c>
      <c r="Z41" s="11">
        <v>0.88</v>
      </c>
      <c r="AA41" s="11">
        <v>0.86</v>
      </c>
      <c r="AB41" s="11">
        <v>0.84</v>
      </c>
      <c r="AC41" s="11">
        <v>0.82</v>
      </c>
      <c r="AD41" s="11">
        <v>0.8</v>
      </c>
      <c r="AE41" s="11">
        <v>0.78</v>
      </c>
      <c r="AF41" s="11">
        <v>0.75</v>
      </c>
      <c r="AG41" s="11">
        <v>0.73</v>
      </c>
      <c r="AH41" s="11">
        <v>0.7</v>
      </c>
      <c r="AI41" s="11">
        <v>0.68</v>
      </c>
      <c r="AJ41" s="11">
        <v>0.65</v>
      </c>
      <c r="AK41" s="11">
        <v>0.63</v>
      </c>
      <c r="AL41" s="11">
        <v>0.61</v>
      </c>
      <c r="AM41" s="11">
        <v>0.57999999999999996</v>
      </c>
      <c r="AN41" s="11">
        <v>0.56999999999999995</v>
      </c>
      <c r="AO41" s="11">
        <v>0.56000000000000005</v>
      </c>
      <c r="AP41" s="11">
        <v>0.55000000000000004</v>
      </c>
      <c r="AQ41" s="11">
        <v>0.54</v>
      </c>
      <c r="AR41" s="11">
        <v>0.52</v>
      </c>
      <c r="AS41" s="11">
        <v>0.52</v>
      </c>
      <c r="AT41" s="11">
        <v>0.51</v>
      </c>
      <c r="AU41" s="11">
        <v>0.5</v>
      </c>
      <c r="AV41" s="11">
        <v>0.49</v>
      </c>
      <c r="AW41" s="11">
        <v>0.48</v>
      </c>
      <c r="AX41" s="8"/>
    </row>
    <row r="42" spans="1:50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 t="e">
        <v>#REF!</v>
      </c>
      <c r="R42" s="11">
        <v>1</v>
      </c>
      <c r="S42" s="11">
        <v>1</v>
      </c>
      <c r="T42" s="11">
        <v>0.99</v>
      </c>
      <c r="U42" s="11">
        <v>0.98</v>
      </c>
      <c r="V42" s="11">
        <v>0.96</v>
      </c>
      <c r="W42" s="11">
        <v>0.95</v>
      </c>
      <c r="X42" s="11">
        <v>0.94</v>
      </c>
      <c r="Y42" s="11">
        <v>0.93</v>
      </c>
      <c r="Z42" s="11">
        <v>0.91</v>
      </c>
      <c r="AA42" s="11">
        <v>0.9</v>
      </c>
      <c r="AB42" s="11">
        <v>0.88</v>
      </c>
      <c r="AC42" s="11">
        <v>0.87</v>
      </c>
      <c r="AD42" s="11">
        <v>0.85</v>
      </c>
      <c r="AE42" s="11">
        <v>0.83</v>
      </c>
      <c r="AF42" s="11">
        <v>0.82</v>
      </c>
      <c r="AG42" s="11">
        <v>0.8</v>
      </c>
      <c r="AH42" s="11">
        <v>0.78</v>
      </c>
      <c r="AI42" s="11">
        <v>0.76</v>
      </c>
      <c r="AJ42" s="11">
        <v>0.75</v>
      </c>
      <c r="AK42" s="11">
        <v>0.73</v>
      </c>
      <c r="AL42" s="11">
        <v>0.72</v>
      </c>
      <c r="AM42" s="11">
        <v>0.7</v>
      </c>
      <c r="AN42" s="11">
        <v>0.7</v>
      </c>
      <c r="AO42" s="11">
        <v>0.7</v>
      </c>
      <c r="AP42" s="11">
        <v>0.69</v>
      </c>
      <c r="AQ42" s="11">
        <v>0.69</v>
      </c>
      <c r="AR42" s="11">
        <v>0.68</v>
      </c>
      <c r="AS42" s="11">
        <v>0.68</v>
      </c>
      <c r="AT42" s="11">
        <v>0.68</v>
      </c>
      <c r="AU42" s="11">
        <v>0.68</v>
      </c>
      <c r="AV42" s="11">
        <v>0.67</v>
      </c>
      <c r="AW42" s="11">
        <v>0.67</v>
      </c>
      <c r="AX42" s="8"/>
    </row>
    <row r="43" spans="1:50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 t="e">
        <v>#REF!</v>
      </c>
      <c r="R43" s="11">
        <v>1</v>
      </c>
      <c r="S43" s="11">
        <v>1</v>
      </c>
      <c r="T43" s="11">
        <v>0.99</v>
      </c>
      <c r="U43" s="11">
        <v>0.97</v>
      </c>
      <c r="V43" s="11">
        <v>0.96</v>
      </c>
      <c r="W43" s="11">
        <v>0.95</v>
      </c>
      <c r="X43" s="11">
        <v>0.94</v>
      </c>
      <c r="Y43" s="11">
        <v>0.93</v>
      </c>
      <c r="Z43" s="11">
        <v>0.91</v>
      </c>
      <c r="AA43" s="11">
        <v>0.9</v>
      </c>
      <c r="AB43" s="11">
        <v>0.88</v>
      </c>
      <c r="AC43" s="11">
        <v>0.87</v>
      </c>
      <c r="AD43" s="11">
        <v>0.85</v>
      </c>
      <c r="AE43" s="11">
        <v>0.83</v>
      </c>
      <c r="AF43" s="11">
        <v>0.81</v>
      </c>
      <c r="AG43" s="11">
        <v>0.8</v>
      </c>
      <c r="AH43" s="11">
        <v>0.78</v>
      </c>
      <c r="AI43" s="11">
        <v>0.76</v>
      </c>
      <c r="AJ43" s="11">
        <v>0.75</v>
      </c>
      <c r="AK43" s="11">
        <v>0.74</v>
      </c>
      <c r="AL43" s="11">
        <v>0.73</v>
      </c>
      <c r="AM43" s="11">
        <v>0.71</v>
      </c>
      <c r="AN43" s="11">
        <v>0.72</v>
      </c>
      <c r="AO43" s="11">
        <v>0.72</v>
      </c>
      <c r="AP43" s="11">
        <v>0.72</v>
      </c>
      <c r="AQ43" s="11">
        <v>0.72</v>
      </c>
      <c r="AR43" s="11">
        <v>0.72</v>
      </c>
      <c r="AS43" s="11">
        <v>0.72</v>
      </c>
      <c r="AT43" s="11">
        <v>0.72</v>
      </c>
      <c r="AU43" s="11">
        <v>0.72</v>
      </c>
      <c r="AV43" s="11">
        <v>0.72</v>
      </c>
      <c r="AW43" s="11">
        <v>0.72</v>
      </c>
      <c r="AX43" s="8"/>
    </row>
    <row r="44" spans="1:50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 t="e">
        <v>#REF!</v>
      </c>
      <c r="R44" s="11">
        <v>1</v>
      </c>
      <c r="S44" s="11">
        <v>1</v>
      </c>
      <c r="T44" s="11">
        <v>0.99</v>
      </c>
      <c r="U44" s="11">
        <v>0.97</v>
      </c>
      <c r="V44" s="11">
        <v>0.96</v>
      </c>
      <c r="W44" s="11">
        <v>0.95</v>
      </c>
      <c r="X44" s="11">
        <v>0.94</v>
      </c>
      <c r="Y44" s="11">
        <v>0.93</v>
      </c>
      <c r="Z44" s="11">
        <v>0.91</v>
      </c>
      <c r="AA44" s="11">
        <v>0.9</v>
      </c>
      <c r="AB44" s="11">
        <v>0.88</v>
      </c>
      <c r="AC44" s="11">
        <v>0.87</v>
      </c>
      <c r="AD44" s="11">
        <v>0.85</v>
      </c>
      <c r="AE44" s="11">
        <v>0.83</v>
      </c>
      <c r="AF44" s="11">
        <v>0.81</v>
      </c>
      <c r="AG44" s="11">
        <v>0.79</v>
      </c>
      <c r="AH44" s="11">
        <v>0.78</v>
      </c>
      <c r="AI44" s="11">
        <v>0.76</v>
      </c>
      <c r="AJ44" s="11">
        <v>0.75</v>
      </c>
      <c r="AK44" s="11">
        <v>0.73</v>
      </c>
      <c r="AL44" s="11">
        <v>0.72</v>
      </c>
      <c r="AM44" s="11">
        <v>0.7</v>
      </c>
      <c r="AN44" s="11">
        <v>0.7</v>
      </c>
      <c r="AO44" s="11">
        <v>0.69</v>
      </c>
      <c r="AP44" s="11">
        <v>0.69</v>
      </c>
      <c r="AQ44" s="11">
        <v>0.69</v>
      </c>
      <c r="AR44" s="11">
        <v>0.68</v>
      </c>
      <c r="AS44" s="11">
        <v>0.68</v>
      </c>
      <c r="AT44" s="11">
        <v>0.68</v>
      </c>
      <c r="AU44" s="11">
        <v>0.68</v>
      </c>
      <c r="AV44" s="11">
        <v>0.68</v>
      </c>
      <c r="AW44" s="11">
        <v>0.68</v>
      </c>
      <c r="AX44" s="8"/>
    </row>
    <row r="45" spans="1:50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</row>
    <row r="46" spans="1:50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</row>
    <row r="47" spans="1:50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</row>
    <row r="48" spans="1:50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</row>
    <row r="49" spans="1:50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</row>
    <row r="50" spans="1: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</row>
    <row r="51" spans="1:50">
      <c r="A51" s="8"/>
      <c r="B51" s="8"/>
      <c r="C51" s="8"/>
      <c r="D51" s="8"/>
      <c r="E51" s="8"/>
      <c r="F51" s="8"/>
      <c r="G51" s="8"/>
      <c r="H51" s="8" t="s">
        <v>34</v>
      </c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</row>
    <row r="52" spans="1:50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BL96"/>
  <sheetViews>
    <sheetView showGridLines="0" tabSelected="1" topLeftCell="A56" zoomScale="86" zoomScaleNormal="86" workbookViewId="0">
      <selection activeCell="B104" sqref="B104"/>
    </sheetView>
  </sheetViews>
  <sheetFormatPr defaultRowHeight="15" outlineLevelRow="1"/>
  <cols>
    <col min="1" max="1" width="46.42578125" bestFit="1" customWidth="1"/>
    <col min="2" max="2" width="19.5703125" customWidth="1"/>
    <col min="3" max="28" width="9.140625" customWidth="1"/>
    <col min="29" max="29" width="13.5703125" customWidth="1"/>
    <col min="30" max="35" width="9.140625" customWidth="1"/>
    <col min="36" max="36" width="11.140625" bestFit="1" customWidth="1"/>
  </cols>
  <sheetData>
    <row r="1" spans="1:64" s="2" customFormat="1">
      <c r="A1" s="2" t="s">
        <v>35</v>
      </c>
    </row>
    <row r="2" spans="1:64">
      <c r="B2" s="1" t="s">
        <v>0</v>
      </c>
      <c r="C2" s="1" t="s">
        <v>1</v>
      </c>
      <c r="D2">
        <v>1990</v>
      </c>
      <c r="S2" t="s">
        <v>36</v>
      </c>
      <c r="X2" t="s">
        <v>37</v>
      </c>
      <c r="AC2" t="s">
        <v>38</v>
      </c>
      <c r="AH2" t="s">
        <v>39</v>
      </c>
      <c r="AM2">
        <v>2025</v>
      </c>
      <c r="AR2">
        <v>2030</v>
      </c>
      <c r="AW2">
        <v>2035</v>
      </c>
      <c r="BB2">
        <v>2040</v>
      </c>
      <c r="BG2">
        <v>2045</v>
      </c>
      <c r="BL2">
        <v>2050</v>
      </c>
    </row>
    <row r="3" spans="1:64">
      <c r="A3" t="s">
        <v>40</v>
      </c>
      <c r="B3" t="s">
        <v>41</v>
      </c>
      <c r="C3" t="s">
        <v>42</v>
      </c>
      <c r="D3" s="4">
        <f>($V$68*D5)+SUM(D6:D13)</f>
        <v>4777.3938152351393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>
        <f>SUM(S6:S13)+S5*$V$68</f>
        <v>4393.8544455997635</v>
      </c>
      <c r="T3" s="4">
        <f t="shared" ref="T3:AJ3" si="0">SUM(T6:T13)+T5*$V$68</f>
        <v>4392.7754675774831</v>
      </c>
      <c r="U3" s="4">
        <f t="shared" si="0"/>
        <v>4417.4072901451591</v>
      </c>
      <c r="V3" s="4">
        <f t="shared" si="0"/>
        <v>4279.5858402780241</v>
      </c>
      <c r="W3" s="4">
        <f t="shared" si="0"/>
        <v>3940.7241952743284</v>
      </c>
      <c r="X3" s="4">
        <f t="shared" si="0"/>
        <v>4025.1679359813015</v>
      </c>
      <c r="Y3" s="4">
        <f t="shared" si="0"/>
        <v>3921.3273261800082</v>
      </c>
      <c r="Z3" s="4">
        <f t="shared" si="0"/>
        <v>3843.6804107039684</v>
      </c>
      <c r="AA3" s="4">
        <f t="shared" si="0"/>
        <v>3752.9156894502776</v>
      </c>
      <c r="AB3" s="4">
        <f t="shared" si="0"/>
        <v>3626.522573504807</v>
      </c>
      <c r="AC3" s="4">
        <f t="shared" si="0"/>
        <v>3680.8567617873755</v>
      </c>
      <c r="AD3" s="4">
        <f t="shared" si="0"/>
        <v>3695.9852356910142</v>
      </c>
      <c r="AE3" s="4">
        <f t="shared" si="0"/>
        <v>3796.2808470131636</v>
      </c>
      <c r="AF3" s="4">
        <f t="shared" si="0"/>
        <v>3711.2042053823952</v>
      </c>
      <c r="AG3" s="4">
        <f t="shared" si="0"/>
        <v>3564.0272825354205</v>
      </c>
      <c r="AH3" s="4">
        <f t="shared" si="0"/>
        <v>3195.8242692285844</v>
      </c>
      <c r="AI3" s="4">
        <f>SUM(AI6:AI13)+AI5*$V$68</f>
        <v>3393.7565782860261</v>
      </c>
      <c r="AJ3" s="4">
        <f t="shared" si="0"/>
        <v>3333.9117850521911</v>
      </c>
    </row>
    <row r="4" spans="1:64">
      <c r="A4" t="s">
        <v>43</v>
      </c>
      <c r="B4" t="s">
        <v>41</v>
      </c>
      <c r="C4" t="s">
        <v>42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>
        <f>'MS projections raw data'!N46</f>
        <v>3303.8424787601052</v>
      </c>
      <c r="AJ4" s="4">
        <f>'MS projections raw data'!O46</f>
        <v>3207.1956225973922</v>
      </c>
      <c r="AK4" s="4">
        <f>'MS projections raw data'!P46</f>
        <v>3179.0117273847463</v>
      </c>
      <c r="AL4" s="4">
        <f>'MS projections raw data'!Q46</f>
        <v>3075.5284281821</v>
      </c>
      <c r="AM4" s="4">
        <f>'MS projections raw data'!R46</f>
        <v>2986.8553973694543</v>
      </c>
      <c r="AN4" s="4">
        <f>'MS projections raw data'!S46</f>
        <v>2871.6228227177558</v>
      </c>
      <c r="AO4" s="4">
        <f>'MS projections raw data'!T46</f>
        <v>2752.3490041560567</v>
      </c>
      <c r="AP4" s="4">
        <f>'MS projections raw data'!U46</f>
        <v>2646.9268373843579</v>
      </c>
      <c r="AQ4" s="4">
        <f>'MS projections raw data'!V46</f>
        <v>2531.2864924726591</v>
      </c>
      <c r="AR4" s="4">
        <f>'MS projections raw data'!W46</f>
        <v>2429.3307445209603</v>
      </c>
      <c r="AS4" s="4">
        <f>'MS projections raw data'!X46</f>
        <v>2358.8498433734917</v>
      </c>
      <c r="AT4" s="4">
        <f>'MS projections raw data'!Y46</f>
        <v>2289.5961545690202</v>
      </c>
      <c r="AU4" s="4">
        <f>'MS projections raw data'!Z46</f>
        <v>2223.7524490958594</v>
      </c>
      <c r="AV4" s="4">
        <f>'MS projections raw data'!AA46</f>
        <v>2161.0975516143558</v>
      </c>
      <c r="AW4" s="4">
        <f>'MS projections raw data'!AB46</f>
        <v>2094.7519302343412</v>
      </c>
      <c r="AX4" s="4">
        <f>'MS projections raw data'!AC46</f>
        <v>2046.579525504387</v>
      </c>
      <c r="AY4" s="4">
        <f>'MS projections raw data'!AD46</f>
        <v>2002.4233705674362</v>
      </c>
      <c r="AZ4" s="4">
        <f>'MS projections raw data'!AE46</f>
        <v>1962.4289654071579</v>
      </c>
      <c r="BA4" s="4">
        <f>'MS projections raw data'!AF46</f>
        <v>1919.3868191966355</v>
      </c>
      <c r="BB4" s="4">
        <f>'MS projections raw data'!AG46</f>
        <v>1878.1549592916861</v>
      </c>
      <c r="BC4" s="4">
        <f>'MS projections raw data'!AH46</f>
        <v>1809.5708166214874</v>
      </c>
      <c r="BD4" s="4">
        <f>'MS projections raw data'!AI46</f>
        <v>1795.0240741843538</v>
      </c>
      <c r="BE4" s="4">
        <f>'MS projections raw data'!AJ46</f>
        <v>1781.870107600866</v>
      </c>
      <c r="BF4" s="4">
        <f>'MS projections raw data'!AK46</f>
        <v>1767.8582551728293</v>
      </c>
      <c r="BG4" s="4">
        <f>'MS projections raw data'!AL46</f>
        <v>1770.4276415346585</v>
      </c>
      <c r="BH4" s="4">
        <f>'MS projections raw data'!AM46</f>
        <v>1747.9908998799451</v>
      </c>
      <c r="BI4" s="4">
        <f>'MS projections raw data'!AN46</f>
        <v>1741.232210726406</v>
      </c>
      <c r="BJ4" s="4">
        <f>'MS projections raw data'!AO46</f>
        <v>1734.5993706030101</v>
      </c>
      <c r="BK4" s="4">
        <f>'MS projections raw data'!AP46</f>
        <v>1728.3092647396277</v>
      </c>
      <c r="BL4" s="4">
        <f>'MS projections raw data'!AQ46</f>
        <v>1716.6646863064434</v>
      </c>
    </row>
    <row r="5" spans="1:64">
      <c r="A5" t="s">
        <v>44</v>
      </c>
      <c r="B5" t="s">
        <v>41</v>
      </c>
      <c r="C5" t="s">
        <v>42</v>
      </c>
      <c r="D5" s="4">
        <f>D86/1000</f>
        <v>102.11497455946113</v>
      </c>
      <c r="S5" s="4">
        <f>S86/1000</f>
        <v>153.71821672425949</v>
      </c>
      <c r="T5" s="4">
        <f t="shared" ref="T5:AJ5" si="1">T86/1000</f>
        <v>164.5155386288674</v>
      </c>
      <c r="U5" s="4">
        <f>U86/1000</f>
        <v>171.66203763915254</v>
      </c>
      <c r="V5" s="4">
        <f t="shared" si="1"/>
        <v>169.48975685141957</v>
      </c>
      <c r="W5" s="4">
        <f t="shared" si="1"/>
        <v>150.69214711366692</v>
      </c>
      <c r="X5" s="4">
        <f t="shared" si="1"/>
        <v>151.61653881006123</v>
      </c>
      <c r="Y5" s="4">
        <f t="shared" si="1"/>
        <v>150.43869222959532</v>
      </c>
      <c r="Z5" s="4">
        <f t="shared" si="1"/>
        <v>140.07679459141761</v>
      </c>
      <c r="AA5" s="4">
        <f t="shared" si="1"/>
        <v>132.21683643011187</v>
      </c>
      <c r="AB5" s="4">
        <f t="shared" si="1"/>
        <v>128.5042723115443</v>
      </c>
      <c r="AC5" s="4">
        <f t="shared" si="1"/>
        <v>129.16162478268836</v>
      </c>
      <c r="AD5" s="4">
        <f t="shared" si="1"/>
        <v>132.87871153438044</v>
      </c>
      <c r="AE5" s="4">
        <f t="shared" si="1"/>
        <v>134.67305377086453</v>
      </c>
      <c r="AF5" s="4">
        <f t="shared" si="1"/>
        <v>137.83576273435258</v>
      </c>
      <c r="AG5" s="4">
        <f t="shared" si="1"/>
        <v>136.59719279718294</v>
      </c>
      <c r="AH5" s="4">
        <f t="shared" si="1"/>
        <v>121.0306700531797</v>
      </c>
      <c r="AI5" s="4">
        <f t="shared" si="1"/>
        <v>129.0860910553474</v>
      </c>
      <c r="AJ5" s="4">
        <f>AJ86/1000</f>
        <v>137.74268167</v>
      </c>
    </row>
    <row r="6" spans="1:64">
      <c r="A6" t="s">
        <v>45</v>
      </c>
      <c r="B6" t="s">
        <v>41</v>
      </c>
      <c r="C6" t="s">
        <v>42</v>
      </c>
      <c r="D6" s="4">
        <f>D85/1000</f>
        <v>54.097721339014974</v>
      </c>
      <c r="S6" s="4">
        <f>S85/1000</f>
        <v>96.093546786755809</v>
      </c>
      <c r="T6" s="4">
        <f>T85/1000</f>
        <v>101.16153164168031</v>
      </c>
      <c r="U6" s="4">
        <f t="shared" ref="U6:AJ6" si="2">U85/1000</f>
        <v>105.83006652528978</v>
      </c>
      <c r="V6" s="4">
        <f t="shared" si="2"/>
        <v>107.39422934415084</v>
      </c>
      <c r="W6" s="4">
        <f t="shared" si="2"/>
        <v>98.727741362482647</v>
      </c>
      <c r="X6" s="4">
        <f t="shared" si="2"/>
        <v>100.36770316810103</v>
      </c>
      <c r="Y6" s="4">
        <f t="shared" si="2"/>
        <v>102.83706419913365</v>
      </c>
      <c r="Z6" s="4">
        <f t="shared" si="2"/>
        <v>101.71127123502156</v>
      </c>
      <c r="AA6" s="4">
        <f t="shared" si="2"/>
        <v>102.66152771785798</v>
      </c>
      <c r="AB6" s="4">
        <f t="shared" si="2"/>
        <v>104.67025158665994</v>
      </c>
      <c r="AC6" s="4">
        <f t="shared" si="2"/>
        <v>108.53022557563203</v>
      </c>
      <c r="AD6" s="4">
        <f t="shared" si="2"/>
        <v>115.07396257317444</v>
      </c>
      <c r="AE6" s="4">
        <f t="shared" si="2"/>
        <v>124.16225316137847</v>
      </c>
      <c r="AF6" s="4">
        <f t="shared" si="2"/>
        <v>130.35831223435034</v>
      </c>
      <c r="AG6" s="4">
        <f t="shared" si="2"/>
        <v>132.97668995994991</v>
      </c>
      <c r="AH6" s="4">
        <f t="shared" si="2"/>
        <v>56.110153869940774</v>
      </c>
      <c r="AI6" s="4">
        <f t="shared" si="2"/>
        <v>69.754332886299295</v>
      </c>
      <c r="AJ6" s="4">
        <f t="shared" si="2"/>
        <v>103.28233849</v>
      </c>
    </row>
    <row r="7" spans="1:64">
      <c r="A7" t="s">
        <v>46</v>
      </c>
      <c r="B7" t="s">
        <v>41</v>
      </c>
      <c r="C7" t="s">
        <v>42</v>
      </c>
      <c r="D7" s="4">
        <f>(D74+D83)/1000</f>
        <v>1610.7597821551819</v>
      </c>
      <c r="S7" s="4">
        <f>(S74+S83)/1000</f>
        <v>1489.2308635829077</v>
      </c>
      <c r="T7" s="4">
        <f t="shared" ref="T7:AF7" si="3">(T74+T83)/1000</f>
        <v>1494.1525158714342</v>
      </c>
      <c r="U7" s="4">
        <f t="shared" si="3"/>
        <v>1503.6684597010162</v>
      </c>
      <c r="V7" s="4">
        <f t="shared" si="3"/>
        <v>1433.2435942116344</v>
      </c>
      <c r="W7" s="4">
        <f t="shared" si="3"/>
        <v>1325.218058629576</v>
      </c>
      <c r="X7" s="4">
        <f t="shared" si="3"/>
        <v>1343.1400819540474</v>
      </c>
      <c r="Y7" s="4">
        <f t="shared" si="3"/>
        <v>1333.8554743473871</v>
      </c>
      <c r="Z7" s="4">
        <f t="shared" si="3"/>
        <v>1315.8795544927079</v>
      </c>
      <c r="AA7" s="4">
        <f t="shared" si="3"/>
        <v>1254.011429032349</v>
      </c>
      <c r="AB7" s="4">
        <f t="shared" si="3"/>
        <v>1189.727706691921</v>
      </c>
      <c r="AC7" s="4">
        <f t="shared" si="3"/>
        <v>1196.6742152410509</v>
      </c>
      <c r="AD7" s="4">
        <f t="shared" si="3"/>
        <v>1168.514883806718</v>
      </c>
      <c r="AE7" s="4">
        <f t="shared" si="3"/>
        <v>1162.1379242862579</v>
      </c>
      <c r="AF7" s="4">
        <f t="shared" si="3"/>
        <v>1098.7821738414586</v>
      </c>
      <c r="AG7" s="4">
        <f>(AG74+AG83)/1000</f>
        <v>973.80492187400193</v>
      </c>
      <c r="AH7" s="4">
        <f>(AH74+AH83)/1000</f>
        <v>841.51817867701368</v>
      </c>
      <c r="AI7" s="4">
        <f>(AI74+AI83)/1000</f>
        <v>901.62471439571993</v>
      </c>
      <c r="AJ7" s="4">
        <f>(AJ74+AJ83)/1000</f>
        <v>924.33415739999998</v>
      </c>
    </row>
    <row r="8" spans="1:64">
      <c r="A8" t="s">
        <v>47</v>
      </c>
      <c r="B8" t="s">
        <v>41</v>
      </c>
      <c r="C8" t="s">
        <v>42</v>
      </c>
      <c r="D8" s="4">
        <f>(D75+D87)/1000</f>
        <v>1173.8012129837559</v>
      </c>
      <c r="S8" s="4">
        <f>(S75+S87)/1000</f>
        <v>981.27375675773783</v>
      </c>
      <c r="T8" s="4">
        <f t="shared" ref="T8:AF8" si="4">(T75+T87)/1000</f>
        <v>973.78646434993243</v>
      </c>
      <c r="U8" s="4">
        <f t="shared" si="4"/>
        <v>995.61813454821174</v>
      </c>
      <c r="V8" s="4">
        <f t="shared" si="4"/>
        <v>952.33844686364966</v>
      </c>
      <c r="W8" s="4">
        <f t="shared" si="4"/>
        <v>789.42830625605859</v>
      </c>
      <c r="X8" s="4">
        <f t="shared" si="4"/>
        <v>838.81444269307735</v>
      </c>
      <c r="Y8" s="4">
        <f t="shared" si="4"/>
        <v>826.15345441810177</v>
      </c>
      <c r="Z8" s="4">
        <f t="shared" si="4"/>
        <v>795.67043454180543</v>
      </c>
      <c r="AA8" s="4">
        <f t="shared" si="4"/>
        <v>775.53234103270825</v>
      </c>
      <c r="AB8" s="4">
        <f t="shared" si="4"/>
        <v>769.1653962810484</v>
      </c>
      <c r="AC8" s="4">
        <f t="shared" si="4"/>
        <v>768.8490453104929</v>
      </c>
      <c r="AD8" s="4">
        <f t="shared" si="4"/>
        <v>776.21967063764043</v>
      </c>
      <c r="AE8" s="4">
        <f t="shared" si="4"/>
        <v>791.03609964228258</v>
      </c>
      <c r="AF8" s="4">
        <f t="shared" si="4"/>
        <v>785.27660783836836</v>
      </c>
      <c r="AG8" s="4">
        <f>(AG75+AG87)/1000</f>
        <v>760.12812941600464</v>
      </c>
      <c r="AH8" s="4">
        <f>(AH75+AH87)/1000</f>
        <v>719.60032901981651</v>
      </c>
      <c r="AI8" s="4">
        <f>(AI75+AI87)/1000</f>
        <v>757.47409379603994</v>
      </c>
      <c r="AJ8" s="4">
        <f>(AJ75+AJ87)/1000</f>
        <v>691.32881325000005</v>
      </c>
    </row>
    <row r="9" spans="1:64">
      <c r="A9" t="s">
        <v>48</v>
      </c>
      <c r="B9" t="s">
        <v>41</v>
      </c>
      <c r="C9" t="s">
        <v>42</v>
      </c>
      <c r="D9" s="4">
        <f>(D76)/1000</f>
        <v>672.47556860513691</v>
      </c>
      <c r="S9" s="4">
        <f>(S76)/1000</f>
        <v>847.38589506219387</v>
      </c>
      <c r="T9" s="4">
        <f t="shared" ref="T9:AJ9" si="5">(T76)/1000</f>
        <v>855.49359858641128</v>
      </c>
      <c r="U9" s="4">
        <f t="shared" si="5"/>
        <v>863.98736247026557</v>
      </c>
      <c r="V9" s="4">
        <f t="shared" si="5"/>
        <v>844.92426046834919</v>
      </c>
      <c r="W9" s="4">
        <f t="shared" si="5"/>
        <v>823.12303064336811</v>
      </c>
      <c r="X9" s="4">
        <f t="shared" si="5"/>
        <v>817.63932841198755</v>
      </c>
      <c r="Y9" s="4">
        <f t="shared" si="5"/>
        <v>808.24042555152369</v>
      </c>
      <c r="Z9" s="4">
        <f t="shared" si="5"/>
        <v>778.70674967190905</v>
      </c>
      <c r="AA9" s="4">
        <f t="shared" si="5"/>
        <v>772.7140098053934</v>
      </c>
      <c r="AB9" s="4">
        <f t="shared" si="5"/>
        <v>778.07828003947941</v>
      </c>
      <c r="AC9" s="4">
        <f t="shared" si="5"/>
        <v>793.2395374683889</v>
      </c>
      <c r="AD9" s="4">
        <f t="shared" si="5"/>
        <v>810.74916662589044</v>
      </c>
      <c r="AE9" s="4">
        <f t="shared" si="5"/>
        <v>824.98067098264062</v>
      </c>
      <c r="AF9" s="4">
        <f t="shared" si="5"/>
        <v>826.48301609835585</v>
      </c>
      <c r="AG9" s="4">
        <f t="shared" si="5"/>
        <v>832.73296278018051</v>
      </c>
      <c r="AH9" s="4">
        <f t="shared" si="5"/>
        <v>720.18151797374617</v>
      </c>
      <c r="AI9" s="4">
        <f t="shared" si="5"/>
        <v>782.10069271283805</v>
      </c>
      <c r="AJ9" s="4">
        <f t="shared" si="5"/>
        <v>803.30064017999996</v>
      </c>
    </row>
    <row r="10" spans="1:64">
      <c r="A10" t="s">
        <v>49</v>
      </c>
      <c r="B10" t="s">
        <v>41</v>
      </c>
      <c r="C10" t="s">
        <v>42</v>
      </c>
      <c r="D10" s="4">
        <f>D77/1000</f>
        <v>712.67284183164406</v>
      </c>
      <c r="S10" s="4">
        <f>S77/1000</f>
        <v>665.03924099763537</v>
      </c>
      <c r="T10" s="4">
        <f t="shared" ref="T10:AJ10" si="6">T77/1000</f>
        <v>663.44783267956882</v>
      </c>
      <c r="U10" s="4">
        <f t="shared" si="6"/>
        <v>589.49466125439164</v>
      </c>
      <c r="V10" s="4">
        <f t="shared" si="6"/>
        <v>635.07002126890563</v>
      </c>
      <c r="W10" s="4">
        <f t="shared" si="6"/>
        <v>621.38705256011417</v>
      </c>
      <c r="X10" s="4">
        <f t="shared" si="6"/>
        <v>656.09142672277392</v>
      </c>
      <c r="Y10" s="4">
        <f t="shared" si="6"/>
        <v>581.49115915879895</v>
      </c>
      <c r="Z10" s="4">
        <f t="shared" si="6"/>
        <v>589.57096243056048</v>
      </c>
      <c r="AA10" s="4">
        <f t="shared" si="6"/>
        <v>593.89854786718786</v>
      </c>
      <c r="AB10" s="4">
        <f t="shared" si="6"/>
        <v>517.77464816017448</v>
      </c>
      <c r="AC10" s="4">
        <f t="shared" si="6"/>
        <v>541.00081909233813</v>
      </c>
      <c r="AD10" s="4">
        <f t="shared" si="6"/>
        <v>547.73462145536769</v>
      </c>
      <c r="AE10" s="4">
        <f t="shared" si="6"/>
        <v>545.7283094760611</v>
      </c>
      <c r="AF10" s="4">
        <f t="shared" si="6"/>
        <v>532.93229571417453</v>
      </c>
      <c r="AG10" s="4">
        <f t="shared" si="6"/>
        <v>522.82307824227337</v>
      </c>
      <c r="AH10" s="4">
        <f t="shared" si="6"/>
        <v>519.71367361624789</v>
      </c>
      <c r="AI10" s="4">
        <f t="shared" si="6"/>
        <v>532.5338870926787</v>
      </c>
      <c r="AJ10" s="4">
        <f t="shared" si="6"/>
        <v>481.83207028999999</v>
      </c>
    </row>
    <row r="11" spans="1:64">
      <c r="A11" t="s">
        <v>50</v>
      </c>
      <c r="B11" t="s">
        <v>41</v>
      </c>
      <c r="C11" t="s">
        <v>42</v>
      </c>
      <c r="D11" s="4">
        <f>D88/1000</f>
        <v>484.60681497074296</v>
      </c>
      <c r="S11" s="4">
        <f>S88/1000</f>
        <v>389.22393811242966</v>
      </c>
      <c r="T11" s="4">
        <f t="shared" ref="T11:AJ11" si="7">T88/1000</f>
        <v>386.07974165155912</v>
      </c>
      <c r="U11" s="4">
        <f t="shared" si="7"/>
        <v>389.07720872211593</v>
      </c>
      <c r="V11" s="4">
        <f t="shared" si="7"/>
        <v>386.57500981647684</v>
      </c>
      <c r="W11" s="4">
        <f t="shared" si="7"/>
        <v>381.54065426293414</v>
      </c>
      <c r="X11" s="4">
        <f t="shared" si="7"/>
        <v>376.26183201603794</v>
      </c>
      <c r="Y11" s="4">
        <f t="shared" si="7"/>
        <v>375.71068571010153</v>
      </c>
      <c r="Z11" s="4">
        <f t="shared" si="7"/>
        <v>375.53512881602722</v>
      </c>
      <c r="AA11" s="4">
        <f t="shared" si="7"/>
        <v>377.7110600038942</v>
      </c>
      <c r="AB11" s="4">
        <f t="shared" si="7"/>
        <v>382.76323233658485</v>
      </c>
      <c r="AC11" s="4">
        <f t="shared" si="7"/>
        <v>384.28024043367134</v>
      </c>
      <c r="AD11" s="4">
        <f t="shared" si="7"/>
        <v>386.35086308623397</v>
      </c>
      <c r="AE11" s="4">
        <f t="shared" si="7"/>
        <v>388.16274656214773</v>
      </c>
      <c r="AF11" s="4">
        <f t="shared" si="7"/>
        <v>385.14407775116638</v>
      </c>
      <c r="AG11" s="4">
        <f t="shared" si="7"/>
        <v>380.24796301831776</v>
      </c>
      <c r="AH11" s="4">
        <f t="shared" si="7"/>
        <v>381.95683343695657</v>
      </c>
      <c r="AI11" s="4">
        <f t="shared" si="7"/>
        <v>378.43047321885814</v>
      </c>
      <c r="AJ11" s="4">
        <f t="shared" si="7"/>
        <v>370.64949144999997</v>
      </c>
    </row>
    <row r="12" spans="1:64">
      <c r="A12" t="s">
        <v>51</v>
      </c>
      <c r="B12" t="s">
        <v>41</v>
      </c>
      <c r="C12" t="s">
        <v>42</v>
      </c>
      <c r="D12" s="4">
        <f>D89/1000</f>
        <v>-208.79522539261771</v>
      </c>
      <c r="S12" s="4">
        <f>S89/1000</f>
        <v>-342.10947613129105</v>
      </c>
      <c r="T12" s="4">
        <f t="shared" ref="T12:AF12" si="8">T89/1000</f>
        <v>-351.29638360007004</v>
      </c>
      <c r="U12" s="4">
        <f t="shared" si="8"/>
        <v>-300.61728649736148</v>
      </c>
      <c r="V12" s="4">
        <f t="shared" si="8"/>
        <v>-344.26277168343694</v>
      </c>
      <c r="W12" s="4">
        <f t="shared" si="8"/>
        <v>-347.02232862364394</v>
      </c>
      <c r="X12" s="4">
        <f t="shared" si="8"/>
        <v>-352.59019094981733</v>
      </c>
      <c r="Y12" s="4">
        <f t="shared" si="8"/>
        <v>-347.27380043837763</v>
      </c>
      <c r="Z12" s="4">
        <f t="shared" si="8"/>
        <v>-342.63359898826837</v>
      </c>
      <c r="AA12" s="4">
        <f t="shared" si="8"/>
        <v>-342.60490517123242</v>
      </c>
      <c r="AB12" s="4">
        <f t="shared" si="8"/>
        <v>-327.80272088059951</v>
      </c>
      <c r="AC12" s="4">
        <f t="shared" si="8"/>
        <v>-322.42383901204818</v>
      </c>
      <c r="AD12" s="4">
        <f t="shared" si="8"/>
        <v>-318.48652483153614</v>
      </c>
      <c r="AE12" s="4">
        <f t="shared" si="8"/>
        <v>-249.79589118034281</v>
      </c>
      <c r="AF12" s="4">
        <f t="shared" si="8"/>
        <v>-257.78904072107576</v>
      </c>
      <c r="AG12" s="4">
        <f>AG89/1000</f>
        <v>-247.3176236412184</v>
      </c>
      <c r="AH12" s="4">
        <f>AH89/1000</f>
        <v>-241.03805792704637</v>
      </c>
      <c r="AI12" s="4">
        <f>AI89/1000</f>
        <v>-229.98466641727219</v>
      </c>
      <c r="AJ12" s="4">
        <f>AJ89/1000</f>
        <v>-243.76728937000001</v>
      </c>
    </row>
    <row r="13" spans="1:64">
      <c r="A13" t="s">
        <v>52</v>
      </c>
      <c r="B13" t="s">
        <v>41</v>
      </c>
      <c r="C13" t="s">
        <v>42</v>
      </c>
      <c r="D13" s="4">
        <f>D95/1000-D12-D11-D10-D9-D8-D7</f>
        <v>212.68137720428967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>
        <f t="shared" ref="S13:AJ13" si="9">S95/1000-S12-S11-S10-S9-S8-S7</f>
        <v>169.72820383495673</v>
      </c>
      <c r="T13" s="4">
        <f t="shared" si="9"/>
        <v>165.07888080560292</v>
      </c>
      <c r="U13" s="4">
        <f t="shared" si="9"/>
        <v>160.92182487346099</v>
      </c>
      <c r="V13" s="4">
        <f t="shared" si="9"/>
        <v>156.26092312467927</v>
      </c>
      <c r="W13" s="4">
        <f t="shared" si="9"/>
        <v>152.26218739604951</v>
      </c>
      <c r="X13" s="4">
        <f t="shared" si="9"/>
        <v>148.79456088393545</v>
      </c>
      <c r="Y13" s="4">
        <f t="shared" si="9"/>
        <v>144.41493657978413</v>
      </c>
      <c r="Z13" s="4">
        <f t="shared" si="9"/>
        <v>139.94722738270434</v>
      </c>
      <c r="AA13" s="4">
        <f t="shared" si="9"/>
        <v>134.70936924287935</v>
      </c>
      <c r="AB13" s="4">
        <f t="shared" si="9"/>
        <v>130.23006267327492</v>
      </c>
      <c r="AC13" s="4">
        <f t="shared" si="9"/>
        <v>128.37176831057582</v>
      </c>
      <c r="AD13" s="4">
        <f t="shared" si="9"/>
        <v>125.12436669127283</v>
      </c>
      <c r="AE13" s="4">
        <f t="shared" si="9"/>
        <v>124.02069564713202</v>
      </c>
      <c r="AF13" s="4">
        <f t="shared" si="9"/>
        <v>122.15263891490508</v>
      </c>
      <c r="AG13" s="4">
        <f t="shared" si="9"/>
        <v>121.55657002231908</v>
      </c>
      <c r="AH13" s="4">
        <f t="shared" si="9"/>
        <v>120.63001056849816</v>
      </c>
      <c r="AI13" s="4">
        <f t="shared" si="9"/>
        <v>119.53645060086433</v>
      </c>
      <c r="AJ13" s="4">
        <f t="shared" si="9"/>
        <v>115.14677466000023</v>
      </c>
    </row>
    <row r="14" spans="1:64">
      <c r="A14" t="s">
        <v>53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>
        <f>(D94+D85)/1000*0.8</f>
        <v>3936.8762552718126</v>
      </c>
      <c r="AI14" s="4"/>
    </row>
    <row r="15" spans="1:64">
      <c r="A15" t="s">
        <v>54</v>
      </c>
      <c r="AR15" s="5">
        <f>0.45*D3</f>
        <v>2149.8272168558128</v>
      </c>
    </row>
    <row r="16" spans="1:64">
      <c r="A16" t="s">
        <v>55</v>
      </c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BB16">
        <f>BB17</f>
        <v>238.86969076175697</v>
      </c>
      <c r="BC16" s="41"/>
    </row>
    <row r="17" spans="1:64">
      <c r="A17" t="s">
        <v>56</v>
      </c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BB17">
        <f>0.05*D3</f>
        <v>238.86969076175697</v>
      </c>
    </row>
    <row r="18" spans="1:64">
      <c r="A18" t="s">
        <v>57</v>
      </c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BL18">
        <v>0</v>
      </c>
    </row>
    <row r="19" spans="1:64">
      <c r="A19" t="s">
        <v>58</v>
      </c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80"/>
      <c r="AJ19" s="80">
        <v>3248.2071206000001</v>
      </c>
      <c r="AK19" s="80">
        <v>3107.2481107954645</v>
      </c>
      <c r="AL19" s="80">
        <v>2966.2891009909295</v>
      </c>
      <c r="AM19" s="80">
        <v>2825.3300911863939</v>
      </c>
      <c r="AN19" s="80">
        <v>2684.3710813818584</v>
      </c>
      <c r="AO19" s="80">
        <v>2543.4120715773233</v>
      </c>
      <c r="AP19" s="80">
        <v>2402.4530617727878</v>
      </c>
      <c r="AQ19" s="80">
        <v>2261.4940519682523</v>
      </c>
      <c r="AR19" s="80">
        <v>2120.5350421637168</v>
      </c>
      <c r="AS19" s="80"/>
      <c r="AT19" s="80"/>
      <c r="AU19" s="45"/>
      <c r="AV19" s="45">
        <v>1696.4280337309735</v>
      </c>
      <c r="AW19" s="45">
        <v>1590.4012816227878</v>
      </c>
      <c r="AX19" s="45">
        <v>1484.3745295146018</v>
      </c>
      <c r="AY19" s="45">
        <v>1378.3477774064161</v>
      </c>
      <c r="AZ19" s="45">
        <v>1272.3210252982303</v>
      </c>
      <c r="BA19" s="45">
        <v>1166.2942731900444</v>
      </c>
      <c r="BB19" s="45">
        <v>1060.2675210818586</v>
      </c>
      <c r="BC19" s="4">
        <v>954.24076897367286</v>
      </c>
      <c r="BD19" s="4">
        <v>848.21401686548688</v>
      </c>
      <c r="BE19" s="4">
        <v>742.18726475730114</v>
      </c>
      <c r="BF19" s="4">
        <v>636.16051264911516</v>
      </c>
      <c r="BG19" s="4">
        <v>530.13376054092942</v>
      </c>
      <c r="BH19" s="4">
        <v>424.10700843274367</v>
      </c>
      <c r="BI19" s="4">
        <v>318.08025632455769</v>
      </c>
      <c r="BJ19" s="4">
        <v>212.05350421637195</v>
      </c>
      <c r="BK19" s="4">
        <v>106.02675210818597</v>
      </c>
      <c r="BL19" s="4">
        <v>4.5474735088646412E-13</v>
      </c>
    </row>
    <row r="20" spans="1:64">
      <c r="A20" t="s">
        <v>59</v>
      </c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80"/>
      <c r="AJ20" s="80"/>
      <c r="AK20" s="80"/>
      <c r="AL20" s="80"/>
      <c r="AM20" s="80"/>
      <c r="AN20" s="80"/>
      <c r="AO20" s="80"/>
      <c r="AP20" s="80"/>
      <c r="AQ20" s="80"/>
      <c r="AR20" s="80">
        <v>2120.5350421637168</v>
      </c>
      <c r="AS20" s="80"/>
      <c r="AT20" s="80"/>
      <c r="AU20" s="45"/>
      <c r="AV20" s="45">
        <v>1460.8130290461158</v>
      </c>
      <c r="AW20" s="45">
        <v>1295.8825257667158</v>
      </c>
      <c r="AX20" s="45">
        <v>1130.9520224873156</v>
      </c>
      <c r="AY20" s="45">
        <v>966.02151920791539</v>
      </c>
      <c r="AZ20" s="45">
        <v>801.09101592851516</v>
      </c>
      <c r="BA20" s="45">
        <v>636.16051264911493</v>
      </c>
      <c r="BB20" s="45">
        <v>471.23000936971494</v>
      </c>
      <c r="BC20" s="4"/>
      <c r="BD20" s="4"/>
      <c r="BE20" s="4"/>
      <c r="BF20" s="4"/>
      <c r="BG20" s="4"/>
      <c r="BH20" s="4"/>
      <c r="BI20" s="4"/>
      <c r="BJ20" s="4"/>
      <c r="BK20" s="4"/>
      <c r="BL20" s="4"/>
    </row>
    <row r="21" spans="1:64">
      <c r="A21" t="s">
        <v>60</v>
      </c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80"/>
      <c r="AJ21" s="80"/>
      <c r="AK21" s="80"/>
      <c r="AL21" s="80"/>
      <c r="AM21" s="80"/>
      <c r="AN21" s="80"/>
      <c r="AO21" s="80"/>
      <c r="AP21" s="80"/>
      <c r="AQ21" s="80"/>
      <c r="AR21" s="80">
        <v>2120.5350421637168</v>
      </c>
      <c r="AS21" s="80"/>
      <c r="AT21" s="80"/>
      <c r="AU21" s="45"/>
      <c r="AV21" s="45">
        <v>1366.5670271721731</v>
      </c>
      <c r="AW21" s="45">
        <v>1178.0750234242873</v>
      </c>
      <c r="AX21" s="45">
        <v>989.58301967640136</v>
      </c>
      <c r="AY21" s="45">
        <v>801.09101592851539</v>
      </c>
      <c r="AZ21" s="45">
        <v>612.59901218062942</v>
      </c>
      <c r="BA21" s="45">
        <v>424.10700843274344</v>
      </c>
      <c r="BB21" s="45">
        <v>235.61500468485747</v>
      </c>
      <c r="BC21" s="4"/>
      <c r="BD21" s="4"/>
      <c r="BE21" s="4"/>
      <c r="BF21" s="4"/>
      <c r="BG21" s="4"/>
      <c r="BH21" s="4"/>
      <c r="BI21" s="4"/>
      <c r="BJ21" s="4"/>
      <c r="BK21" s="4"/>
      <c r="BL21" s="4"/>
    </row>
    <row r="22" spans="1:64"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</row>
    <row r="23" spans="1:64">
      <c r="A23" t="s">
        <v>61</v>
      </c>
      <c r="S23" s="5">
        <f>(AJ3-S3)/17</f>
        <v>-62.349568267504253</v>
      </c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</row>
    <row r="24" spans="1:64">
      <c r="A24" t="s">
        <v>62</v>
      </c>
      <c r="S24" s="5">
        <f>AVERAGE(AJ3-AI3,AI3-AH3,AH3-AG3,AG3-AF3)</f>
        <v>-94.323105082551024</v>
      </c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</row>
    <row r="25" spans="1:64">
      <c r="A25" t="s">
        <v>63</v>
      </c>
      <c r="S25" s="5">
        <f>AK19-AJ19</f>
        <v>-140.95900980453553</v>
      </c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</row>
    <row r="26" spans="1:64">
      <c r="A26" t="s">
        <v>64</v>
      </c>
      <c r="S26" s="5">
        <f>BF19-BE19</f>
        <v>-106.02675210818597</v>
      </c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</row>
    <row r="27" spans="1:64">
      <c r="A27" t="s">
        <v>65</v>
      </c>
      <c r="S27" s="5">
        <f>(BB17-AS19)/9</f>
        <v>26.541076751306331</v>
      </c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83"/>
      <c r="AL27" s="37"/>
      <c r="AM27" s="37"/>
      <c r="AN27" s="37"/>
      <c r="AO27" s="37"/>
      <c r="AP27" s="37"/>
      <c r="AQ27" s="37"/>
      <c r="AR27" s="37"/>
      <c r="AS27" s="37"/>
      <c r="AT27" s="37"/>
    </row>
    <row r="28" spans="1:64">
      <c r="A28" t="s">
        <v>66</v>
      </c>
      <c r="S28" s="5">
        <f>(2*BB17-AS19)/9</f>
        <v>53.082153502612663</v>
      </c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</row>
    <row r="29" spans="1:64"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</row>
    <row r="30" spans="1:64">
      <c r="A30" t="s">
        <v>67</v>
      </c>
      <c r="S30" s="39">
        <f>AR4/D3-1</f>
        <v>-0.49149455990548463</v>
      </c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</row>
    <row r="31" spans="1:64"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</row>
    <row r="32" spans="1:64"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80"/>
      <c r="AI32" s="37"/>
      <c r="AJ32" s="37"/>
      <c r="AK32" s="37"/>
      <c r="AL32" s="37"/>
      <c r="AM32" s="80"/>
      <c r="AN32" s="37"/>
      <c r="AO32" s="37"/>
      <c r="AP32" s="37"/>
      <c r="AQ32" s="37"/>
      <c r="AR32" s="37"/>
      <c r="AS32" s="37"/>
      <c r="AT32" s="37"/>
    </row>
    <row r="33" spans="1:46">
      <c r="I33" s="4"/>
      <c r="J33" s="4"/>
      <c r="K33" s="4"/>
      <c r="L33" s="4"/>
      <c r="M33" s="4"/>
      <c r="S33" s="4"/>
      <c r="T33" s="4"/>
      <c r="U33" s="4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1"/>
      <c r="AI33" s="80"/>
      <c r="AJ33" s="80"/>
      <c r="AK33" s="80"/>
      <c r="AL33" s="80"/>
      <c r="AM33" s="80"/>
      <c r="AN33" s="37"/>
      <c r="AO33" s="37"/>
      <c r="AP33" s="37"/>
      <c r="AQ33" s="37"/>
      <c r="AR33" s="37"/>
      <c r="AS33" s="37"/>
      <c r="AT33" s="37"/>
    </row>
    <row r="34" spans="1:46"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J34" s="4"/>
      <c r="AL34" s="4"/>
    </row>
    <row r="35" spans="1:46">
      <c r="S35" s="4">
        <f>X8-U8</f>
        <v>-156.80369185513439</v>
      </c>
      <c r="V35" s="37"/>
      <c r="W35" s="37"/>
      <c r="X35" s="37"/>
      <c r="Y35" s="37"/>
      <c r="Z35" s="37"/>
      <c r="AA35" s="37"/>
      <c r="AB35" s="37"/>
      <c r="AC35" s="37"/>
      <c r="AD35" s="37"/>
      <c r="AE35" s="80"/>
      <c r="AF35" s="80"/>
      <c r="AG35" s="80"/>
      <c r="AH35" s="80"/>
      <c r="AI35" s="4"/>
    </row>
    <row r="36" spans="1:46">
      <c r="S36" s="4"/>
      <c r="T36" s="4"/>
      <c r="U36" s="4"/>
      <c r="V36" s="82" t="s">
        <v>68</v>
      </c>
      <c r="W36" s="80"/>
      <c r="X36" s="80"/>
      <c r="Y36" s="80"/>
      <c r="Z36" s="80"/>
      <c r="AA36" s="80"/>
      <c r="AB36" s="80"/>
      <c r="AC36" s="80"/>
      <c r="AD36" s="80"/>
      <c r="AE36" s="80"/>
      <c r="AF36" s="80"/>
      <c r="AG36" s="80"/>
      <c r="AH36" s="80"/>
      <c r="AI36" s="39"/>
      <c r="AJ36" s="4"/>
    </row>
    <row r="37" spans="1:46" s="2" customFormat="1">
      <c r="A37" s="2" t="s">
        <v>35</v>
      </c>
    </row>
    <row r="38" spans="1:46">
      <c r="S38">
        <v>2005</v>
      </c>
      <c r="T38">
        <v>2022</v>
      </c>
      <c r="U38" t="s">
        <v>69</v>
      </c>
      <c r="V38" t="s">
        <v>70</v>
      </c>
    </row>
    <row r="39" spans="1:46">
      <c r="A39" t="s">
        <v>46</v>
      </c>
      <c r="S39" s="4">
        <f>S7</f>
        <v>1489.2308635829077</v>
      </c>
      <c r="T39" s="4">
        <f>AJ7</f>
        <v>924.33415739999998</v>
      </c>
      <c r="U39" s="4">
        <f t="shared" ref="U39:U45" si="10">T39-S39</f>
        <v>-564.89670618290768</v>
      </c>
      <c r="V39" s="39">
        <f t="shared" ref="V39:V45" si="11">T39/S39-1</f>
        <v>-0.37932111131771418</v>
      </c>
    </row>
    <row r="40" spans="1:46">
      <c r="A40" t="s">
        <v>47</v>
      </c>
      <c r="S40" s="4">
        <f t="shared" ref="S40" si="12">S8</f>
        <v>981.27375675773783</v>
      </c>
      <c r="T40" s="4">
        <f t="shared" ref="T40" si="13">AJ8</f>
        <v>691.32881325000005</v>
      </c>
      <c r="U40" s="4">
        <f t="shared" si="10"/>
        <v>-289.94494350773778</v>
      </c>
      <c r="V40" s="39">
        <f t="shared" si="11"/>
        <v>-0.29547813901164066</v>
      </c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</row>
    <row r="41" spans="1:46">
      <c r="A41" t="s">
        <v>71</v>
      </c>
      <c r="S41" s="4">
        <f>S9+S6+S5*$V$68</f>
        <v>1041.4679184453867</v>
      </c>
      <c r="T41" s="4">
        <f>AJ9+AJ6+AJ5*V68</f>
        <v>994.38776737219143</v>
      </c>
      <c r="U41" s="4">
        <f t="shared" si="10"/>
        <v>-47.080151073195225</v>
      </c>
      <c r="V41" s="39">
        <f t="shared" si="11"/>
        <v>-4.520557017586524E-2</v>
      </c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</row>
    <row r="42" spans="1:46">
      <c r="A42" t="s">
        <v>49</v>
      </c>
      <c r="S42" s="4">
        <f>S10</f>
        <v>665.03924099763537</v>
      </c>
      <c r="T42" s="4">
        <f>AJ10</f>
        <v>481.83207028999999</v>
      </c>
      <c r="U42" s="4">
        <f t="shared" si="10"/>
        <v>-183.20717070763538</v>
      </c>
      <c r="V42" s="39">
        <f t="shared" si="11"/>
        <v>-0.27548324882724751</v>
      </c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</row>
    <row r="43" spans="1:46">
      <c r="A43" t="s">
        <v>50</v>
      </c>
      <c r="S43" s="4">
        <f>S11</f>
        <v>389.22393811242966</v>
      </c>
      <c r="T43" s="4">
        <f>AJ11</f>
        <v>370.64949144999997</v>
      </c>
      <c r="U43" s="4">
        <f t="shared" si="10"/>
        <v>-18.574446662429693</v>
      </c>
      <c r="V43" s="39">
        <f t="shared" si="11"/>
        <v>-4.772174792873185E-2</v>
      </c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</row>
    <row r="44" spans="1:46">
      <c r="A44" t="s">
        <v>52</v>
      </c>
      <c r="S44" s="4">
        <f>S13</f>
        <v>169.72820383495673</v>
      </c>
      <c r="T44" s="4">
        <f>AJ13</f>
        <v>115.14677466000023</v>
      </c>
      <c r="U44" s="4">
        <f t="shared" si="10"/>
        <v>-54.581429174956497</v>
      </c>
      <c r="V44" s="39">
        <f t="shared" si="11"/>
        <v>-0.32158137505556439</v>
      </c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</row>
    <row r="45" spans="1:46">
      <c r="A45" t="s">
        <v>51</v>
      </c>
      <c r="S45" s="4">
        <f>S12</f>
        <v>-342.10947613129105</v>
      </c>
      <c r="T45" s="4">
        <f>AJ12</f>
        <v>-243.76728937000001</v>
      </c>
      <c r="U45" s="4">
        <f t="shared" si="10"/>
        <v>98.342186761291032</v>
      </c>
      <c r="V45" s="39">
        <f t="shared" si="11"/>
        <v>-0.2874582366831322</v>
      </c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</row>
    <row r="46" spans="1:46"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</row>
    <row r="47" spans="1:46"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</row>
    <row r="48" spans="1:46"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</row>
    <row r="49" spans="1:33"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</row>
    <row r="50" spans="1:33"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</row>
    <row r="51" spans="1:33">
      <c r="S51" s="4" t="e">
        <f>S41+#REF!</f>
        <v>#REF!</v>
      </c>
      <c r="T51" s="4" t="e">
        <f>T41+#REF!</f>
        <v>#REF!</v>
      </c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</row>
    <row r="52" spans="1:33"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</row>
    <row r="53" spans="1:33"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</row>
    <row r="54" spans="1:33"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</row>
    <row r="55" spans="1:33"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</row>
    <row r="56" spans="1:33"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</row>
    <row r="57" spans="1:33">
      <c r="W57" s="37"/>
      <c r="X57" s="83" t="s">
        <v>72</v>
      </c>
      <c r="Y57" s="37"/>
      <c r="Z57" s="37"/>
      <c r="AA57" s="37"/>
      <c r="AB57" s="37"/>
      <c r="AC57" s="37"/>
      <c r="AD57" s="37"/>
      <c r="AE57" s="37"/>
      <c r="AF57" s="37"/>
      <c r="AG57" s="37"/>
    </row>
    <row r="58" spans="1:33" s="2" customFormat="1">
      <c r="A58" s="2" t="s">
        <v>73</v>
      </c>
    </row>
    <row r="59" spans="1:33">
      <c r="A59" t="s">
        <v>74</v>
      </c>
    </row>
    <row r="60" spans="1:33">
      <c r="S60">
        <v>2018</v>
      </c>
      <c r="T60">
        <v>2019</v>
      </c>
      <c r="U60">
        <v>2020</v>
      </c>
      <c r="V60">
        <v>2021</v>
      </c>
    </row>
    <row r="61" spans="1:33">
      <c r="A61" t="s">
        <v>75</v>
      </c>
      <c r="S61" s="35">
        <v>5.7000000000000002E-2</v>
      </c>
      <c r="T61" s="35">
        <v>6.8000000000000005E-2</v>
      </c>
      <c r="U61" s="35">
        <v>6.3E-2</v>
      </c>
      <c r="V61" s="35">
        <v>6.4000000000000001E-2</v>
      </c>
    </row>
    <row r="62" spans="1:33">
      <c r="A62" t="s">
        <v>76</v>
      </c>
      <c r="S62" s="35">
        <v>0.32200000000000001</v>
      </c>
      <c r="T62" s="35">
        <v>0.32600000000000001</v>
      </c>
      <c r="U62" s="35">
        <v>0.29699999999999999</v>
      </c>
      <c r="V62" s="35">
        <v>0.26</v>
      </c>
    </row>
    <row r="63" spans="1:33">
      <c r="A63" t="s">
        <v>77</v>
      </c>
      <c r="S63" s="35">
        <v>0.29399999999999998</v>
      </c>
      <c r="T63" s="35">
        <v>0.28899999999999998</v>
      </c>
      <c r="U63" s="35">
        <v>0.308</v>
      </c>
      <c r="V63" s="35">
        <v>0.32700000000000001</v>
      </c>
    </row>
    <row r="64" spans="1:33">
      <c r="A64" t="s">
        <v>78</v>
      </c>
      <c r="S64" s="35">
        <v>0.32700000000000001</v>
      </c>
      <c r="T64" s="35">
        <v>0.318</v>
      </c>
      <c r="U64" s="35">
        <v>0.33200000000000002</v>
      </c>
      <c r="V64" s="35">
        <v>0.34899999999999998</v>
      </c>
    </row>
    <row r="65" spans="1:49">
      <c r="A65" t="s">
        <v>40</v>
      </c>
      <c r="S65" s="5">
        <v>144.69999999999999</v>
      </c>
      <c r="T65" s="5">
        <v>147</v>
      </c>
      <c r="U65" s="5">
        <v>128.69999999999999</v>
      </c>
      <c r="V65" s="5">
        <v>124.3</v>
      </c>
    </row>
    <row r="66" spans="1:49" ht="15.75" customHeight="1">
      <c r="A66" t="s">
        <v>79</v>
      </c>
      <c r="S66" s="5">
        <f>(S61+S62+(S63+S64)/2)*S65</f>
        <v>99.770649999999989</v>
      </c>
      <c r="T66" s="5">
        <f>(T61+T62+(T63+T64)/2)*T65</f>
        <v>102.5325</v>
      </c>
      <c r="U66" s="5">
        <f>(U61+U62+(U63+U64)/2)*U65</f>
        <v>87.515999999999991</v>
      </c>
      <c r="V66" s="5">
        <f>(V61+V62+(V63+V64)/2)*V65</f>
        <v>82.286599999999993</v>
      </c>
    </row>
    <row r="67" spans="1:49">
      <c r="A67" t="s">
        <v>80</v>
      </c>
      <c r="S67" s="5">
        <f>AF86/1000</f>
        <v>137.83576273435258</v>
      </c>
      <c r="T67" s="5">
        <f>AG86/1000</f>
        <v>136.59719279718294</v>
      </c>
      <c r="U67" s="5">
        <f>AH86/1000</f>
        <v>121.0306700531797</v>
      </c>
      <c r="V67" s="5">
        <f>AI86/1000</f>
        <v>129.0860910553474</v>
      </c>
    </row>
    <row r="68" spans="1:49">
      <c r="A68" t="s">
        <v>81</v>
      </c>
      <c r="S68" s="39">
        <f>S66/S67</f>
        <v>0.7238371814453225</v>
      </c>
      <c r="T68" s="39">
        <f>T66/T67</f>
        <v>0.75061937877624185</v>
      </c>
      <c r="U68" s="39">
        <f>U66/U67</f>
        <v>0.72308944469650793</v>
      </c>
      <c r="V68" s="39">
        <f>V66/V67</f>
        <v>0.63745520007045919</v>
      </c>
    </row>
    <row r="69" spans="1:49" ht="15.75" customHeight="1">
      <c r="S69" s="5"/>
      <c r="T69" s="5"/>
      <c r="U69" s="5"/>
      <c r="V69" s="5"/>
    </row>
    <row r="71" spans="1:49" s="2" customFormat="1">
      <c r="A71" s="2" t="s">
        <v>82</v>
      </c>
    </row>
    <row r="72" spans="1:49">
      <c r="B72" s="1" t="s">
        <v>0</v>
      </c>
      <c r="C72" s="1" t="s">
        <v>1</v>
      </c>
      <c r="D72" s="6" t="s">
        <v>83</v>
      </c>
      <c r="E72" s="6" t="s">
        <v>84</v>
      </c>
      <c r="F72" s="6" t="s">
        <v>85</v>
      </c>
      <c r="G72" s="6" t="s">
        <v>86</v>
      </c>
      <c r="H72" s="6" t="s">
        <v>87</v>
      </c>
      <c r="I72" s="6" t="s">
        <v>88</v>
      </c>
      <c r="J72" s="6" t="s">
        <v>89</v>
      </c>
      <c r="K72" s="6" t="s">
        <v>90</v>
      </c>
      <c r="L72" s="6" t="s">
        <v>91</v>
      </c>
      <c r="M72" s="6" t="s">
        <v>92</v>
      </c>
      <c r="N72" s="6" t="s">
        <v>93</v>
      </c>
      <c r="O72" s="6" t="s">
        <v>94</v>
      </c>
      <c r="P72" s="6" t="s">
        <v>95</v>
      </c>
      <c r="Q72" s="6" t="s">
        <v>96</v>
      </c>
      <c r="R72" s="6" t="s">
        <v>97</v>
      </c>
      <c r="S72" s="6" t="s">
        <v>36</v>
      </c>
      <c r="T72" s="6" t="s">
        <v>98</v>
      </c>
      <c r="U72" s="6" t="s">
        <v>99</v>
      </c>
      <c r="V72" s="6" t="s">
        <v>100</v>
      </c>
      <c r="W72" s="6" t="s">
        <v>101</v>
      </c>
      <c r="X72" s="6" t="s">
        <v>37</v>
      </c>
      <c r="Y72" s="6" t="s">
        <v>102</v>
      </c>
      <c r="Z72" s="6" t="s">
        <v>103</v>
      </c>
      <c r="AA72" s="6" t="s">
        <v>104</v>
      </c>
      <c r="AB72" s="6" t="s">
        <v>105</v>
      </c>
      <c r="AC72" s="6" t="s">
        <v>38</v>
      </c>
      <c r="AD72" s="6" t="s">
        <v>106</v>
      </c>
      <c r="AE72" s="6" t="s">
        <v>107</v>
      </c>
      <c r="AF72" s="6" t="s">
        <v>108</v>
      </c>
      <c r="AG72" s="6" t="s">
        <v>109</v>
      </c>
      <c r="AH72" s="6" t="s">
        <v>39</v>
      </c>
      <c r="AI72" s="6" t="s">
        <v>110</v>
      </c>
      <c r="AJ72" s="6">
        <v>2022</v>
      </c>
      <c r="AM72">
        <v>2040</v>
      </c>
      <c r="AR72">
        <v>2045</v>
      </c>
      <c r="AW72">
        <v>2050</v>
      </c>
    </row>
    <row r="73" spans="1:49">
      <c r="A73" s="7" t="s">
        <v>111</v>
      </c>
      <c r="B73" t="s">
        <v>41</v>
      </c>
      <c r="C73" s="3" t="s">
        <v>112</v>
      </c>
      <c r="D73" s="3">
        <v>3747086.1494784327</v>
      </c>
      <c r="E73" s="3">
        <v>3699655.3639092953</v>
      </c>
      <c r="F73" s="3">
        <v>3583040.3020461588</v>
      </c>
      <c r="G73" s="3">
        <v>3521175.0417307075</v>
      </c>
      <c r="H73" s="3">
        <v>3482332.5221586456</v>
      </c>
      <c r="I73" s="3">
        <v>3520536.855919051</v>
      </c>
      <c r="J73" s="3">
        <v>3612971.2189658945</v>
      </c>
      <c r="K73" s="3">
        <v>3542076.0915516731</v>
      </c>
      <c r="L73" s="3">
        <v>3526182.8960906919</v>
      </c>
      <c r="M73" s="3">
        <v>3475840.3219078169</v>
      </c>
      <c r="N73" s="3">
        <v>3454130.8582397979</v>
      </c>
      <c r="O73" s="3">
        <v>3519722.4035251024</v>
      </c>
      <c r="P73" s="3">
        <v>3516579.7390910834</v>
      </c>
      <c r="Q73" s="3">
        <v>3593885.6542434962</v>
      </c>
      <c r="R73" s="3">
        <v>3586752.5703176772</v>
      </c>
      <c r="S73" s="3">
        <v>3568974.3453109469</v>
      </c>
      <c r="T73" s="3">
        <v>3568812.2961125155</v>
      </c>
      <c r="U73" s="3">
        <v>3525582.5974896825</v>
      </c>
      <c r="V73" s="3">
        <v>3461791.0759426714</v>
      </c>
      <c r="W73" s="3">
        <v>3225419.1477870853</v>
      </c>
      <c r="X73" s="3">
        <v>3305395.1738515589</v>
      </c>
      <c r="Y73" s="3">
        <v>3200384.7125661834</v>
      </c>
      <c r="Z73" s="3">
        <v>3142061.3943004934</v>
      </c>
      <c r="AA73" s="3">
        <v>3060458.6367252907</v>
      </c>
      <c r="AB73" s="3">
        <v>2912369.9761746819</v>
      </c>
      <c r="AC73" s="3">
        <v>2966769.0941434875</v>
      </c>
      <c r="AD73" s="3">
        <v>2967281.5900525777</v>
      </c>
      <c r="AE73" s="3">
        <v>2980290.4158439655</v>
      </c>
      <c r="AF73" s="3">
        <v>2906197.6328358944</v>
      </c>
      <c r="AG73" s="3">
        <v>2764013.9811103744</v>
      </c>
      <c r="AH73" s="3">
        <v>2500278.0037370296</v>
      </c>
      <c r="AI73" s="3">
        <v>2662746.0779499644</v>
      </c>
      <c r="AJ73" s="3">
        <v>2614751.7789799999</v>
      </c>
    </row>
    <row r="74" spans="1:49">
      <c r="A74" s="7" t="s">
        <v>113</v>
      </c>
      <c r="B74" t="s">
        <v>41</v>
      </c>
      <c r="C74" s="3" t="s">
        <v>112</v>
      </c>
      <c r="D74" s="3">
        <v>1442050.4566300991</v>
      </c>
      <c r="E74" s="3">
        <v>1409482.5753727134</v>
      </c>
      <c r="F74" s="3">
        <v>1362946.9799305068</v>
      </c>
      <c r="G74" s="3">
        <v>1311450.778928922</v>
      </c>
      <c r="H74" s="3">
        <v>1318139.0044639106</v>
      </c>
      <c r="I74" s="3">
        <v>1318746.7473928954</v>
      </c>
      <c r="J74" s="3">
        <v>1347416.3171802566</v>
      </c>
      <c r="K74" s="3">
        <v>1312623.4407597769</v>
      </c>
      <c r="L74" s="3">
        <v>1315705.2262662624</v>
      </c>
      <c r="M74" s="3">
        <v>1278435.7641183289</v>
      </c>
      <c r="N74" s="3">
        <v>1304461.6900977818</v>
      </c>
      <c r="O74" s="3">
        <v>1329452.9897999167</v>
      </c>
      <c r="P74" s="3">
        <v>1352052.176829309</v>
      </c>
      <c r="Q74" s="3">
        <v>1399443.3346654777</v>
      </c>
      <c r="R74" s="3">
        <v>1392394.6807595014</v>
      </c>
      <c r="S74" s="3">
        <v>1383791.9097472429</v>
      </c>
      <c r="T74" s="3">
        <v>1391298.0674825914</v>
      </c>
      <c r="U74" s="3">
        <v>1405513.6499988372</v>
      </c>
      <c r="V74" s="3">
        <v>1336603.9374520881</v>
      </c>
      <c r="W74" s="3">
        <v>1235822.2176750025</v>
      </c>
      <c r="X74" s="3">
        <v>1254197.964069834</v>
      </c>
      <c r="Y74" s="3">
        <v>1245598.7563612096</v>
      </c>
      <c r="Z74" s="3">
        <v>1228497.2835891915</v>
      </c>
      <c r="AA74" s="3">
        <v>1167766.6278561049</v>
      </c>
      <c r="AB74" s="3">
        <v>1106411.9525673406</v>
      </c>
      <c r="AC74" s="3">
        <v>1113952.0394297841</v>
      </c>
      <c r="AD74" s="3">
        <v>1089116.5887234109</v>
      </c>
      <c r="AE74" s="3">
        <v>1083340.0621046829</v>
      </c>
      <c r="AF74" s="3">
        <v>1023654.3690424642</v>
      </c>
      <c r="AG74" s="3">
        <v>905334.05328784208</v>
      </c>
      <c r="AH74" s="3">
        <v>778122.08850597916</v>
      </c>
      <c r="AI74" s="3">
        <v>840446.60987161286</v>
      </c>
      <c r="AJ74" s="3">
        <v>863591.50089000002</v>
      </c>
    </row>
    <row r="75" spans="1:49">
      <c r="A75" s="7" t="s">
        <v>114</v>
      </c>
      <c r="B75" t="s">
        <v>41</v>
      </c>
      <c r="C75" s="3" t="s">
        <v>112</v>
      </c>
      <c r="D75" s="3">
        <v>729124.82433952251</v>
      </c>
      <c r="E75" s="3">
        <v>688197.14655031951</v>
      </c>
      <c r="F75" s="3">
        <v>652282.32099128491</v>
      </c>
      <c r="G75" s="3">
        <v>628104.76901780104</v>
      </c>
      <c r="H75" s="3">
        <v>626987.1836255393</v>
      </c>
      <c r="I75" s="3">
        <v>645486.03225609043</v>
      </c>
      <c r="J75" s="3">
        <v>637454.84185020777</v>
      </c>
      <c r="K75" s="3">
        <v>628150.98231777351</v>
      </c>
      <c r="L75" s="3">
        <v>603680.25231155602</v>
      </c>
      <c r="M75" s="3">
        <v>588751.10368625796</v>
      </c>
      <c r="N75" s="3">
        <v>586681.04864906252</v>
      </c>
      <c r="O75" s="3">
        <v>575159.92932555231</v>
      </c>
      <c r="P75" s="3">
        <v>565668.57954753039</v>
      </c>
      <c r="Q75" s="3">
        <v>571523.27877744276</v>
      </c>
      <c r="R75" s="3">
        <v>564625.55047847598</v>
      </c>
      <c r="S75" s="3">
        <v>556523.79943343182</v>
      </c>
      <c r="T75" s="3">
        <v>546025.34439376334</v>
      </c>
      <c r="U75" s="3">
        <v>558821.73731368873</v>
      </c>
      <c r="V75" s="3">
        <v>539298.55818943225</v>
      </c>
      <c r="W75" s="3">
        <v>447681.16542716348</v>
      </c>
      <c r="X75" s="3">
        <v>480724.96661687526</v>
      </c>
      <c r="Y75" s="3">
        <v>468688.84210737539</v>
      </c>
      <c r="Z75" s="3">
        <v>450892.5625642318</v>
      </c>
      <c r="AA75" s="3">
        <v>432830.46698978741</v>
      </c>
      <c r="AB75" s="3">
        <v>419987.19537616114</v>
      </c>
      <c r="AC75" s="3">
        <v>428994.70467562927</v>
      </c>
      <c r="AD75" s="3">
        <v>434138.46733066376</v>
      </c>
      <c r="AE75" s="3">
        <v>441345.54675687663</v>
      </c>
      <c r="AF75" s="3">
        <v>442369.91823639435</v>
      </c>
      <c r="AG75" s="3">
        <v>428579.89530152688</v>
      </c>
      <c r="AH75" s="3">
        <v>412771.87569894543</v>
      </c>
      <c r="AI75" s="3">
        <v>439540.13245647895</v>
      </c>
      <c r="AJ75" s="3">
        <v>398202.32206999999</v>
      </c>
    </row>
    <row r="76" spans="1:49" ht="15.75" customHeight="1">
      <c r="A76" s="7" t="s">
        <v>115</v>
      </c>
      <c r="B76" t="s">
        <v>41</v>
      </c>
      <c r="C76" s="3" t="s">
        <v>112</v>
      </c>
      <c r="D76" s="3">
        <v>672475.56860513694</v>
      </c>
      <c r="E76" s="3">
        <v>681114.21881832287</v>
      </c>
      <c r="F76" s="3">
        <v>703090.32303796208</v>
      </c>
      <c r="G76" s="3">
        <v>706412.26252750913</v>
      </c>
      <c r="H76" s="3">
        <v>711860.73921977321</v>
      </c>
      <c r="I76" s="3">
        <v>724841.12713996682</v>
      </c>
      <c r="J76" s="3">
        <v>746860.71037199197</v>
      </c>
      <c r="K76" s="3">
        <v>756660.65651527687</v>
      </c>
      <c r="L76" s="3">
        <v>785701.56783992448</v>
      </c>
      <c r="M76" s="3">
        <v>802534.24218047899</v>
      </c>
      <c r="N76" s="3">
        <v>798276.0201758967</v>
      </c>
      <c r="O76" s="3">
        <v>812393.87703593203</v>
      </c>
      <c r="P76" s="3">
        <v>821182.89947219181</v>
      </c>
      <c r="Q76" s="3">
        <v>830688.52493724413</v>
      </c>
      <c r="R76" s="3">
        <v>849091.72953052993</v>
      </c>
      <c r="S76" s="3">
        <v>847385.89506219386</v>
      </c>
      <c r="T76" s="3">
        <v>855493.59858641133</v>
      </c>
      <c r="U76" s="3">
        <v>863987.36247026559</v>
      </c>
      <c r="V76" s="3">
        <v>844924.26046834921</v>
      </c>
      <c r="W76" s="3">
        <v>823123.03064336814</v>
      </c>
      <c r="X76" s="3">
        <v>817639.32841198752</v>
      </c>
      <c r="Y76" s="3">
        <v>808240.42555152369</v>
      </c>
      <c r="Z76" s="3">
        <v>778706.74967190903</v>
      </c>
      <c r="AA76" s="3">
        <v>772714.00980539341</v>
      </c>
      <c r="AB76" s="3">
        <v>778078.28003947937</v>
      </c>
      <c r="AC76" s="3">
        <v>793239.53746838891</v>
      </c>
      <c r="AD76" s="3">
        <v>810749.16662589042</v>
      </c>
      <c r="AE76" s="3">
        <v>824980.67098264059</v>
      </c>
      <c r="AF76" s="3">
        <v>826483.01609835587</v>
      </c>
      <c r="AG76" s="3">
        <v>832732.9627801805</v>
      </c>
      <c r="AH76" s="3">
        <v>720181.51797374617</v>
      </c>
      <c r="AI76" s="3">
        <v>782100.69271283806</v>
      </c>
      <c r="AJ76" s="3">
        <v>803300.64017999999</v>
      </c>
    </row>
    <row r="77" spans="1:49" ht="15.75" customHeight="1">
      <c r="A77" s="7" t="s">
        <v>116</v>
      </c>
      <c r="B77" t="s">
        <v>41</v>
      </c>
      <c r="C77" s="3" t="s">
        <v>112</v>
      </c>
      <c r="D77" s="3">
        <v>712672.84183164407</v>
      </c>
      <c r="E77" s="3">
        <v>746928.1529230118</v>
      </c>
      <c r="F77" s="3">
        <v>699326.3744735684</v>
      </c>
      <c r="G77" s="3">
        <v>713045.92880922882</v>
      </c>
      <c r="H77" s="3">
        <v>668712.97068547353</v>
      </c>
      <c r="I77" s="3">
        <v>676611.50589237758</v>
      </c>
      <c r="J77" s="3">
        <v>731372.8680814571</v>
      </c>
      <c r="K77" s="3">
        <v>689310.9049297591</v>
      </c>
      <c r="L77" s="3">
        <v>673254.37602943811</v>
      </c>
      <c r="M77" s="3">
        <v>661195.96604070999</v>
      </c>
      <c r="N77" s="3">
        <v>636918.13527816627</v>
      </c>
      <c r="O77" s="3">
        <v>679053.92320266052</v>
      </c>
      <c r="P77" s="3">
        <v>654535.28604577668</v>
      </c>
      <c r="Q77" s="3">
        <v>668268.84674521151</v>
      </c>
      <c r="R77" s="3">
        <v>663822.89224241395</v>
      </c>
      <c r="S77" s="3">
        <v>665039.24099763541</v>
      </c>
      <c r="T77" s="3">
        <v>663447.83267956879</v>
      </c>
      <c r="U77" s="3">
        <v>589494.66125439166</v>
      </c>
      <c r="V77" s="3">
        <v>635070.02126890561</v>
      </c>
      <c r="W77" s="3">
        <v>621387.05256011419</v>
      </c>
      <c r="X77" s="3">
        <v>656091.42672277393</v>
      </c>
      <c r="Y77" s="3">
        <v>581491.15915879898</v>
      </c>
      <c r="Z77" s="3">
        <v>589570.9624305605</v>
      </c>
      <c r="AA77" s="3">
        <v>593898.54786718788</v>
      </c>
      <c r="AB77" s="3">
        <v>517774.64816017443</v>
      </c>
      <c r="AC77" s="3">
        <v>541000.81909233809</v>
      </c>
      <c r="AD77" s="3">
        <v>547734.62145536765</v>
      </c>
      <c r="AE77" s="3">
        <v>545728.30947606114</v>
      </c>
      <c r="AF77" s="3">
        <v>532932.29571417451</v>
      </c>
      <c r="AG77" s="3">
        <v>522823.07824227342</v>
      </c>
      <c r="AH77" s="3">
        <v>519713.67361624789</v>
      </c>
      <c r="AI77" s="3">
        <v>532533.88709267869</v>
      </c>
      <c r="AJ77" s="3">
        <v>481832.07029</v>
      </c>
    </row>
    <row r="78" spans="1:49" ht="15.75" customHeight="1" outlineLevel="1">
      <c r="A78" s="7" t="s">
        <v>117</v>
      </c>
      <c r="B78" t="s">
        <v>41</v>
      </c>
      <c r="C78" s="3" t="s">
        <v>112</v>
      </c>
      <c r="D78" s="3">
        <v>172174.53476555715</v>
      </c>
      <c r="E78" s="3">
        <v>177199.2121496138</v>
      </c>
      <c r="F78" s="3">
        <v>159736.71859142164</v>
      </c>
      <c r="G78" s="3">
        <v>159267.36903006965</v>
      </c>
      <c r="H78" s="3">
        <v>147513.02074061744</v>
      </c>
      <c r="I78" s="3">
        <v>149157.99209809836</v>
      </c>
      <c r="J78" s="3">
        <v>163080.19018879236</v>
      </c>
      <c r="K78" s="3">
        <v>151050.21025011796</v>
      </c>
      <c r="L78" s="3">
        <v>150580.66403926484</v>
      </c>
      <c r="M78" s="3">
        <v>150858.77071475357</v>
      </c>
      <c r="N78" s="3">
        <v>144002.91532753641</v>
      </c>
      <c r="O78" s="3">
        <v>157312.97104788851</v>
      </c>
      <c r="P78" s="3">
        <v>151093.31545777249</v>
      </c>
      <c r="Q78" s="3">
        <v>151904.28109393094</v>
      </c>
      <c r="R78" s="3">
        <v>154273.62581079223</v>
      </c>
      <c r="S78" s="3">
        <v>154362.6039143487</v>
      </c>
      <c r="T78" s="3">
        <v>162016.44886977269</v>
      </c>
      <c r="U78" s="3">
        <v>142784.5651177743</v>
      </c>
      <c r="V78" s="3">
        <v>157002.09643870467</v>
      </c>
      <c r="W78" s="3">
        <v>154306.08568093798</v>
      </c>
      <c r="X78" s="3">
        <v>163297.37913388203</v>
      </c>
      <c r="Y78" s="3">
        <v>140570.0923362301</v>
      </c>
      <c r="Z78" s="3">
        <v>140715.48900304438</v>
      </c>
      <c r="AA78" s="3">
        <v>142479.16935855022</v>
      </c>
      <c r="AB78" s="3">
        <v>124870.64641758488</v>
      </c>
      <c r="AC78" s="3">
        <v>130485.30676840944</v>
      </c>
      <c r="AD78" s="3">
        <v>130893.5711253598</v>
      </c>
      <c r="AE78" s="3">
        <v>131284.35590921791</v>
      </c>
      <c r="AF78" s="3">
        <v>127589.43558563321</v>
      </c>
      <c r="AG78" s="3">
        <v>125150.35348565095</v>
      </c>
      <c r="AH78" s="3">
        <v>122105.88395712498</v>
      </c>
      <c r="AI78" s="3">
        <v>129902.79769673663</v>
      </c>
      <c r="AJ78" s="3">
        <v>481832.07029</v>
      </c>
    </row>
    <row r="79" spans="1:49" outlineLevel="1">
      <c r="A79" s="7" t="s">
        <v>118</v>
      </c>
      <c r="B79" t="s">
        <v>41</v>
      </c>
      <c r="C79" s="3" t="s">
        <v>112</v>
      </c>
      <c r="D79" s="3">
        <v>449739.27971258434</v>
      </c>
      <c r="E79" s="3">
        <v>479799.9195943923</v>
      </c>
      <c r="F79" s="3">
        <v>452417.37406151963</v>
      </c>
      <c r="G79" s="3">
        <v>463412.36609160341</v>
      </c>
      <c r="H79" s="3">
        <v>431428.3680014452</v>
      </c>
      <c r="I79" s="3">
        <v>438082.3573097366</v>
      </c>
      <c r="J79" s="3">
        <v>476246.87108169467</v>
      </c>
      <c r="K79" s="3">
        <v>449233.78509981633</v>
      </c>
      <c r="L79" s="3">
        <v>436060.11844098766</v>
      </c>
      <c r="M79" s="3">
        <v>423849.50310529326</v>
      </c>
      <c r="N79" s="3">
        <v>408101.88841494586</v>
      </c>
      <c r="O79" s="3">
        <v>437030.71984886739</v>
      </c>
      <c r="P79" s="3">
        <v>420853.91822422238</v>
      </c>
      <c r="Q79" s="3">
        <v>433123.06206572877</v>
      </c>
      <c r="R79" s="3">
        <v>425771.92744634702</v>
      </c>
      <c r="S79" s="3">
        <v>426804.8486219644</v>
      </c>
      <c r="T79" s="3">
        <v>420478.84735046391</v>
      </c>
      <c r="U79" s="3">
        <v>368561.46835491242</v>
      </c>
      <c r="V79" s="3">
        <v>399005.21270769101</v>
      </c>
      <c r="W79" s="3">
        <v>389510.03567241132</v>
      </c>
      <c r="X79" s="3">
        <v>412952.4927561006</v>
      </c>
      <c r="Y79" s="3">
        <v>362006.9820055989</v>
      </c>
      <c r="Z79" s="3">
        <v>372548.4894975496</v>
      </c>
      <c r="AA79" s="3">
        <v>375123.87610261136</v>
      </c>
      <c r="AB79" s="3">
        <v>316914.59591519571</v>
      </c>
      <c r="AC79" s="3">
        <v>335160.2553423199</v>
      </c>
      <c r="AD79" s="3">
        <v>341318.48003471142</v>
      </c>
      <c r="AE79" s="3">
        <v>338540.8877789356</v>
      </c>
      <c r="AF79" s="3">
        <v>328391.96226282581</v>
      </c>
      <c r="AG79" s="3">
        <v>321175.18206709577</v>
      </c>
      <c r="AH79" s="3">
        <v>319384.21303496597</v>
      </c>
      <c r="AI79" s="3">
        <v>324736.76140580291</v>
      </c>
      <c r="AJ79" s="3"/>
    </row>
    <row r="80" spans="1:49" outlineLevel="1">
      <c r="A80" s="7" t="s">
        <v>119</v>
      </c>
      <c r="B80" t="s">
        <v>41</v>
      </c>
      <c r="C80" s="3" t="s">
        <v>112</v>
      </c>
      <c r="D80" s="3">
        <v>90759.027353502635</v>
      </c>
      <c r="E80" s="3">
        <v>89929.021179005722</v>
      </c>
      <c r="F80" s="3">
        <v>87172.281820627177</v>
      </c>
      <c r="G80" s="3">
        <v>90366.193687555773</v>
      </c>
      <c r="H80" s="3">
        <v>89771.581943410943</v>
      </c>
      <c r="I80" s="3">
        <v>89371.15648454256</v>
      </c>
      <c r="J80" s="3">
        <v>92045.8068109702</v>
      </c>
      <c r="K80" s="3">
        <v>89026.909579824758</v>
      </c>
      <c r="L80" s="3">
        <v>86613.593549185665</v>
      </c>
      <c r="M80" s="3">
        <v>86487.692220663186</v>
      </c>
      <c r="N80" s="3">
        <v>84813.33153568409</v>
      </c>
      <c r="O80" s="3">
        <v>84710.232305904676</v>
      </c>
      <c r="P80" s="3">
        <v>82588.052363781797</v>
      </c>
      <c r="Q80" s="3">
        <v>83241.503585551807</v>
      </c>
      <c r="R80" s="3">
        <v>83777.338985274706</v>
      </c>
      <c r="S80" s="3">
        <v>83871.788461322285</v>
      </c>
      <c r="T80" s="3">
        <v>80952.53645933207</v>
      </c>
      <c r="U80" s="3">
        <v>78148.627781704912</v>
      </c>
      <c r="V80" s="3">
        <v>79062.712122509911</v>
      </c>
      <c r="W80" s="3">
        <v>77570.931206764741</v>
      </c>
      <c r="X80" s="3">
        <v>79841.554832791342</v>
      </c>
      <c r="Y80" s="3">
        <v>78914.084816969902</v>
      </c>
      <c r="Z80" s="3">
        <v>76306.983929966591</v>
      </c>
      <c r="AA80" s="3">
        <v>76295.50240602612</v>
      </c>
      <c r="AB80" s="3">
        <v>75989.405827393683</v>
      </c>
      <c r="AC80" s="3">
        <v>75355.256981608822</v>
      </c>
      <c r="AD80" s="3">
        <v>75522.570295296391</v>
      </c>
      <c r="AE80" s="3">
        <v>75903.065787907675</v>
      </c>
      <c r="AF80" s="3">
        <v>76950.897865715509</v>
      </c>
      <c r="AG80" s="3">
        <v>76497.542689526745</v>
      </c>
      <c r="AH80" s="3">
        <v>78223.576624156995</v>
      </c>
      <c r="AI80" s="3">
        <v>77894.327990139165</v>
      </c>
      <c r="AJ80" s="3"/>
    </row>
    <row r="81" spans="1:37">
      <c r="A81" s="7" t="s">
        <v>120</v>
      </c>
      <c r="B81" t="s">
        <v>41</v>
      </c>
      <c r="C81" s="3" t="s">
        <v>112</v>
      </c>
      <c r="D81" s="3">
        <v>22053.132546947123</v>
      </c>
      <c r="E81" s="3">
        <v>18463.505799187635</v>
      </c>
      <c r="F81" s="3">
        <v>14703.451041326138</v>
      </c>
      <c r="G81" s="3">
        <v>12358.870609949641</v>
      </c>
      <c r="H81" s="3">
        <v>11034.33506066595</v>
      </c>
      <c r="I81" s="3">
        <v>9996.6450375901095</v>
      </c>
      <c r="J81" s="3">
        <v>9014.9800426856618</v>
      </c>
      <c r="K81" s="3">
        <v>9803.3602743790161</v>
      </c>
      <c r="L81" s="3">
        <v>10184.687146653963</v>
      </c>
      <c r="M81" s="3">
        <v>9144.1766430131902</v>
      </c>
      <c r="N81" s="3">
        <v>8526.2626691570531</v>
      </c>
      <c r="O81" s="3">
        <v>8072.7899283966435</v>
      </c>
      <c r="P81" s="3">
        <v>8432.3895322947901</v>
      </c>
      <c r="Q81" s="3">
        <v>9194.3954640945667</v>
      </c>
      <c r="R81" s="3">
        <v>10325.332317501972</v>
      </c>
      <c r="S81" s="3">
        <v>10794.54623477767</v>
      </c>
      <c r="T81" s="3">
        <v>9693.0045813377128</v>
      </c>
      <c r="U81" s="3">
        <v>9610.3767503201998</v>
      </c>
      <c r="V81" s="3">
        <v>9254.6418043497579</v>
      </c>
      <c r="W81" s="3">
        <v>8009.840526863014</v>
      </c>
      <c r="X81" s="3">
        <v>7799.3701458748055</v>
      </c>
      <c r="Y81" s="3">
        <v>8108.8114010988966</v>
      </c>
      <c r="Z81" s="3">
        <v>7011.5651410838418</v>
      </c>
      <c r="AA81" s="3">
        <v>7004.1830305728381</v>
      </c>
      <c r="AB81" s="3">
        <v>6802.1459069456341</v>
      </c>
      <c r="AC81" s="3">
        <v>6859.8176660804475</v>
      </c>
      <c r="AD81" s="3">
        <v>6144.4508339380163</v>
      </c>
      <c r="AE81" s="3">
        <v>6097.9643421289402</v>
      </c>
      <c r="AF81" s="3">
        <v>5630.2289455112759</v>
      </c>
      <c r="AG81" s="3">
        <v>6073.1229123915609</v>
      </c>
      <c r="AH81" s="3">
        <v>6092.7577710762935</v>
      </c>
      <c r="AI81" s="3">
        <v>6946.6512922489983</v>
      </c>
      <c r="AJ81" s="3">
        <v>7082.5890499999996</v>
      </c>
    </row>
    <row r="82" spans="1:37" hidden="1">
      <c r="A82" s="7" t="s">
        <v>121</v>
      </c>
      <c r="B82" t="s">
        <v>41</v>
      </c>
      <c r="C82" s="3" t="s">
        <v>112</v>
      </c>
      <c r="D82" s="3">
        <v>3578376.8239533505</v>
      </c>
      <c r="E82" s="3">
        <v>3544185.599463556</v>
      </c>
      <c r="F82" s="3">
        <v>3432349.4494746486</v>
      </c>
      <c r="G82" s="3">
        <v>3371372.6098934109</v>
      </c>
      <c r="H82" s="3">
        <v>3336734.2330553625</v>
      </c>
      <c r="I82" s="3">
        <v>3375682.0577189205</v>
      </c>
      <c r="J82" s="3">
        <v>3472119.7175265993</v>
      </c>
      <c r="K82" s="3">
        <v>3396549.3447969658</v>
      </c>
      <c r="L82" s="3">
        <v>3388526.1095938347</v>
      </c>
      <c r="M82" s="3">
        <v>3340061.2526687891</v>
      </c>
      <c r="N82" s="3">
        <v>3334863.1568700643</v>
      </c>
      <c r="O82" s="3">
        <v>3404133.5092924582</v>
      </c>
      <c r="P82" s="3">
        <v>3401871.3314271024</v>
      </c>
      <c r="Q82" s="3">
        <v>3479118.3805894707</v>
      </c>
      <c r="R82" s="3">
        <v>3480260.185328423</v>
      </c>
      <c r="S82" s="3">
        <v>3463535.3914752817</v>
      </c>
      <c r="T82" s="3">
        <v>3465957.8477236717</v>
      </c>
      <c r="U82" s="3">
        <v>3427427.7877875026</v>
      </c>
      <c r="V82" s="3">
        <v>3365151.4191831257</v>
      </c>
      <c r="W82" s="3">
        <v>3136023.3068325105</v>
      </c>
      <c r="X82" s="3">
        <v>3216453.0559673454</v>
      </c>
      <c r="Y82" s="3">
        <v>3112127.9945800062</v>
      </c>
      <c r="Z82" s="3">
        <v>3054679.1233969769</v>
      </c>
      <c r="AA82" s="3">
        <v>2974213.8355490463</v>
      </c>
      <c r="AB82" s="3">
        <v>2829054.2220501015</v>
      </c>
      <c r="AC82" s="3">
        <v>2884046.918332221</v>
      </c>
      <c r="AD82" s="3">
        <v>2887883.2949692709</v>
      </c>
      <c r="AE82" s="3">
        <v>2901492.5536623904</v>
      </c>
      <c r="AF82" s="3">
        <v>2831069.8280368997</v>
      </c>
      <c r="AG82" s="3">
        <v>2695543.1125242147</v>
      </c>
      <c r="AH82" s="3">
        <v>2436881.9135659952</v>
      </c>
      <c r="AI82" s="3">
        <v>2601567.9734258573</v>
      </c>
      <c r="AJ82" s="3"/>
    </row>
    <row r="83" spans="1:37">
      <c r="A83" s="7" t="s">
        <v>122</v>
      </c>
      <c r="B83" t="s">
        <v>41</v>
      </c>
      <c r="C83" s="3" t="s">
        <v>112</v>
      </c>
      <c r="D83" s="3">
        <v>168709.32552508282</v>
      </c>
      <c r="E83" s="3">
        <v>155469.76444574015</v>
      </c>
      <c r="F83" s="3">
        <v>150690.85257151088</v>
      </c>
      <c r="G83" s="3">
        <v>149802.43183729702</v>
      </c>
      <c r="H83" s="3">
        <v>145598.28910328282</v>
      </c>
      <c r="I83" s="3">
        <v>144854.79820013139</v>
      </c>
      <c r="J83" s="3">
        <v>140851.50143929521</v>
      </c>
      <c r="K83" s="3">
        <v>145526.74675470678</v>
      </c>
      <c r="L83" s="3">
        <v>137656.78649685721</v>
      </c>
      <c r="M83" s="3">
        <v>135779.06923902858</v>
      </c>
      <c r="N83" s="3">
        <v>119267.70136973394</v>
      </c>
      <c r="O83" s="3">
        <v>115588.89423264423</v>
      </c>
      <c r="P83" s="3">
        <v>114708.40766398111</v>
      </c>
      <c r="Q83" s="3">
        <v>114767.27365402567</v>
      </c>
      <c r="R83" s="3">
        <v>106492.38498925425</v>
      </c>
      <c r="S83" s="3">
        <v>105438.95383566488</v>
      </c>
      <c r="T83" s="3">
        <v>102854.44838884297</v>
      </c>
      <c r="U83" s="3">
        <v>98154.809702179133</v>
      </c>
      <c r="V83" s="3">
        <v>96639.656759546371</v>
      </c>
      <c r="W83" s="3">
        <v>89395.840954573534</v>
      </c>
      <c r="X83" s="3">
        <v>88942.117884213454</v>
      </c>
      <c r="Y83" s="3">
        <v>88256.717986177668</v>
      </c>
      <c r="Z83" s="3">
        <v>87382.270903516343</v>
      </c>
      <c r="AA83" s="3">
        <v>86244.80117624416</v>
      </c>
      <c r="AB83" s="3">
        <v>83315.754124580431</v>
      </c>
      <c r="AC83" s="3">
        <v>82722.175811266716</v>
      </c>
      <c r="AD83" s="3">
        <v>79398.295083307152</v>
      </c>
      <c r="AE83" s="3">
        <v>78797.862181575139</v>
      </c>
      <c r="AF83" s="3">
        <v>75127.804798994606</v>
      </c>
      <c r="AG83" s="3">
        <v>68470.868586159908</v>
      </c>
      <c r="AH83" s="3">
        <v>63396.090171034564</v>
      </c>
      <c r="AI83" s="3">
        <v>61178.104524107039</v>
      </c>
      <c r="AJ83" s="3">
        <v>60742.656510000001</v>
      </c>
    </row>
    <row r="84" spans="1:37">
      <c r="A84" s="7" t="s">
        <v>123</v>
      </c>
      <c r="B84" t="s">
        <v>41</v>
      </c>
      <c r="C84" s="3" t="s">
        <v>112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5">
        <v>-48.755769999999998</v>
      </c>
    </row>
    <row r="85" spans="1:37">
      <c r="A85" s="7" t="s">
        <v>124</v>
      </c>
      <c r="B85" t="s">
        <v>41</v>
      </c>
      <c r="C85" s="3" t="s">
        <v>112</v>
      </c>
      <c r="D85" s="3">
        <v>54097.721339014977</v>
      </c>
      <c r="E85" s="3">
        <v>53129.040823846888</v>
      </c>
      <c r="F85" s="3">
        <v>56882.014832902125</v>
      </c>
      <c r="G85" s="3">
        <v>59673.183489065545</v>
      </c>
      <c r="H85" s="3">
        <v>62340.306465059395</v>
      </c>
      <c r="I85" s="3">
        <v>65700.97457496023</v>
      </c>
      <c r="J85" s="3">
        <v>68660.745763424769</v>
      </c>
      <c r="K85" s="3">
        <v>71419.185550161608</v>
      </c>
      <c r="L85" s="3">
        <v>75368.976257709044</v>
      </c>
      <c r="M85" s="3">
        <v>81887.656284817655</v>
      </c>
      <c r="N85" s="3">
        <v>85020.65106779807</v>
      </c>
      <c r="O85" s="3">
        <v>84272.111579795543</v>
      </c>
      <c r="P85" s="3">
        <v>81885.754547054312</v>
      </c>
      <c r="Q85" s="3">
        <v>85464.441266289199</v>
      </c>
      <c r="R85" s="3">
        <v>90459.822888475392</v>
      </c>
      <c r="S85" s="3">
        <v>96093.546786755804</v>
      </c>
      <c r="T85" s="3">
        <v>101161.53164168031</v>
      </c>
      <c r="U85" s="3">
        <v>105830.06652528977</v>
      </c>
      <c r="V85" s="3">
        <v>107394.22934415084</v>
      </c>
      <c r="W85" s="3">
        <v>98727.741362482644</v>
      </c>
      <c r="X85" s="3">
        <v>100367.70316810103</v>
      </c>
      <c r="Y85" s="3">
        <v>102837.06419913365</v>
      </c>
      <c r="Z85" s="3">
        <v>101711.27123502156</v>
      </c>
      <c r="AA85" s="3">
        <v>102661.52771785799</v>
      </c>
      <c r="AB85" s="3">
        <v>104670.25158665994</v>
      </c>
      <c r="AC85" s="3">
        <v>108530.22557563204</v>
      </c>
      <c r="AD85" s="3">
        <v>115073.96257317445</v>
      </c>
      <c r="AE85" s="3">
        <v>124162.25316137847</v>
      </c>
      <c r="AF85" s="3">
        <v>130358.31223435035</v>
      </c>
      <c r="AG85" s="3">
        <v>132976.6899599499</v>
      </c>
      <c r="AH85" s="3">
        <v>56110.153869940776</v>
      </c>
      <c r="AI85" s="3">
        <v>69754.332886299293</v>
      </c>
      <c r="AJ85" s="3">
        <v>103282.33848999999</v>
      </c>
    </row>
    <row r="86" spans="1:37">
      <c r="A86" s="7" t="s">
        <v>125</v>
      </c>
      <c r="B86" t="s">
        <v>41</v>
      </c>
      <c r="C86" s="3" t="s">
        <v>126</v>
      </c>
      <c r="D86" s="3">
        <v>102114.97455946113</v>
      </c>
      <c r="E86" s="3">
        <v>100346.59274757441</v>
      </c>
      <c r="F86" s="3">
        <v>101772.0069163961</v>
      </c>
      <c r="G86" s="3">
        <v>102486.25161588483</v>
      </c>
      <c r="H86" s="3">
        <v>102862.94608833034</v>
      </c>
      <c r="I86" s="3">
        <v>102624.3377068921</v>
      </c>
      <c r="J86" s="3">
        <v>109454.51189310399</v>
      </c>
      <c r="K86" s="3">
        <v>118612.95825120466</v>
      </c>
      <c r="L86" s="3">
        <v>124232.24642998027</v>
      </c>
      <c r="M86" s="3">
        <v>120335.42128362316</v>
      </c>
      <c r="N86" s="3">
        <v>128082.71810607244</v>
      </c>
      <c r="O86" s="3">
        <v>132655.45468503935</v>
      </c>
      <c r="P86" s="3">
        <v>138783.15325424692</v>
      </c>
      <c r="Q86" s="3">
        <v>141596.96242754007</v>
      </c>
      <c r="R86" s="3">
        <v>149629.1658097629</v>
      </c>
      <c r="S86" s="3">
        <v>153718.21672425949</v>
      </c>
      <c r="T86" s="72">
        <v>164515.53862886739</v>
      </c>
      <c r="U86" s="72">
        <v>171662.03763915255</v>
      </c>
      <c r="V86" s="72">
        <v>169489.75685141957</v>
      </c>
      <c r="W86" s="72">
        <v>150692.14711366693</v>
      </c>
      <c r="X86" s="72">
        <v>151616.53881006123</v>
      </c>
      <c r="Y86" s="72">
        <v>150438.69222959533</v>
      </c>
      <c r="Z86" s="72">
        <v>140076.79459141762</v>
      </c>
      <c r="AA86" s="72">
        <v>132216.83643011187</v>
      </c>
      <c r="AB86" s="72">
        <v>128504.27231154431</v>
      </c>
      <c r="AC86" s="72">
        <v>129161.62478268836</v>
      </c>
      <c r="AD86" s="72">
        <v>132878.71153438045</v>
      </c>
      <c r="AE86" s="72">
        <v>134673.05377086453</v>
      </c>
      <c r="AF86" s="72">
        <v>137835.76273435258</v>
      </c>
      <c r="AG86" s="72">
        <v>136597.19279718294</v>
      </c>
      <c r="AH86" s="72">
        <v>121030.67005317971</v>
      </c>
      <c r="AI86" s="72">
        <v>129086.09105534741</v>
      </c>
      <c r="AJ86" s="72">
        <v>137742.68166999999</v>
      </c>
    </row>
    <row r="87" spans="1:37">
      <c r="A87" s="7" t="s">
        <v>127</v>
      </c>
      <c r="B87" t="s">
        <v>41</v>
      </c>
      <c r="C87" s="3" t="s">
        <v>112</v>
      </c>
      <c r="D87" s="3">
        <v>444676.38864423346</v>
      </c>
      <c r="E87" s="3">
        <v>411297.5458408409</v>
      </c>
      <c r="F87" s="3">
        <v>396518.89475156454</v>
      </c>
      <c r="G87" s="3">
        <v>390830.21915231476</v>
      </c>
      <c r="H87" s="3">
        <v>413755.73037137877</v>
      </c>
      <c r="I87" s="3">
        <v>426940.15527193464</v>
      </c>
      <c r="J87" s="3">
        <v>425747.78983164486</v>
      </c>
      <c r="K87" s="3">
        <v>430784.66255564336</v>
      </c>
      <c r="L87" s="3">
        <v>413265.115632487</v>
      </c>
      <c r="M87" s="3">
        <v>394087.95044436364</v>
      </c>
      <c r="N87" s="3">
        <v>409468.36810918694</v>
      </c>
      <c r="O87" s="3">
        <v>396595.90381560579</v>
      </c>
      <c r="P87" s="3">
        <v>396157.61337183806</v>
      </c>
      <c r="Q87" s="3">
        <v>407381.32411178795</v>
      </c>
      <c r="R87" s="3">
        <v>424240.20540901693</v>
      </c>
      <c r="S87" s="3">
        <v>424749.95732430601</v>
      </c>
      <c r="T87" s="3">
        <v>427761.11995616904</v>
      </c>
      <c r="U87" s="3">
        <v>436796.39723452297</v>
      </c>
      <c r="V87" s="3">
        <v>413039.88867421733</v>
      </c>
      <c r="W87" s="3">
        <v>341747.14082889515</v>
      </c>
      <c r="X87" s="3">
        <v>358089.47607620212</v>
      </c>
      <c r="Y87" s="3">
        <v>357464.61231072643</v>
      </c>
      <c r="Z87" s="3">
        <v>344777.87197757367</v>
      </c>
      <c r="AA87" s="3">
        <v>342701.87404292083</v>
      </c>
      <c r="AB87" s="3">
        <v>349178.20090488723</v>
      </c>
      <c r="AC87" s="3">
        <v>339854.34063486359</v>
      </c>
      <c r="AD87" s="3">
        <v>342081.20330697665</v>
      </c>
      <c r="AE87" s="3">
        <v>349690.55288540595</v>
      </c>
      <c r="AF87" s="3">
        <v>342906.68960197404</v>
      </c>
      <c r="AG87" s="3">
        <v>331548.23411447776</v>
      </c>
      <c r="AH87" s="3">
        <v>306828.45332087105</v>
      </c>
      <c r="AI87" s="3">
        <v>317933.96133956104</v>
      </c>
      <c r="AJ87" s="3">
        <v>293126.49118000001</v>
      </c>
    </row>
    <row r="88" spans="1:37">
      <c r="A88" s="7" t="s">
        <v>128</v>
      </c>
      <c r="B88" t="s">
        <v>41</v>
      </c>
      <c r="C88" s="3" t="s">
        <v>112</v>
      </c>
      <c r="D88" s="3">
        <v>484606.81497074297</v>
      </c>
      <c r="E88" s="3">
        <v>456700.53023038973</v>
      </c>
      <c r="F88" s="3">
        <v>435994.23794143397</v>
      </c>
      <c r="G88" s="3">
        <v>424865.38579883322</v>
      </c>
      <c r="H88" s="3">
        <v>419153.69872836903</v>
      </c>
      <c r="I88" s="3">
        <v>418966.9956011434</v>
      </c>
      <c r="J88" s="3">
        <v>420223.13499895076</v>
      </c>
      <c r="K88" s="3">
        <v>418190.50056240091</v>
      </c>
      <c r="L88" s="3">
        <v>416041.30307001487</v>
      </c>
      <c r="M88" s="3">
        <v>413388.0683775181</v>
      </c>
      <c r="N88" s="3">
        <v>409281.47554941796</v>
      </c>
      <c r="O88" s="3">
        <v>407749.03707509045</v>
      </c>
      <c r="P88" s="3">
        <v>400507.30619708908</v>
      </c>
      <c r="Q88" s="3">
        <v>395324.41013090033</v>
      </c>
      <c r="R88" s="3">
        <v>393679.55620824476</v>
      </c>
      <c r="S88" s="3">
        <v>389223.93811242969</v>
      </c>
      <c r="T88" s="3">
        <v>386079.74165155913</v>
      </c>
      <c r="U88" s="3">
        <v>389077.2087221159</v>
      </c>
      <c r="V88" s="3">
        <v>386575.00981647684</v>
      </c>
      <c r="W88" s="3">
        <v>381540.65426293411</v>
      </c>
      <c r="X88" s="3">
        <v>376261.83201603795</v>
      </c>
      <c r="Y88" s="3">
        <v>375710.6857101015</v>
      </c>
      <c r="Z88" s="3">
        <v>375535.12881602725</v>
      </c>
      <c r="AA88" s="3">
        <v>377711.06000389421</v>
      </c>
      <c r="AB88" s="3">
        <v>382763.23233658483</v>
      </c>
      <c r="AC88" s="3">
        <v>384280.24043367134</v>
      </c>
      <c r="AD88" s="3">
        <v>386350.86308623396</v>
      </c>
      <c r="AE88" s="3">
        <v>388162.74656214775</v>
      </c>
      <c r="AF88" s="3">
        <v>385144.07775116636</v>
      </c>
      <c r="AG88" s="3">
        <v>380247.96301831777</v>
      </c>
      <c r="AH88" s="3">
        <v>381956.83343695657</v>
      </c>
      <c r="AI88" s="3">
        <v>378430.47321885813</v>
      </c>
      <c r="AJ88" s="3">
        <v>370649.49144999997</v>
      </c>
    </row>
    <row r="89" spans="1:37">
      <c r="A89" s="7" t="s">
        <v>129</v>
      </c>
      <c r="B89" t="s">
        <v>41</v>
      </c>
      <c r="C89" s="3" t="s">
        <v>112</v>
      </c>
      <c r="D89" s="3">
        <v>-208795.22539261772</v>
      </c>
      <c r="E89" s="3">
        <v>-311522.07089996774</v>
      </c>
      <c r="F89" s="3">
        <v>-286065.38982370944</v>
      </c>
      <c r="G89" s="3">
        <v>-300807.60804702784</v>
      </c>
      <c r="H89" s="3">
        <v>-292237.83540514205</v>
      </c>
      <c r="I89" s="3">
        <v>-316207.08129637386</v>
      </c>
      <c r="J89" s="3">
        <v>-334210.50444562931</v>
      </c>
      <c r="K89" s="3">
        <v>-326623.74319789704</v>
      </c>
      <c r="L89" s="3">
        <v>-339852.57849897287</v>
      </c>
      <c r="M89" s="3">
        <v>-353763.82679068932</v>
      </c>
      <c r="N89" s="3">
        <v>-304140.96148812375</v>
      </c>
      <c r="O89" s="3">
        <v>-353110.01184812951</v>
      </c>
      <c r="P89" s="3">
        <v>-322823.48851325799</v>
      </c>
      <c r="Q89" s="3">
        <v>-310966.12574337813</v>
      </c>
      <c r="R89" s="3">
        <v>-349890.46164322324</v>
      </c>
      <c r="S89" s="3">
        <v>-342109.47613129107</v>
      </c>
      <c r="T89" s="3">
        <v>-351296.38360007002</v>
      </c>
      <c r="U89" s="3">
        <v>-300617.28649736149</v>
      </c>
      <c r="V89" s="3">
        <v>-344262.77168343693</v>
      </c>
      <c r="W89" s="3">
        <v>-347022.32862364396</v>
      </c>
      <c r="X89" s="3">
        <v>-352590.1909498173</v>
      </c>
      <c r="Y89" s="3">
        <v>-347273.80043837766</v>
      </c>
      <c r="Z89" s="3">
        <v>-342633.59898826835</v>
      </c>
      <c r="AA89" s="3">
        <v>-342604.90517123241</v>
      </c>
      <c r="AB89" s="3">
        <v>-327802.72088059952</v>
      </c>
      <c r="AC89" s="3">
        <v>-322423.83901204815</v>
      </c>
      <c r="AD89" s="3">
        <v>-318486.52483153617</v>
      </c>
      <c r="AE89" s="3">
        <v>-249795.89118034282</v>
      </c>
      <c r="AF89" s="3">
        <v>-257789.04072107578</v>
      </c>
      <c r="AG89" s="3">
        <v>-247317.62364121841</v>
      </c>
      <c r="AH89" s="3">
        <v>-241038.05792704638</v>
      </c>
      <c r="AI89" s="3">
        <v>-229984.66641727221</v>
      </c>
      <c r="AJ89" s="3">
        <v>-243767.28937000001</v>
      </c>
    </row>
    <row r="90" spans="1:37">
      <c r="A90" s="7" t="s">
        <v>130</v>
      </c>
      <c r="B90" t="s">
        <v>41</v>
      </c>
      <c r="C90" s="3" t="s">
        <v>112</v>
      </c>
      <c r="D90" s="3">
        <v>184184.09477161369</v>
      </c>
      <c r="E90" s="3">
        <v>187966.05769583725</v>
      </c>
      <c r="F90" s="3">
        <v>190101.00128422029</v>
      </c>
      <c r="G90" s="3">
        <v>190385.69841670158</v>
      </c>
      <c r="H90" s="3">
        <v>188663.90670441385</v>
      </c>
      <c r="I90" s="3">
        <v>188013.55049252973</v>
      </c>
      <c r="J90" s="3">
        <v>186413.14021743264</v>
      </c>
      <c r="K90" s="3">
        <v>183117.17658470958</v>
      </c>
      <c r="L90" s="3">
        <v>179513.29987250731</v>
      </c>
      <c r="M90" s="3">
        <v>175663.96379118055</v>
      </c>
      <c r="N90" s="3">
        <v>174008.49437251606</v>
      </c>
      <c r="O90" s="3">
        <v>171252.45716688468</v>
      </c>
      <c r="P90" s="3">
        <v>167686.54145776163</v>
      </c>
      <c r="Q90" s="3">
        <v>165104.4282971771</v>
      </c>
      <c r="R90" s="3">
        <v>159455.88928703099</v>
      </c>
      <c r="S90" s="3">
        <v>154348.05908650538</v>
      </c>
      <c r="T90" s="3">
        <v>150751.2180253088</v>
      </c>
      <c r="U90" s="3">
        <v>146854.33555940542</v>
      </c>
      <c r="V90" s="3">
        <v>142665.87919881608</v>
      </c>
      <c r="W90" s="3">
        <v>140321.75348375499</v>
      </c>
      <c r="X90" s="3">
        <v>137047.65003345255</v>
      </c>
      <c r="Y90" s="3">
        <v>132460.14605803028</v>
      </c>
      <c r="Z90" s="3">
        <v>129336.50510702998</v>
      </c>
      <c r="AA90" s="3">
        <v>124321.82118247733</v>
      </c>
      <c r="AB90" s="3">
        <v>120021.60644175006</v>
      </c>
      <c r="AC90" s="3">
        <v>118157.7990761572</v>
      </c>
      <c r="AD90" s="3">
        <v>115692.99225607843</v>
      </c>
      <c r="AE90" s="3">
        <v>114633.32730222376</v>
      </c>
      <c r="AF90" s="3">
        <v>113407.48976516667</v>
      </c>
      <c r="AG90" s="3">
        <v>112449.4275697546</v>
      </c>
      <c r="AH90" s="3">
        <v>111400.31952009322</v>
      </c>
      <c r="AI90" s="3">
        <v>109283.57215962988</v>
      </c>
      <c r="AJ90" s="3">
        <v>108064.18562</v>
      </c>
    </row>
    <row r="91" spans="1:37">
      <c r="A91" s="7" t="s">
        <v>131</v>
      </c>
      <c r="B91" t="s">
        <v>41</v>
      </c>
      <c r="C91" s="3" t="s">
        <v>112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spans="1:37">
      <c r="A92" s="7" t="s">
        <v>132</v>
      </c>
      <c r="B92" t="s">
        <v>41</v>
      </c>
      <c r="C92" s="3" t="s">
        <v>112</v>
      </c>
      <c r="D92" s="3">
        <v>869.11383337278244</v>
      </c>
      <c r="E92" s="3">
        <v>843.11937634402932</v>
      </c>
      <c r="F92" s="3">
        <v>826.01505279753826</v>
      </c>
      <c r="G92" s="3">
        <v>810.37221339618134</v>
      </c>
      <c r="H92" s="3">
        <v>795.34234412157048</v>
      </c>
      <c r="I92" s="3">
        <v>773.49512337411716</v>
      </c>
      <c r="J92" s="3">
        <v>761.86448864215288</v>
      </c>
      <c r="K92" s="3">
        <v>755.3748504470625</v>
      </c>
      <c r="L92" s="3">
        <v>756.76737183039688</v>
      </c>
      <c r="M92" s="3">
        <v>755.01930010784861</v>
      </c>
      <c r="N92" s="3">
        <v>757.27336970659837</v>
      </c>
      <c r="O92" s="3">
        <v>801.33462614582311</v>
      </c>
      <c r="P92" s="3">
        <v>830.5889683656867</v>
      </c>
      <c r="Q92" s="3">
        <v>878.67843766480473</v>
      </c>
      <c r="R92" s="3">
        <v>876.6947705159057</v>
      </c>
      <c r="S92" s="3">
        <v>915.44559423122894</v>
      </c>
      <c r="T92" s="3">
        <v>890.97273922222848</v>
      </c>
      <c r="U92" s="3">
        <v>909.70790791516595</v>
      </c>
      <c r="V92" s="3">
        <v>914.87287093946782</v>
      </c>
      <c r="W92" s="3">
        <v>938.80725009991602</v>
      </c>
      <c r="X92" s="3">
        <v>938.94124731029592</v>
      </c>
      <c r="Y92" s="3">
        <v>920.28137499404352</v>
      </c>
      <c r="Z92" s="3">
        <v>910.40102966912093</v>
      </c>
      <c r="AA92" s="3">
        <v>921.16540881024446</v>
      </c>
      <c r="AB92" s="3">
        <v>909.42668504248616</v>
      </c>
      <c r="AC92" s="3">
        <v>911.13946515840075</v>
      </c>
      <c r="AD92" s="3">
        <v>893.05446995421903</v>
      </c>
      <c r="AE92" s="3">
        <v>909.05653010301876</v>
      </c>
      <c r="AF92" s="3">
        <v>837.77444520079575</v>
      </c>
      <c r="AG92" s="3">
        <v>813.07623691589697</v>
      </c>
      <c r="AH92" s="3">
        <v>792.67515635882194</v>
      </c>
      <c r="AI92" s="3">
        <v>794.04635067647155</v>
      </c>
      <c r="AJ92" s="3"/>
    </row>
    <row r="93" spans="1:37">
      <c r="A93" s="7" t="s">
        <v>133</v>
      </c>
      <c r="B93" t="s">
        <v>41</v>
      </c>
      <c r="C93" s="3" t="s">
        <v>112</v>
      </c>
      <c r="D93" s="3">
        <v>6444.1498857276692</v>
      </c>
      <c r="E93" s="3">
        <v>6248.3606764028928</v>
      </c>
      <c r="F93" s="3">
        <v>6004.2461651591375</v>
      </c>
      <c r="G93" s="3">
        <v>5908.8024316021165</v>
      </c>
      <c r="H93" s="3">
        <v>5808.1977613757954</v>
      </c>
      <c r="I93" s="3">
        <v>5690.3022798891034</v>
      </c>
      <c r="J93" s="3">
        <v>5623.0585024596903</v>
      </c>
      <c r="K93" s="3">
        <v>5505.6084042503335</v>
      </c>
      <c r="L93" s="3">
        <v>5459.0917942084998</v>
      </c>
      <c r="M93" s="3">
        <v>5203.0343800311421</v>
      </c>
      <c r="N93" s="3">
        <v>5132.4280245146911</v>
      </c>
      <c r="O93" s="3">
        <v>4936.5377822344062</v>
      </c>
      <c r="P93" s="3">
        <v>4796.7915680994647</v>
      </c>
      <c r="Q93" s="3">
        <v>4658.1490700722607</v>
      </c>
      <c r="R93" s="3">
        <v>4593.8818969673375</v>
      </c>
      <c r="S93" s="3">
        <v>4585.5985136745985</v>
      </c>
      <c r="T93" s="3">
        <v>4634.6581989564966</v>
      </c>
      <c r="U93" s="3">
        <v>4457.1125637348468</v>
      </c>
      <c r="V93" s="3">
        <v>4340.4021215126813</v>
      </c>
      <c r="W93" s="3">
        <v>3930.5933854318428</v>
      </c>
      <c r="X93" s="3">
        <v>3947.5407046089931</v>
      </c>
      <c r="Y93" s="3">
        <v>3845.979120654597</v>
      </c>
      <c r="Z93" s="3">
        <v>3599.1571345900688</v>
      </c>
      <c r="AA93" s="3">
        <v>3383.3650298289763</v>
      </c>
      <c r="AB93" s="3">
        <v>3406.3103245784932</v>
      </c>
      <c r="AC93" s="3">
        <v>3354.1515683378698</v>
      </c>
      <c r="AD93" s="3">
        <v>3286.9236012572323</v>
      </c>
      <c r="AE93" s="3">
        <v>3289.4040027786591</v>
      </c>
      <c r="AF93" s="3">
        <v>3114.9202042270417</v>
      </c>
      <c r="AG93" s="3">
        <v>3034.019540173359</v>
      </c>
      <c r="AH93" s="3">
        <v>3136.9332773284086</v>
      </c>
      <c r="AI93" s="3">
        <v>3306.2271489855621</v>
      </c>
      <c r="AJ93" s="3"/>
    </row>
    <row r="94" spans="1:37">
      <c r="A94" s="7" t="s">
        <v>134</v>
      </c>
      <c r="B94" t="s">
        <v>41</v>
      </c>
      <c r="C94" s="3" t="s">
        <v>112</v>
      </c>
      <c r="D94" s="3">
        <v>4866997.5977507504</v>
      </c>
      <c r="E94" s="3">
        <v>4761867.8583527664</v>
      </c>
      <c r="F94" s="3">
        <v>4611658.6821885379</v>
      </c>
      <c r="G94" s="3">
        <v>4533165.147530159</v>
      </c>
      <c r="H94" s="3">
        <v>4509714.0557241822</v>
      </c>
      <c r="I94" s="3">
        <v>4560147.8595645484</v>
      </c>
      <c r="J94" s="3">
        <v>4650978.3425163822</v>
      </c>
      <c r="K94" s="3">
        <v>4579674.0396586759</v>
      </c>
      <c r="L94" s="3">
        <v>4540461.7064599097</v>
      </c>
      <c r="M94" s="3">
        <v>4464183.3389009107</v>
      </c>
      <c r="N94" s="3">
        <v>4452021.624295434</v>
      </c>
      <c r="O94" s="3">
        <v>4500256.3393649179</v>
      </c>
      <c r="P94" s="3">
        <v>4485727.991685872</v>
      </c>
      <c r="Q94" s="3">
        <v>4566353.965853435</v>
      </c>
      <c r="R94" s="3">
        <v>4568722.1031189375</v>
      </c>
      <c r="S94" s="3">
        <v>4541881.8983478621</v>
      </c>
      <c r="T94" s="3">
        <v>4538039.033944509</v>
      </c>
      <c r="U94" s="3">
        <v>4502767.6515694614</v>
      </c>
      <c r="V94" s="3">
        <v>4408412.2557536941</v>
      </c>
      <c r="W94" s="3">
        <v>4092959.2897481006</v>
      </c>
      <c r="X94" s="3">
        <v>4180741.6726818602</v>
      </c>
      <c r="Y94" s="3">
        <v>4069866.1357656969</v>
      </c>
      <c r="Z94" s="3">
        <v>3995310.0573357148</v>
      </c>
      <c r="AA94" s="3">
        <v>3908576.7569844117</v>
      </c>
      <c r="AB94" s="3">
        <v>3767739.3261824828</v>
      </c>
      <c r="AC94" s="3">
        <v>3812415.6258565173</v>
      </c>
      <c r="AD94" s="3">
        <v>3814693.5723031233</v>
      </c>
      <c r="AE94" s="3">
        <v>3836066.4465965214</v>
      </c>
      <c r="AF94" s="3">
        <v>3750770.8101584287</v>
      </c>
      <c r="AG94" s="3">
        <v>3591293.6253530979</v>
      </c>
      <c r="AH94" s="3">
        <v>3303600.5432922789</v>
      </c>
      <c r="AI94" s="3">
        <v>3471700.3118169988</v>
      </c>
      <c r="AJ94" s="3"/>
    </row>
    <row r="95" spans="1:37">
      <c r="A95" s="7" t="s">
        <v>135</v>
      </c>
      <c r="B95" t="s">
        <v>41</v>
      </c>
      <c r="C95" s="3" t="s">
        <v>112</v>
      </c>
      <c r="D95" s="3">
        <v>4658202.3723581331</v>
      </c>
      <c r="E95" s="3">
        <v>4450345.7874527983</v>
      </c>
      <c r="F95" s="3">
        <v>4325593.2923648283</v>
      </c>
      <c r="G95" s="3">
        <v>4232357.5394831309</v>
      </c>
      <c r="H95" s="3">
        <v>4217476.2203190401</v>
      </c>
      <c r="I95" s="3">
        <v>4243940.7782681752</v>
      </c>
      <c r="J95" s="3">
        <v>4316767.838070753</v>
      </c>
      <c r="K95" s="3">
        <v>4253050.2964607785</v>
      </c>
      <c r="L95" s="3">
        <v>4200609.1279609371</v>
      </c>
      <c r="M95" s="3">
        <v>4110419.5121102212</v>
      </c>
      <c r="N95" s="3">
        <v>4147880.66280731</v>
      </c>
      <c r="O95" s="3">
        <v>4147146.3275167886</v>
      </c>
      <c r="P95" s="3">
        <v>4162904.5031726146</v>
      </c>
      <c r="Q95" s="3">
        <v>4255387.8401100561</v>
      </c>
      <c r="R95" s="3">
        <v>4218831.6414757147</v>
      </c>
      <c r="S95" s="3">
        <v>4199772.4222165709</v>
      </c>
      <c r="T95" s="3">
        <v>4186742.6503444389</v>
      </c>
      <c r="U95" s="3">
        <v>4202150.3650721004</v>
      </c>
      <c r="V95" s="3">
        <v>4064149.4840702577</v>
      </c>
      <c r="W95" s="3">
        <v>3745936.961124457</v>
      </c>
      <c r="X95" s="3">
        <v>3828151.481732043</v>
      </c>
      <c r="Y95" s="3">
        <v>3722592.3353273198</v>
      </c>
      <c r="Z95" s="3">
        <v>3652676.4583474463</v>
      </c>
      <c r="AA95" s="3">
        <v>3565971.8518131794</v>
      </c>
      <c r="AB95" s="3">
        <v>3439936.6053018831</v>
      </c>
      <c r="AC95" s="3">
        <v>3489991.7868444696</v>
      </c>
      <c r="AD95" s="3">
        <v>3496207.0474715871</v>
      </c>
      <c r="AE95" s="3">
        <v>3586270.5554161789</v>
      </c>
      <c r="AF95" s="3">
        <v>3492981.7694373527</v>
      </c>
      <c r="AG95" s="3">
        <v>3343976.0017118794</v>
      </c>
      <c r="AH95" s="3">
        <v>3062562.4853652325</v>
      </c>
      <c r="AI95" s="3">
        <v>3241715.6453997269</v>
      </c>
      <c r="AJ95" s="3">
        <v>3142824.6578600002</v>
      </c>
    </row>
    <row r="96" spans="1:37">
      <c r="A96" s="7" t="s">
        <v>136</v>
      </c>
      <c r="B96" t="s">
        <v>41</v>
      </c>
      <c r="C96" s="3" t="s">
        <v>112</v>
      </c>
      <c r="D96" s="3">
        <v>4712300.0936971484</v>
      </c>
      <c r="E96" s="3">
        <v>4503474.8282766445</v>
      </c>
      <c r="F96" s="3">
        <v>4382475.3071977301</v>
      </c>
      <c r="G96" s="3">
        <v>4292030.7229721965</v>
      </c>
      <c r="H96" s="3">
        <v>4279816.5267840996</v>
      </c>
      <c r="I96" s="3">
        <v>4309641.752843135</v>
      </c>
      <c r="J96" s="3">
        <v>4385428.5838341778</v>
      </c>
      <c r="K96" s="3">
        <v>4324469.4820109401</v>
      </c>
      <c r="L96" s="3">
        <v>4275978.104218646</v>
      </c>
      <c r="M96" s="3">
        <v>4192307.1683950392</v>
      </c>
      <c r="N96" s="3">
        <v>4232901.313875108</v>
      </c>
      <c r="O96" s="3">
        <v>4231418.439096584</v>
      </c>
      <c r="P96" s="3">
        <v>4244790.2577196686</v>
      </c>
      <c r="Q96" s="3">
        <v>4340852.281376346</v>
      </c>
      <c r="R96" s="3">
        <v>4309291.4643641897</v>
      </c>
      <c r="S96" s="3">
        <v>4295865.9690033272</v>
      </c>
      <c r="T96" s="3">
        <v>4287904.1819861196</v>
      </c>
      <c r="U96" s="3">
        <v>4307980.4315973902</v>
      </c>
      <c r="V96" s="3">
        <v>4171543.7134144087</v>
      </c>
      <c r="W96" s="3">
        <v>3844664.7024869393</v>
      </c>
      <c r="X96" s="3">
        <v>3928519.1849001436</v>
      </c>
      <c r="Y96" s="3">
        <v>3825429.3995264531</v>
      </c>
      <c r="Z96" s="3">
        <v>3754387.729582468</v>
      </c>
      <c r="AA96" s="3">
        <v>3668633.3795310375</v>
      </c>
      <c r="AB96" s="3">
        <v>3544606.8568885433</v>
      </c>
      <c r="AC96" s="3">
        <v>3598522.0124201011</v>
      </c>
      <c r="AD96" s="3">
        <v>3611281.0100447615</v>
      </c>
      <c r="AE96" s="3">
        <v>3710432.8085775571</v>
      </c>
      <c r="AF96" s="3">
        <v>3623340.0816717031</v>
      </c>
      <c r="AG96" s="3">
        <v>3476952.6916718292</v>
      </c>
      <c r="AH96" s="3">
        <v>3118672.6392351734</v>
      </c>
      <c r="AI96" s="3">
        <v>3311469.978286026</v>
      </c>
      <c r="AJ96" s="3">
        <v>3248207.1206</v>
      </c>
      <c r="AK96" s="3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9ABC7-143B-45A3-89AF-20F252B19ED2}">
  <sheetPr>
    <tabColor rgb="FFFFFF00"/>
  </sheetPr>
  <dimension ref="A1:AX166"/>
  <sheetViews>
    <sheetView showGridLines="0" zoomScale="87" zoomScaleNormal="87" workbookViewId="0">
      <pane xSplit="1" ySplit="2" topLeftCell="M3" activePane="bottomRight" state="frozen"/>
      <selection pane="bottomRight" activeCell="AD21" sqref="AD21"/>
      <selection pane="bottomLeft" activeCell="A3" sqref="A3"/>
      <selection pane="topRight" activeCell="B1" sqref="B1"/>
    </sheetView>
  </sheetViews>
  <sheetFormatPr defaultRowHeight="15"/>
  <cols>
    <col min="1" max="1" width="27.140625" bestFit="1" customWidth="1"/>
    <col min="2" max="2" width="34.5703125" customWidth="1"/>
    <col min="3" max="3" width="11.5703125" bestFit="1" customWidth="1"/>
    <col min="4" max="4" width="11.5703125" customWidth="1"/>
    <col min="5" max="5" width="12" bestFit="1" customWidth="1"/>
    <col min="6" max="10" width="9.42578125" bestFit="1" customWidth="1"/>
    <col min="11" max="11" width="12" bestFit="1" customWidth="1"/>
    <col min="12" max="12" width="9.42578125" bestFit="1" customWidth="1"/>
    <col min="13" max="13" width="12" bestFit="1" customWidth="1"/>
    <col min="50" max="50" width="9.5703125" bestFit="1" customWidth="1"/>
  </cols>
  <sheetData>
    <row r="1" spans="1:50" s="2" customFormat="1">
      <c r="A1" s="2" t="s">
        <v>137</v>
      </c>
    </row>
    <row r="2" spans="1:50">
      <c r="B2" s="1" t="s">
        <v>0</v>
      </c>
      <c r="C2" s="1" t="s">
        <v>1</v>
      </c>
      <c r="D2" s="1" t="s">
        <v>138</v>
      </c>
      <c r="E2" t="s">
        <v>36</v>
      </c>
      <c r="J2" t="s">
        <v>37</v>
      </c>
      <c r="O2" t="s">
        <v>38</v>
      </c>
      <c r="T2" t="s">
        <v>39</v>
      </c>
      <c r="Y2">
        <v>2025</v>
      </c>
      <c r="AD2">
        <v>2030</v>
      </c>
      <c r="AI2">
        <v>2035</v>
      </c>
      <c r="AN2">
        <v>2040</v>
      </c>
      <c r="AS2">
        <v>2045</v>
      </c>
      <c r="AX2">
        <v>2050</v>
      </c>
    </row>
    <row r="3" spans="1:50">
      <c r="A3" t="s">
        <v>139</v>
      </c>
      <c r="B3" t="s">
        <v>140</v>
      </c>
      <c r="C3" t="s">
        <v>7</v>
      </c>
      <c r="D3">
        <f>'conversion factor'!$E$5</f>
        <v>1.1630000000000001E-2</v>
      </c>
      <c r="E3" s="4">
        <v>1497.7591010000001</v>
      </c>
      <c r="F3" s="4">
        <v>1511.018519</v>
      </c>
      <c r="G3" s="4">
        <v>1490.164968</v>
      </c>
      <c r="H3" s="4">
        <v>1488.7637450000002</v>
      </c>
      <c r="I3" s="4">
        <v>1403.207705</v>
      </c>
      <c r="J3" s="4">
        <v>1457.5540100000001</v>
      </c>
      <c r="K3">
        <v>1412.129338</v>
      </c>
      <c r="L3" s="4">
        <v>1396.182626</v>
      </c>
      <c r="M3">
        <v>1384.1500570000001</v>
      </c>
      <c r="N3" s="4">
        <v>1330.4564499999999</v>
      </c>
      <c r="O3" s="4">
        <v>1352.7050400000001</v>
      </c>
      <c r="P3" s="4">
        <v>1364.0691180000001</v>
      </c>
      <c r="Q3" s="4">
        <v>1383.798104</v>
      </c>
      <c r="R3" s="4">
        <v>1377.3391650000001</v>
      </c>
      <c r="S3" s="4">
        <v>1354.0760439999999</v>
      </c>
      <c r="T3" s="4">
        <v>1235.7806740000001</v>
      </c>
      <c r="U3" s="4">
        <v>1311.113312</v>
      </c>
      <c r="W3" s="28"/>
      <c r="Y3" s="28"/>
      <c r="AA3" s="28"/>
      <c r="AC3" s="28"/>
      <c r="AE3" s="28"/>
      <c r="AG3" s="28"/>
      <c r="AI3" s="28"/>
      <c r="AK3" s="28"/>
    </row>
    <row r="4" spans="1:50">
      <c r="A4" t="s">
        <v>141</v>
      </c>
      <c r="B4" t="s">
        <v>140</v>
      </c>
      <c r="C4" t="s">
        <v>7</v>
      </c>
      <c r="D4">
        <f>'conversion factor'!$E$5</f>
        <v>1.1630000000000001E-2</v>
      </c>
      <c r="E4" s="4">
        <v>1041.257368</v>
      </c>
      <c r="F4" s="4">
        <v>1045.846092</v>
      </c>
      <c r="G4" s="4">
        <v>1028.5167260000001</v>
      </c>
      <c r="H4" s="4">
        <v>1036.7124650000001</v>
      </c>
      <c r="I4" s="4">
        <v>980.82991299999992</v>
      </c>
      <c r="J4" s="4">
        <v>1024.503136</v>
      </c>
      <c r="K4">
        <v>984.60139099999992</v>
      </c>
      <c r="L4" s="4">
        <v>982.56257299999993</v>
      </c>
      <c r="M4">
        <v>980.34901599999989</v>
      </c>
      <c r="N4" s="4">
        <v>938.785753</v>
      </c>
      <c r="O4" s="4">
        <v>957.87004100000001</v>
      </c>
      <c r="P4" s="4">
        <v>976.88392500000009</v>
      </c>
      <c r="Q4" s="4">
        <v>989.00025899999991</v>
      </c>
      <c r="R4" s="4">
        <v>991.56332200000008</v>
      </c>
      <c r="S4" s="4">
        <v>985.96801500000004</v>
      </c>
      <c r="T4" s="4">
        <v>906.25317900000005</v>
      </c>
      <c r="U4" s="4">
        <v>968.42633599999999</v>
      </c>
      <c r="W4" s="28"/>
      <c r="Y4" s="28"/>
      <c r="AA4" s="28"/>
      <c r="AC4" s="28"/>
      <c r="AE4" s="28"/>
      <c r="AG4" s="28"/>
      <c r="AI4" s="28"/>
      <c r="AK4" s="28"/>
    </row>
    <row r="5" spans="1:50">
      <c r="B5" s="1"/>
      <c r="C5" s="1"/>
      <c r="D5" s="1"/>
    </row>
    <row r="6" spans="1:50">
      <c r="A6" t="s">
        <v>139</v>
      </c>
      <c r="B6" t="s">
        <v>140</v>
      </c>
      <c r="C6" t="s">
        <v>142</v>
      </c>
      <c r="D6">
        <f>'conversion factor'!$E$6</f>
        <v>11.630000000000003</v>
      </c>
      <c r="E6" s="4">
        <f>E3*$D6</f>
        <v>17418.938344630005</v>
      </c>
      <c r="F6" s="4">
        <f t="shared" ref="F6:U6" si="0">F3*$D6</f>
        <v>17573.145375970005</v>
      </c>
      <c r="G6" s="4">
        <f t="shared" si="0"/>
        <v>17330.618577840003</v>
      </c>
      <c r="H6" s="4">
        <f t="shared" si="0"/>
        <v>17314.322354350006</v>
      </c>
      <c r="I6" s="4">
        <f t="shared" si="0"/>
        <v>16319.305609150004</v>
      </c>
      <c r="J6" s="4">
        <f t="shared" si="0"/>
        <v>16951.353136300004</v>
      </c>
      <c r="K6" s="4">
        <f t="shared" si="0"/>
        <v>16423.064200940004</v>
      </c>
      <c r="L6" s="4">
        <f t="shared" si="0"/>
        <v>16237.603940380004</v>
      </c>
      <c r="M6" s="4">
        <f t="shared" si="0"/>
        <v>16097.665162910003</v>
      </c>
      <c r="N6" s="4">
        <f t="shared" si="0"/>
        <v>15473.208513500002</v>
      </c>
      <c r="O6" s="4">
        <f t="shared" si="0"/>
        <v>15731.959615200005</v>
      </c>
      <c r="P6" s="4">
        <f t="shared" si="0"/>
        <v>15864.123842340005</v>
      </c>
      <c r="Q6" s="4">
        <f t="shared" si="0"/>
        <v>16093.571949520003</v>
      </c>
      <c r="R6" s="4">
        <f t="shared" si="0"/>
        <v>16018.454488950005</v>
      </c>
      <c r="S6" s="4">
        <f t="shared" si="0"/>
        <v>15747.904391720003</v>
      </c>
      <c r="T6" s="4">
        <f t="shared" si="0"/>
        <v>14372.129238620004</v>
      </c>
      <c r="U6" s="4">
        <f t="shared" si="0"/>
        <v>15248.247818560003</v>
      </c>
      <c r="W6" s="28"/>
      <c r="Y6" s="28"/>
      <c r="AA6" s="28"/>
      <c r="AC6" s="28"/>
      <c r="AE6" s="28"/>
      <c r="AG6" s="28"/>
      <c r="AI6" s="28"/>
      <c r="AK6" s="28"/>
    </row>
    <row r="7" spans="1:50">
      <c r="A7" t="s">
        <v>141</v>
      </c>
      <c r="B7" t="s">
        <v>140</v>
      </c>
      <c r="C7" t="s">
        <v>142</v>
      </c>
      <c r="D7">
        <f>'conversion factor'!$E$6</f>
        <v>11.630000000000003</v>
      </c>
      <c r="E7" s="4">
        <f>E4*$D7</f>
        <v>12109.823189840003</v>
      </c>
      <c r="F7" s="4">
        <f t="shared" ref="F7:U7" si="1">F4*$D7</f>
        <v>12163.190049960003</v>
      </c>
      <c r="G7" s="4">
        <f t="shared" si="1"/>
        <v>11961.649523380003</v>
      </c>
      <c r="H7" s="4">
        <f t="shared" si="1"/>
        <v>12056.965967950004</v>
      </c>
      <c r="I7" s="4">
        <f t="shared" si="1"/>
        <v>11407.051888190001</v>
      </c>
      <c r="J7" s="4">
        <f t="shared" si="1"/>
        <v>11914.971471680003</v>
      </c>
      <c r="K7" s="4">
        <f t="shared" si="1"/>
        <v>11450.914177330002</v>
      </c>
      <c r="L7" s="4">
        <f t="shared" si="1"/>
        <v>11427.202723990002</v>
      </c>
      <c r="M7" s="4">
        <f t="shared" si="1"/>
        <v>11401.459056080001</v>
      </c>
      <c r="N7" s="4">
        <f t="shared" si="1"/>
        <v>10918.078307390002</v>
      </c>
      <c r="O7" s="4">
        <f t="shared" si="1"/>
        <v>11140.028576830002</v>
      </c>
      <c r="P7" s="4">
        <f t="shared" si="1"/>
        <v>11361.160047750003</v>
      </c>
      <c r="Q7" s="4">
        <f t="shared" si="1"/>
        <v>11502.073012170002</v>
      </c>
      <c r="R7" s="4">
        <f t="shared" si="1"/>
        <v>11531.881434860003</v>
      </c>
      <c r="S7" s="4">
        <f t="shared" si="1"/>
        <v>11466.808014450004</v>
      </c>
      <c r="T7" s="4">
        <f t="shared" si="1"/>
        <v>10539.724471770003</v>
      </c>
      <c r="U7" s="4">
        <f t="shared" si="1"/>
        <v>11262.798287680002</v>
      </c>
      <c r="W7" s="28"/>
      <c r="Y7" s="28"/>
      <c r="AA7" s="28"/>
      <c r="AC7" s="28"/>
      <c r="AE7" s="28"/>
      <c r="AG7" s="28"/>
      <c r="AI7" s="28"/>
      <c r="AK7" s="28"/>
    </row>
    <row r="8" spans="1:50">
      <c r="A8" t="s">
        <v>143</v>
      </c>
      <c r="C8" t="s">
        <v>142</v>
      </c>
      <c r="D8">
        <f>'conversion factor'!$E$5</f>
        <v>1.1630000000000001E-2</v>
      </c>
      <c r="E8" s="4">
        <f>(E60+E62)*$D8</f>
        <v>338.53714665000001</v>
      </c>
      <c r="F8" s="4">
        <f t="shared" ref="F8:U8" si="2">(F60+F62)*$D8</f>
        <v>354.50830001000003</v>
      </c>
      <c r="G8" s="4">
        <f t="shared" si="2"/>
        <v>346.73655251000008</v>
      </c>
      <c r="H8" s="4">
        <f t="shared" si="2"/>
        <v>339.56691337000007</v>
      </c>
      <c r="I8" s="4">
        <f t="shared" si="2"/>
        <v>303.42754899000005</v>
      </c>
      <c r="J8" s="4">
        <f t="shared" si="2"/>
        <v>323.55035649000007</v>
      </c>
      <c r="K8" s="4">
        <f t="shared" si="2"/>
        <v>319.69757009</v>
      </c>
      <c r="L8" s="4">
        <f t="shared" si="2"/>
        <v>307.91276316000005</v>
      </c>
      <c r="M8" s="4">
        <f t="shared" si="2"/>
        <v>294.22443924000004</v>
      </c>
      <c r="N8" s="4">
        <f t="shared" si="2"/>
        <v>275.89654779000006</v>
      </c>
      <c r="O8" s="4">
        <f t="shared" si="2"/>
        <v>278.68593351000004</v>
      </c>
      <c r="P8" s="4">
        <f t="shared" si="2"/>
        <v>281.33301455000003</v>
      </c>
      <c r="Q8" s="4">
        <f t="shared" si="2"/>
        <v>283.24449809000004</v>
      </c>
      <c r="R8" s="4">
        <f t="shared" si="2"/>
        <v>268.59736208000004</v>
      </c>
      <c r="S8" s="4">
        <f t="shared" si="2"/>
        <v>235.48334449000001</v>
      </c>
      <c r="T8" s="4">
        <f t="shared" si="2"/>
        <v>227.07813415000004</v>
      </c>
      <c r="U8" s="4">
        <f t="shared" si="2"/>
        <v>225.52955313000001</v>
      </c>
      <c r="W8" s="28"/>
      <c r="Y8" s="28"/>
      <c r="AA8" s="28"/>
      <c r="AC8" s="28"/>
      <c r="AE8" s="28"/>
      <c r="AG8" s="28"/>
      <c r="AI8" s="28"/>
      <c r="AK8" s="28"/>
      <c r="AX8" s="5">
        <f>C148</f>
        <v>6.839900184756436</v>
      </c>
    </row>
    <row r="9" spans="1:50">
      <c r="A9" t="s">
        <v>144</v>
      </c>
      <c r="C9" t="s">
        <v>142</v>
      </c>
      <c r="D9">
        <f>'conversion factor'!$E$5</f>
        <v>1.1630000000000001E-2</v>
      </c>
      <c r="E9" s="4">
        <f>(46+E65+E78)*$D9</f>
        <v>5078.9422427500003</v>
      </c>
      <c r="F9" s="4">
        <f t="shared" ref="F9:U9" si="3">(46+F65+F78)*$D9</f>
        <v>5080.4668543400003</v>
      </c>
      <c r="G9" s="4">
        <f t="shared" si="3"/>
        <v>4942.03358037</v>
      </c>
      <c r="H9" s="4">
        <f t="shared" si="3"/>
        <v>4945.2475192400007</v>
      </c>
      <c r="I9" s="4">
        <f t="shared" si="3"/>
        <v>4686.3010568</v>
      </c>
      <c r="J9" s="4">
        <f t="shared" si="3"/>
        <v>4636.9408828700007</v>
      </c>
      <c r="K9" s="4">
        <f t="shared" si="3"/>
        <v>4516.7296673500005</v>
      </c>
      <c r="L9" s="4">
        <f t="shared" si="3"/>
        <v>4359.8925464000004</v>
      </c>
      <c r="M9" s="4">
        <f t="shared" si="3"/>
        <v>4314.5465367500001</v>
      </c>
      <c r="N9" s="4">
        <f t="shared" si="3"/>
        <v>4262.8127612300004</v>
      </c>
      <c r="O9" s="4">
        <f t="shared" si="3"/>
        <v>4340.1133356200007</v>
      </c>
      <c r="P9" s="4">
        <f t="shared" si="3"/>
        <v>4408.8094545100003</v>
      </c>
      <c r="Q9" s="4">
        <f t="shared" si="3"/>
        <v>4471.668127500001</v>
      </c>
      <c r="R9" s="4">
        <f t="shared" si="3"/>
        <v>4478.7676377400012</v>
      </c>
      <c r="S9" s="4">
        <f t="shared" si="3"/>
        <v>4506.1918988000007</v>
      </c>
      <c r="T9" s="4">
        <f t="shared" si="3"/>
        <v>3813.3298339799999</v>
      </c>
      <c r="U9" s="4">
        <f t="shared" si="3"/>
        <v>4058.8654177800004</v>
      </c>
      <c r="W9" s="28"/>
      <c r="Y9" s="28"/>
      <c r="AA9" s="28"/>
      <c r="AC9" s="28"/>
      <c r="AE9" s="28"/>
      <c r="AG9" s="28"/>
      <c r="AI9" s="28"/>
      <c r="AK9" s="28"/>
      <c r="AX9" s="5">
        <f>E148</f>
        <v>162.63783873057804</v>
      </c>
    </row>
    <row r="10" spans="1:50">
      <c r="A10" t="s">
        <v>145</v>
      </c>
      <c r="C10" t="s">
        <v>142</v>
      </c>
      <c r="D10">
        <f>'conversion factor'!$E$5</f>
        <v>1.1630000000000001E-2</v>
      </c>
      <c r="E10" s="4">
        <f>(E61+E64)*$D10</f>
        <v>2665.7096832500001</v>
      </c>
      <c r="F10" s="4">
        <f t="shared" ref="F10:U10" si="4">(F61+F64)*$D10</f>
        <v>2609.3760450200002</v>
      </c>
      <c r="G10" s="4">
        <f t="shared" si="4"/>
        <v>2489.0672421700006</v>
      </c>
      <c r="H10" s="4">
        <f t="shared" si="4"/>
        <v>2528.8634390800003</v>
      </c>
      <c r="I10" s="4">
        <f t="shared" si="4"/>
        <v>2366.0323324300002</v>
      </c>
      <c r="J10" s="4">
        <f t="shared" si="4"/>
        <v>2591.6297931300001</v>
      </c>
      <c r="K10" s="4">
        <f t="shared" si="4"/>
        <v>2385.6285567900004</v>
      </c>
      <c r="L10" s="4">
        <f t="shared" si="4"/>
        <v>2444.1025802200002</v>
      </c>
      <c r="M10" s="4">
        <f t="shared" si="4"/>
        <v>2496.3840938500007</v>
      </c>
      <c r="N10" s="4">
        <f t="shared" si="4"/>
        <v>2224.7788765</v>
      </c>
      <c r="O10" s="4">
        <f t="shared" si="4"/>
        <v>2294.9582855900003</v>
      </c>
      <c r="P10" s="4">
        <f t="shared" si="4"/>
        <v>2383.5705119900003</v>
      </c>
      <c r="Q10" s="4">
        <f t="shared" si="4"/>
        <v>2400.6943146500003</v>
      </c>
      <c r="R10" s="4">
        <f t="shared" si="4"/>
        <v>2405.51997381</v>
      </c>
      <c r="S10" s="4">
        <f t="shared" si="4"/>
        <v>2368.8223345400006</v>
      </c>
      <c r="T10" s="4">
        <f t="shared" si="4"/>
        <v>2305.4849358600004</v>
      </c>
      <c r="U10" s="4">
        <f t="shared" si="4"/>
        <v>2517.5241890800003</v>
      </c>
      <c r="W10" s="28"/>
      <c r="Y10" s="28"/>
      <c r="AA10" s="28"/>
      <c r="AC10" s="28"/>
      <c r="AE10" s="28"/>
      <c r="AG10" s="28"/>
      <c r="AI10" s="28"/>
      <c r="AK10" s="28"/>
      <c r="AX10" s="5">
        <f>G148</f>
        <v>88.767532694491194</v>
      </c>
    </row>
    <row r="11" spans="1:50">
      <c r="A11" t="s">
        <v>146</v>
      </c>
      <c r="C11" t="s">
        <v>142</v>
      </c>
      <c r="D11">
        <f>'conversion factor'!$E$5</f>
        <v>1.1630000000000001E-2</v>
      </c>
      <c r="E11" s="4">
        <f>E73*$D11</f>
        <v>2435.6736912000001</v>
      </c>
      <c r="F11" s="4">
        <f t="shared" ref="F11:U11" si="5">F73*$D11</f>
        <v>2487.9652764100006</v>
      </c>
      <c r="G11" s="4">
        <f t="shared" si="5"/>
        <v>2507.6015544900006</v>
      </c>
      <c r="H11" s="4">
        <f t="shared" si="5"/>
        <v>2521.0476604</v>
      </c>
      <c r="I11" s="4">
        <f t="shared" si="5"/>
        <v>2392.8325858400003</v>
      </c>
      <c r="J11" s="4">
        <f t="shared" si="5"/>
        <v>2510.6553482600002</v>
      </c>
      <c r="K11" s="4">
        <f t="shared" si="5"/>
        <v>2475.4540247900004</v>
      </c>
      <c r="L11" s="4">
        <f t="shared" si="5"/>
        <v>2484.0506765600003</v>
      </c>
      <c r="M11" s="4">
        <f t="shared" si="5"/>
        <v>2461.2761476500004</v>
      </c>
      <c r="N11" s="4">
        <f t="shared" si="5"/>
        <v>2409.2160808500003</v>
      </c>
      <c r="O11" s="4">
        <f t="shared" si="5"/>
        <v>2449.9644607500004</v>
      </c>
      <c r="P11" s="4">
        <f t="shared" si="5"/>
        <v>2481.1839746000005</v>
      </c>
      <c r="Q11" s="4">
        <f t="shared" si="5"/>
        <v>2505.5827376800003</v>
      </c>
      <c r="R11" s="4">
        <f t="shared" si="5"/>
        <v>2505.7210183800003</v>
      </c>
      <c r="S11" s="4">
        <f t="shared" si="5"/>
        <v>2478.8455421300005</v>
      </c>
      <c r="T11" s="4">
        <f t="shared" si="5"/>
        <v>2384.3261712400003</v>
      </c>
      <c r="U11" s="4">
        <f t="shared" si="5"/>
        <v>2487.2038137900004</v>
      </c>
      <c r="W11" s="28"/>
      <c r="Y11" s="28"/>
      <c r="AA11" s="28"/>
      <c r="AC11" s="28"/>
      <c r="AE11" s="28"/>
      <c r="AG11" s="28"/>
      <c r="AI11" s="28"/>
      <c r="AK11" s="28"/>
      <c r="AX11" s="5">
        <f>M148</f>
        <v>3439.0983551895224</v>
      </c>
    </row>
    <row r="12" spans="1:50">
      <c r="A12" t="s">
        <v>147</v>
      </c>
      <c r="C12" t="s">
        <v>142</v>
      </c>
      <c r="D12">
        <f>'conversion factor'!$E$5</f>
        <v>1.1630000000000001E-2</v>
      </c>
      <c r="E12" s="5">
        <f>E67*$D12</f>
        <v>692.08621589000006</v>
      </c>
      <c r="F12" s="5">
        <f t="shared" ref="F12:U12" si="6">F67*$D12</f>
        <v>744.19388428000013</v>
      </c>
      <c r="G12" s="5">
        <f t="shared" si="6"/>
        <v>815.54688829999998</v>
      </c>
      <c r="H12" s="5">
        <f t="shared" si="6"/>
        <v>870.34010977000003</v>
      </c>
      <c r="I12" s="5">
        <f t="shared" si="6"/>
        <v>898.78376359000015</v>
      </c>
      <c r="J12" s="5">
        <f t="shared" si="6"/>
        <v>975.02217008000002</v>
      </c>
      <c r="K12" s="5">
        <f t="shared" si="6"/>
        <v>937.10441588000003</v>
      </c>
      <c r="L12" s="5">
        <f t="shared" si="6"/>
        <v>1011.0632028100001</v>
      </c>
      <c r="M12" s="5">
        <f t="shared" si="6"/>
        <v>1016.88608795</v>
      </c>
      <c r="N12" s="5">
        <f t="shared" si="6"/>
        <v>976.11270355000022</v>
      </c>
      <c r="O12" s="5">
        <f t="shared" si="6"/>
        <v>1013.1034537100002</v>
      </c>
      <c r="P12" s="5">
        <f t="shared" si="6"/>
        <v>1026.7285918400003</v>
      </c>
      <c r="Q12" s="5">
        <f t="shared" si="6"/>
        <v>1098.1946743500002</v>
      </c>
      <c r="R12" s="5">
        <f t="shared" si="6"/>
        <v>1153.5869454900001</v>
      </c>
      <c r="S12" s="5">
        <f t="shared" si="6"/>
        <v>1176.4413027200001</v>
      </c>
      <c r="T12" s="5">
        <f t="shared" si="6"/>
        <v>1170.5314019200002</v>
      </c>
      <c r="U12" s="5">
        <f t="shared" si="6"/>
        <v>1249.14948086</v>
      </c>
      <c r="AX12" s="5">
        <f>K148</f>
        <v>947.1018252335906</v>
      </c>
    </row>
    <row r="13" spans="1:50">
      <c r="A13" t="s">
        <v>148</v>
      </c>
      <c r="C13" t="s">
        <v>142</v>
      </c>
      <c r="D13">
        <f>'conversion factor'!$E$5</f>
        <v>1.1630000000000001E-2</v>
      </c>
      <c r="E13" s="5">
        <f>E68*$D13</f>
        <v>13.659679230000002</v>
      </c>
      <c r="F13" s="5">
        <f t="shared" ref="F13:U13" si="7">F68*$D13</f>
        <v>14.800244960000002</v>
      </c>
      <c r="G13" s="5">
        <f t="shared" si="7"/>
        <v>16.198182590000002</v>
      </c>
      <c r="H13" s="5">
        <f t="shared" si="7"/>
        <v>18.330043</v>
      </c>
      <c r="I13" s="5">
        <f t="shared" si="7"/>
        <v>20.595287880000001</v>
      </c>
      <c r="J13" s="5">
        <f t="shared" si="7"/>
        <v>22.251469660000005</v>
      </c>
      <c r="K13" s="5">
        <f t="shared" si="7"/>
        <v>24.464984300000005</v>
      </c>
      <c r="L13" s="5">
        <f t="shared" si="7"/>
        <v>25.730491120000003</v>
      </c>
      <c r="M13" s="5">
        <f t="shared" si="7"/>
        <v>26.927008780000005</v>
      </c>
      <c r="N13" s="5">
        <f t="shared" si="7"/>
        <v>28.010017640000001</v>
      </c>
      <c r="O13" s="5">
        <f t="shared" si="7"/>
        <v>29.320148770000007</v>
      </c>
      <c r="P13" s="5">
        <f t="shared" si="7"/>
        <v>30.350624920000005</v>
      </c>
      <c r="Q13" s="5">
        <f t="shared" si="7"/>
        <v>31.486794510000003</v>
      </c>
      <c r="R13" s="5">
        <f t="shared" si="7"/>
        <v>33.354712069999998</v>
      </c>
      <c r="S13" s="5">
        <f t="shared" si="7"/>
        <v>34.206656090000003</v>
      </c>
      <c r="T13" s="5">
        <f t="shared" si="7"/>
        <v>34.982470130000003</v>
      </c>
      <c r="U13" s="5">
        <f t="shared" si="7"/>
        <v>35.294630960000006</v>
      </c>
      <c r="AX13" s="5">
        <f>L148</f>
        <v>644.42359653137999</v>
      </c>
    </row>
    <row r="14" spans="1:50">
      <c r="A14" t="s">
        <v>149</v>
      </c>
      <c r="C14" t="s">
        <v>142</v>
      </c>
      <c r="D14">
        <f>'conversion factor'!$E$5</f>
        <v>1.1630000000000001E-2</v>
      </c>
      <c r="E14" s="5">
        <f>(E74+E72)*$D14</f>
        <v>612.3150806000001</v>
      </c>
      <c r="F14" s="5">
        <f t="shared" ref="F14:U14" si="8">(F74+F72)*$D14</f>
        <v>602.4865210800001</v>
      </c>
      <c r="G14" s="5">
        <f t="shared" si="8"/>
        <v>576.15863175000004</v>
      </c>
      <c r="H14" s="5">
        <f t="shared" si="8"/>
        <v>586.07904501000007</v>
      </c>
      <c r="I14" s="5">
        <f t="shared" si="8"/>
        <v>578.98280280000017</v>
      </c>
      <c r="J14" s="5">
        <f t="shared" si="8"/>
        <v>632.29160596000008</v>
      </c>
      <c r="K14" s="5">
        <f t="shared" si="8"/>
        <v>585.54846114999998</v>
      </c>
      <c r="L14" s="5">
        <f t="shared" si="8"/>
        <v>599.34930531999998</v>
      </c>
      <c r="M14" s="5">
        <f t="shared" si="8"/>
        <v>602.9144004100001</v>
      </c>
      <c r="N14" s="5">
        <f t="shared" si="8"/>
        <v>560.07907516</v>
      </c>
      <c r="O14" s="5">
        <f t="shared" si="8"/>
        <v>567.72878907000006</v>
      </c>
      <c r="P14" s="5">
        <f t="shared" si="8"/>
        <v>593.87834398000018</v>
      </c>
      <c r="Q14" s="5">
        <f t="shared" si="8"/>
        <v>596.65771627000004</v>
      </c>
      <c r="R14" s="5">
        <f t="shared" si="8"/>
        <v>589.27567844000009</v>
      </c>
      <c r="S14" s="5">
        <f t="shared" si="8"/>
        <v>589.55251896000004</v>
      </c>
      <c r="T14" s="5">
        <f t="shared" si="8"/>
        <v>568.15734294000015</v>
      </c>
      <c r="U14" s="5">
        <f t="shared" si="8"/>
        <v>607.85182387000009</v>
      </c>
      <c r="AX14" s="5">
        <f>J148</f>
        <v>539.42217443376046</v>
      </c>
    </row>
    <row r="15" spans="1:50">
      <c r="A15" t="s">
        <v>150</v>
      </c>
      <c r="C15" t="s">
        <v>142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AX15" s="5">
        <f>H148+I148+F148</f>
        <v>1329.8161603892668</v>
      </c>
    </row>
    <row r="16" spans="1:50">
      <c r="A16" t="s">
        <v>151</v>
      </c>
      <c r="B16" t="s">
        <v>152</v>
      </c>
      <c r="C16" t="s">
        <v>142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AD16">
        <f>763*'conversion factor'!$E$6</f>
        <v>8873.6900000000023</v>
      </c>
      <c r="AX16" s="5">
        <f>N148</f>
        <v>7158.1073833873461</v>
      </c>
    </row>
    <row r="17" spans="1:50">
      <c r="A17" t="s">
        <v>153</v>
      </c>
      <c r="B17" t="s">
        <v>154</v>
      </c>
      <c r="C17" t="s">
        <v>142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AD17">
        <f>992.5*'conversion factor'!$E$6</f>
        <v>11542.775000000003</v>
      </c>
      <c r="AX17" s="5"/>
    </row>
    <row r="18" spans="1:50">
      <c r="A18" t="s">
        <v>155</v>
      </c>
      <c r="C18" t="s">
        <v>142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>
        <f>U7</f>
        <v>11262.798287680002</v>
      </c>
      <c r="V18" s="4">
        <f>U18-($U18-$AD16)/9</f>
        <v>10997.341811271113</v>
      </c>
      <c r="W18" s="4">
        <f t="shared" ref="W18:AC19" si="9">V18-($U18-$AD16)/9</f>
        <v>10731.885334862225</v>
      </c>
      <c r="X18" s="4">
        <f t="shared" si="9"/>
        <v>10466.428858453337</v>
      </c>
      <c r="Y18" s="4">
        <f t="shared" si="9"/>
        <v>10200.972382044449</v>
      </c>
      <c r="Z18" s="4">
        <f t="shared" si="9"/>
        <v>9935.5159056355606</v>
      </c>
      <c r="AA18" s="4">
        <f t="shared" si="9"/>
        <v>9670.0594292266724</v>
      </c>
      <c r="AB18" s="4">
        <f t="shared" si="9"/>
        <v>9404.6029528177842</v>
      </c>
      <c r="AC18" s="4">
        <f t="shared" si="9"/>
        <v>9139.146476408896</v>
      </c>
      <c r="AD18" s="4">
        <f>AC18-($U18-$AD16)/9</f>
        <v>8873.6900000000078</v>
      </c>
      <c r="AE18" s="4">
        <f>AD18-($AD18-$AX20)/20</f>
        <v>8735.7670088213636</v>
      </c>
      <c r="AF18" s="4">
        <f t="shared" ref="AF18:AX19" si="10">AE18-($AD18-$AX20)/20</f>
        <v>8597.8440176427193</v>
      </c>
      <c r="AG18" s="4">
        <f t="shared" si="10"/>
        <v>8459.9210264640751</v>
      </c>
      <c r="AH18" s="4">
        <f t="shared" si="10"/>
        <v>8321.9980352854309</v>
      </c>
      <c r="AI18" s="4">
        <f t="shared" si="10"/>
        <v>8184.0750441067876</v>
      </c>
      <c r="AJ18" s="4">
        <f t="shared" si="10"/>
        <v>8046.1520529281443</v>
      </c>
      <c r="AK18" s="4">
        <f t="shared" si="10"/>
        <v>7908.2290617495009</v>
      </c>
      <c r="AL18" s="4">
        <f t="shared" si="10"/>
        <v>7770.3060705708576</v>
      </c>
      <c r="AM18" s="4">
        <f t="shared" si="10"/>
        <v>7632.3830793922143</v>
      </c>
      <c r="AN18" s="4">
        <f t="shared" si="10"/>
        <v>7494.460088213571</v>
      </c>
      <c r="AO18" s="4">
        <f t="shared" si="10"/>
        <v>7356.5370970349277</v>
      </c>
      <c r="AP18" s="4">
        <f t="shared" si="10"/>
        <v>7218.6141058562844</v>
      </c>
      <c r="AQ18" s="4">
        <f t="shared" si="10"/>
        <v>7080.6911146776411</v>
      </c>
      <c r="AR18" s="4">
        <f t="shared" si="10"/>
        <v>6942.7681234989977</v>
      </c>
      <c r="AS18" s="4">
        <f t="shared" si="10"/>
        <v>6804.8451323203544</v>
      </c>
      <c r="AT18" s="4">
        <f t="shared" si="10"/>
        <v>6666.9221411417111</v>
      </c>
      <c r="AU18" s="4">
        <f t="shared" si="10"/>
        <v>6528.9991499630678</v>
      </c>
      <c r="AV18" s="4">
        <f t="shared" si="10"/>
        <v>6391.0761587844245</v>
      </c>
      <c r="AW18" s="4">
        <f t="shared" si="10"/>
        <v>6253.1531676057812</v>
      </c>
      <c r="AX18" s="4">
        <f t="shared" si="10"/>
        <v>6115.2301764271378</v>
      </c>
    </row>
    <row r="19" spans="1:50">
      <c r="A19" t="s">
        <v>156</v>
      </c>
      <c r="C19" t="s">
        <v>142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>
        <f>U6</f>
        <v>15248.247818560003</v>
      </c>
      <c r="V19" s="4">
        <f>U19-($U19-$AD17)/9</f>
        <v>14836.528616497781</v>
      </c>
      <c r="W19" s="4">
        <f t="shared" si="9"/>
        <v>14424.809414435558</v>
      </c>
      <c r="X19" s="4">
        <f t="shared" si="9"/>
        <v>14013.090212373336</v>
      </c>
      <c r="Y19" s="4">
        <f t="shared" si="9"/>
        <v>13601.371010311113</v>
      </c>
      <c r="Z19" s="4">
        <f t="shared" si="9"/>
        <v>13189.651808248891</v>
      </c>
      <c r="AA19" s="4">
        <f t="shared" si="9"/>
        <v>12777.932606186669</v>
      </c>
      <c r="AB19" s="4">
        <f t="shared" si="9"/>
        <v>12366.213404124446</v>
      </c>
      <c r="AC19" s="4">
        <f t="shared" si="9"/>
        <v>11954.494202062224</v>
      </c>
      <c r="AD19" s="4">
        <f>AC19-($U19-$AD17)/9</f>
        <v>11542.775000000001</v>
      </c>
      <c r="AE19" s="4">
        <f>AD19-($AD19-$AX21)/20</f>
        <v>11411.940246023429</v>
      </c>
      <c r="AF19" s="4">
        <f t="shared" si="10"/>
        <v>11281.105492046856</v>
      </c>
      <c r="AG19" s="4">
        <f t="shared" si="10"/>
        <v>11150.270738070283</v>
      </c>
      <c r="AH19" s="4">
        <f t="shared" si="10"/>
        <v>11019.43598409371</v>
      </c>
      <c r="AI19" s="4">
        <f t="shared" si="10"/>
        <v>10888.601230117138</v>
      </c>
      <c r="AJ19" s="4">
        <f t="shared" si="10"/>
        <v>10757.766476140565</v>
      </c>
      <c r="AK19" s="4">
        <f t="shared" si="10"/>
        <v>10626.931722163992</v>
      </c>
      <c r="AL19" s="4">
        <f t="shared" si="10"/>
        <v>10496.096968187419</v>
      </c>
      <c r="AM19" s="4">
        <f t="shared" si="10"/>
        <v>10365.262214210847</v>
      </c>
      <c r="AN19" s="4">
        <f t="shared" si="10"/>
        <v>10234.427460234274</v>
      </c>
      <c r="AO19" s="4">
        <f t="shared" si="10"/>
        <v>10103.592706257701</v>
      </c>
      <c r="AP19" s="4">
        <f t="shared" si="10"/>
        <v>9972.7579522811284</v>
      </c>
      <c r="AQ19" s="4">
        <f t="shared" si="10"/>
        <v>9841.9231983045556</v>
      </c>
      <c r="AR19" s="4">
        <f t="shared" si="10"/>
        <v>9711.0884443279829</v>
      </c>
      <c r="AS19" s="4">
        <f t="shared" si="10"/>
        <v>9580.2536903514101</v>
      </c>
      <c r="AT19" s="4">
        <f t="shared" si="10"/>
        <v>9449.4189363748374</v>
      </c>
      <c r="AU19" s="4">
        <f t="shared" si="10"/>
        <v>9318.5841823982646</v>
      </c>
      <c r="AV19" s="4">
        <f t="shared" si="10"/>
        <v>9187.7494284216918</v>
      </c>
      <c r="AW19" s="4">
        <f t="shared" si="10"/>
        <v>9056.9146744451191</v>
      </c>
      <c r="AX19" s="4">
        <f t="shared" si="10"/>
        <v>8926.0799204685463</v>
      </c>
    </row>
    <row r="20" spans="1:50">
      <c r="A20" t="s">
        <v>157</v>
      </c>
      <c r="C20" t="s">
        <v>142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5">
        <f>O160</f>
        <v>9428.6201407865174</v>
      </c>
      <c r="AE20" s="4"/>
      <c r="AF20" s="4"/>
      <c r="AG20" s="4"/>
      <c r="AH20" s="4"/>
      <c r="AI20" s="4"/>
      <c r="AJ20" s="4"/>
      <c r="AK20" s="4"/>
      <c r="AL20" s="4"/>
      <c r="AM20" s="4"/>
      <c r="AN20" s="4">
        <f>O163</f>
        <v>6817.3605723745241</v>
      </c>
      <c r="AO20" s="4"/>
      <c r="AP20" s="4"/>
      <c r="AQ20" s="4"/>
      <c r="AR20" s="4"/>
      <c r="AS20" s="4"/>
      <c r="AT20" s="4"/>
      <c r="AU20" s="4"/>
      <c r="AV20" s="4"/>
      <c r="AW20" s="4"/>
      <c r="AX20" s="4">
        <f>O166</f>
        <v>6115.2301764271378</v>
      </c>
    </row>
    <row r="21" spans="1:50">
      <c r="A21" t="s">
        <v>158</v>
      </c>
      <c r="C21" t="s">
        <v>142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>
        <f>P117</f>
        <v>12768.988817928055</v>
      </c>
      <c r="AE21" s="4"/>
      <c r="AF21" s="4"/>
      <c r="AG21" s="4"/>
      <c r="AH21" s="4"/>
      <c r="AI21" s="4"/>
      <c r="AJ21" s="4"/>
      <c r="AK21" s="4"/>
      <c r="AL21" s="4"/>
      <c r="AM21" s="4"/>
      <c r="AN21" s="4">
        <f>P118</f>
        <v>9580.9355230800466</v>
      </c>
      <c r="AO21" s="4"/>
      <c r="AP21" s="4"/>
      <c r="AQ21" s="4"/>
      <c r="AR21" s="4"/>
      <c r="AS21" s="4"/>
      <c r="AT21" s="4"/>
      <c r="AU21" s="4"/>
      <c r="AV21" s="4"/>
      <c r="AW21" s="4"/>
      <c r="AX21" s="4">
        <f>P119</f>
        <v>8926.0799204685445</v>
      </c>
    </row>
    <row r="22" spans="1:50"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</row>
    <row r="23" spans="1:50">
      <c r="E23" s="4"/>
      <c r="F23" s="4"/>
      <c r="G23" s="4"/>
      <c r="H23" s="4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</row>
    <row r="24" spans="1:50" ht="18.75" customHeight="1">
      <c r="E24" s="4" t="s">
        <v>159</v>
      </c>
      <c r="F24" s="4" t="s">
        <v>160</v>
      </c>
      <c r="G24" s="4" t="s">
        <v>161</v>
      </c>
      <c r="H24" s="4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</row>
    <row r="25" spans="1:50">
      <c r="A25" t="s">
        <v>162</v>
      </c>
      <c r="E25" s="4">
        <f>U6-E6</f>
        <v>-2170.6905260700023</v>
      </c>
      <c r="F25" s="39">
        <f>U6/E6-1</f>
        <v>-0.12461669495140004</v>
      </c>
      <c r="G25" s="4">
        <f>E25/16</f>
        <v>-135.66815787937514</v>
      </c>
      <c r="H25" s="4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</row>
    <row r="26" spans="1:50">
      <c r="A26" t="s">
        <v>163</v>
      </c>
      <c r="E26" s="4">
        <f>U7-E7</f>
        <v>-847.02490216000115</v>
      </c>
      <c r="F26" s="39">
        <f>U7/E7-1</f>
        <v>-6.9945274087126585E-2</v>
      </c>
      <c r="G26" s="4">
        <f>E26/16</f>
        <v>-52.939056385000072</v>
      </c>
      <c r="H26" s="4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</row>
    <row r="27" spans="1:50">
      <c r="A27" t="s">
        <v>164</v>
      </c>
      <c r="E27" s="4"/>
      <c r="F27" s="4"/>
      <c r="G27" s="4">
        <f>AD18-AC18</f>
        <v>-265.45647640888819</v>
      </c>
      <c r="H27" s="4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</row>
    <row r="28" spans="1:50">
      <c r="A28" t="s">
        <v>165</v>
      </c>
      <c r="E28" s="4"/>
      <c r="F28" s="4"/>
      <c r="G28" s="4">
        <f>AE18-AD18</f>
        <v>-137.92299117864422</v>
      </c>
      <c r="H28" s="4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</row>
    <row r="29" spans="1:50">
      <c r="A29" t="s">
        <v>166</v>
      </c>
      <c r="E29" s="4"/>
      <c r="F29" s="4"/>
      <c r="G29" s="4">
        <f>(AN20-AD18)/10</f>
        <v>-205.63294276254837</v>
      </c>
      <c r="H29" s="4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</row>
    <row r="30" spans="1:50">
      <c r="E30" s="4"/>
      <c r="F30" s="4"/>
      <c r="G30" s="4"/>
      <c r="H30" s="4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</row>
    <row r="31" spans="1:50">
      <c r="E31" s="4"/>
      <c r="F31" s="4"/>
      <c r="G31" s="4"/>
      <c r="H31" s="4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</row>
    <row r="32" spans="1:50">
      <c r="E32" s="4"/>
      <c r="F32" s="4"/>
      <c r="G32" s="4"/>
      <c r="H32" s="4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</row>
    <row r="33" spans="5:50">
      <c r="E33" s="4"/>
      <c r="F33" s="4"/>
      <c r="G33" s="4"/>
      <c r="H33" s="4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</row>
    <row r="34" spans="5:50">
      <c r="E34" s="4"/>
      <c r="F34" s="4"/>
      <c r="G34" s="4"/>
      <c r="H34" s="4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</row>
    <row r="35" spans="5:50">
      <c r="E35" s="4"/>
      <c r="F35" s="4"/>
      <c r="G35" s="4"/>
      <c r="H35" s="4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</row>
    <row r="36" spans="5:50">
      <c r="E36" s="4"/>
      <c r="F36" s="4"/>
      <c r="G36" s="4"/>
      <c r="H36" s="4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</row>
    <row r="37" spans="5:50"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</row>
    <row r="38" spans="5:50"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80"/>
      <c r="V38" s="80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</row>
    <row r="39" spans="5:50"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</row>
    <row r="40" spans="5:50">
      <c r="E40" s="5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</row>
    <row r="41" spans="5:50">
      <c r="E41" s="5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</row>
    <row r="42" spans="5:50">
      <c r="E42" s="5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</row>
    <row r="43" spans="5:50">
      <c r="E43" s="5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</row>
    <row r="44" spans="5:50">
      <c r="E44" s="5"/>
    </row>
    <row r="45" spans="5:50">
      <c r="E45" s="5"/>
    </row>
    <row r="46" spans="5:50">
      <c r="E46" s="5"/>
    </row>
    <row r="47" spans="5:50">
      <c r="E47" s="5"/>
    </row>
    <row r="48" spans="5:50">
      <c r="E48" s="5"/>
    </row>
    <row r="49" spans="1:22">
      <c r="E49" s="5"/>
    </row>
    <row r="50" spans="1:22">
      <c r="E50" s="5"/>
    </row>
    <row r="51" spans="1:22">
      <c r="E51" s="5"/>
    </row>
    <row r="52" spans="1:22">
      <c r="E52" s="5"/>
    </row>
    <row r="56" spans="1:22" s="2" customFormat="1" ht="15.75" customHeight="1">
      <c r="A56" s="2" t="s">
        <v>167</v>
      </c>
    </row>
    <row r="57" spans="1:22" s="36" customFormat="1">
      <c r="A57" s="36" t="s">
        <v>168</v>
      </c>
    </row>
    <row r="58" spans="1:22">
      <c r="E58" t="s">
        <v>36</v>
      </c>
      <c r="F58" t="s">
        <v>98</v>
      </c>
      <c r="G58" t="s">
        <v>99</v>
      </c>
      <c r="H58" t="s">
        <v>100</v>
      </c>
      <c r="I58" t="s">
        <v>101</v>
      </c>
      <c r="J58" t="s">
        <v>37</v>
      </c>
      <c r="K58" t="s">
        <v>102</v>
      </c>
      <c r="L58" t="s">
        <v>103</v>
      </c>
      <c r="M58" t="s">
        <v>104</v>
      </c>
      <c r="N58" t="s">
        <v>105</v>
      </c>
      <c r="O58" t="s">
        <v>38</v>
      </c>
      <c r="P58" t="s">
        <v>106</v>
      </c>
      <c r="Q58" t="s">
        <v>107</v>
      </c>
      <c r="R58" t="s">
        <v>108</v>
      </c>
      <c r="S58" t="s">
        <v>109</v>
      </c>
      <c r="T58" t="s">
        <v>39</v>
      </c>
      <c r="U58" t="s">
        <v>110</v>
      </c>
      <c r="V58" t="s">
        <v>169</v>
      </c>
    </row>
    <row r="59" spans="1:22">
      <c r="A59" t="s">
        <v>40</v>
      </c>
      <c r="E59">
        <v>986665.25699999998</v>
      </c>
      <c r="F59">
        <v>989951.38</v>
      </c>
      <c r="G59">
        <v>971318.81499999994</v>
      </c>
      <c r="H59">
        <v>980665.27099999995</v>
      </c>
      <c r="I59">
        <v>935196.89599999995</v>
      </c>
      <c r="J59">
        <v>973238.43099999998</v>
      </c>
      <c r="K59">
        <v>933799.89099999995</v>
      </c>
      <c r="L59">
        <v>933168.98899999994</v>
      </c>
      <c r="M59">
        <v>931391.97900000005</v>
      </c>
      <c r="N59">
        <v>890023.87899999996</v>
      </c>
      <c r="O59">
        <v>908984.152</v>
      </c>
      <c r="P59">
        <v>927265.93200000003</v>
      </c>
      <c r="Q59">
        <v>940167.95200000005</v>
      </c>
      <c r="R59">
        <v>942179.33600000001</v>
      </c>
      <c r="S59">
        <v>937506.446</v>
      </c>
      <c r="T59">
        <v>885085.83900000004</v>
      </c>
      <c r="U59">
        <v>939886.9</v>
      </c>
    </row>
    <row r="60" spans="1:22">
      <c r="A60" t="s">
        <v>143</v>
      </c>
      <c r="E60">
        <v>28537.154999999999</v>
      </c>
      <c r="F60">
        <v>29834.966</v>
      </c>
      <c r="G60">
        <v>29168.041000000001</v>
      </c>
      <c r="H60">
        <v>28552.088</v>
      </c>
      <c r="I60">
        <v>25517.358</v>
      </c>
      <c r="J60">
        <v>27217.028999999999</v>
      </c>
      <c r="K60">
        <v>26913.816999999999</v>
      </c>
      <c r="L60">
        <v>25964.361000000001</v>
      </c>
      <c r="M60">
        <v>24807.940999999999</v>
      </c>
      <c r="N60">
        <v>23239.168000000001</v>
      </c>
      <c r="O60">
        <v>23503.330999999998</v>
      </c>
      <c r="P60">
        <v>23744.106</v>
      </c>
      <c r="Q60">
        <v>23921.985000000001</v>
      </c>
      <c r="R60">
        <v>22633.103999999999</v>
      </c>
      <c r="S60">
        <v>19812.592000000001</v>
      </c>
      <c r="T60">
        <v>19146.079000000002</v>
      </c>
      <c r="U60">
        <v>19036.609</v>
      </c>
    </row>
    <row r="61" spans="1:22">
      <c r="A61" t="s">
        <v>170</v>
      </c>
      <c r="E61">
        <v>6443.2640000000001</v>
      </c>
      <c r="F61">
        <v>6525.6229999999996</v>
      </c>
      <c r="G61">
        <v>6225.3580000000002</v>
      </c>
      <c r="H61">
        <v>5878.7420000000002</v>
      </c>
      <c r="I61">
        <v>4174.4560000000001</v>
      </c>
      <c r="J61">
        <v>5124.58</v>
      </c>
      <c r="K61">
        <v>5118.692</v>
      </c>
      <c r="L61">
        <v>5227.0330000000004</v>
      </c>
      <c r="M61">
        <v>4940.8990000000003</v>
      </c>
      <c r="N61">
        <v>5004.5990000000002</v>
      </c>
      <c r="O61">
        <v>4943.9409999999998</v>
      </c>
      <c r="P61">
        <v>4761.7160000000003</v>
      </c>
      <c r="Q61">
        <v>4666.0929999999998</v>
      </c>
      <c r="R61">
        <v>4899.3270000000002</v>
      </c>
      <c r="S61">
        <v>4483.8630000000003</v>
      </c>
      <c r="T61">
        <v>4114.8779999999997</v>
      </c>
      <c r="U61">
        <v>4289.723</v>
      </c>
    </row>
    <row r="62" spans="1:22">
      <c r="A62" t="s">
        <v>171</v>
      </c>
      <c r="E62">
        <v>571.79999999999995</v>
      </c>
      <c r="F62">
        <v>647.26099999999997</v>
      </c>
      <c r="G62">
        <v>645.93600000000004</v>
      </c>
      <c r="H62">
        <v>645.41099999999994</v>
      </c>
      <c r="I62">
        <v>572.71500000000003</v>
      </c>
      <c r="J62">
        <v>603.29399999999998</v>
      </c>
      <c r="K62">
        <v>575.226</v>
      </c>
      <c r="L62">
        <v>511.37099999999998</v>
      </c>
      <c r="M62">
        <v>490.80700000000002</v>
      </c>
      <c r="N62">
        <v>483.66500000000002</v>
      </c>
      <c r="O62">
        <v>459.346</v>
      </c>
      <c r="P62">
        <v>446.17899999999997</v>
      </c>
      <c r="Q62">
        <v>432.65800000000002</v>
      </c>
      <c r="R62">
        <v>462.11200000000002</v>
      </c>
      <c r="S62">
        <v>435.33100000000002</v>
      </c>
      <c r="T62">
        <v>379.12599999999998</v>
      </c>
      <c r="U62">
        <v>355.44200000000001</v>
      </c>
    </row>
    <row r="63" spans="1:22">
      <c r="A63" t="s">
        <v>172</v>
      </c>
      <c r="E63">
        <v>67.215000000000003</v>
      </c>
      <c r="F63">
        <v>52.051000000000002</v>
      </c>
      <c r="G63">
        <v>74.462999999999994</v>
      </c>
      <c r="H63">
        <v>70.11</v>
      </c>
      <c r="I63">
        <v>32.442999999999998</v>
      </c>
      <c r="J63">
        <v>44.063000000000002</v>
      </c>
      <c r="K63">
        <v>52.219000000000001</v>
      </c>
      <c r="L63">
        <v>41.521000000000001</v>
      </c>
      <c r="M63">
        <v>36.274000000000001</v>
      </c>
      <c r="N63">
        <v>33.911000000000001</v>
      </c>
      <c r="O63">
        <v>14.961</v>
      </c>
      <c r="P63">
        <v>9.7379999999999995</v>
      </c>
      <c r="Q63">
        <v>19.981000000000002</v>
      </c>
      <c r="R63">
        <v>22.422999999999998</v>
      </c>
      <c r="S63">
        <v>19.881</v>
      </c>
      <c r="T63">
        <v>1.38</v>
      </c>
      <c r="U63">
        <v>0</v>
      </c>
    </row>
    <row r="64" spans="1:22">
      <c r="A64" t="s">
        <v>173</v>
      </c>
      <c r="E64">
        <v>222766.511</v>
      </c>
      <c r="F64">
        <v>217840.33100000001</v>
      </c>
      <c r="G64">
        <v>207795.90100000001</v>
      </c>
      <c r="H64">
        <v>211564.37400000001</v>
      </c>
      <c r="I64">
        <v>199267.70499999999</v>
      </c>
      <c r="J64">
        <v>217715.47099999999</v>
      </c>
      <c r="K64">
        <v>200008.44099999999</v>
      </c>
      <c r="L64">
        <v>204927.96100000001</v>
      </c>
      <c r="M64">
        <v>209709.49600000001</v>
      </c>
      <c r="N64">
        <v>186291.951</v>
      </c>
      <c r="O64">
        <v>192386.95199999999</v>
      </c>
      <c r="P64">
        <v>200188.45699999999</v>
      </c>
      <c r="Q64">
        <v>201756.462</v>
      </c>
      <c r="R64">
        <v>201938.16</v>
      </c>
      <c r="S64">
        <v>199198.19500000001</v>
      </c>
      <c r="T64">
        <v>194121.144</v>
      </c>
      <c r="U64">
        <v>212178.39300000001</v>
      </c>
    </row>
    <row r="65" spans="1:22">
      <c r="A65" t="s">
        <v>174</v>
      </c>
      <c r="E65">
        <v>405516.22200000001</v>
      </c>
      <c r="F65">
        <v>404058.37199999997</v>
      </c>
      <c r="G65">
        <v>390736.261</v>
      </c>
      <c r="H65">
        <v>390377.87</v>
      </c>
      <c r="I65">
        <v>371049.72200000001</v>
      </c>
      <c r="J65">
        <v>366539.114</v>
      </c>
      <c r="K65">
        <v>355252.57199999999</v>
      </c>
      <c r="L65">
        <v>342223.85399999999</v>
      </c>
      <c r="M65">
        <v>338181.82799999998</v>
      </c>
      <c r="N65">
        <v>333318.14199999999</v>
      </c>
      <c r="O65">
        <v>338568.408</v>
      </c>
      <c r="P65">
        <v>342815.52399999998</v>
      </c>
      <c r="Q65">
        <v>345490.98800000001</v>
      </c>
      <c r="R65">
        <v>344043.78100000002</v>
      </c>
      <c r="S65">
        <v>345624.85100000002</v>
      </c>
      <c r="T65">
        <v>309799.81199999998</v>
      </c>
      <c r="U65">
        <v>327457.53499999997</v>
      </c>
    </row>
    <row r="66" spans="1:22" hidden="1">
      <c r="A66" t="s">
        <v>175</v>
      </c>
      <c r="E66">
        <v>60683.224000000002</v>
      </c>
      <c r="F66">
        <v>65261.748</v>
      </c>
      <c r="G66">
        <v>71517.202999999994</v>
      </c>
      <c r="H66">
        <v>76411.879000000001</v>
      </c>
      <c r="I66">
        <v>79052.369000000006</v>
      </c>
      <c r="J66">
        <v>85750.097999999998</v>
      </c>
      <c r="K66">
        <v>82680.085999999996</v>
      </c>
      <c r="L66">
        <v>89148.210999999996</v>
      </c>
      <c r="M66">
        <v>89751.770999999993</v>
      </c>
      <c r="N66">
        <v>86339.013000000006</v>
      </c>
      <c r="O66">
        <v>89632.296000000002</v>
      </c>
      <c r="P66">
        <v>90892.452000000005</v>
      </c>
      <c r="Q66">
        <v>97135.122000000003</v>
      </c>
      <c r="R66">
        <v>102058.61199999999</v>
      </c>
      <c r="S66">
        <v>104096.98699999999</v>
      </c>
      <c r="T66">
        <v>103655.535</v>
      </c>
      <c r="U66">
        <v>110442.314</v>
      </c>
    </row>
    <row r="67" spans="1:22">
      <c r="A67" s="60" t="s">
        <v>176</v>
      </c>
      <c r="E67">
        <f>E66-E68</f>
        <v>59508.703000000001</v>
      </c>
      <c r="F67">
        <f t="shared" ref="F67:U67" si="11">F66-F68</f>
        <v>63989.156000000003</v>
      </c>
      <c r="G67">
        <f t="shared" si="11"/>
        <v>70124.409999999989</v>
      </c>
      <c r="H67">
        <f t="shared" si="11"/>
        <v>74835.778999999995</v>
      </c>
      <c r="I67">
        <f t="shared" si="11"/>
        <v>77281.493000000002</v>
      </c>
      <c r="J67">
        <f t="shared" si="11"/>
        <v>83836.815999999992</v>
      </c>
      <c r="K67">
        <f t="shared" si="11"/>
        <v>80576.475999999995</v>
      </c>
      <c r="L67">
        <f t="shared" si="11"/>
        <v>86935.786999999997</v>
      </c>
      <c r="M67">
        <f t="shared" si="11"/>
        <v>87436.464999999997</v>
      </c>
      <c r="N67">
        <f t="shared" si="11"/>
        <v>83930.585000000006</v>
      </c>
      <c r="O67">
        <f t="shared" si="11"/>
        <v>87111.217000000004</v>
      </c>
      <c r="P67">
        <f t="shared" si="11"/>
        <v>88282.768000000011</v>
      </c>
      <c r="Q67">
        <f t="shared" si="11"/>
        <v>94427.74500000001</v>
      </c>
      <c r="R67">
        <f t="shared" si="11"/>
        <v>99190.622999999992</v>
      </c>
      <c r="S67">
        <f t="shared" si="11"/>
        <v>101155.74399999999</v>
      </c>
      <c r="T67">
        <f t="shared" si="11"/>
        <v>100647.584</v>
      </c>
      <c r="U67">
        <f t="shared" si="11"/>
        <v>107407.522</v>
      </c>
    </row>
    <row r="68" spans="1:22">
      <c r="A68" s="60" t="s">
        <v>148</v>
      </c>
      <c r="E68">
        <f>E69+E70</f>
        <v>1174.521</v>
      </c>
      <c r="F68">
        <f t="shared" ref="F68:U68" si="12">F69+F70</f>
        <v>1272.5920000000001</v>
      </c>
      <c r="G68">
        <f t="shared" si="12"/>
        <v>1392.7930000000001</v>
      </c>
      <c r="H68">
        <f t="shared" si="12"/>
        <v>1576.1</v>
      </c>
      <c r="I68">
        <f t="shared" si="12"/>
        <v>1770.876</v>
      </c>
      <c r="J68">
        <f t="shared" si="12"/>
        <v>1913.2820000000002</v>
      </c>
      <c r="K68">
        <f t="shared" si="12"/>
        <v>2103.61</v>
      </c>
      <c r="L68">
        <f t="shared" si="12"/>
        <v>2212.424</v>
      </c>
      <c r="M68">
        <f t="shared" si="12"/>
        <v>2315.306</v>
      </c>
      <c r="N68">
        <f t="shared" si="12"/>
        <v>2408.4279999999999</v>
      </c>
      <c r="O68">
        <f t="shared" si="12"/>
        <v>2521.0790000000002</v>
      </c>
      <c r="P68">
        <f t="shared" si="12"/>
        <v>2609.6840000000002</v>
      </c>
      <c r="Q68">
        <f t="shared" si="12"/>
        <v>2707.377</v>
      </c>
      <c r="R68">
        <f t="shared" si="12"/>
        <v>2867.9889999999996</v>
      </c>
      <c r="S68">
        <f t="shared" si="12"/>
        <v>2941.2429999999999</v>
      </c>
      <c r="T68">
        <f t="shared" si="12"/>
        <v>3007.951</v>
      </c>
      <c r="U68">
        <f t="shared" si="12"/>
        <v>3034.7920000000004</v>
      </c>
    </row>
    <row r="69" spans="1:22" hidden="1">
      <c r="A69" t="s">
        <v>177</v>
      </c>
      <c r="E69">
        <v>734.14599999999996</v>
      </c>
      <c r="F69">
        <v>834.36800000000005</v>
      </c>
      <c r="G69">
        <v>953.2</v>
      </c>
      <c r="H69">
        <v>1113.588</v>
      </c>
      <c r="I69">
        <v>1293.992</v>
      </c>
      <c r="J69">
        <v>1493.3330000000001</v>
      </c>
      <c r="K69">
        <v>1661.721</v>
      </c>
      <c r="L69">
        <v>1761.1079999999999</v>
      </c>
      <c r="M69">
        <v>1843.8340000000001</v>
      </c>
      <c r="N69">
        <v>1962.1969999999999</v>
      </c>
      <c r="O69">
        <v>2071.4540000000002</v>
      </c>
      <c r="P69">
        <v>2123.2130000000002</v>
      </c>
      <c r="Q69">
        <v>2186.864</v>
      </c>
      <c r="R69">
        <v>2331.4009999999998</v>
      </c>
      <c r="S69">
        <v>2357.5479999999998</v>
      </c>
      <c r="T69">
        <v>2451.6439999999998</v>
      </c>
      <c r="U69">
        <v>2459.1350000000002</v>
      </c>
    </row>
    <row r="70" spans="1:22" hidden="1">
      <c r="A70" t="s">
        <v>178</v>
      </c>
      <c r="E70">
        <v>440.375</v>
      </c>
      <c r="F70">
        <v>438.22399999999999</v>
      </c>
      <c r="G70">
        <v>439.59300000000002</v>
      </c>
      <c r="H70">
        <v>462.512</v>
      </c>
      <c r="I70">
        <v>476.88400000000001</v>
      </c>
      <c r="J70">
        <v>419.94900000000001</v>
      </c>
      <c r="K70">
        <v>441.88900000000001</v>
      </c>
      <c r="L70">
        <v>451.31599999999997</v>
      </c>
      <c r="M70">
        <v>471.47199999999998</v>
      </c>
      <c r="N70">
        <v>446.23099999999999</v>
      </c>
      <c r="O70">
        <v>449.625</v>
      </c>
      <c r="P70">
        <v>486.471</v>
      </c>
      <c r="Q70">
        <v>520.51300000000003</v>
      </c>
      <c r="R70">
        <v>536.58799999999997</v>
      </c>
      <c r="S70">
        <v>583.69500000000005</v>
      </c>
      <c r="T70">
        <v>556.30700000000002</v>
      </c>
      <c r="U70">
        <v>575.65700000000004</v>
      </c>
    </row>
    <row r="71" spans="1:22" hidden="1">
      <c r="A71" t="s">
        <v>179</v>
      </c>
      <c r="E71">
        <v>631.03800000000001</v>
      </c>
      <c r="F71">
        <v>859.22400000000005</v>
      </c>
      <c r="G71">
        <v>1134.5840000000001</v>
      </c>
      <c r="H71">
        <v>1517.07</v>
      </c>
      <c r="I71">
        <v>1906.8430000000001</v>
      </c>
      <c r="J71">
        <v>2376.2310000000002</v>
      </c>
      <c r="K71">
        <v>3399.5120000000002</v>
      </c>
      <c r="L71">
        <v>3903.636</v>
      </c>
      <c r="M71">
        <v>4388.348</v>
      </c>
      <c r="N71">
        <v>5262.2110000000002</v>
      </c>
      <c r="O71">
        <v>5818.97</v>
      </c>
      <c r="P71">
        <v>6644.7690000000002</v>
      </c>
      <c r="Q71">
        <v>10615.550999999999</v>
      </c>
      <c r="R71">
        <v>11309.355</v>
      </c>
      <c r="S71">
        <v>12113.812</v>
      </c>
      <c r="T71">
        <v>12850.252</v>
      </c>
      <c r="U71">
        <v>14668.037</v>
      </c>
    </row>
    <row r="72" spans="1:22">
      <c r="A72" t="s">
        <v>180</v>
      </c>
      <c r="E72">
        <v>1320.48</v>
      </c>
      <c r="F72">
        <v>1491.875</v>
      </c>
      <c r="G72">
        <v>1633.7249999999999</v>
      </c>
      <c r="H72">
        <v>2061.152</v>
      </c>
      <c r="I72">
        <v>2401.9760000000001</v>
      </c>
      <c r="J72">
        <v>2754.9360000000001</v>
      </c>
      <c r="K72">
        <v>3165.886</v>
      </c>
      <c r="L72">
        <v>3112.8249999999998</v>
      </c>
      <c r="M72">
        <v>3463.1320000000001</v>
      </c>
      <c r="N72">
        <v>3655.5189999999998</v>
      </c>
      <c r="O72">
        <v>3678.569</v>
      </c>
      <c r="P72">
        <v>4145.5609999999997</v>
      </c>
      <c r="Q72">
        <v>4183.8900000000003</v>
      </c>
      <c r="R72">
        <v>4606.18</v>
      </c>
      <c r="S72">
        <v>4741.3609999999999</v>
      </c>
      <c r="T72">
        <v>4965.5060000000003</v>
      </c>
      <c r="U72">
        <v>4973.6840000000002</v>
      </c>
    </row>
    <row r="73" spans="1:22">
      <c r="A73" t="s">
        <v>146</v>
      </c>
      <c r="E73">
        <v>209430.24</v>
      </c>
      <c r="F73">
        <v>213926.50700000001</v>
      </c>
      <c r="G73">
        <v>215614.92300000001</v>
      </c>
      <c r="H73">
        <v>216771.08</v>
      </c>
      <c r="I73">
        <v>205746.568</v>
      </c>
      <c r="J73">
        <v>215877.50200000001</v>
      </c>
      <c r="K73">
        <v>212850.73300000001</v>
      </c>
      <c r="L73">
        <v>213589.91200000001</v>
      </c>
      <c r="M73">
        <v>211631.655</v>
      </c>
      <c r="N73">
        <v>207155.29500000001</v>
      </c>
      <c r="O73">
        <v>210659.02499999999</v>
      </c>
      <c r="P73">
        <v>213343.42</v>
      </c>
      <c r="Q73">
        <v>215441.33600000001</v>
      </c>
      <c r="R73">
        <v>215453.226</v>
      </c>
      <c r="S73">
        <v>213142.351</v>
      </c>
      <c r="T73">
        <v>205015.14799999999</v>
      </c>
      <c r="U73">
        <v>213861.033</v>
      </c>
    </row>
    <row r="74" spans="1:22">
      <c r="A74" t="s">
        <v>181</v>
      </c>
      <c r="E74">
        <v>51329.14</v>
      </c>
      <c r="F74">
        <v>50312.641000000003</v>
      </c>
      <c r="G74">
        <v>47907</v>
      </c>
      <c r="H74">
        <v>48332.574999999997</v>
      </c>
      <c r="I74">
        <v>47381.584000000003</v>
      </c>
      <c r="J74">
        <v>51612.356</v>
      </c>
      <c r="K74">
        <v>47182.218999999997</v>
      </c>
      <c r="L74">
        <v>48421.938999999998</v>
      </c>
      <c r="M74">
        <v>48378.175000000003</v>
      </c>
      <c r="N74">
        <v>44502.612999999998</v>
      </c>
      <c r="O74">
        <v>45137.32</v>
      </c>
      <c r="P74">
        <v>46918.785000000003</v>
      </c>
      <c r="Q74">
        <v>47119.438999999998</v>
      </c>
      <c r="R74">
        <v>46062.408000000003</v>
      </c>
      <c r="S74">
        <v>45951.031000000003</v>
      </c>
      <c r="T74">
        <v>43887.232000000004</v>
      </c>
      <c r="U74">
        <v>47292.165000000001</v>
      </c>
    </row>
    <row r="76" spans="1:22" s="36" customFormat="1">
      <c r="A76" s="36" t="s">
        <v>182</v>
      </c>
    </row>
    <row r="77" spans="1:22">
      <c r="E77" t="s">
        <v>36</v>
      </c>
      <c r="F77" t="s">
        <v>98</v>
      </c>
      <c r="G77" t="s">
        <v>99</v>
      </c>
      <c r="H77" t="s">
        <v>100</v>
      </c>
      <c r="I77" t="s">
        <v>101</v>
      </c>
      <c r="J77" t="s">
        <v>37</v>
      </c>
      <c r="K77" t="s">
        <v>102</v>
      </c>
      <c r="L77" t="s">
        <v>103</v>
      </c>
      <c r="M77" t="s">
        <v>104</v>
      </c>
      <c r="N77" t="s">
        <v>105</v>
      </c>
      <c r="O77" t="s">
        <v>38</v>
      </c>
      <c r="P77" t="s">
        <v>106</v>
      </c>
      <c r="Q77" t="s">
        <v>107</v>
      </c>
      <c r="R77" t="s">
        <v>108</v>
      </c>
      <c r="S77" t="s">
        <v>109</v>
      </c>
      <c r="T77" t="s">
        <v>39</v>
      </c>
      <c r="U77" t="s">
        <v>110</v>
      </c>
      <c r="V77" t="s">
        <v>169</v>
      </c>
    </row>
    <row r="78" spans="1:22">
      <c r="A78" t="s">
        <v>40</v>
      </c>
      <c r="E78">
        <v>31148.203000000001</v>
      </c>
      <c r="F78">
        <v>32737.146000000001</v>
      </c>
      <c r="G78">
        <v>34156.137999999999</v>
      </c>
      <c r="H78">
        <v>34790.877999999997</v>
      </c>
      <c r="I78">
        <v>31853.637999999999</v>
      </c>
      <c r="J78">
        <v>32120.035</v>
      </c>
      <c r="K78">
        <v>33070.273000000001</v>
      </c>
      <c r="L78">
        <v>32613.425999999999</v>
      </c>
      <c r="M78">
        <v>32756.397000000001</v>
      </c>
      <c r="N78">
        <v>33171.779000000002</v>
      </c>
      <c r="O78">
        <v>34568.165999999997</v>
      </c>
      <c r="P78">
        <v>36227.853000000003</v>
      </c>
      <c r="Q78">
        <v>38957.262000000002</v>
      </c>
      <c r="R78">
        <v>41014.917000000001</v>
      </c>
      <c r="S78">
        <v>41791.909</v>
      </c>
      <c r="T78">
        <v>18041.534</v>
      </c>
      <c r="U78">
        <v>21496.071</v>
      </c>
    </row>
    <row r="79" spans="1:22">
      <c r="A79" t="s">
        <v>174</v>
      </c>
      <c r="E79">
        <v>31148.203000000001</v>
      </c>
      <c r="F79">
        <v>32737.146000000001</v>
      </c>
      <c r="G79">
        <v>34156.137999999999</v>
      </c>
      <c r="H79">
        <v>34790.877999999997</v>
      </c>
      <c r="I79">
        <v>31853.637999999999</v>
      </c>
      <c r="J79">
        <v>32120.035</v>
      </c>
      <c r="K79">
        <v>33070.273000000001</v>
      </c>
      <c r="L79">
        <v>32613.425999999999</v>
      </c>
      <c r="M79">
        <v>32756.397000000001</v>
      </c>
      <c r="N79">
        <v>33171.779000000002</v>
      </c>
      <c r="O79">
        <v>34568.165999999997</v>
      </c>
      <c r="P79">
        <v>36227.853000000003</v>
      </c>
      <c r="Q79">
        <v>38957.262000000002</v>
      </c>
      <c r="R79">
        <v>41014.911999999997</v>
      </c>
      <c r="S79">
        <v>41791.909</v>
      </c>
      <c r="T79">
        <v>18041.534</v>
      </c>
      <c r="U79">
        <v>21496.071</v>
      </c>
    </row>
    <row r="81" spans="1:25" s="2" customFormat="1" ht="15.75" customHeight="1">
      <c r="A81" s="2" t="s">
        <v>183</v>
      </c>
    </row>
    <row r="82" spans="1:25" s="36" customFormat="1">
      <c r="A82" s="36" t="s">
        <v>184</v>
      </c>
    </row>
    <row r="83" spans="1:25">
      <c r="A83" t="s">
        <v>185</v>
      </c>
    </row>
    <row r="84" spans="1:25">
      <c r="A84" s="29"/>
      <c r="B84" s="29"/>
      <c r="C84" s="29" t="s">
        <v>186</v>
      </c>
      <c r="D84" s="29"/>
      <c r="E84" s="29" t="s">
        <v>187</v>
      </c>
      <c r="F84" s="29" t="s">
        <v>188</v>
      </c>
      <c r="G84" s="29" t="s">
        <v>189</v>
      </c>
      <c r="H84" s="29" t="s">
        <v>173</v>
      </c>
      <c r="I84" s="29" t="s">
        <v>190</v>
      </c>
      <c r="J84" s="29" t="s">
        <v>191</v>
      </c>
      <c r="K84" s="29" t="s">
        <v>192</v>
      </c>
      <c r="L84" s="29" t="s">
        <v>148</v>
      </c>
      <c r="M84" s="29" t="s">
        <v>193</v>
      </c>
      <c r="N84" s="29"/>
      <c r="O84" s="29" t="s">
        <v>40</v>
      </c>
      <c r="P84" s="29" t="s">
        <v>194</v>
      </c>
      <c r="Y84" s="4"/>
    </row>
    <row r="85" spans="1:25">
      <c r="A85" s="29">
        <v>2000</v>
      </c>
      <c r="B85" s="29"/>
      <c r="C85" s="30">
        <v>5.6900639316691655E-2</v>
      </c>
      <c r="D85" s="30"/>
      <c r="E85" s="30">
        <v>9.6779711842325585E-3</v>
      </c>
      <c r="F85" s="30">
        <v>0.19445188285758808</v>
      </c>
      <c r="G85" s="30">
        <v>0.33011723980968588</v>
      </c>
      <c r="H85" s="30">
        <v>0.19630303472616323</v>
      </c>
      <c r="I85" s="30">
        <v>0.14821369397405235</v>
      </c>
      <c r="J85" s="30">
        <v>0</v>
      </c>
      <c r="K85" s="30">
        <v>0</v>
      </c>
      <c r="L85" s="30">
        <v>2.0958988520461644E-2</v>
      </c>
      <c r="M85" s="30">
        <v>4.3376549611124526E-2</v>
      </c>
      <c r="N85" s="29"/>
      <c r="O85" s="31">
        <v>1498.1839399999999</v>
      </c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>
      <c r="A86" s="29">
        <v>2015</v>
      </c>
      <c r="B86" s="29"/>
      <c r="C86" s="30">
        <v>5.0261884960686745E-2</v>
      </c>
      <c r="D86" s="30"/>
      <c r="E86" s="30">
        <v>9.5682525372697592E-3</v>
      </c>
      <c r="F86" s="30">
        <v>0.16573600754689521</v>
      </c>
      <c r="G86" s="30">
        <v>0.28903817088239386</v>
      </c>
      <c r="H86" s="30">
        <v>0.19470078286797982</v>
      </c>
      <c r="I86" s="30">
        <v>0.14120706093133065</v>
      </c>
      <c r="J86" s="30">
        <v>0</v>
      </c>
      <c r="K86" s="30">
        <v>0</v>
      </c>
      <c r="L86" s="30">
        <v>5.2946194300013599E-2</v>
      </c>
      <c r="M86" s="30">
        <v>9.6541645973430457E-2</v>
      </c>
      <c r="N86" s="29"/>
      <c r="O86" s="31">
        <v>1449.0282260000001</v>
      </c>
    </row>
    <row r="87" spans="1:25">
      <c r="A87" s="29">
        <v>2030</v>
      </c>
      <c r="B87" s="29" t="s">
        <v>195</v>
      </c>
      <c r="C87" s="30">
        <v>6.7744060611376708E-2</v>
      </c>
      <c r="D87" s="30"/>
      <c r="E87" s="30">
        <v>1.3498739430833507E-2</v>
      </c>
      <c r="F87" s="30">
        <v>8.2194167304825108E-2</v>
      </c>
      <c r="G87" s="30">
        <v>0.25324374532137561</v>
      </c>
      <c r="H87" s="30">
        <v>0.19892546015219609</v>
      </c>
      <c r="I87" s="30">
        <v>0.12438632711913941</v>
      </c>
      <c r="J87" s="30">
        <v>0</v>
      </c>
      <c r="K87" s="30">
        <v>0</v>
      </c>
      <c r="L87" s="30">
        <v>0.14469371064897102</v>
      </c>
      <c r="M87" s="30">
        <v>0.11531378941128261</v>
      </c>
      <c r="N87" s="29"/>
      <c r="O87" s="32">
        <v>1225.2231639398419</v>
      </c>
    </row>
    <row r="88" spans="1:25">
      <c r="A88" s="29"/>
      <c r="B88" s="29" t="s">
        <v>196</v>
      </c>
      <c r="C88" s="30">
        <v>6.9819577967035973E-2</v>
      </c>
      <c r="D88" s="30"/>
      <c r="E88" s="30">
        <v>1.390123427919728E-2</v>
      </c>
      <c r="F88" s="30">
        <v>7.2090679876752148E-2</v>
      </c>
      <c r="G88" s="30">
        <v>0.25157113754963761</v>
      </c>
      <c r="H88" s="30">
        <v>0.18076613650060835</v>
      </c>
      <c r="I88" s="30">
        <v>0.1266470611079151</v>
      </c>
      <c r="J88" s="30">
        <v>3.0745811331380884E-4</v>
      </c>
      <c r="K88" s="30">
        <v>0</v>
      </c>
      <c r="L88" s="30">
        <v>0.16403904023728469</v>
      </c>
      <c r="M88" s="30">
        <v>0.12085767436825498</v>
      </c>
      <c r="N88" s="29"/>
      <c r="O88" s="32">
        <v>1189.2812284391482</v>
      </c>
    </row>
    <row r="89" spans="1:25">
      <c r="A89" s="29"/>
      <c r="B89" s="29" t="s">
        <v>197</v>
      </c>
      <c r="C89" s="30">
        <v>7.2508861942660097E-2</v>
      </c>
      <c r="D89" s="30"/>
      <c r="E89" s="30">
        <v>1.4437584527866414E-2</v>
      </c>
      <c r="F89" s="30">
        <v>5.5862963132837784E-2</v>
      </c>
      <c r="G89" s="30">
        <v>0.24906394237616997</v>
      </c>
      <c r="H89" s="30">
        <v>0.17947007510287735</v>
      </c>
      <c r="I89" s="30">
        <v>0.10602114921607476</v>
      </c>
      <c r="J89" s="30">
        <v>8.9421763363974169E-4</v>
      </c>
      <c r="K89" s="30">
        <v>0</v>
      </c>
      <c r="L89" s="30">
        <v>0.19043118166538614</v>
      </c>
      <c r="M89" s="30">
        <v>0.13131002440248768</v>
      </c>
      <c r="N89" s="29"/>
      <c r="O89" s="32">
        <v>1145.0996998163491</v>
      </c>
    </row>
    <row r="90" spans="1:25">
      <c r="A90" s="29"/>
      <c r="B90" s="29" t="s">
        <v>198</v>
      </c>
      <c r="C90" s="30">
        <v>7.2551055844482987E-2</v>
      </c>
      <c r="D90" s="30"/>
      <c r="E90" s="30">
        <v>1.444345011840264E-2</v>
      </c>
      <c r="F90" s="30">
        <v>5.3173196157816509E-2</v>
      </c>
      <c r="G90" s="30">
        <v>0.25597882214190426</v>
      </c>
      <c r="H90" s="30">
        <v>0.17781484313468543</v>
      </c>
      <c r="I90" s="30">
        <v>0.10632337955885914</v>
      </c>
      <c r="J90" s="30">
        <v>4.4843280030388194E-4</v>
      </c>
      <c r="K90" s="30">
        <v>0</v>
      </c>
      <c r="L90" s="30">
        <v>0.18811014505790755</v>
      </c>
      <c r="M90" s="30">
        <v>0.1311566751856377</v>
      </c>
      <c r="N90" s="29"/>
      <c r="O90" s="32">
        <v>1144.5136016900615</v>
      </c>
      <c r="P90" s="37">
        <f>(1-C90-E90)*O90</f>
        <v>1044.9472063432318</v>
      </c>
    </row>
    <row r="91" spans="1:25">
      <c r="A91" s="29"/>
      <c r="B91" s="29" t="s">
        <v>199</v>
      </c>
      <c r="C91" s="30">
        <v>7.1996400751778197E-2</v>
      </c>
      <c r="D91" s="30"/>
      <c r="E91" s="30">
        <v>1.4359318118220376E-2</v>
      </c>
      <c r="F91" s="30">
        <v>4.9526104553360213E-2</v>
      </c>
      <c r="G91" s="30">
        <v>0.25529565220268602</v>
      </c>
      <c r="H91" s="30">
        <v>0.18225908676030028</v>
      </c>
      <c r="I91" s="30">
        <v>0.11165064870095617</v>
      </c>
      <c r="J91" s="30">
        <v>4.4484101505032662E-4</v>
      </c>
      <c r="K91" s="30">
        <v>0</v>
      </c>
      <c r="L91" s="30">
        <v>0.18363065911238505</v>
      </c>
      <c r="M91" s="30">
        <v>0.13083728878526343</v>
      </c>
      <c r="N91" s="29"/>
      <c r="O91" s="32">
        <v>1151.1828025852396</v>
      </c>
    </row>
    <row r="92" spans="1:25">
      <c r="A92" s="29"/>
      <c r="B92" s="29" t="s">
        <v>200</v>
      </c>
      <c r="C92" s="30">
        <v>7.3300254616312219E-2</v>
      </c>
      <c r="D92" s="30"/>
      <c r="E92" s="30">
        <v>1.4609733504508723E-2</v>
      </c>
      <c r="F92" s="30">
        <v>4.0020633080736757E-2</v>
      </c>
      <c r="G92" s="30">
        <v>0.25119366461594467</v>
      </c>
      <c r="H92" s="30">
        <v>0.17466918179192459</v>
      </c>
      <c r="I92" s="30">
        <v>0.10807355158077314</v>
      </c>
      <c r="J92" s="30">
        <v>9.1037344589750362E-4</v>
      </c>
      <c r="K92" s="30">
        <v>0</v>
      </c>
      <c r="L92" s="30">
        <v>0.19204178224110016</v>
      </c>
      <c r="M92" s="30">
        <v>0.14518082512280225</v>
      </c>
      <c r="N92" s="29"/>
      <c r="O92" s="32">
        <v>1131.413694549374</v>
      </c>
    </row>
    <row r="93" spans="1:25">
      <c r="A93" s="29">
        <v>2050</v>
      </c>
      <c r="B93" s="29" t="s">
        <v>195</v>
      </c>
      <c r="C93" s="30">
        <v>8.0791580461307841E-2</v>
      </c>
      <c r="D93" s="30"/>
      <c r="E93" s="30">
        <v>1.6208440231476696E-2</v>
      </c>
      <c r="F93" s="30">
        <v>2.4729420687664941E-2</v>
      </c>
      <c r="G93" s="30">
        <v>0.18945607744954557</v>
      </c>
      <c r="H93" s="30">
        <v>0.22449492550829461</v>
      </c>
      <c r="I93" s="30">
        <v>0.11729912119846805</v>
      </c>
      <c r="J93" s="30">
        <v>0</v>
      </c>
      <c r="K93" s="30">
        <v>0</v>
      </c>
      <c r="L93" s="30">
        <v>0.22935956002131325</v>
      </c>
      <c r="M93" s="30">
        <v>0.11766087444192901</v>
      </c>
      <c r="N93" s="29"/>
      <c r="O93" s="32">
        <v>1111.5010001434669</v>
      </c>
    </row>
    <row r="94" spans="1:25">
      <c r="A94" s="29"/>
      <c r="B94" s="29" t="s">
        <v>197</v>
      </c>
      <c r="C94" s="30">
        <v>6.4105802023434216E-2</v>
      </c>
      <c r="D94" s="30"/>
      <c r="E94" s="30">
        <v>1.1436267993097372E-2</v>
      </c>
      <c r="F94" s="30">
        <v>7.2518798024243762E-3</v>
      </c>
      <c r="G94" s="30">
        <v>2.9325819145657961E-2</v>
      </c>
      <c r="H94" s="30">
        <v>6.2924746258357145E-2</v>
      </c>
      <c r="I94" s="30">
        <v>0.14014622884117156</v>
      </c>
      <c r="J94" s="30">
        <v>2.2187874098875474E-2</v>
      </c>
      <c r="K94" s="30">
        <v>3.8022790348285491E-2</v>
      </c>
      <c r="L94" s="30">
        <v>0.4299679584933136</v>
      </c>
      <c r="M94" s="30">
        <v>0.194630632995383</v>
      </c>
      <c r="N94" s="29"/>
      <c r="O94" s="32">
        <v>1175.3024968516056</v>
      </c>
    </row>
    <row r="95" spans="1:25">
      <c r="A95" s="29"/>
      <c r="B95" s="29" t="s">
        <v>198</v>
      </c>
      <c r="C95" s="30">
        <v>6.2277208546326235E-2</v>
      </c>
      <c r="D95" s="30"/>
      <c r="E95" s="30">
        <v>1.1109029082050491E-2</v>
      </c>
      <c r="F95" s="30">
        <v>6.2601216214010214E-3</v>
      </c>
      <c r="G95" s="30">
        <v>2.913362978806236E-2</v>
      </c>
      <c r="H95" s="30">
        <v>6.5800967387853959E-2</v>
      </c>
      <c r="I95" s="30">
        <v>0.14273087297806403</v>
      </c>
      <c r="J95" s="30">
        <v>2.518937666503426E-2</v>
      </c>
      <c r="K95" s="30">
        <v>3.8992314559216708E-2</v>
      </c>
      <c r="L95" s="30">
        <v>0.42126270453236381</v>
      </c>
      <c r="M95" s="30">
        <v>0.19724377483962718</v>
      </c>
      <c r="N95" s="29"/>
      <c r="O95" s="32">
        <v>1209.925602374653</v>
      </c>
      <c r="P95" s="37">
        <f>(1-C95-E95)*O95</f>
        <v>1121.1337146061298</v>
      </c>
    </row>
    <row r="96" spans="1:25">
      <c r="A96" s="29"/>
      <c r="B96" s="29" t="s">
        <v>199</v>
      </c>
      <c r="C96" s="30">
        <v>6.0367160919835322E-2</v>
      </c>
      <c r="D96" s="30"/>
      <c r="E96" s="30">
        <v>1.0759056073549151E-2</v>
      </c>
      <c r="F96" s="30">
        <v>5.4215169252206747E-3</v>
      </c>
      <c r="G96" s="30">
        <v>2.7982361111058299E-2</v>
      </c>
      <c r="H96" s="30">
        <v>7.335713178197617E-2</v>
      </c>
      <c r="I96" s="30">
        <v>0.12873566460171768</v>
      </c>
      <c r="J96" s="30">
        <v>2.7726118078403635E-2</v>
      </c>
      <c r="K96" s="30">
        <v>4.2862893475435378E-2</v>
      </c>
      <c r="L96" s="30">
        <v>0.39761526096004851</v>
      </c>
      <c r="M96" s="30">
        <v>0.22517283607275518</v>
      </c>
      <c r="N96" s="29"/>
      <c r="O96" s="32">
        <v>1248.18310438608</v>
      </c>
    </row>
    <row r="97" spans="1:15">
      <c r="A97" s="29"/>
      <c r="B97" s="29" t="s">
        <v>200</v>
      </c>
      <c r="C97" s="30">
        <v>6.3268425656850702E-2</v>
      </c>
      <c r="D97" s="30"/>
      <c r="E97" s="30">
        <v>1.1282236992756956E-2</v>
      </c>
      <c r="F97" s="30">
        <v>5.6011322733376476E-3</v>
      </c>
      <c r="G97" s="30">
        <v>2.7588868221134807E-2</v>
      </c>
      <c r="H97" s="30">
        <v>6.5305108944253926E-2</v>
      </c>
      <c r="I97" s="30">
        <v>0.13171111037564465</v>
      </c>
      <c r="J97" s="30">
        <v>2.5318916341517301E-2</v>
      </c>
      <c r="K97" s="30">
        <v>3.6643158507421496E-2</v>
      </c>
      <c r="L97" s="30">
        <v>0.40548229057057966</v>
      </c>
      <c r="M97" s="30">
        <v>0.22779875211650275</v>
      </c>
      <c r="N97" s="29"/>
      <c r="O97" s="32">
        <v>1191.2573079327544</v>
      </c>
    </row>
    <row r="99" spans="1:15">
      <c r="A99" t="s">
        <v>201</v>
      </c>
    </row>
    <row r="100" spans="1:15">
      <c r="B100" s="29" t="s">
        <v>202</v>
      </c>
      <c r="C100" t="s">
        <v>203</v>
      </c>
      <c r="E100" t="s">
        <v>204</v>
      </c>
      <c r="F100" t="s">
        <v>205</v>
      </c>
      <c r="H100" t="s">
        <v>194</v>
      </c>
    </row>
    <row r="101" spans="1:15">
      <c r="A101" t="s">
        <v>206</v>
      </c>
      <c r="B101" s="34">
        <v>0.08</v>
      </c>
      <c r="C101" s="35">
        <v>1.4E-2</v>
      </c>
      <c r="D101" s="35"/>
      <c r="E101">
        <v>1099</v>
      </c>
      <c r="G101">
        <f>B106*E101</f>
        <v>970.89838794162699</v>
      </c>
      <c r="H101" s="37">
        <f>(1-B101-C101)*G101</f>
        <v>879.63393947511406</v>
      </c>
    </row>
    <row r="102" spans="1:15">
      <c r="A102" t="s">
        <v>207</v>
      </c>
      <c r="B102" s="35">
        <v>7.0999999999999994E-2</v>
      </c>
      <c r="C102" s="35">
        <v>1.2E-2</v>
      </c>
      <c r="D102" s="35"/>
      <c r="E102">
        <v>1285</v>
      </c>
      <c r="G102">
        <f>B106*E102</f>
        <v>1135.2178603321115</v>
      </c>
      <c r="H102" s="37">
        <f>(1-B102-C102)*G102</f>
        <v>1040.9947779245463</v>
      </c>
    </row>
    <row r="104" spans="1:15">
      <c r="A104" t="s">
        <v>208</v>
      </c>
      <c r="B104">
        <v>1448.1699229999999</v>
      </c>
    </row>
    <row r="105" spans="1:15">
      <c r="A105" t="s">
        <v>209</v>
      </c>
      <c r="B105">
        <v>191.07344699999999</v>
      </c>
    </row>
    <row r="106" spans="1:15">
      <c r="A106" t="s">
        <v>210</v>
      </c>
      <c r="B106">
        <f>B104/(B104+B105)</f>
        <v>0.8834380236047561</v>
      </c>
    </row>
    <row r="108" spans="1:15">
      <c r="A108" t="s">
        <v>211</v>
      </c>
    </row>
    <row r="109" spans="1:15">
      <c r="B109" s="29" t="s">
        <v>212</v>
      </c>
      <c r="C109" t="s">
        <v>194</v>
      </c>
    </row>
    <row r="110" spans="1:15">
      <c r="A110" t="s">
        <v>206</v>
      </c>
      <c r="B110" s="34">
        <v>-0.42</v>
      </c>
      <c r="C110" s="38">
        <f>(1+B110)*$E$6</f>
        <v>10102.984239885403</v>
      </c>
      <c r="D110" s="38"/>
    </row>
    <row r="111" spans="1:15">
      <c r="A111" t="s">
        <v>207</v>
      </c>
      <c r="B111" s="35">
        <v>-0.31</v>
      </c>
      <c r="C111" s="38">
        <f>(1+B111)*$E$6</f>
        <v>12019.067457794703</v>
      </c>
      <c r="D111" s="38"/>
    </row>
    <row r="114" spans="1:16">
      <c r="A114" t="s">
        <v>213</v>
      </c>
      <c r="P114" s="42" t="s">
        <v>214</v>
      </c>
    </row>
    <row r="115" spans="1:16">
      <c r="A115">
        <v>2010</v>
      </c>
      <c r="O115">
        <f>[1]Primary!$U$10</f>
        <v>1472.5667976399998</v>
      </c>
    </row>
    <row r="116" spans="1:16">
      <c r="A116">
        <v>2015</v>
      </c>
      <c r="O116">
        <f>[1]Primary!$Z$10</f>
        <v>1395.8088586200001</v>
      </c>
      <c r="P116">
        <f>O116/O$116*O$6</f>
        <v>15731.959615200005</v>
      </c>
    </row>
    <row r="117" spans="1:16">
      <c r="A117">
        <v>2030</v>
      </c>
      <c r="O117">
        <f>[1]Primary!$AO$10</f>
        <v>1132.9210183366667</v>
      </c>
      <c r="P117">
        <f>O117/O$116*O$6</f>
        <v>12768.988817928055</v>
      </c>
    </row>
    <row r="118" spans="1:16">
      <c r="A118">
        <v>2040</v>
      </c>
      <c r="O118">
        <f>[1]Primary!$AY$10</f>
        <v>850.06286591666651</v>
      </c>
      <c r="P118">
        <f>O118/O$116*O$6</f>
        <v>9580.9355230800466</v>
      </c>
    </row>
    <row r="119" spans="1:16">
      <c r="A119">
        <v>2050</v>
      </c>
      <c r="O119">
        <f>[1]Primary!$BI$10</f>
        <v>791.96118795666666</v>
      </c>
      <c r="P119">
        <f>O119/O$116*O$6</f>
        <v>8926.0799204685445</v>
      </c>
    </row>
    <row r="120" spans="1:16" s="36" customFormat="1">
      <c r="A120" s="36" t="s">
        <v>215</v>
      </c>
    </row>
    <row r="121" spans="1:16" s="75" customFormat="1">
      <c r="A121" s="76" t="s">
        <v>216</v>
      </c>
      <c r="B121" s="76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</row>
    <row r="122" spans="1:16" s="75" customFormat="1">
      <c r="A122" s="77"/>
      <c r="B122" s="76"/>
      <c r="C122" s="78" t="s">
        <v>188</v>
      </c>
      <c r="D122" s="78"/>
      <c r="E122" s="78" t="s">
        <v>189</v>
      </c>
      <c r="F122" s="78" t="s">
        <v>191</v>
      </c>
      <c r="G122" s="78" t="s">
        <v>217</v>
      </c>
      <c r="H122" s="78" t="s">
        <v>192</v>
      </c>
      <c r="I122" s="78" t="s">
        <v>218</v>
      </c>
      <c r="J122" s="78" t="s">
        <v>219</v>
      </c>
      <c r="K122" s="78" t="s">
        <v>220</v>
      </c>
      <c r="L122" s="78" t="s">
        <v>221</v>
      </c>
      <c r="M122" s="78" t="s">
        <v>146</v>
      </c>
      <c r="N122" s="78" t="s">
        <v>40</v>
      </c>
    </row>
    <row r="123" spans="1:16" s="75" customFormat="1">
      <c r="A123" s="76">
        <v>2000</v>
      </c>
      <c r="B123" s="76"/>
      <c r="C123" s="78">
        <v>34.155619999999885</v>
      </c>
      <c r="D123" s="78"/>
      <c r="E123" s="78">
        <v>397.43684000000002</v>
      </c>
      <c r="F123" s="78">
        <v>0</v>
      </c>
      <c r="G123" s="78">
        <v>213.43162000000001</v>
      </c>
      <c r="H123" s="78">
        <v>0</v>
      </c>
      <c r="I123" s="78">
        <v>0</v>
      </c>
      <c r="J123" s="78">
        <v>42.894260000000003</v>
      </c>
      <c r="K123" s="78">
        <v>48.688749999999999</v>
      </c>
      <c r="L123" s="78">
        <v>0.99904000000000004</v>
      </c>
      <c r="M123" s="78">
        <v>189.00309999999999</v>
      </c>
      <c r="N123" s="78">
        <v>926.60923000000003</v>
      </c>
    </row>
    <row r="124" spans="1:16" s="75" customFormat="1">
      <c r="A124" s="76">
        <v>2015</v>
      </c>
      <c r="B124" s="76"/>
      <c r="C124" s="78">
        <v>23.870930000000158</v>
      </c>
      <c r="D124" s="78"/>
      <c r="E124" s="78">
        <v>338.90098</v>
      </c>
      <c r="F124" s="78">
        <v>0</v>
      </c>
      <c r="G124" s="78">
        <v>196.95872</v>
      </c>
      <c r="H124" s="78">
        <v>0</v>
      </c>
      <c r="I124" s="78">
        <v>0</v>
      </c>
      <c r="J124" s="78">
        <v>45.090530000000001</v>
      </c>
      <c r="K124" s="78">
        <v>85.01451999999999</v>
      </c>
      <c r="L124" s="78">
        <v>8.3598599999999994</v>
      </c>
      <c r="M124" s="78">
        <v>210.89527000000001</v>
      </c>
      <c r="N124" s="78">
        <v>909.09081000000003</v>
      </c>
    </row>
    <row r="125" spans="1:16" s="75" customFormat="1">
      <c r="A125" s="76">
        <v>2030</v>
      </c>
      <c r="B125" s="76" t="s">
        <v>195</v>
      </c>
      <c r="C125" s="79">
        <v>11.94951978375817</v>
      </c>
      <c r="D125" s="79"/>
      <c r="E125" s="78">
        <v>243.16766238383775</v>
      </c>
      <c r="F125" s="78">
        <v>0</v>
      </c>
      <c r="G125" s="78">
        <v>160.10558381344617</v>
      </c>
      <c r="H125" s="78">
        <v>0</v>
      </c>
      <c r="I125" s="78">
        <v>0.15375399938336945</v>
      </c>
      <c r="J125" s="78">
        <v>43.878834035502479</v>
      </c>
      <c r="K125" s="78">
        <v>86.131126625135423</v>
      </c>
      <c r="L125" s="78">
        <v>30.599778974517221</v>
      </c>
      <c r="M125" s="78">
        <v>238.12208656642139</v>
      </c>
      <c r="N125" s="78">
        <v>814.10834618200192</v>
      </c>
    </row>
    <row r="126" spans="1:16" s="75" customFormat="1">
      <c r="A126" s="76"/>
      <c r="B126" s="76" t="s">
        <v>196</v>
      </c>
      <c r="C126" s="79">
        <v>10.746123809977508</v>
      </c>
      <c r="D126" s="79"/>
      <c r="E126" s="78">
        <v>235.40645521551954</v>
      </c>
      <c r="F126" s="78">
        <v>0.30890540999588539</v>
      </c>
      <c r="G126" s="78">
        <v>139.51639466627748</v>
      </c>
      <c r="H126" s="78">
        <v>0</v>
      </c>
      <c r="I126" s="78">
        <v>1.014072674425863</v>
      </c>
      <c r="J126" s="78">
        <v>44.789759715926628</v>
      </c>
      <c r="K126" s="78">
        <v>89.043964288741506</v>
      </c>
      <c r="L126" s="78">
        <v>41.178795622154325</v>
      </c>
      <c r="M126" s="78">
        <v>234.94436999344785</v>
      </c>
      <c r="N126" s="78">
        <v>796.94884139646661</v>
      </c>
    </row>
    <row r="127" spans="1:16" s="75" customFormat="1">
      <c r="A127" s="76"/>
      <c r="B127" s="76" t="s">
        <v>197</v>
      </c>
      <c r="C127" s="79">
        <v>9.7316867330493864</v>
      </c>
      <c r="D127" s="79"/>
      <c r="E127" s="78">
        <v>225.9767833976467</v>
      </c>
      <c r="F127" s="78">
        <v>0.86594012434263112</v>
      </c>
      <c r="G127" s="78">
        <v>134.54227069720292</v>
      </c>
      <c r="H127" s="78">
        <v>0</v>
      </c>
      <c r="I127" s="78">
        <v>0.39147556143301276</v>
      </c>
      <c r="J127" s="78">
        <v>39.739671601802982</v>
      </c>
      <c r="K127" s="78">
        <v>83.37649601835875</v>
      </c>
      <c r="L127" s="78">
        <v>51.375291108483111</v>
      </c>
      <c r="M127" s="78">
        <v>234.39655630402049</v>
      </c>
      <c r="N127" s="78">
        <v>780.39617154633993</v>
      </c>
    </row>
    <row r="128" spans="1:16" s="75" customFormat="1">
      <c r="A128" s="76"/>
      <c r="B128" s="76" t="s">
        <v>198</v>
      </c>
      <c r="C128" s="79">
        <v>9.8602541982361238</v>
      </c>
      <c r="D128" s="79"/>
      <c r="E128" s="78">
        <v>230.8714234301664</v>
      </c>
      <c r="F128" s="78">
        <v>0.43384727933964806</v>
      </c>
      <c r="G128" s="78">
        <v>130.58733808077952</v>
      </c>
      <c r="H128" s="78">
        <v>0</v>
      </c>
      <c r="I128" s="78">
        <v>0.9571491506350589</v>
      </c>
      <c r="J128" s="78">
        <v>43.090473544636588</v>
      </c>
      <c r="K128" s="78">
        <v>86.316025049664418</v>
      </c>
      <c r="L128" s="78">
        <v>45.355027802182008</v>
      </c>
      <c r="M128" s="78">
        <v>235.79996933390231</v>
      </c>
      <c r="N128" s="78">
        <v>783.27150786954212</v>
      </c>
    </row>
    <row r="129" spans="1:15" s="75" customFormat="1">
      <c r="A129" s="76"/>
      <c r="B129" s="76" t="s">
        <v>199</v>
      </c>
      <c r="C129" s="79">
        <v>10.189853495963055</v>
      </c>
      <c r="D129" s="79"/>
      <c r="E129" s="78">
        <v>232.49317649917279</v>
      </c>
      <c r="F129" s="78">
        <v>0.4327324088521346</v>
      </c>
      <c r="G129" s="78">
        <v>128.8808446648747</v>
      </c>
      <c r="H129" s="78">
        <v>0</v>
      </c>
      <c r="I129" s="78">
        <v>1.013319520092717</v>
      </c>
      <c r="J129" s="78">
        <v>44.661070953344108</v>
      </c>
      <c r="K129" s="78">
        <v>85.281033176281767</v>
      </c>
      <c r="L129" s="78">
        <v>44.248839816077179</v>
      </c>
      <c r="M129" s="78">
        <v>239.04306716778251</v>
      </c>
      <c r="N129" s="78">
        <v>786.24393770244092</v>
      </c>
    </row>
    <row r="130" spans="1:15" s="75" customFormat="1">
      <c r="A130" s="76"/>
      <c r="B130" s="76" t="s">
        <v>200</v>
      </c>
      <c r="C130" s="79">
        <v>9.1800814861644042</v>
      </c>
      <c r="D130" s="79"/>
      <c r="E130" s="78">
        <v>225.57751118888027</v>
      </c>
      <c r="F130" s="78">
        <v>0.87142381727964435</v>
      </c>
      <c r="G130" s="78">
        <v>123.24307441430135</v>
      </c>
      <c r="H130" s="78">
        <v>0</v>
      </c>
      <c r="I130" s="78">
        <v>1.0433468105136123</v>
      </c>
      <c r="J130" s="78">
        <v>42.393356461007016</v>
      </c>
      <c r="K130" s="78">
        <v>89.389489620130391</v>
      </c>
      <c r="L130" s="78">
        <v>47.535566785649848</v>
      </c>
      <c r="M130" s="78">
        <v>236.7019967841135</v>
      </c>
      <c r="N130" s="78">
        <v>775.93584736804007</v>
      </c>
    </row>
    <row r="131" spans="1:15" s="75" customFormat="1">
      <c r="A131" s="76">
        <v>2050</v>
      </c>
      <c r="B131" s="76" t="s">
        <v>195</v>
      </c>
      <c r="C131" s="79">
        <v>4.7597065776752379</v>
      </c>
      <c r="D131" s="79"/>
      <c r="E131" s="78">
        <v>152.34704072908039</v>
      </c>
      <c r="F131" s="78">
        <v>0</v>
      </c>
      <c r="G131" s="78">
        <v>155.3586795438467</v>
      </c>
      <c r="H131" s="78">
        <v>0</v>
      </c>
      <c r="I131" s="78">
        <v>7.2213120979030556</v>
      </c>
      <c r="J131" s="78">
        <v>44.777555504236702</v>
      </c>
      <c r="K131" s="78">
        <v>71.429058351863006</v>
      </c>
      <c r="L131" s="78">
        <v>45.257966754017161</v>
      </c>
      <c r="M131" s="78">
        <v>273.73123697427326</v>
      </c>
      <c r="N131" s="78">
        <v>754.88255653289548</v>
      </c>
    </row>
    <row r="132" spans="1:15" s="75" customFormat="1">
      <c r="A132" s="76"/>
      <c r="B132" s="76" t="s">
        <v>197</v>
      </c>
      <c r="C132" s="79">
        <v>0.87247126403055564</v>
      </c>
      <c r="D132" s="79"/>
      <c r="E132" s="78">
        <v>12.338749808875495</v>
      </c>
      <c r="F132" s="78">
        <v>10.66779569777</v>
      </c>
      <c r="G132" s="78">
        <v>7.3730347795607685</v>
      </c>
      <c r="H132" s="78">
        <v>40.976617366550414</v>
      </c>
      <c r="I132" s="78">
        <v>56.165981446810854</v>
      </c>
      <c r="J132" s="78">
        <v>40.163734961113974</v>
      </c>
      <c r="K132" s="78">
        <v>72.73564436271198</v>
      </c>
      <c r="L132" s="78">
        <v>60.152432062197477</v>
      </c>
      <c r="M132" s="78">
        <v>296.31642248708056</v>
      </c>
      <c r="N132" s="78">
        <v>597.76288423670212</v>
      </c>
    </row>
    <row r="133" spans="1:15" s="75" customFormat="1">
      <c r="A133" s="76"/>
      <c r="B133" s="76" t="s">
        <v>198</v>
      </c>
      <c r="C133" s="79">
        <v>0.58812555328946126</v>
      </c>
      <c r="D133" s="79"/>
      <c r="E133" s="78">
        <v>13.984336950178676</v>
      </c>
      <c r="F133" s="78">
        <v>13.942767615482811</v>
      </c>
      <c r="G133" s="78">
        <v>7.6326339376174701</v>
      </c>
      <c r="H133" s="78">
        <v>43.289047248624549</v>
      </c>
      <c r="I133" s="78">
        <v>57.111793079939638</v>
      </c>
      <c r="J133" s="78">
        <v>46.381958248818606</v>
      </c>
      <c r="K133" s="78">
        <v>81.436098472363753</v>
      </c>
      <c r="L133" s="78">
        <v>55.410455419723121</v>
      </c>
      <c r="M133" s="78">
        <v>295.70923088473961</v>
      </c>
      <c r="N133" s="78">
        <v>615.48644741077771</v>
      </c>
    </row>
    <row r="134" spans="1:15" s="75" customFormat="1">
      <c r="A134" s="76"/>
      <c r="B134" s="76" t="s">
        <v>199</v>
      </c>
      <c r="C134" s="79">
        <v>0.31894173181638658</v>
      </c>
      <c r="D134" s="79"/>
      <c r="E134" s="78">
        <v>16.05131680545119</v>
      </c>
      <c r="F134" s="78">
        <v>18.195414185049312</v>
      </c>
      <c r="G134" s="78">
        <v>8.2156133894442362</v>
      </c>
      <c r="H134" s="78">
        <v>48.528242566727066</v>
      </c>
      <c r="I134" s="78">
        <v>57.664209720880358</v>
      </c>
      <c r="J134" s="78">
        <v>55.497965772113929</v>
      </c>
      <c r="K134" s="78">
        <v>91.081053831775122</v>
      </c>
      <c r="L134" s="78">
        <v>54.661285144790213</v>
      </c>
      <c r="M134" s="78">
        <v>292.54876235612369</v>
      </c>
      <c r="N134" s="78">
        <v>642.76280550417152</v>
      </c>
    </row>
    <row r="135" spans="1:15" s="75" customFormat="1">
      <c r="A135" s="76"/>
      <c r="B135" s="76" t="s">
        <v>200</v>
      </c>
      <c r="C135" s="79">
        <v>0.29977871397127687</v>
      </c>
      <c r="D135" s="79"/>
      <c r="E135" s="78">
        <v>12.780453899405886</v>
      </c>
      <c r="F135" s="78">
        <v>13.367852532293563</v>
      </c>
      <c r="G135" s="78">
        <v>6.9997931649023144</v>
      </c>
      <c r="H135" s="78">
        <v>39.44317056894112</v>
      </c>
      <c r="I135" s="78">
        <v>56.419933422873584</v>
      </c>
      <c r="J135" s="78">
        <v>44.797067961055177</v>
      </c>
      <c r="K135" s="78">
        <v>84.992861329071843</v>
      </c>
      <c r="L135" s="78">
        <v>56.604044045610863</v>
      </c>
      <c r="M135" s="78">
        <v>295.73853992747297</v>
      </c>
      <c r="N135" s="78">
        <v>611.4434955655986</v>
      </c>
    </row>
    <row r="136" spans="1:15">
      <c r="A136" t="s">
        <v>222</v>
      </c>
    </row>
    <row r="137" spans="1:15">
      <c r="A137" s="33"/>
      <c r="B137" s="29"/>
      <c r="C137" s="31" t="s">
        <v>188</v>
      </c>
      <c r="D137" s="31"/>
      <c r="E137" s="31" t="s">
        <v>189</v>
      </c>
      <c r="F137" s="31" t="s">
        <v>191</v>
      </c>
      <c r="G137" s="31" t="s">
        <v>217</v>
      </c>
      <c r="H137" s="31" t="s">
        <v>192</v>
      </c>
      <c r="I137" s="31" t="s">
        <v>218</v>
      </c>
      <c r="J137" s="31" t="s">
        <v>219</v>
      </c>
      <c r="K137" s="31" t="s">
        <v>220</v>
      </c>
      <c r="L137" s="31" t="s">
        <v>221</v>
      </c>
      <c r="M137" s="31" t="s">
        <v>146</v>
      </c>
      <c r="N137" s="31" t="s">
        <v>40</v>
      </c>
      <c r="O137" s="29"/>
    </row>
    <row r="138" spans="1:15">
      <c r="A138" s="29">
        <v>2000</v>
      </c>
      <c r="B138" s="29"/>
      <c r="C138" s="31">
        <f>C123*'conversion factor'!$E$6</f>
        <v>397.22986059999874</v>
      </c>
      <c r="D138" s="31">
        <f>D123*'conversion factor'!$E$6</f>
        <v>0</v>
      </c>
      <c r="E138" s="31">
        <f>E123*'conversion factor'!$E$6</f>
        <v>4622.1904492000012</v>
      </c>
      <c r="F138" s="31">
        <f>F123*'conversion factor'!$E$6</f>
        <v>0</v>
      </c>
      <c r="G138" s="31">
        <f>G123*'conversion factor'!$E$6</f>
        <v>2482.2097406000007</v>
      </c>
      <c r="H138" s="31">
        <f>H123*'conversion factor'!$E$6</f>
        <v>0</v>
      </c>
      <c r="I138" s="31">
        <f>I123*'conversion factor'!$E$6</f>
        <v>0</v>
      </c>
      <c r="J138" s="31">
        <f>J123*'conversion factor'!$E$6</f>
        <v>498.86024380000015</v>
      </c>
      <c r="K138" s="31">
        <f>K123*'conversion factor'!$E$6</f>
        <v>566.2501625000001</v>
      </c>
      <c r="L138" s="31">
        <f>L123*'conversion factor'!$E$6</f>
        <v>11.618835200000003</v>
      </c>
      <c r="M138" s="31">
        <f>M123*'conversion factor'!$E$6</f>
        <v>2198.1060530000004</v>
      </c>
      <c r="N138" s="31">
        <f>N123*'conversion factor'!$E$6</f>
        <v>10776.465344900003</v>
      </c>
      <c r="O138" s="31"/>
    </row>
    <row r="139" spans="1:15">
      <c r="A139" s="29">
        <v>2015</v>
      </c>
      <c r="B139" s="29"/>
      <c r="C139" s="31">
        <f>C124*'conversion factor'!$E$6</f>
        <v>277.61891590000187</v>
      </c>
      <c r="D139" s="31">
        <f>D124*'conversion factor'!$E$6</f>
        <v>0</v>
      </c>
      <c r="E139" s="31">
        <f>E124*'conversion factor'!$E$6</f>
        <v>3941.4183974000011</v>
      </c>
      <c r="F139" s="31">
        <f>F124*'conversion factor'!$E$6</f>
        <v>0</v>
      </c>
      <c r="G139" s="31">
        <f>G124*'conversion factor'!$E$6</f>
        <v>2290.6299136000007</v>
      </c>
      <c r="H139" s="31">
        <f>H124*'conversion factor'!$E$6</f>
        <v>0</v>
      </c>
      <c r="I139" s="31">
        <f>I124*'conversion factor'!$E$6</f>
        <v>0</v>
      </c>
      <c r="J139" s="31">
        <f>J124*'conversion factor'!$E$6</f>
        <v>524.40286390000017</v>
      </c>
      <c r="K139" s="31">
        <f>K124*'conversion factor'!$E$6</f>
        <v>988.71886760000007</v>
      </c>
      <c r="L139" s="31">
        <f>L124*'conversion factor'!$E$6</f>
        <v>97.225171800000012</v>
      </c>
      <c r="M139" s="31">
        <f>M124*'conversion factor'!$E$6</f>
        <v>2452.7119901000005</v>
      </c>
      <c r="N139" s="31">
        <f>N124*'conversion factor'!$E$6</f>
        <v>10572.726120300003</v>
      </c>
      <c r="O139" s="31"/>
    </row>
    <row r="140" spans="1:15">
      <c r="A140" s="29">
        <v>2030</v>
      </c>
      <c r="B140" s="29" t="s">
        <v>195</v>
      </c>
      <c r="C140" s="31">
        <f>C125*'conversion factor'!$E$6</f>
        <v>138.97291508510756</v>
      </c>
      <c r="D140" s="31">
        <f>D125*'conversion factor'!$E$6</f>
        <v>0</v>
      </c>
      <c r="E140" s="31">
        <f>E125*'conversion factor'!$E$6</f>
        <v>2828.0399135240336</v>
      </c>
      <c r="F140" s="31">
        <f>F125*'conversion factor'!$E$6</f>
        <v>0</v>
      </c>
      <c r="G140" s="31">
        <f>G125*'conversion factor'!$E$6</f>
        <v>1862.0279397503793</v>
      </c>
      <c r="H140" s="31">
        <f>H125*'conversion factor'!$E$6</f>
        <v>0</v>
      </c>
      <c r="I140" s="31">
        <f>I125*'conversion factor'!$E$6</f>
        <v>1.7881590128285871</v>
      </c>
      <c r="J140" s="31">
        <f>J125*'conversion factor'!$E$6</f>
        <v>510.31083983289392</v>
      </c>
      <c r="K140" s="31">
        <f>K125*'conversion factor'!$E$6</f>
        <v>1001.7050026503252</v>
      </c>
      <c r="L140" s="31">
        <f>L125*'conversion factor'!$E$6</f>
        <v>355.87542947363534</v>
      </c>
      <c r="M140" s="31">
        <f>M125*'conversion factor'!$E$6</f>
        <v>2769.3598667674814</v>
      </c>
      <c r="N140" s="31">
        <f>N125*'conversion factor'!$E$6</f>
        <v>9468.0800660966852</v>
      </c>
      <c r="O140" s="32"/>
    </row>
    <row r="141" spans="1:15">
      <c r="A141" s="29"/>
      <c r="B141" s="29" t="s">
        <v>196</v>
      </c>
      <c r="C141" s="31">
        <f>C126*'conversion factor'!$E$6</f>
        <v>124.97741991003845</v>
      </c>
      <c r="D141" s="31">
        <f>D126*'conversion factor'!$E$6</f>
        <v>0</v>
      </c>
      <c r="E141" s="31">
        <f>E126*'conversion factor'!$E$6</f>
        <v>2737.7770741564927</v>
      </c>
      <c r="F141" s="31">
        <f>F126*'conversion factor'!$E$6</f>
        <v>3.5925699182521478</v>
      </c>
      <c r="G141" s="31">
        <f>G126*'conversion factor'!$E$6</f>
        <v>1622.5756699688075</v>
      </c>
      <c r="H141" s="31">
        <f>H126*'conversion factor'!$E$6</f>
        <v>0</v>
      </c>
      <c r="I141" s="31">
        <f>I126*'conversion factor'!$E$6</f>
        <v>11.79366520357279</v>
      </c>
      <c r="J141" s="31">
        <f>J126*'conversion factor'!$E$6</f>
        <v>520.90490549622677</v>
      </c>
      <c r="K141" s="31">
        <f>K126*'conversion factor'!$E$6</f>
        <v>1035.581304678064</v>
      </c>
      <c r="L141" s="31">
        <f>L126*'conversion factor'!$E$6</f>
        <v>478.90939308565493</v>
      </c>
      <c r="M141" s="31">
        <f>M126*'conversion factor'!$E$6</f>
        <v>2732.4030230237991</v>
      </c>
      <c r="N141" s="31">
        <f>N126*'conversion factor'!$E$6</f>
        <v>9268.5150254409091</v>
      </c>
      <c r="O141" s="32"/>
    </row>
    <row r="142" spans="1:15">
      <c r="A142" s="29"/>
      <c r="B142" s="29" t="s">
        <v>197</v>
      </c>
      <c r="C142" s="31">
        <f>C127*'conversion factor'!$E$6</f>
        <v>113.17951670536439</v>
      </c>
      <c r="D142" s="31">
        <f>D127*'conversion factor'!$E$6</f>
        <v>0</v>
      </c>
      <c r="E142" s="31">
        <f>E127*'conversion factor'!$E$6</f>
        <v>2628.1099909146319</v>
      </c>
      <c r="F142" s="31">
        <f>F127*'conversion factor'!$E$6</f>
        <v>10.070883646104802</v>
      </c>
      <c r="G142" s="31">
        <f>G127*'conversion factor'!$E$6</f>
        <v>1564.7266082084705</v>
      </c>
      <c r="H142" s="31">
        <f>H127*'conversion factor'!$E$6</f>
        <v>0</v>
      </c>
      <c r="I142" s="31">
        <f>I127*'conversion factor'!$E$6</f>
        <v>4.5528607794659397</v>
      </c>
      <c r="J142" s="31">
        <f>J127*'conversion factor'!$E$6</f>
        <v>462.17238072896879</v>
      </c>
      <c r="K142" s="31">
        <f>K127*'conversion factor'!$E$6</f>
        <v>969.66864869351252</v>
      </c>
      <c r="L142" s="31">
        <f>L127*'conversion factor'!$E$6</f>
        <v>597.49463559165872</v>
      </c>
      <c r="M142" s="31">
        <f>M127*'conversion factor'!$E$6</f>
        <v>2726.0319498157587</v>
      </c>
      <c r="N142" s="31">
        <f>N127*'conversion factor'!$E$6</f>
        <v>9076.0074750839358</v>
      </c>
      <c r="O142" s="32"/>
    </row>
    <row r="143" spans="1:15">
      <c r="A143" s="29"/>
      <c r="B143" s="29" t="s">
        <v>198</v>
      </c>
      <c r="C143" s="31">
        <f>C128*'conversion factor'!$E$6</f>
        <v>114.67475632548614</v>
      </c>
      <c r="D143" s="31">
        <f>D128*'conversion factor'!$E$6</f>
        <v>0</v>
      </c>
      <c r="E143" s="31">
        <f>E128*'conversion factor'!$E$6</f>
        <v>2685.0346544928357</v>
      </c>
      <c r="F143" s="31">
        <f>F128*'conversion factor'!$E$6</f>
        <v>5.0456438587201085</v>
      </c>
      <c r="G143" s="31">
        <f>G128*'conversion factor'!$E$6</f>
        <v>1518.7307418794662</v>
      </c>
      <c r="H143" s="31">
        <f>H128*'conversion factor'!$E$6</f>
        <v>0</v>
      </c>
      <c r="I143" s="31">
        <f>I128*'conversion factor'!$E$6</f>
        <v>11.131644621885737</v>
      </c>
      <c r="J143" s="31">
        <f>J128*'conversion factor'!$E$6</f>
        <v>501.1422073241236</v>
      </c>
      <c r="K143" s="31">
        <f>K128*'conversion factor'!$E$6</f>
        <v>1003.8553713275974</v>
      </c>
      <c r="L143" s="31">
        <f>L128*'conversion factor'!$E$6</f>
        <v>527.47897333937692</v>
      </c>
      <c r="M143" s="31">
        <f>M128*'conversion factor'!$E$6</f>
        <v>2742.3536433532845</v>
      </c>
      <c r="N143" s="31">
        <f>N128*'conversion factor'!$E$6</f>
        <v>9109.4476365227765</v>
      </c>
      <c r="O143" s="32"/>
    </row>
    <row r="144" spans="1:15">
      <c r="A144" s="29"/>
      <c r="B144" s="29" t="s">
        <v>199</v>
      </c>
      <c r="C144" s="31">
        <f>C129*'conversion factor'!$E$6</f>
        <v>118.50799615805036</v>
      </c>
      <c r="D144" s="31">
        <f>D129*'conversion factor'!$E$6</f>
        <v>0</v>
      </c>
      <c r="E144" s="31">
        <f>E129*'conversion factor'!$E$6</f>
        <v>2703.8956426853802</v>
      </c>
      <c r="F144" s="31">
        <f>F129*'conversion factor'!$E$6</f>
        <v>5.0326779149503267</v>
      </c>
      <c r="G144" s="31">
        <f>G129*'conversion factor'!$E$6</f>
        <v>1498.8842234524932</v>
      </c>
      <c r="H144" s="31">
        <f>H129*'conversion factor'!$E$6</f>
        <v>0</v>
      </c>
      <c r="I144" s="31">
        <f>I129*'conversion factor'!$E$6</f>
        <v>11.784906018678301</v>
      </c>
      <c r="J144" s="31">
        <f>J129*'conversion factor'!$E$6</f>
        <v>519.40825518739211</v>
      </c>
      <c r="K144" s="31">
        <f>K129*'conversion factor'!$E$6</f>
        <v>991.81841584015717</v>
      </c>
      <c r="L144" s="31">
        <f>L129*'conversion factor'!$E$6</f>
        <v>514.61400706097766</v>
      </c>
      <c r="M144" s="31">
        <f>M129*'conversion factor'!$E$6</f>
        <v>2780.0708711613111</v>
      </c>
      <c r="N144" s="31">
        <f>N129*'conversion factor'!$E$6</f>
        <v>9144.0169954793892</v>
      </c>
      <c r="O144" s="32"/>
    </row>
    <row r="145" spans="1:17">
      <c r="A145" s="29"/>
      <c r="B145" s="29" t="s">
        <v>200</v>
      </c>
      <c r="C145" s="31">
        <f>C130*'conversion factor'!$E$6</f>
        <v>106.76434768409204</v>
      </c>
      <c r="D145" s="31">
        <f>D130*'conversion factor'!$E$6</f>
        <v>0</v>
      </c>
      <c r="E145" s="31">
        <f>E130*'conversion factor'!$E$6</f>
        <v>2623.4664551266783</v>
      </c>
      <c r="F145" s="31">
        <f>F130*'conversion factor'!$E$6</f>
        <v>10.134658994962265</v>
      </c>
      <c r="G145" s="31">
        <f>G130*'conversion factor'!$E$6</f>
        <v>1433.3169554383251</v>
      </c>
      <c r="H145" s="31">
        <f>H130*'conversion factor'!$E$6</f>
        <v>0</v>
      </c>
      <c r="I145" s="31">
        <f>I130*'conversion factor'!$E$6</f>
        <v>12.134123406273314</v>
      </c>
      <c r="J145" s="31">
        <f>J130*'conversion factor'!$E$6</f>
        <v>493.0347356415117</v>
      </c>
      <c r="K145" s="31">
        <f>K130*'conversion factor'!$E$6</f>
        <v>1039.5997642821167</v>
      </c>
      <c r="L145" s="31">
        <f>L130*'conversion factor'!$E$6</f>
        <v>552.83864171710786</v>
      </c>
      <c r="M145" s="31">
        <f>M130*'conversion factor'!$E$6</f>
        <v>2752.8442225992408</v>
      </c>
      <c r="N145" s="31">
        <f>N130*'conversion factor'!$E$6</f>
        <v>9024.1339048903083</v>
      </c>
      <c r="O145" s="32"/>
    </row>
    <row r="146" spans="1:17">
      <c r="A146" s="29">
        <v>2050</v>
      </c>
      <c r="B146" s="29" t="s">
        <v>195</v>
      </c>
      <c r="C146" s="31">
        <f>C131*'conversion factor'!$E$6</f>
        <v>55.355387498363029</v>
      </c>
      <c r="D146" s="31">
        <f>D131*'conversion factor'!$E$6</f>
        <v>0</v>
      </c>
      <c r="E146" s="31">
        <f>E131*'conversion factor'!$E$6</f>
        <v>1771.7960836792054</v>
      </c>
      <c r="F146" s="31">
        <f>F131*'conversion factor'!$E$6</f>
        <v>0</v>
      </c>
      <c r="G146" s="31">
        <f>G131*'conversion factor'!$E$6</f>
        <v>1806.8214430949376</v>
      </c>
      <c r="H146" s="31">
        <f>H131*'conversion factor'!$E$6</f>
        <v>0</v>
      </c>
      <c r="I146" s="31">
        <f>I131*'conversion factor'!$E$6</f>
        <v>83.983859698612562</v>
      </c>
      <c r="J146" s="31">
        <f>J131*'conversion factor'!$E$6</f>
        <v>520.76297051427298</v>
      </c>
      <c r="K146" s="31">
        <f>K131*'conversion factor'!$E$6</f>
        <v>830.71994863216696</v>
      </c>
      <c r="L146" s="31">
        <f>L131*'conversion factor'!$E$6</f>
        <v>526.35015334921968</v>
      </c>
      <c r="M146" s="31">
        <f>M131*'conversion factor'!$E$6</f>
        <v>3183.4942860107985</v>
      </c>
      <c r="N146" s="31">
        <f>N131*'conversion factor'!$E$6</f>
        <v>8779.2841324775763</v>
      </c>
      <c r="O146" s="32"/>
    </row>
    <row r="147" spans="1:17">
      <c r="A147" s="29"/>
      <c r="B147" s="29" t="s">
        <v>197</v>
      </c>
      <c r="C147" s="31">
        <f>C132*'conversion factor'!$E$6</f>
        <v>10.146840800675363</v>
      </c>
      <c r="D147" s="31">
        <f>D132*'conversion factor'!$E$6</f>
        <v>0</v>
      </c>
      <c r="E147" s="31">
        <f>E132*'conversion factor'!$E$6</f>
        <v>143.49966027722203</v>
      </c>
      <c r="F147" s="31">
        <f>F132*'conversion factor'!$E$6</f>
        <v>124.06646396506513</v>
      </c>
      <c r="G147" s="31">
        <f>G132*'conversion factor'!$E$6</f>
        <v>85.748394486291758</v>
      </c>
      <c r="H147" s="31">
        <f>H132*'conversion factor'!$E$6</f>
        <v>476.55805997298143</v>
      </c>
      <c r="I147" s="31">
        <f>I132*'conversion factor'!$E$6</f>
        <v>653.21036422641032</v>
      </c>
      <c r="J147" s="31">
        <f>J132*'conversion factor'!$E$6</f>
        <v>467.10423759775563</v>
      </c>
      <c r="K147" s="31">
        <f>K132*'conversion factor'!$E$6</f>
        <v>845.91554393834053</v>
      </c>
      <c r="L147" s="31">
        <f>L132*'conversion factor'!$E$6</f>
        <v>699.5727848833568</v>
      </c>
      <c r="M147" s="31">
        <f>M132*'conversion factor'!$E$6</f>
        <v>3446.1599935247477</v>
      </c>
      <c r="N147" s="31">
        <f>N132*'conversion factor'!$E$6</f>
        <v>6951.9823436728475</v>
      </c>
      <c r="O147" s="32"/>
    </row>
    <row r="148" spans="1:17">
      <c r="A148" s="29"/>
      <c r="B148" s="29" t="s">
        <v>198</v>
      </c>
      <c r="C148" s="31">
        <f>C133*'conversion factor'!$E$6</f>
        <v>6.839900184756436</v>
      </c>
      <c r="D148" s="31">
        <f>D133*'conversion factor'!$E$6</f>
        <v>0</v>
      </c>
      <c r="E148" s="31">
        <f>E133*'conversion factor'!$E$6</f>
        <v>162.63783873057804</v>
      </c>
      <c r="F148" s="31">
        <f>F133*'conversion factor'!$E$6</f>
        <v>162.15438736806513</v>
      </c>
      <c r="G148" s="31">
        <f>G133*'conversion factor'!$E$6</f>
        <v>88.767532694491194</v>
      </c>
      <c r="H148" s="31">
        <f>H133*'conversion factor'!$E$6</f>
        <v>503.45161950150361</v>
      </c>
      <c r="I148" s="31">
        <f>I133*'conversion factor'!$E$6</f>
        <v>664.21015351969811</v>
      </c>
      <c r="J148" s="31">
        <f>J133*'conversion factor'!$E$6</f>
        <v>539.42217443376046</v>
      </c>
      <c r="K148" s="31">
        <f>K133*'conversion factor'!$E$6</f>
        <v>947.1018252335906</v>
      </c>
      <c r="L148" s="31">
        <f>L133*'conversion factor'!$E$6</f>
        <v>644.42359653137999</v>
      </c>
      <c r="M148" s="31">
        <f>M133*'conversion factor'!$E$6</f>
        <v>3439.0983551895224</v>
      </c>
      <c r="N148" s="31">
        <f>N133*'conversion factor'!$E$6</f>
        <v>7158.1073833873461</v>
      </c>
      <c r="O148" s="32"/>
    </row>
    <row r="149" spans="1:17">
      <c r="A149" s="29"/>
      <c r="B149" s="29" t="s">
        <v>199</v>
      </c>
      <c r="C149" s="31">
        <f>C134*'conversion factor'!$E$6</f>
        <v>3.7092923410245766</v>
      </c>
      <c r="D149" s="31">
        <f>D134*'conversion factor'!$E$6</f>
        <v>0</v>
      </c>
      <c r="E149" s="31">
        <f>E134*'conversion factor'!$E$6</f>
        <v>186.67681444739739</v>
      </c>
      <c r="F149" s="31">
        <f>F134*'conversion factor'!$E$6</f>
        <v>211.61266697212355</v>
      </c>
      <c r="G149" s="31">
        <f>G134*'conversion factor'!$E$6</f>
        <v>95.547583719236485</v>
      </c>
      <c r="H149" s="31">
        <f>H134*'conversion factor'!$E$6</f>
        <v>564.38346105103585</v>
      </c>
      <c r="I149" s="31">
        <f>I134*'conversion factor'!$E$6</f>
        <v>670.63475905383871</v>
      </c>
      <c r="J149" s="31">
        <f>J134*'conversion factor'!$E$6</f>
        <v>645.44134192968511</v>
      </c>
      <c r="K149" s="31">
        <f>K134*'conversion factor'!$E$6</f>
        <v>1059.2726560635449</v>
      </c>
      <c r="L149" s="31">
        <f>L134*'conversion factor'!$E$6</f>
        <v>635.7107462339103</v>
      </c>
      <c r="M149" s="31">
        <f>M134*'conversion factor'!$E$6</f>
        <v>3402.3421062017192</v>
      </c>
      <c r="N149" s="31">
        <f>N134*'conversion factor'!$E$6</f>
        <v>7475.3314280135164</v>
      </c>
      <c r="O149" s="32"/>
    </row>
    <row r="150" spans="1:17">
      <c r="A150" s="29"/>
      <c r="B150" s="29" t="s">
        <v>200</v>
      </c>
      <c r="C150" s="31">
        <f>C135*'conversion factor'!$E$6</f>
        <v>3.4864264434859509</v>
      </c>
      <c r="D150" s="31">
        <f>D135*'conversion factor'!$E$6</f>
        <v>0</v>
      </c>
      <c r="E150" s="31">
        <f>E135*'conversion factor'!$E$6</f>
        <v>148.63667885009048</v>
      </c>
      <c r="F150" s="31">
        <f>F135*'conversion factor'!$E$6</f>
        <v>155.46812495057418</v>
      </c>
      <c r="G150" s="31">
        <f>G135*'conversion factor'!$E$6</f>
        <v>81.40759450781394</v>
      </c>
      <c r="H150" s="31">
        <f>H135*'conversion factor'!$E$6</f>
        <v>458.72407371678531</v>
      </c>
      <c r="I150" s="31">
        <f>I135*'conversion factor'!$E$6</f>
        <v>656.16382570801989</v>
      </c>
      <c r="J150" s="31">
        <f>J135*'conversion factor'!$E$6</f>
        <v>520.98990038707177</v>
      </c>
      <c r="K150" s="31">
        <f>K135*'conversion factor'!$E$6</f>
        <v>988.46697725710578</v>
      </c>
      <c r="L150" s="31">
        <f>L135*'conversion factor'!$E$6</f>
        <v>658.30503225045447</v>
      </c>
      <c r="M150" s="31">
        <f>M135*'conversion factor'!$E$6</f>
        <v>3439.4392193565113</v>
      </c>
      <c r="N150" s="31">
        <f>N135*'conversion factor'!$E$6</f>
        <v>7111.0878534279136</v>
      </c>
      <c r="O150" s="32"/>
    </row>
    <row r="151" spans="1:17">
      <c r="A151" t="s">
        <v>223</v>
      </c>
      <c r="O151" s="42" t="s">
        <v>214</v>
      </c>
    </row>
    <row r="152" spans="1:17">
      <c r="A152" s="43">
        <v>2005</v>
      </c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4"/>
      <c r="Q152" s="42" t="s">
        <v>224</v>
      </c>
    </row>
    <row r="153" spans="1:17">
      <c r="N153" s="5"/>
      <c r="Q153" s="42" t="s">
        <v>225</v>
      </c>
    </row>
    <row r="154" spans="1:17">
      <c r="N154" s="5">
        <f>'[1]Final&amp;Elec'!$I168</f>
        <v>1193.282093753824</v>
      </c>
      <c r="Q154" s="42" t="s">
        <v>226</v>
      </c>
    </row>
    <row r="155" spans="1:17">
      <c r="A155" s="43">
        <v>2015</v>
      </c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4"/>
    </row>
    <row r="156" spans="1:17">
      <c r="N156" s="5"/>
    </row>
    <row r="157" spans="1:17">
      <c r="N157" s="5">
        <f>'[1]Final&amp;Elec'!$S168</f>
        <v>1112.6262408210721</v>
      </c>
      <c r="O157">
        <f>N157/N$157*O$7</f>
        <v>11140.028576830002</v>
      </c>
    </row>
    <row r="158" spans="1:17">
      <c r="A158" s="43">
        <v>2030</v>
      </c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4"/>
    </row>
    <row r="159" spans="1:17">
      <c r="N159" s="5"/>
    </row>
    <row r="160" spans="1:17">
      <c r="N160" s="5">
        <f>'[1]Final&amp;Elec'!$AH168</f>
        <v>941.69688264465185</v>
      </c>
      <c r="O160">
        <f>N160/N$157*O$7</f>
        <v>9428.6201407865174</v>
      </c>
    </row>
    <row r="161" spans="1:15">
      <c r="A161" s="43">
        <v>2040</v>
      </c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4"/>
    </row>
    <row r="162" spans="1:15">
      <c r="N162" s="5"/>
    </row>
    <row r="163" spans="1:15">
      <c r="N163" s="5">
        <f>'[1]Final&amp;Elec'!$AR168</f>
        <v>680.89360935205877</v>
      </c>
      <c r="O163">
        <f>N163/N$157*O$7</f>
        <v>6817.3605723745241</v>
      </c>
    </row>
    <row r="164" spans="1:15">
      <c r="A164" s="43">
        <v>2050</v>
      </c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4"/>
    </row>
    <row r="165" spans="1:15">
      <c r="N165" s="5"/>
    </row>
    <row r="166" spans="1:15">
      <c r="N166" s="5">
        <f>'[1]Final&amp;Elec'!$BB168</f>
        <v>610.76733475398669</v>
      </c>
      <c r="O166">
        <f>N166/N$157*O$7</f>
        <v>6115.2301764271378</v>
      </c>
    </row>
  </sheetData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D1027-4FA2-4A50-AAB2-357309CAB484}">
  <sheetPr>
    <tabColor rgb="FFFFFF00"/>
    <outlinePr summaryBelow="0"/>
  </sheetPr>
  <dimension ref="A1:AX113"/>
  <sheetViews>
    <sheetView showGridLines="0" zoomScale="71" zoomScaleNormal="71" workbookViewId="0">
      <selection activeCell="B4" sqref="B4"/>
    </sheetView>
  </sheetViews>
  <sheetFormatPr defaultRowHeight="15" outlineLevelRow="1"/>
  <cols>
    <col min="1" max="1" width="29.85546875" customWidth="1"/>
    <col min="2" max="4" width="9.140625" customWidth="1"/>
    <col min="5" max="5" width="13.42578125" customWidth="1"/>
    <col min="6" max="9" width="9.42578125" bestFit="1" customWidth="1"/>
    <col min="10" max="10" width="9.5703125" bestFit="1" customWidth="1"/>
    <col min="11" max="12" width="9.42578125" bestFit="1" customWidth="1"/>
    <col min="13" max="13" width="17.42578125" bestFit="1" customWidth="1"/>
    <col min="14" max="14" width="9.5703125" bestFit="1" customWidth="1"/>
    <col min="21" max="21" width="11.7109375" bestFit="1" customWidth="1"/>
  </cols>
  <sheetData>
    <row r="1" spans="1:50" s="57" customFormat="1">
      <c r="A1" s="57" t="s">
        <v>227</v>
      </c>
    </row>
    <row r="2" spans="1:50">
      <c r="B2" s="1" t="s">
        <v>0</v>
      </c>
      <c r="C2" s="1" t="s">
        <v>1</v>
      </c>
      <c r="D2" s="1" t="s">
        <v>228</v>
      </c>
      <c r="E2" t="s">
        <v>36</v>
      </c>
      <c r="J2" t="s">
        <v>37</v>
      </c>
      <c r="O2" t="s">
        <v>38</v>
      </c>
      <c r="T2" t="s">
        <v>39</v>
      </c>
      <c r="Y2">
        <v>2025</v>
      </c>
      <c r="AD2">
        <v>2030</v>
      </c>
      <c r="AI2">
        <v>2035</v>
      </c>
      <c r="AN2">
        <v>2040</v>
      </c>
      <c r="AS2">
        <v>2045</v>
      </c>
      <c r="AX2">
        <v>2050</v>
      </c>
    </row>
    <row r="3" spans="1:50">
      <c r="A3" t="s">
        <v>40</v>
      </c>
      <c r="B3" s="1" t="s">
        <v>229</v>
      </c>
      <c r="C3" s="1" t="s">
        <v>142</v>
      </c>
      <c r="D3" s="74">
        <f>'conversion factor'!$E$5</f>
        <v>1.1630000000000001E-2</v>
      </c>
      <c r="E3" s="4">
        <f>E78*$D3</f>
        <v>18652.096214960002</v>
      </c>
      <c r="F3" s="4">
        <f t="shared" ref="F3:U3" si="0">F78*$D3</f>
        <v>18808.789030870004</v>
      </c>
      <c r="G3" s="4">
        <f t="shared" si="0"/>
        <v>18569.901759830002</v>
      </c>
      <c r="H3" s="4">
        <f t="shared" si="0"/>
        <v>18524.24162388</v>
      </c>
      <c r="I3" s="4">
        <f t="shared" si="0"/>
        <v>17430.292795040004</v>
      </c>
      <c r="J3" s="4">
        <f t="shared" si="0"/>
        <v>18130.769311610002</v>
      </c>
      <c r="K3" s="4">
        <f t="shared" si="0"/>
        <v>17597.326530120001</v>
      </c>
      <c r="L3" s="4">
        <f t="shared" si="0"/>
        <v>17372.233136880001</v>
      </c>
      <c r="M3" s="4">
        <f t="shared" si="0"/>
        <v>17200.247429210001</v>
      </c>
      <c r="N3" s="4">
        <f t="shared" si="0"/>
        <v>16610.142880670002</v>
      </c>
      <c r="O3" s="4">
        <f t="shared" si="0"/>
        <v>16842.216204490003</v>
      </c>
      <c r="P3" s="4">
        <f t="shared" si="0"/>
        <v>16981.776820880001</v>
      </c>
      <c r="Q3" s="4">
        <f t="shared" si="0"/>
        <v>17338.104250600005</v>
      </c>
      <c r="R3" s="4">
        <f t="shared" si="0"/>
        <v>17227.879274139999</v>
      </c>
      <c r="S3" s="4">
        <f t="shared" si="0"/>
        <v>16959.999180680003</v>
      </c>
      <c r="T3" s="4">
        <f t="shared" si="0"/>
        <v>15585.311932670002</v>
      </c>
      <c r="U3" s="4">
        <f t="shared" si="0"/>
        <v>16533.976394100002</v>
      </c>
      <c r="V3" s="4"/>
    </row>
    <row r="4" spans="1:50">
      <c r="A4" t="s">
        <v>230</v>
      </c>
      <c r="B4" s="1" t="s">
        <v>229</v>
      </c>
      <c r="C4" s="1" t="s">
        <v>142</v>
      </c>
      <c r="D4" s="74">
        <f>'conversion factor'!$E$5</f>
        <v>1.1630000000000001E-2</v>
      </c>
      <c r="E4" s="4">
        <f>(E79+E81)*$D4</f>
        <v>3222.0600059600001</v>
      </c>
      <c r="F4" s="4">
        <f t="shared" ref="F4:U4" si="1">(F79+F81)*$D4</f>
        <v>3316.0546196200007</v>
      </c>
      <c r="G4" s="4">
        <f t="shared" si="1"/>
        <v>3330.4900663700005</v>
      </c>
      <c r="H4" s="4">
        <f t="shared" si="1"/>
        <v>3081.4577602500003</v>
      </c>
      <c r="I4" s="4">
        <f t="shared" si="1"/>
        <v>2732.4019880300002</v>
      </c>
      <c r="J4" s="4">
        <f t="shared" si="1"/>
        <v>2889.2147208700003</v>
      </c>
      <c r="K4" s="4">
        <f t="shared" si="1"/>
        <v>2950.0303866500008</v>
      </c>
      <c r="L4" s="4">
        <f t="shared" si="1"/>
        <v>2928.1207110600003</v>
      </c>
      <c r="M4" s="4">
        <f t="shared" si="1"/>
        <v>2872.4379108900002</v>
      </c>
      <c r="N4" s="4">
        <f t="shared" si="1"/>
        <v>2734.3176932599999</v>
      </c>
      <c r="O4" s="4">
        <f t="shared" si="1"/>
        <v>2749.5958847000002</v>
      </c>
      <c r="P4" s="4">
        <f t="shared" si="1"/>
        <v>2639.0448146700005</v>
      </c>
      <c r="Q4" s="4">
        <f t="shared" si="1"/>
        <v>2569.6964621200004</v>
      </c>
      <c r="R4" s="4">
        <f t="shared" si="1"/>
        <v>2474.7085650500003</v>
      </c>
      <c r="S4" s="4">
        <f t="shared" si="1"/>
        <v>2027.0951021500002</v>
      </c>
      <c r="T4" s="4">
        <f t="shared" si="1"/>
        <v>1655.7807427100004</v>
      </c>
      <c r="U4" s="4">
        <f t="shared" si="1"/>
        <v>1908.7875897000004</v>
      </c>
    </row>
    <row r="5" spans="1:50">
      <c r="A5" t="s">
        <v>144</v>
      </c>
      <c r="B5" s="1" t="s">
        <v>229</v>
      </c>
      <c r="C5" s="1" t="s">
        <v>142</v>
      </c>
      <c r="D5" s="74">
        <f>'conversion factor'!$E$5</f>
        <v>1.1630000000000001E-2</v>
      </c>
      <c r="E5" s="4">
        <f>(E82+E84)*$D5</f>
        <v>7001.1600634100014</v>
      </c>
      <c r="F5" s="4">
        <f t="shared" ref="F5:U5" si="2">(F82+F84)*$D5</f>
        <v>6980.1738098200003</v>
      </c>
      <c r="G5" s="4">
        <f t="shared" si="2"/>
        <v>6791.7356296100006</v>
      </c>
      <c r="H5" s="4">
        <f t="shared" si="2"/>
        <v>6750.0318801000012</v>
      </c>
      <c r="I5" s="4">
        <f t="shared" si="2"/>
        <v>6346.743591970001</v>
      </c>
      <c r="J5" s="4">
        <f t="shared" si="2"/>
        <v>6314.7193751600007</v>
      </c>
      <c r="K5" s="4">
        <f t="shared" si="2"/>
        <v>6139.4172101699996</v>
      </c>
      <c r="L5" s="4">
        <f t="shared" si="2"/>
        <v>5871.4039415800007</v>
      </c>
      <c r="M5" s="4">
        <f t="shared" si="2"/>
        <v>5739.4179441900005</v>
      </c>
      <c r="N5" s="4">
        <f t="shared" si="2"/>
        <v>5692.219577920001</v>
      </c>
      <c r="O5" s="4">
        <f t="shared" si="2"/>
        <v>5753.7252516000008</v>
      </c>
      <c r="P5" s="4">
        <f t="shared" si="2"/>
        <v>5822.9849719200001</v>
      </c>
      <c r="Q5" s="4">
        <f t="shared" si="2"/>
        <v>5981.1780694600002</v>
      </c>
      <c r="R5" s="4">
        <f t="shared" si="2"/>
        <v>5907.4733747700002</v>
      </c>
      <c r="S5" s="4">
        <f t="shared" si="2"/>
        <v>5876.162646830001</v>
      </c>
      <c r="T5" s="4">
        <f t="shared" si="2"/>
        <v>5113.4226225200009</v>
      </c>
      <c r="U5" s="4">
        <f t="shared" si="2"/>
        <v>5386.3396224600001</v>
      </c>
    </row>
    <row r="6" spans="1:50">
      <c r="A6" t="s">
        <v>231</v>
      </c>
      <c r="B6" s="1" t="s">
        <v>229</v>
      </c>
      <c r="C6" s="1" t="s">
        <v>142</v>
      </c>
      <c r="D6" s="74">
        <f>'conversion factor'!$E$5</f>
        <v>1.1630000000000001E-2</v>
      </c>
      <c r="E6" s="4">
        <f>E83*$D6</f>
        <v>4183.4400581100008</v>
      </c>
      <c r="F6" s="4">
        <f t="shared" ref="F6:U6" si="3">F83*$D6</f>
        <v>4177.1829204000005</v>
      </c>
      <c r="G6" s="4">
        <f t="shared" si="3"/>
        <v>4105.8248805900002</v>
      </c>
      <c r="H6" s="4">
        <f t="shared" si="3"/>
        <v>4178.4546841600004</v>
      </c>
      <c r="I6" s="4">
        <f t="shared" si="3"/>
        <v>3927.3548780500005</v>
      </c>
      <c r="J6" s="4">
        <f t="shared" si="3"/>
        <v>4219.8552977200006</v>
      </c>
      <c r="K6" s="4">
        <f t="shared" si="3"/>
        <v>3878.8056523900009</v>
      </c>
      <c r="L6" s="4">
        <f t="shared" si="3"/>
        <v>3807.8706073100002</v>
      </c>
      <c r="M6" s="4">
        <f t="shared" si="3"/>
        <v>3737.6928380500003</v>
      </c>
      <c r="N6" s="4">
        <f t="shared" si="3"/>
        <v>3297.3408215100003</v>
      </c>
      <c r="O6" s="4">
        <f t="shared" si="3"/>
        <v>3443.3713580900003</v>
      </c>
      <c r="P6" s="4">
        <f t="shared" si="3"/>
        <v>3644.2988790000004</v>
      </c>
      <c r="Q6" s="4">
        <f t="shared" si="3"/>
        <v>3849.4811540000005</v>
      </c>
      <c r="R6" s="4">
        <f t="shared" si="3"/>
        <v>3777.7905078200006</v>
      </c>
      <c r="S6" s="4">
        <f t="shared" si="3"/>
        <v>3896.7203997199999</v>
      </c>
      <c r="T6" s="4">
        <f t="shared" si="3"/>
        <v>3802.9390221100002</v>
      </c>
      <c r="U6" s="4">
        <f t="shared" si="3"/>
        <v>3954.52573304</v>
      </c>
    </row>
    <row r="7" spans="1:50">
      <c r="A7" t="s">
        <v>232</v>
      </c>
      <c r="B7" s="1" t="s">
        <v>229</v>
      </c>
      <c r="C7" s="1" t="s">
        <v>142</v>
      </c>
      <c r="D7" s="74">
        <f>'conversion factor'!$E$5</f>
        <v>1.1630000000000001E-2</v>
      </c>
      <c r="E7" s="4">
        <f>E86*$D7</f>
        <v>454.62848119000006</v>
      </c>
      <c r="F7" s="4">
        <f t="shared" ref="F7:T7" si="4">F86*$D7</f>
        <v>475.07978966999997</v>
      </c>
      <c r="G7" s="4">
        <f t="shared" si="4"/>
        <v>501.45186137000007</v>
      </c>
      <c r="H7" s="4">
        <f t="shared" si="4"/>
        <v>542.64249528000016</v>
      </c>
      <c r="I7" s="4">
        <f t="shared" si="4"/>
        <v>569.23319935000006</v>
      </c>
      <c r="J7" s="4">
        <f t="shared" si="4"/>
        <v>647.05724004000001</v>
      </c>
      <c r="K7" s="4">
        <f t="shared" si="4"/>
        <v>654.62482289000013</v>
      </c>
      <c r="L7" s="4">
        <f t="shared" si="4"/>
        <v>739.88781862999986</v>
      </c>
      <c r="M7" s="4">
        <f t="shared" si="4"/>
        <v>824.20872622000013</v>
      </c>
      <c r="N7" s="4">
        <f t="shared" si="4"/>
        <v>866.32403817000011</v>
      </c>
      <c r="O7" s="4">
        <f t="shared" si="4"/>
        <v>892.02767562000008</v>
      </c>
      <c r="P7" s="4">
        <f t="shared" si="4"/>
        <v>917.61559456999998</v>
      </c>
      <c r="Q7" s="4">
        <f t="shared" si="4"/>
        <v>967.50245631000018</v>
      </c>
      <c r="R7" s="4">
        <f t="shared" si="4"/>
        <v>1037.1708780900003</v>
      </c>
      <c r="S7" s="4">
        <f t="shared" si="4"/>
        <v>1085.0226875400001</v>
      </c>
      <c r="T7" s="4">
        <f t="shared" si="4"/>
        <v>1171.6118405499999</v>
      </c>
      <c r="U7" s="4">
        <f>U86*$D7</f>
        <v>1201.3424585400001</v>
      </c>
    </row>
    <row r="8" spans="1:50">
      <c r="A8" t="s">
        <v>233</v>
      </c>
      <c r="B8" s="1" t="s">
        <v>229</v>
      </c>
      <c r="C8" s="1" t="s">
        <v>142</v>
      </c>
      <c r="D8" s="74">
        <f>'conversion factor'!$E$5</f>
        <v>1.1630000000000001E-2</v>
      </c>
      <c r="E8" s="4">
        <f>E94*$D8</f>
        <v>940.04334013999983</v>
      </c>
      <c r="F8" s="4">
        <f t="shared" ref="F8:U8" si="5">F94*$D8</f>
        <v>1012.7141045700004</v>
      </c>
      <c r="G8" s="4">
        <f t="shared" si="5"/>
        <v>1103.2825086000003</v>
      </c>
      <c r="H8" s="4">
        <f t="shared" si="5"/>
        <v>1186.1146017400001</v>
      </c>
      <c r="I8" s="4">
        <f t="shared" si="5"/>
        <v>1242.1122027500003</v>
      </c>
      <c r="J8" s="4">
        <f t="shared" si="5"/>
        <v>1368.2556137800002</v>
      </c>
      <c r="K8" s="4">
        <f t="shared" si="5"/>
        <v>1328.54124555</v>
      </c>
      <c r="L8" s="4">
        <f t="shared" si="5"/>
        <v>1452.5651007100003</v>
      </c>
      <c r="M8" s="4">
        <f t="shared" si="5"/>
        <v>1478.0814835300002</v>
      </c>
      <c r="N8" s="4">
        <f t="shared" si="5"/>
        <v>1439.1409871300002</v>
      </c>
      <c r="O8" s="4">
        <f t="shared" si="5"/>
        <v>1480.1955151500001</v>
      </c>
      <c r="P8" s="4">
        <f t="shared" si="5"/>
        <v>1492.8027607900003</v>
      </c>
      <c r="Q8" s="4">
        <f t="shared" si="5"/>
        <v>1534.1494227800001</v>
      </c>
      <c r="R8" s="4">
        <f t="shared" si="5"/>
        <v>1576.8534685900004</v>
      </c>
      <c r="S8" s="4">
        <f t="shared" si="5"/>
        <v>1613.2495652200002</v>
      </c>
      <c r="T8" s="4">
        <f t="shared" si="5"/>
        <v>1610.3354128600004</v>
      </c>
      <c r="U8" s="4">
        <f t="shared" si="5"/>
        <v>1723.2147972600001</v>
      </c>
    </row>
    <row r="9" spans="1:50">
      <c r="A9" t="s">
        <v>190</v>
      </c>
      <c r="B9" s="1" t="s">
        <v>229</v>
      </c>
      <c r="C9" s="1" t="s">
        <v>142</v>
      </c>
      <c r="D9" s="74">
        <f>'conversion factor'!$E$5</f>
        <v>1.1630000000000001E-2</v>
      </c>
      <c r="E9" s="4">
        <f>E109*$D9</f>
        <v>2753.6846438000002</v>
      </c>
      <c r="F9" s="4">
        <f t="shared" ref="F9:U9" si="6">F109*$D9</f>
        <v>2748.7437894900004</v>
      </c>
      <c r="G9" s="4">
        <f t="shared" si="6"/>
        <v>2622.0461740700002</v>
      </c>
      <c r="H9" s="4">
        <f t="shared" si="6"/>
        <v>2659.4461723000004</v>
      </c>
      <c r="I9" s="4">
        <f t="shared" si="6"/>
        <v>2471.8813004200006</v>
      </c>
      <c r="J9" s="4">
        <f t="shared" si="6"/>
        <v>2554.1889503400002</v>
      </c>
      <c r="K9" s="4">
        <f t="shared" si="6"/>
        <v>2504.4729681900003</v>
      </c>
      <c r="L9" s="4">
        <f t="shared" si="6"/>
        <v>2423.3709538500002</v>
      </c>
      <c r="M9" s="4">
        <f t="shared" si="6"/>
        <v>2401.7583666100004</v>
      </c>
      <c r="N9" s="4">
        <f t="shared" si="6"/>
        <v>2430.2762779800005</v>
      </c>
      <c r="O9" s="4">
        <f t="shared" si="6"/>
        <v>2369.9806011300007</v>
      </c>
      <c r="P9" s="4">
        <f t="shared" si="6"/>
        <v>2291.7239709600003</v>
      </c>
      <c r="Q9" s="4">
        <f t="shared" si="6"/>
        <v>2266.67370691</v>
      </c>
      <c r="R9" s="4">
        <f t="shared" si="6"/>
        <v>2270.7297275600004</v>
      </c>
      <c r="S9" s="4">
        <f t="shared" si="6"/>
        <v>2281.5841112300004</v>
      </c>
      <c r="T9" s="4">
        <f t="shared" si="6"/>
        <v>2037.2983802700001</v>
      </c>
      <c r="U9" s="4">
        <f t="shared" si="6"/>
        <v>2170.8849564100005</v>
      </c>
    </row>
    <row r="10" spans="1:50">
      <c r="A10" t="s">
        <v>234</v>
      </c>
      <c r="B10" s="1" t="s">
        <v>229</v>
      </c>
      <c r="C10" s="1" t="s">
        <v>142</v>
      </c>
      <c r="D10" s="74">
        <f>'conversion factor'!$E$5</f>
        <v>1.1630000000000001E-2</v>
      </c>
      <c r="E10" s="4">
        <f>(E106+E110+E111)*$D10</f>
        <v>97.079610720000019</v>
      </c>
      <c r="F10" s="4">
        <f t="shared" ref="F10:U10" si="7">(F106+F110+F111)*$D10</f>
        <v>98.839985670000004</v>
      </c>
      <c r="G10" s="4">
        <f t="shared" si="7"/>
        <v>115.07052292000002</v>
      </c>
      <c r="H10" s="4">
        <f t="shared" si="7"/>
        <v>126.09404168</v>
      </c>
      <c r="I10" s="4">
        <f t="shared" si="7"/>
        <v>140.56561121000001</v>
      </c>
      <c r="J10" s="4">
        <f t="shared" si="7"/>
        <v>137.47802066000003</v>
      </c>
      <c r="K10" s="4">
        <f t="shared" si="7"/>
        <v>141.43437221000002</v>
      </c>
      <c r="L10" s="4">
        <f t="shared" si="7"/>
        <v>149.01401537000004</v>
      </c>
      <c r="M10" s="4">
        <f t="shared" si="7"/>
        <v>146.65015972</v>
      </c>
      <c r="N10" s="4">
        <f t="shared" si="7"/>
        <v>150.52354285000001</v>
      </c>
      <c r="O10" s="4">
        <f t="shared" si="7"/>
        <v>153.31986004999999</v>
      </c>
      <c r="P10" s="4">
        <f t="shared" si="7"/>
        <v>173.30588712000002</v>
      </c>
      <c r="Q10" s="4">
        <f t="shared" si="7"/>
        <v>169.42302554000003</v>
      </c>
      <c r="R10" s="4">
        <f t="shared" si="7"/>
        <v>183.15267084999999</v>
      </c>
      <c r="S10" s="4">
        <f t="shared" si="7"/>
        <v>180.16466799000003</v>
      </c>
      <c r="T10" s="4">
        <f t="shared" si="7"/>
        <v>193.92392328</v>
      </c>
      <c r="U10" s="4">
        <f t="shared" si="7"/>
        <v>188.88108550000004</v>
      </c>
    </row>
    <row r="11" spans="1:50">
      <c r="A11" t="s">
        <v>235</v>
      </c>
      <c r="AD11" s="38">
        <f>P63*'conversion factor'!E6</f>
        <v>13310.693187655417</v>
      </c>
      <c r="AX11" s="38">
        <f>P66*'conversion factor'!E6</f>
        <v>14071.434755617216</v>
      </c>
    </row>
    <row r="12" spans="1:50">
      <c r="A12" t="s">
        <v>236</v>
      </c>
      <c r="AD12">
        <f>AD45*AD11</f>
        <v>7639.8236629925213</v>
      </c>
      <c r="AX12">
        <f>AX45*AX11</f>
        <v>2456.6045379174061</v>
      </c>
    </row>
    <row r="13" spans="1:50">
      <c r="A13" t="s">
        <v>237</v>
      </c>
      <c r="AD13">
        <f>AD43*AD11</f>
        <v>5080.7325087183835</v>
      </c>
      <c r="AX13">
        <f>AX43*AX11</f>
        <v>1374.3705405363953</v>
      </c>
    </row>
    <row r="14" spans="1:50">
      <c r="A14" t="s">
        <v>238</v>
      </c>
      <c r="AD14">
        <f>AD42*AD11</f>
        <v>707.77209986371338</v>
      </c>
      <c r="AX14">
        <f>AX42*AX11</f>
        <v>88.088892957773126</v>
      </c>
    </row>
    <row r="15" spans="1:50">
      <c r="A15" t="s">
        <v>239</v>
      </c>
      <c r="U15" s="4">
        <v>1421.66607</v>
      </c>
      <c r="V15" s="4">
        <v>1390.8713512988959</v>
      </c>
      <c r="W15" s="4">
        <v>1360.0766325977916</v>
      </c>
      <c r="X15" s="4">
        <v>1329.2819138966872</v>
      </c>
      <c r="Y15" s="4">
        <v>1298.4871951955829</v>
      </c>
      <c r="Z15" s="4">
        <v>1267.6924764944788</v>
      </c>
      <c r="AA15" s="4">
        <v>1236.8977577933745</v>
      </c>
      <c r="AB15" s="4">
        <v>1206.1030390922701</v>
      </c>
      <c r="AC15" s="4">
        <v>1175.308320391166</v>
      </c>
      <c r="AD15" s="4">
        <v>1144.5136016900617</v>
      </c>
      <c r="AE15" s="4">
        <v>1147.7842017242913</v>
      </c>
      <c r="AF15" s="4">
        <v>1151.0548017585209</v>
      </c>
      <c r="AG15" s="4">
        <v>1154.3254017927504</v>
      </c>
      <c r="AH15" s="4">
        <v>1157.59600182698</v>
      </c>
      <c r="AI15" s="4">
        <v>1160.8666018612096</v>
      </c>
      <c r="AJ15" s="4">
        <v>1164.1372018954391</v>
      </c>
      <c r="AK15" s="4">
        <v>1167.4078019296687</v>
      </c>
      <c r="AL15" s="4">
        <v>1170.6784019638981</v>
      </c>
      <c r="AM15" s="4">
        <v>1173.9490019981276</v>
      </c>
      <c r="AN15" s="4">
        <v>1177.2196020323572</v>
      </c>
      <c r="AO15" s="4">
        <v>1180.4902020665868</v>
      </c>
      <c r="AP15" s="4">
        <v>1183.7608021008164</v>
      </c>
      <c r="AQ15" s="4">
        <v>1187.0314021350459</v>
      </c>
      <c r="AR15" s="4">
        <v>1190.3020021692755</v>
      </c>
      <c r="AS15" s="4">
        <v>1193.5726022035051</v>
      </c>
      <c r="AT15" s="4">
        <v>1196.8432022377347</v>
      </c>
      <c r="AU15" s="4">
        <v>1200.1138022719642</v>
      </c>
      <c r="AV15" s="4">
        <v>1203.3844023061938</v>
      </c>
      <c r="AW15" s="4">
        <v>1206.6550023404234</v>
      </c>
      <c r="AX15" s="4">
        <v>1209.925602374653</v>
      </c>
    </row>
    <row r="16" spans="1:50">
      <c r="A16" t="s">
        <v>239</v>
      </c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4">
        <v>967.29603999999995</v>
      </c>
      <c r="V16" s="4">
        <v>932.80832353675851</v>
      </c>
      <c r="W16" s="4">
        <v>898.32060707351707</v>
      </c>
      <c r="X16" s="4">
        <v>863.83289061027563</v>
      </c>
      <c r="Y16" s="4">
        <v>829.34517414703419</v>
      </c>
      <c r="Z16" s="4">
        <v>794.85745768379275</v>
      </c>
      <c r="AA16" s="4">
        <v>760.3697412205513</v>
      </c>
      <c r="AB16" s="4">
        <v>725.88202475730986</v>
      </c>
      <c r="AC16" s="4">
        <v>691.39430829406842</v>
      </c>
      <c r="AD16" s="4">
        <v>656.90659183082698</v>
      </c>
      <c r="AE16" s="4">
        <v>634.62276068261076</v>
      </c>
      <c r="AF16" s="4">
        <v>612.33892953439442</v>
      </c>
      <c r="AG16" s="4">
        <v>590.05509838617809</v>
      </c>
      <c r="AH16" s="4">
        <v>567.77126723796187</v>
      </c>
      <c r="AI16" s="4">
        <v>545.48743608974553</v>
      </c>
      <c r="AJ16" s="4">
        <v>523.20360494152919</v>
      </c>
      <c r="AK16" s="4">
        <v>500.91977379331297</v>
      </c>
      <c r="AL16" s="4">
        <v>478.63594264509663</v>
      </c>
      <c r="AM16" s="4">
        <v>456.35211149688035</v>
      </c>
      <c r="AN16" s="4">
        <v>434.06828034866408</v>
      </c>
      <c r="AO16" s="4">
        <v>411.78444920044774</v>
      </c>
      <c r="AP16" s="4">
        <v>389.50061805223146</v>
      </c>
      <c r="AQ16" s="4">
        <v>367.21678690401518</v>
      </c>
      <c r="AR16" s="4">
        <v>344.93295575579884</v>
      </c>
      <c r="AS16" s="4">
        <v>322.64912460758256</v>
      </c>
      <c r="AT16" s="4">
        <v>300.36529345936628</v>
      </c>
      <c r="AU16" s="4">
        <v>278.08146231114995</v>
      </c>
      <c r="AV16" s="4">
        <v>255.79763116293367</v>
      </c>
      <c r="AW16" s="4">
        <v>233.51380001471739</v>
      </c>
      <c r="AX16" s="4">
        <v>211.22996886650105</v>
      </c>
    </row>
    <row r="17" spans="1:50">
      <c r="A17" t="s">
        <v>239</v>
      </c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4">
        <v>627.26803199999995</v>
      </c>
      <c r="V17" s="4">
        <v>606.1120684627723</v>
      </c>
      <c r="W17" s="4">
        <v>584.95610492554465</v>
      </c>
      <c r="X17" s="4">
        <v>563.80014138831712</v>
      </c>
      <c r="Y17" s="4">
        <v>542.64417785108947</v>
      </c>
      <c r="Z17" s="4">
        <v>521.48821431386182</v>
      </c>
      <c r="AA17" s="4">
        <v>500.33225077663417</v>
      </c>
      <c r="AB17" s="4">
        <v>479.17628723940652</v>
      </c>
      <c r="AC17" s="4">
        <v>458.02032370217887</v>
      </c>
      <c r="AD17" s="4">
        <v>436.86436016495122</v>
      </c>
      <c r="AE17" s="4">
        <v>420.92987190965459</v>
      </c>
      <c r="AF17" s="4">
        <v>404.99538365435802</v>
      </c>
      <c r="AG17" s="4">
        <v>389.06089539906145</v>
      </c>
      <c r="AH17" s="4">
        <v>373.12640714376482</v>
      </c>
      <c r="AI17" s="4">
        <v>357.19191888846825</v>
      </c>
      <c r="AJ17" s="4">
        <v>341.25743063317168</v>
      </c>
      <c r="AK17" s="4">
        <v>325.32294237787505</v>
      </c>
      <c r="AL17" s="4">
        <v>309.38845412257842</v>
      </c>
      <c r="AM17" s="4">
        <v>293.45396586728185</v>
      </c>
      <c r="AN17" s="4">
        <v>277.51947761198528</v>
      </c>
      <c r="AO17" s="4">
        <v>261.58498935668865</v>
      </c>
      <c r="AP17" s="4">
        <v>245.65050110139208</v>
      </c>
      <c r="AQ17" s="4">
        <v>229.71601284609551</v>
      </c>
      <c r="AR17" s="4">
        <v>213.78152459079891</v>
      </c>
      <c r="AS17" s="4">
        <v>197.84703633550231</v>
      </c>
      <c r="AT17" s="4">
        <v>181.91254808020574</v>
      </c>
      <c r="AU17" s="4">
        <v>165.97805982490911</v>
      </c>
      <c r="AV17" s="4">
        <v>150.04357156961254</v>
      </c>
      <c r="AW17" s="4">
        <v>134.10908331431591</v>
      </c>
      <c r="AX17" s="4">
        <v>118.17459505901934</v>
      </c>
    </row>
    <row r="18" spans="1:50">
      <c r="A18" t="s">
        <v>239</v>
      </c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4">
        <v>164.12619000000001</v>
      </c>
      <c r="V18" s="4">
        <v>152.65188513866164</v>
      </c>
      <c r="W18" s="4">
        <v>141.17758027732327</v>
      </c>
      <c r="X18" s="4">
        <v>129.7032754159849</v>
      </c>
      <c r="Y18" s="4">
        <v>118.22897055464654</v>
      </c>
      <c r="Z18" s="4">
        <v>106.75466569330818</v>
      </c>
      <c r="AA18" s="4">
        <v>95.280360831969816</v>
      </c>
      <c r="AB18" s="4">
        <v>83.806055970631448</v>
      </c>
      <c r="AC18" s="4">
        <v>72.33175110929308</v>
      </c>
      <c r="AD18" s="4">
        <v>60.857446247954712</v>
      </c>
      <c r="AE18" s="4">
        <v>58.193288006742584</v>
      </c>
      <c r="AF18" s="4">
        <v>55.529129765530456</v>
      </c>
      <c r="AG18" s="4">
        <v>52.864971524318335</v>
      </c>
      <c r="AH18" s="4">
        <v>50.200813283106214</v>
      </c>
      <c r="AI18" s="4">
        <v>47.536655041894086</v>
      </c>
      <c r="AJ18" s="4">
        <v>44.872496800681958</v>
      </c>
      <c r="AK18" s="4">
        <v>42.208338559469837</v>
      </c>
      <c r="AL18" s="4">
        <v>39.544180318257716</v>
      </c>
      <c r="AM18" s="4">
        <v>36.880022077045588</v>
      </c>
      <c r="AN18" s="4">
        <v>34.21586383583346</v>
      </c>
      <c r="AO18" s="4">
        <v>31.551705594621339</v>
      </c>
      <c r="AP18" s="4">
        <v>28.887547353409218</v>
      </c>
      <c r="AQ18" s="4">
        <v>26.22338911219709</v>
      </c>
      <c r="AR18" s="4">
        <v>23.559230870984962</v>
      </c>
      <c r="AS18" s="4">
        <v>20.895072629772841</v>
      </c>
      <c r="AT18" s="4">
        <v>18.23091438856072</v>
      </c>
      <c r="AU18" s="4">
        <v>15.566756147348592</v>
      </c>
      <c r="AV18" s="4">
        <v>12.902597906136464</v>
      </c>
      <c r="AW18" s="4">
        <v>10.238439664924343</v>
      </c>
      <c r="AX18" s="4">
        <v>7.5742814237122218</v>
      </c>
    </row>
    <row r="19" spans="1:50"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</row>
    <row r="20" spans="1:50">
      <c r="A20" t="s">
        <v>240</v>
      </c>
      <c r="E20" s="4">
        <f>(U3-E3)/16</f>
        <v>-132.38248880374999</v>
      </c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</row>
    <row r="21" spans="1:50">
      <c r="A21" t="s">
        <v>241</v>
      </c>
      <c r="E21" s="5">
        <f>(AD11-U3)/9</f>
        <v>-358.14257849384273</v>
      </c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</row>
    <row r="22" spans="1:50">
      <c r="A22" t="s">
        <v>64</v>
      </c>
      <c r="E22" s="4">
        <f>(AE15-AD15)</f>
        <v>3.2706000342295738</v>
      </c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</row>
    <row r="23" spans="1:50"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</row>
    <row r="24" spans="1:50"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</row>
    <row r="25" spans="1:50"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</row>
    <row r="26" spans="1:50"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</row>
    <row r="27" spans="1:50"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</row>
    <row r="28" spans="1:50"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</row>
    <row r="29" spans="1:50"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</row>
    <row r="30" spans="1:50"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</row>
    <row r="31" spans="1:50"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</row>
    <row r="32" spans="1:50"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</row>
    <row r="33" spans="1:50"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</row>
    <row r="34" spans="1:50">
      <c r="G34" s="83" t="s">
        <v>242</v>
      </c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</row>
    <row r="35" spans="1:50" s="57" customFormat="1">
      <c r="A35" s="57" t="s">
        <v>227</v>
      </c>
    </row>
    <row r="36" spans="1:50">
      <c r="B36" s="1" t="s">
        <v>0</v>
      </c>
      <c r="C36" s="1" t="s">
        <v>1</v>
      </c>
      <c r="D36" s="1"/>
      <c r="E36" t="s">
        <v>36</v>
      </c>
      <c r="J36" t="s">
        <v>37</v>
      </c>
      <c r="O36" t="s">
        <v>38</v>
      </c>
      <c r="T36" t="s">
        <v>39</v>
      </c>
      <c r="Y36">
        <v>2025</v>
      </c>
      <c r="AD36">
        <v>2030</v>
      </c>
      <c r="AI36">
        <v>2035</v>
      </c>
      <c r="AN36">
        <v>2040</v>
      </c>
      <c r="AS36">
        <v>2045</v>
      </c>
      <c r="AX36">
        <v>2050</v>
      </c>
    </row>
    <row r="37" spans="1:50">
      <c r="A37" t="s">
        <v>243</v>
      </c>
      <c r="B37" s="1" t="s">
        <v>229</v>
      </c>
      <c r="C37" s="1" t="s">
        <v>10</v>
      </c>
      <c r="D37" s="1"/>
      <c r="E37" s="39">
        <f t="shared" ref="E37:U37" si="8">E4/E3</f>
        <v>0.17274519543683953</v>
      </c>
      <c r="F37" s="39">
        <f t="shared" si="8"/>
        <v>0.17630346186442478</v>
      </c>
      <c r="G37" s="39">
        <f t="shared" si="8"/>
        <v>0.17934882528966536</v>
      </c>
      <c r="H37" s="39">
        <f t="shared" si="8"/>
        <v>0.16634730980174792</v>
      </c>
      <c r="I37" s="39">
        <f t="shared" si="8"/>
        <v>0.15676168037794164</v>
      </c>
      <c r="J37" s="39">
        <f t="shared" si="8"/>
        <v>0.15935422657547671</v>
      </c>
      <c r="K37" s="39">
        <f t="shared" si="8"/>
        <v>0.16764082780419282</v>
      </c>
      <c r="L37" s="39">
        <f t="shared" si="8"/>
        <v>0.16855177385593628</v>
      </c>
      <c r="M37" s="39">
        <f t="shared" si="8"/>
        <v>0.16699980175935933</v>
      </c>
      <c r="N37" s="39">
        <f t="shared" si="8"/>
        <v>0.16461734934514338</v>
      </c>
      <c r="O37" s="39">
        <f t="shared" si="8"/>
        <v>0.16325618026248703</v>
      </c>
      <c r="P37" s="39">
        <f t="shared" si="8"/>
        <v>0.15540451641227285</v>
      </c>
      <c r="Q37" s="39">
        <f t="shared" si="8"/>
        <v>0.14821092461888233</v>
      </c>
      <c r="R37" s="39">
        <f t="shared" si="8"/>
        <v>0.14364557155706767</v>
      </c>
      <c r="S37" s="39">
        <f t="shared" si="8"/>
        <v>0.11952212264604159</v>
      </c>
      <c r="T37" s="39">
        <f t="shared" si="8"/>
        <v>0.1062398205350735</v>
      </c>
      <c r="U37" s="39">
        <f t="shared" si="8"/>
        <v>0.11544637201617959</v>
      </c>
      <c r="V37" s="4"/>
    </row>
    <row r="38" spans="1:50">
      <c r="A38" t="s">
        <v>244</v>
      </c>
      <c r="B38" s="1"/>
      <c r="C38" s="1"/>
      <c r="D38" s="1"/>
      <c r="E38" s="39">
        <f t="shared" ref="E38:U38" si="9">E5/E3</f>
        <v>0.37535513342434335</v>
      </c>
      <c r="F38" s="39">
        <f t="shared" si="9"/>
        <v>0.37111234531706216</v>
      </c>
      <c r="G38" s="39">
        <f t="shared" si="9"/>
        <v>0.36573891006261178</v>
      </c>
      <c r="H38" s="39">
        <f t="shared" si="9"/>
        <v>0.36438910791351314</v>
      </c>
      <c r="I38" s="39">
        <f t="shared" si="9"/>
        <v>0.3641214560535691</v>
      </c>
      <c r="J38" s="39">
        <f t="shared" si="9"/>
        <v>0.34828744807405293</v>
      </c>
      <c r="K38" s="39">
        <f t="shared" si="9"/>
        <v>0.34888351930400496</v>
      </c>
      <c r="L38" s="39">
        <f t="shared" si="9"/>
        <v>0.33797634969078516</v>
      </c>
      <c r="M38" s="39">
        <f t="shared" si="9"/>
        <v>0.33368228961887725</v>
      </c>
      <c r="N38" s="39">
        <f t="shared" si="9"/>
        <v>0.3426954011662538</v>
      </c>
      <c r="O38" s="39">
        <f t="shared" si="9"/>
        <v>0.34162518648027462</v>
      </c>
      <c r="P38" s="39">
        <f t="shared" si="9"/>
        <v>0.34289609581727215</v>
      </c>
      <c r="Q38" s="39">
        <f t="shared" si="9"/>
        <v>0.34497301337042169</v>
      </c>
      <c r="R38" s="39">
        <f t="shared" si="9"/>
        <v>0.34290194868253138</v>
      </c>
      <c r="S38" s="39">
        <f t="shared" si="9"/>
        <v>0.34647187091399373</v>
      </c>
      <c r="T38" s="39">
        <f t="shared" si="9"/>
        <v>0.32809241448682341</v>
      </c>
      <c r="U38" s="39">
        <f t="shared" si="9"/>
        <v>0.32577399979729416</v>
      </c>
      <c r="V38" s="4"/>
    </row>
    <row r="39" spans="1:50">
      <c r="A39" t="s">
        <v>245</v>
      </c>
      <c r="B39" s="1" t="s">
        <v>229</v>
      </c>
      <c r="C39" s="1" t="s">
        <v>10</v>
      </c>
      <c r="D39" s="1"/>
      <c r="E39" s="39">
        <f>E38+E37</f>
        <v>0.54810032886118287</v>
      </c>
      <c r="F39" s="39">
        <f t="shared" ref="F39:U39" si="10">F5/F3+F37</f>
        <v>0.54741580718148697</v>
      </c>
      <c r="G39" s="39">
        <f t="shared" si="10"/>
        <v>0.54508773535227717</v>
      </c>
      <c r="H39" s="39">
        <f t="shared" si="10"/>
        <v>0.53073641771526103</v>
      </c>
      <c r="I39" s="39">
        <f t="shared" si="10"/>
        <v>0.52088313643151074</v>
      </c>
      <c r="J39" s="39">
        <f t="shared" si="10"/>
        <v>0.50764167464952958</v>
      </c>
      <c r="K39" s="39">
        <f t="shared" si="10"/>
        <v>0.51652434710819772</v>
      </c>
      <c r="L39" s="39">
        <f t="shared" si="10"/>
        <v>0.50652812354672139</v>
      </c>
      <c r="M39" s="39">
        <f t="shared" si="10"/>
        <v>0.5006820913782366</v>
      </c>
      <c r="N39" s="39">
        <f t="shared" si="10"/>
        <v>0.50731275051139724</v>
      </c>
      <c r="O39" s="39">
        <f t="shared" si="10"/>
        <v>0.50488136674276163</v>
      </c>
      <c r="P39" s="39">
        <f t="shared" si="10"/>
        <v>0.49830061222954503</v>
      </c>
      <c r="Q39" s="39">
        <f t="shared" si="10"/>
        <v>0.49318393798930404</v>
      </c>
      <c r="R39" s="39">
        <f t="shared" si="10"/>
        <v>0.48654752023959902</v>
      </c>
      <c r="S39" s="39">
        <f t="shared" si="10"/>
        <v>0.46599399356003535</v>
      </c>
      <c r="T39" s="39">
        <f t="shared" si="10"/>
        <v>0.43433223502189688</v>
      </c>
      <c r="U39" s="39">
        <f t="shared" si="10"/>
        <v>0.44122037181347373</v>
      </c>
    </row>
    <row r="40" spans="1:50">
      <c r="A40" t="s">
        <v>246</v>
      </c>
      <c r="B40" s="1"/>
      <c r="C40" s="1"/>
      <c r="D40" s="1"/>
      <c r="E40" s="39">
        <f t="shared" ref="E40:U40" si="11">E6/E3</f>
        <v>0.22428793042331902</v>
      </c>
      <c r="F40" s="39">
        <f t="shared" si="11"/>
        <v>0.22208675494973024</v>
      </c>
      <c r="G40" s="39">
        <f t="shared" si="11"/>
        <v>0.22110105555171161</v>
      </c>
      <c r="H40" s="39">
        <f t="shared" si="11"/>
        <v>0.22556684203327731</v>
      </c>
      <c r="I40" s="39">
        <f t="shared" si="11"/>
        <v>0.22531778004139871</v>
      </c>
      <c r="J40" s="39">
        <f t="shared" si="11"/>
        <v>0.23274551814069053</v>
      </c>
      <c r="K40" s="39">
        <f t="shared" si="11"/>
        <v>0.22042016699246589</v>
      </c>
      <c r="L40" s="39">
        <f t="shared" si="11"/>
        <v>0.21919292570545609</v>
      </c>
      <c r="M40" s="39">
        <f t="shared" si="11"/>
        <v>0.21730459712472117</v>
      </c>
      <c r="N40" s="39">
        <f t="shared" si="11"/>
        <v>0.19851369402410557</v>
      </c>
      <c r="O40" s="39">
        <f t="shared" si="11"/>
        <v>0.20444882765321729</v>
      </c>
      <c r="P40" s="39">
        <f t="shared" si="11"/>
        <v>0.21460056373601263</v>
      </c>
      <c r="Q40" s="39">
        <f t="shared" si="11"/>
        <v>0.22202434005244748</v>
      </c>
      <c r="R40" s="39">
        <f t="shared" si="11"/>
        <v>0.2192835489328436</v>
      </c>
      <c r="S40" s="39">
        <f t="shared" si="11"/>
        <v>0.22975946863010183</v>
      </c>
      <c r="T40" s="39">
        <f t="shared" si="11"/>
        <v>0.24400788630596879</v>
      </c>
      <c r="U40" s="39">
        <f t="shared" si="11"/>
        <v>0.23917572148289362</v>
      </c>
    </row>
    <row r="41" spans="1:50">
      <c r="A41" t="s">
        <v>247</v>
      </c>
      <c r="B41" s="1" t="s">
        <v>229</v>
      </c>
      <c r="C41" s="1" t="s">
        <v>10</v>
      </c>
      <c r="D41" s="1"/>
      <c r="E41" s="39">
        <f>E40+E39</f>
        <v>0.77238825928450194</v>
      </c>
      <c r="F41" s="39">
        <f t="shared" ref="F41:U41" si="12">F6/F3+F39</f>
        <v>0.76950256213121726</v>
      </c>
      <c r="G41" s="39">
        <f t="shared" si="12"/>
        <v>0.76618879090398884</v>
      </c>
      <c r="H41" s="39">
        <f t="shared" si="12"/>
        <v>0.7563032597485384</v>
      </c>
      <c r="I41" s="39">
        <f t="shared" si="12"/>
        <v>0.74620091647290943</v>
      </c>
      <c r="J41" s="39">
        <f t="shared" si="12"/>
        <v>0.74038719279022014</v>
      </c>
      <c r="K41" s="39">
        <f t="shared" si="12"/>
        <v>0.73694451410066364</v>
      </c>
      <c r="L41" s="39">
        <f t="shared" si="12"/>
        <v>0.72572104925217751</v>
      </c>
      <c r="M41" s="39">
        <f t="shared" si="12"/>
        <v>0.71798668850295777</v>
      </c>
      <c r="N41" s="39">
        <f t="shared" si="12"/>
        <v>0.70582644453550281</v>
      </c>
      <c r="O41" s="39">
        <f t="shared" si="12"/>
        <v>0.70933019439597889</v>
      </c>
      <c r="P41" s="39">
        <f t="shared" si="12"/>
        <v>0.71290117596555769</v>
      </c>
      <c r="Q41" s="39">
        <f t="shared" si="12"/>
        <v>0.71520827804175147</v>
      </c>
      <c r="R41" s="39">
        <f t="shared" si="12"/>
        <v>0.70583106917244265</v>
      </c>
      <c r="S41" s="39">
        <f t="shared" si="12"/>
        <v>0.69575346219013712</v>
      </c>
      <c r="T41" s="39">
        <f t="shared" si="12"/>
        <v>0.6783401213278657</v>
      </c>
      <c r="U41" s="39">
        <f t="shared" si="12"/>
        <v>0.6803960932963673</v>
      </c>
    </row>
    <row r="42" spans="1:50">
      <c r="A42" t="s">
        <v>248</v>
      </c>
      <c r="B42" s="1" t="s">
        <v>229</v>
      </c>
      <c r="C42" s="1" t="s">
        <v>10</v>
      </c>
      <c r="D42" s="1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AD42" s="34">
        <f>G63</f>
        <v>5.3173196157816509E-2</v>
      </c>
      <c r="AX42" s="34">
        <f>G66</f>
        <v>6.2601216214010214E-3</v>
      </c>
    </row>
    <row r="43" spans="1:50">
      <c r="A43" t="s">
        <v>249</v>
      </c>
      <c r="B43" s="1" t="s">
        <v>229</v>
      </c>
      <c r="C43" s="1" t="s">
        <v>10</v>
      </c>
      <c r="D43" s="1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AD43" s="34">
        <f>AD42+AD44</f>
        <v>0.38170307414420374</v>
      </c>
      <c r="AX43" s="34">
        <f>AX42+AX44</f>
        <v>9.7670959955789616E-2</v>
      </c>
    </row>
    <row r="44" spans="1:50" ht="15.75" customHeight="1">
      <c r="A44" t="s">
        <v>250</v>
      </c>
      <c r="AD44" s="34">
        <f>E63+H63</f>
        <v>0.32852987798638722</v>
      </c>
      <c r="AX44" s="34">
        <f>E66+H66</f>
        <v>9.1410838334388594E-2</v>
      </c>
    </row>
    <row r="45" spans="1:50">
      <c r="A45" t="s">
        <v>251</v>
      </c>
      <c r="B45" s="1" t="s">
        <v>229</v>
      </c>
      <c r="C45" s="1" t="s">
        <v>10</v>
      </c>
      <c r="D45" s="1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AD45" s="34">
        <f>AD43+AD46</f>
        <v>0.57396136739729187</v>
      </c>
      <c r="AX45" s="34">
        <f>AX43+AX46</f>
        <v>0.17458095642569407</v>
      </c>
    </row>
    <row r="46" spans="1:50">
      <c r="A46" t="s">
        <v>252</v>
      </c>
      <c r="B46" s="1"/>
      <c r="C46" s="1"/>
      <c r="D46" s="1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AD46" s="34">
        <f>F63+I63</f>
        <v>0.19225829325308808</v>
      </c>
      <c r="AX46" s="34">
        <f>F66+I66</f>
        <v>7.6909996469904457E-2</v>
      </c>
    </row>
    <row r="47" spans="1:50" ht="15.75" customHeight="1">
      <c r="A47" t="s">
        <v>253</v>
      </c>
      <c r="B47" s="1"/>
      <c r="C47" s="1"/>
      <c r="D47" s="1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39">
        <v>0.11544637201617959</v>
      </c>
      <c r="V47" s="39">
        <v>0.10852713025413925</v>
      </c>
      <c r="W47" s="39">
        <v>0.1016078884920989</v>
      </c>
      <c r="X47" s="39">
        <v>9.4688646730058557E-2</v>
      </c>
      <c r="Y47" s="39">
        <v>8.7769404968018216E-2</v>
      </c>
      <c r="Z47" s="39">
        <v>8.0850163205977876E-2</v>
      </c>
      <c r="AA47" s="39">
        <v>7.3930921443937536E-2</v>
      </c>
      <c r="AB47" s="39">
        <v>6.7011679681897196E-2</v>
      </c>
      <c r="AC47" s="39">
        <v>6.0092437919856849E-2</v>
      </c>
      <c r="AD47" s="39">
        <v>5.3173196157816502E-2</v>
      </c>
      <c r="AE47" s="39">
        <v>5.0827542430995729E-2</v>
      </c>
      <c r="AF47" s="39">
        <v>4.8481888704174955E-2</v>
      </c>
      <c r="AG47" s="39">
        <v>4.6136234977354182E-2</v>
      </c>
      <c r="AH47" s="39">
        <v>4.3790581250533409E-2</v>
      </c>
      <c r="AI47" s="39">
        <v>4.1444927523712635E-2</v>
      </c>
      <c r="AJ47" s="39">
        <v>3.9099273796891862E-2</v>
      </c>
      <c r="AK47" s="39">
        <v>3.6753620070071089E-2</v>
      </c>
      <c r="AL47" s="39">
        <v>3.4407966343250315E-2</v>
      </c>
      <c r="AM47" s="39">
        <v>3.2062312616429542E-2</v>
      </c>
      <c r="AN47" s="39">
        <v>2.9716658889608765E-2</v>
      </c>
      <c r="AO47" s="39">
        <v>2.7371005162787988E-2</v>
      </c>
      <c r="AP47" s="39">
        <v>2.5025351435967215E-2</v>
      </c>
      <c r="AQ47" s="39">
        <v>2.2679697709146442E-2</v>
      </c>
      <c r="AR47" s="39">
        <v>2.0334043982325668E-2</v>
      </c>
      <c r="AS47" s="39">
        <v>1.7988390255504895E-2</v>
      </c>
      <c r="AT47" s="39">
        <v>1.5642736528684122E-2</v>
      </c>
      <c r="AU47" s="39">
        <v>1.3297082801863348E-2</v>
      </c>
      <c r="AV47" s="39">
        <v>1.0951429075042575E-2</v>
      </c>
      <c r="AW47" s="39">
        <v>8.6057753482218016E-3</v>
      </c>
      <c r="AX47" s="58">
        <v>6.2601216214010283E-3</v>
      </c>
    </row>
    <row r="48" spans="1:50">
      <c r="A48" t="s">
        <v>254</v>
      </c>
      <c r="U48" s="39">
        <v>0.44122037181347373</v>
      </c>
      <c r="V48" s="39">
        <v>0.43460733873911039</v>
      </c>
      <c r="W48" s="39">
        <v>0.42799430566474705</v>
      </c>
      <c r="X48" s="39">
        <v>0.42138127259038372</v>
      </c>
      <c r="Y48" s="39">
        <v>0.41476823951602038</v>
      </c>
      <c r="Z48" s="39">
        <v>0.40815520644165704</v>
      </c>
      <c r="AA48" s="39">
        <v>0.40154217336729375</v>
      </c>
      <c r="AB48" s="39">
        <v>0.39492914029293041</v>
      </c>
      <c r="AC48" s="39">
        <v>0.38831610721856707</v>
      </c>
      <c r="AD48" s="39">
        <v>0.38170307414420374</v>
      </c>
      <c r="AE48" s="39">
        <v>0.36750146843478304</v>
      </c>
      <c r="AF48" s="39">
        <v>0.35329986272536229</v>
      </c>
      <c r="AG48" s="39">
        <v>0.3390982570159416</v>
      </c>
      <c r="AH48" s="39">
        <v>0.3248966513065209</v>
      </c>
      <c r="AI48" s="39">
        <v>0.31069504559710021</v>
      </c>
      <c r="AJ48" s="39">
        <v>0.29649343988767951</v>
      </c>
      <c r="AK48" s="39">
        <v>0.28229183417825882</v>
      </c>
      <c r="AL48" s="39">
        <v>0.26809022846883812</v>
      </c>
      <c r="AM48" s="39">
        <v>0.25388862275941737</v>
      </c>
      <c r="AN48" s="39">
        <v>0.2396870170499967</v>
      </c>
      <c r="AO48" s="39">
        <v>0.22548541134057598</v>
      </c>
      <c r="AP48" s="39">
        <v>0.21128380563115529</v>
      </c>
      <c r="AQ48" s="39">
        <v>0.19708219992173459</v>
      </c>
      <c r="AR48" s="39">
        <v>0.18288059421231387</v>
      </c>
      <c r="AS48" s="39">
        <v>0.16867898850289317</v>
      </c>
      <c r="AT48" s="39">
        <v>0.15447738279347248</v>
      </c>
      <c r="AU48" s="39">
        <v>0.14027577708405176</v>
      </c>
      <c r="AV48" s="39">
        <v>0.12607417137463106</v>
      </c>
      <c r="AW48" s="39">
        <v>0.11187256566521037</v>
      </c>
      <c r="AX48" s="39">
        <v>9.7670959955789671E-2</v>
      </c>
    </row>
    <row r="49" spans="1:50">
      <c r="A49" t="s">
        <v>255</v>
      </c>
      <c r="U49" s="39">
        <v>0.68039609329636741</v>
      </c>
      <c r="V49" s="39">
        <v>0.66857001264091465</v>
      </c>
      <c r="W49" s="39">
        <v>0.65674393198546177</v>
      </c>
      <c r="X49" s="39">
        <v>0.6449178513300089</v>
      </c>
      <c r="Y49" s="39">
        <v>0.63309177067455613</v>
      </c>
      <c r="Z49" s="39">
        <v>0.62126569001910326</v>
      </c>
      <c r="AA49" s="39">
        <v>0.60943960936365038</v>
      </c>
      <c r="AB49" s="39">
        <v>0.59761352870819762</v>
      </c>
      <c r="AC49" s="39">
        <v>0.58578744805274474</v>
      </c>
      <c r="AD49" s="39">
        <v>0.57396136739729187</v>
      </c>
      <c r="AE49" s="39">
        <v>0.5539923468487119</v>
      </c>
      <c r="AF49" s="39">
        <v>0.53402332630013205</v>
      </c>
      <c r="AG49" s="39">
        <v>0.5140543057515522</v>
      </c>
      <c r="AH49" s="39">
        <v>0.49408528520297224</v>
      </c>
      <c r="AI49" s="39">
        <v>0.47411626465439238</v>
      </c>
      <c r="AJ49" s="39">
        <v>0.45414724410581248</v>
      </c>
      <c r="AK49" s="39">
        <v>0.43417822355723257</v>
      </c>
      <c r="AL49" s="39">
        <v>0.41420920300865272</v>
      </c>
      <c r="AM49" s="39">
        <v>0.39424018246007281</v>
      </c>
      <c r="AN49" s="39">
        <v>0.3742711619114929</v>
      </c>
      <c r="AO49" s="39">
        <v>0.35430214136291305</v>
      </c>
      <c r="AP49" s="39">
        <v>0.33433312081433314</v>
      </c>
      <c r="AQ49" s="39">
        <v>0.31436410026575323</v>
      </c>
      <c r="AR49" s="39">
        <v>0.29439507971717338</v>
      </c>
      <c r="AS49" s="39">
        <v>0.27442605916859347</v>
      </c>
      <c r="AT49" s="39">
        <v>0.25445703862001356</v>
      </c>
      <c r="AU49" s="39">
        <v>0.23448801807143371</v>
      </c>
      <c r="AV49" s="39">
        <v>0.2145189975228538</v>
      </c>
      <c r="AW49" s="39">
        <v>0.1945499769742739</v>
      </c>
      <c r="AX49" s="39">
        <v>0.17458095642569404</v>
      </c>
    </row>
    <row r="51" spans="1:50">
      <c r="E51" t="s">
        <v>256</v>
      </c>
      <c r="F51" t="s">
        <v>257</v>
      </c>
      <c r="G51" t="s">
        <v>258</v>
      </c>
    </row>
    <row r="52" spans="1:50">
      <c r="A52" t="s">
        <v>40</v>
      </c>
      <c r="E52" s="58">
        <f>(U41-E41)/16</f>
        <v>-5.7495103742584153E-3</v>
      </c>
      <c r="F52" s="59">
        <f>X49-W49</f>
        <v>-1.1826080655452875E-2</v>
      </c>
      <c r="G52" s="59">
        <f>AE49-AD49</f>
        <v>-1.9969020548579963E-2</v>
      </c>
    </row>
    <row r="53" spans="1:50">
      <c r="E53" s="58"/>
    </row>
    <row r="54" spans="1:50">
      <c r="E54" s="58"/>
    </row>
    <row r="55" spans="1:50">
      <c r="E55">
        <v>2005</v>
      </c>
      <c r="F55">
        <v>2021</v>
      </c>
      <c r="G55">
        <v>2050</v>
      </c>
    </row>
    <row r="56" spans="1:50">
      <c r="A56" t="s">
        <v>189</v>
      </c>
      <c r="E56" s="4">
        <f>E5</f>
        <v>7001.1600634100014</v>
      </c>
      <c r="F56" s="4">
        <f>U5</f>
        <v>5386.3396224600001</v>
      </c>
      <c r="G56" s="4">
        <f>E67+H67</f>
        <v>110.60031363530715</v>
      </c>
    </row>
    <row r="57" spans="1:50">
      <c r="A57" t="s">
        <v>259</v>
      </c>
      <c r="E57" s="4">
        <f>E6</f>
        <v>4183.4400581100008</v>
      </c>
      <c r="F57" s="4">
        <f>U6</f>
        <v>3954.52573304</v>
      </c>
      <c r="G57" s="4">
        <f>F67+I67</f>
        <v>93.055373807481573</v>
      </c>
    </row>
    <row r="61" spans="1:50" s="57" customFormat="1" ht="15.75" customHeight="1">
      <c r="A61" s="57" t="s">
        <v>260</v>
      </c>
    </row>
    <row r="62" spans="1:50">
      <c r="B62" s="1" t="s">
        <v>0</v>
      </c>
      <c r="C62" s="1" t="s">
        <v>1</v>
      </c>
      <c r="D62" s="1"/>
      <c r="E62" s="29" t="s">
        <v>186</v>
      </c>
      <c r="F62" s="29" t="s">
        <v>187</v>
      </c>
      <c r="G62" s="29" t="s">
        <v>188</v>
      </c>
      <c r="H62" s="29" t="s">
        <v>189</v>
      </c>
      <c r="I62" s="29" t="s">
        <v>173</v>
      </c>
      <c r="J62" s="29" t="s">
        <v>190</v>
      </c>
      <c r="K62" s="29" t="s">
        <v>191</v>
      </c>
      <c r="L62" s="29" t="s">
        <v>192</v>
      </c>
      <c r="M62" s="29" t="s">
        <v>148</v>
      </c>
      <c r="N62" s="29" t="s">
        <v>193</v>
      </c>
      <c r="O62" s="29"/>
      <c r="P62" s="29" t="s">
        <v>40</v>
      </c>
    </row>
    <row r="63" spans="1:50">
      <c r="A63" t="s">
        <v>261</v>
      </c>
      <c r="B63" t="s">
        <v>262</v>
      </c>
      <c r="C63" t="s">
        <v>7</v>
      </c>
      <c r="E63" s="30">
        <v>7.2551055844482987E-2</v>
      </c>
      <c r="F63" s="30">
        <v>1.444345011840264E-2</v>
      </c>
      <c r="G63" s="30">
        <v>5.3173196157816509E-2</v>
      </c>
      <c r="H63" s="30">
        <v>0.25597882214190426</v>
      </c>
      <c r="I63" s="30">
        <v>0.17781484313468543</v>
      </c>
      <c r="J63" s="30">
        <v>0.10632337955885914</v>
      </c>
      <c r="K63" s="30">
        <v>4.4843280030388194E-4</v>
      </c>
      <c r="L63" s="30">
        <v>0</v>
      </c>
      <c r="M63" s="30">
        <v>0.18811014505790755</v>
      </c>
      <c r="N63" s="30">
        <v>0.1311566751856377</v>
      </c>
      <c r="O63" s="29"/>
      <c r="P63" s="32">
        <v>1144.5136016900615</v>
      </c>
    </row>
    <row r="64" spans="1:50">
      <c r="A64" t="s">
        <v>261</v>
      </c>
      <c r="B64" t="s">
        <v>262</v>
      </c>
      <c r="E64" s="5">
        <f t="shared" ref="E64:N64" si="13">E63*$P$63</f>
        <v>83.035670230986014</v>
      </c>
      <c r="F64" s="5">
        <f t="shared" si="13"/>
        <v>16.530725115843751</v>
      </c>
      <c r="G64" s="5">
        <f t="shared" si="13"/>
        <v>60.857446247954712</v>
      </c>
      <c r="H64" s="5">
        <f t="shared" si="13"/>
        <v>292.9712436860105</v>
      </c>
      <c r="I64" s="5">
        <f t="shared" si="13"/>
        <v>203.51150655003212</v>
      </c>
      <c r="J64" s="5">
        <f t="shared" si="13"/>
        <v>121.68855408276933</v>
      </c>
      <c r="K64" s="5">
        <f t="shared" si="13"/>
        <v>0.51323743939175603</v>
      </c>
      <c r="L64" s="5">
        <f t="shared" si="13"/>
        <v>0</v>
      </c>
      <c r="M64" s="5">
        <f t="shared" si="13"/>
        <v>215.29461963466568</v>
      </c>
      <c r="N64" s="5">
        <f t="shared" si="13"/>
        <v>150.11059870240771</v>
      </c>
    </row>
    <row r="66" spans="1:50">
      <c r="A66" t="s">
        <v>263</v>
      </c>
      <c r="B66" t="s">
        <v>262</v>
      </c>
      <c r="E66" s="30">
        <v>6.2277208546326235E-2</v>
      </c>
      <c r="F66" s="30">
        <v>1.1109029082050491E-2</v>
      </c>
      <c r="G66" s="30">
        <v>6.2601216214010214E-3</v>
      </c>
      <c r="H66" s="30">
        <v>2.913362978806236E-2</v>
      </c>
      <c r="I66" s="30">
        <v>6.5800967387853959E-2</v>
      </c>
      <c r="J66" s="30">
        <v>0.14273087297806403</v>
      </c>
      <c r="K66" s="30">
        <v>2.518937666503426E-2</v>
      </c>
      <c r="L66" s="30">
        <v>3.8992314559216708E-2</v>
      </c>
      <c r="M66" s="30">
        <v>0.42126270453236381</v>
      </c>
      <c r="N66" s="30">
        <v>0.19724377483962718</v>
      </c>
      <c r="O66" s="29"/>
      <c r="P66" s="32">
        <v>1209.925602374653</v>
      </c>
    </row>
    <row r="67" spans="1:50">
      <c r="A67" t="s">
        <v>263</v>
      </c>
      <c r="B67" t="s">
        <v>262</v>
      </c>
      <c r="E67" s="5">
        <f t="shared" ref="E67:N67" si="14">E66*$P$66</f>
        <v>75.350789064625658</v>
      </c>
      <c r="F67" s="5">
        <f t="shared" si="14"/>
        <v>13.441098703897477</v>
      </c>
      <c r="G67" s="5">
        <f t="shared" si="14"/>
        <v>7.57428142371222</v>
      </c>
      <c r="H67" s="5">
        <f t="shared" si="14"/>
        <v>35.24952457068148</v>
      </c>
      <c r="I67" s="5">
        <f t="shared" si="14"/>
        <v>79.614275103584092</v>
      </c>
      <c r="J67" s="5">
        <f t="shared" si="14"/>
        <v>172.6937374654442</v>
      </c>
      <c r="K67" s="5">
        <f t="shared" si="14"/>
        <v>30.477271734883605</v>
      </c>
      <c r="L67" s="5">
        <f t="shared" si="14"/>
        <v>47.177799681042224</v>
      </c>
      <c r="M67" s="5">
        <f t="shared" si="14"/>
        <v>509.69653153929573</v>
      </c>
      <c r="N67" s="5">
        <f t="shared" si="14"/>
        <v>238.65029308748635</v>
      </c>
    </row>
    <row r="76" spans="1:50" s="57" customFormat="1">
      <c r="A76" s="57" t="s">
        <v>264</v>
      </c>
    </row>
    <row r="77" spans="1:50">
      <c r="B77" s="1" t="s">
        <v>0</v>
      </c>
      <c r="C77" s="1" t="s">
        <v>1</v>
      </c>
      <c r="D77" s="1"/>
      <c r="E77" t="s">
        <v>36</v>
      </c>
      <c r="J77" t="s">
        <v>37</v>
      </c>
      <c r="O77" t="s">
        <v>38</v>
      </c>
      <c r="T77" t="s">
        <v>39</v>
      </c>
      <c r="Y77">
        <v>2025</v>
      </c>
      <c r="AD77">
        <v>2030</v>
      </c>
      <c r="AI77">
        <v>2035</v>
      </c>
      <c r="AN77">
        <v>2040</v>
      </c>
      <c r="AS77">
        <v>2045</v>
      </c>
      <c r="AX77">
        <v>2050</v>
      </c>
    </row>
    <row r="78" spans="1:50">
      <c r="A78" t="s">
        <v>40</v>
      </c>
      <c r="B78" s="1" t="s">
        <v>229</v>
      </c>
      <c r="C78" s="1" t="s">
        <v>10</v>
      </c>
      <c r="D78" s="1"/>
      <c r="E78" s="4">
        <v>1603791.5919999999</v>
      </c>
      <c r="F78" s="4">
        <v>1617264.7490000001</v>
      </c>
      <c r="G78" s="4">
        <v>1596724.1410000001</v>
      </c>
      <c r="H78" s="4">
        <v>1592798.0759999999</v>
      </c>
      <c r="I78" s="4">
        <v>1498735.4080000001</v>
      </c>
      <c r="J78" s="4">
        <v>1558965.547</v>
      </c>
      <c r="K78" s="4">
        <v>1513097.7239999999</v>
      </c>
      <c r="L78" s="4">
        <v>1493743.176</v>
      </c>
      <c r="M78" s="4">
        <v>1478955.067</v>
      </c>
      <c r="N78" s="4">
        <v>1428215.209</v>
      </c>
      <c r="O78" s="4">
        <v>1448169.923</v>
      </c>
      <c r="P78" s="4">
        <v>1460169.976</v>
      </c>
      <c r="Q78" s="4">
        <v>1490808.62</v>
      </c>
      <c r="R78" s="4">
        <v>1481330.9779999999</v>
      </c>
      <c r="S78" s="4">
        <v>1458297.436</v>
      </c>
      <c r="T78" s="4">
        <v>1340095.6089999999</v>
      </c>
      <c r="U78" s="4">
        <v>1421666.07</v>
      </c>
      <c r="V78" s="4"/>
    </row>
    <row r="79" spans="1:50">
      <c r="A79" t="s">
        <v>143</v>
      </c>
      <c r="B79" s="1" t="s">
        <v>229</v>
      </c>
      <c r="C79" s="1" t="s">
        <v>10</v>
      </c>
      <c r="D79" s="1"/>
      <c r="E79" s="4">
        <v>274253.32299999997</v>
      </c>
      <c r="F79" s="4">
        <v>281811.37</v>
      </c>
      <c r="G79" s="4">
        <v>282735.87099999998</v>
      </c>
      <c r="H79" s="4">
        <v>261491.26699999999</v>
      </c>
      <c r="I79" s="4">
        <v>231679.48699999999</v>
      </c>
      <c r="J79" s="4">
        <v>245080.872</v>
      </c>
      <c r="K79" s="4">
        <v>250502.005</v>
      </c>
      <c r="L79" s="4">
        <v>248764.79199999999</v>
      </c>
      <c r="M79" s="4">
        <v>244923.24400000001</v>
      </c>
      <c r="N79" s="4">
        <v>232764.39199999999</v>
      </c>
      <c r="O79" s="4">
        <v>234079.30600000001</v>
      </c>
      <c r="P79" s="4">
        <v>224584.15400000001</v>
      </c>
      <c r="Q79" s="4">
        <v>218776.696</v>
      </c>
      <c r="R79" s="4">
        <v>210423.04500000001</v>
      </c>
      <c r="S79" s="4">
        <v>171994.66</v>
      </c>
      <c r="T79" s="4">
        <v>140629.43100000001</v>
      </c>
      <c r="U79" s="4">
        <v>162756.321</v>
      </c>
      <c r="V79" s="4"/>
    </row>
    <row r="80" spans="1:50">
      <c r="A80" t="s">
        <v>170</v>
      </c>
      <c r="B80" s="1" t="s">
        <v>229</v>
      </c>
      <c r="C80" s="1" t="s">
        <v>10</v>
      </c>
      <c r="D80" s="1"/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/>
    </row>
    <row r="81" spans="1:50">
      <c r="A81" t="s">
        <v>171</v>
      </c>
      <c r="B81" s="1" t="s">
        <v>229</v>
      </c>
      <c r="C81" s="1" t="s">
        <v>10</v>
      </c>
      <c r="D81" s="1"/>
      <c r="E81" s="4">
        <v>2793.9690000000001</v>
      </c>
      <c r="F81" s="4">
        <v>3318.0039999999999</v>
      </c>
      <c r="G81" s="4">
        <v>3634.7280000000001</v>
      </c>
      <c r="H81" s="4">
        <v>3466.4079999999999</v>
      </c>
      <c r="I81" s="4">
        <v>3264.7939999999999</v>
      </c>
      <c r="J81" s="4">
        <v>3346.877</v>
      </c>
      <c r="K81" s="4">
        <v>3154.95</v>
      </c>
      <c r="L81" s="4">
        <v>3008.27</v>
      </c>
      <c r="M81" s="4">
        <v>2061.9589999999998</v>
      </c>
      <c r="N81" s="4">
        <v>2344.61</v>
      </c>
      <c r="O81" s="4">
        <v>2343.384</v>
      </c>
      <c r="P81" s="4">
        <v>2332.855</v>
      </c>
      <c r="Q81" s="4">
        <v>2177.4279999999999</v>
      </c>
      <c r="R81" s="4">
        <v>2363.59</v>
      </c>
      <c r="S81" s="4">
        <v>2304.145</v>
      </c>
      <c r="T81" s="4">
        <v>1742.086</v>
      </c>
      <c r="U81" s="4">
        <v>1369.8689999999999</v>
      </c>
      <c r="V81" s="4"/>
    </row>
    <row r="82" spans="1:50">
      <c r="A82" t="s">
        <v>172</v>
      </c>
      <c r="B82" s="1"/>
      <c r="C82" s="1"/>
      <c r="D82" s="1"/>
      <c r="E82" s="4">
        <v>3365.8820000000001</v>
      </c>
      <c r="F82" s="4">
        <v>3283.02</v>
      </c>
      <c r="G82" s="4">
        <v>4229.7020000000002</v>
      </c>
      <c r="H82" s="4">
        <v>3365.511</v>
      </c>
      <c r="I82" s="4">
        <v>2488.9760000000001</v>
      </c>
      <c r="J82" s="4">
        <v>4109.7920000000004</v>
      </c>
      <c r="K82" s="4">
        <v>4082.788</v>
      </c>
      <c r="L82" s="4">
        <v>3433.962</v>
      </c>
      <c r="M82" s="4">
        <v>4098.3149999999996</v>
      </c>
      <c r="N82" s="4">
        <v>3932.1179999999999</v>
      </c>
      <c r="O82" s="4">
        <v>3181.2570000000001</v>
      </c>
      <c r="P82" s="4">
        <v>4221.7939999999999</v>
      </c>
      <c r="Q82" s="4">
        <v>4348.723</v>
      </c>
      <c r="R82" s="4">
        <v>4174.3069999999998</v>
      </c>
      <c r="S82" s="4">
        <v>3046.723</v>
      </c>
      <c r="T82" s="4">
        <v>2492.6930000000002</v>
      </c>
      <c r="U82" s="4">
        <v>2725.9479999999999</v>
      </c>
      <c r="V82" s="4"/>
    </row>
    <row r="83" spans="1:50">
      <c r="A83" t="s">
        <v>173</v>
      </c>
      <c r="B83" s="1" t="s">
        <v>229</v>
      </c>
      <c r="C83" s="1" t="s">
        <v>10</v>
      </c>
      <c r="D83" s="1"/>
      <c r="E83" s="4">
        <v>359711.09700000001</v>
      </c>
      <c r="F83" s="4">
        <v>359173.08</v>
      </c>
      <c r="G83" s="4">
        <v>353037.39299999998</v>
      </c>
      <c r="H83" s="4">
        <v>359282.43199999997</v>
      </c>
      <c r="I83" s="4">
        <v>337691.73499999999</v>
      </c>
      <c r="J83" s="4">
        <v>362842.24400000001</v>
      </c>
      <c r="K83" s="4">
        <v>333517.25300000003</v>
      </c>
      <c r="L83" s="4">
        <v>327417.93699999998</v>
      </c>
      <c r="M83" s="4">
        <v>321383.73499999999</v>
      </c>
      <c r="N83" s="4">
        <v>283520.277</v>
      </c>
      <c r="O83" s="4">
        <v>296076.64299999998</v>
      </c>
      <c r="P83" s="4">
        <v>313353.3</v>
      </c>
      <c r="Q83" s="4">
        <v>330995.8</v>
      </c>
      <c r="R83" s="4">
        <v>324831.51400000002</v>
      </c>
      <c r="S83" s="4">
        <v>335057.64399999997</v>
      </c>
      <c r="T83" s="4">
        <v>326993.897</v>
      </c>
      <c r="U83" s="4">
        <v>340028.00799999997</v>
      </c>
      <c r="V83" s="4"/>
    </row>
    <row r="84" spans="1:50">
      <c r="A84" t="s">
        <v>174</v>
      </c>
      <c r="B84" s="1" t="s">
        <v>229</v>
      </c>
      <c r="C84" s="1" t="s">
        <v>10</v>
      </c>
      <c r="D84" s="1"/>
      <c r="E84" s="4">
        <v>598625.52500000002</v>
      </c>
      <c r="F84" s="4">
        <v>596903.89399999997</v>
      </c>
      <c r="G84" s="4">
        <v>579754.44499999995</v>
      </c>
      <c r="H84" s="4">
        <v>577032.75899999996</v>
      </c>
      <c r="I84" s="4">
        <v>543232.74300000002</v>
      </c>
      <c r="J84" s="4">
        <v>538858.34</v>
      </c>
      <c r="K84" s="4">
        <v>523812.071</v>
      </c>
      <c r="L84" s="4">
        <v>501415.90399999998</v>
      </c>
      <c r="M84" s="4">
        <v>489402.79800000001</v>
      </c>
      <c r="N84" s="4">
        <v>485510.66600000003</v>
      </c>
      <c r="O84" s="4">
        <v>491550.06300000002</v>
      </c>
      <c r="P84" s="4">
        <v>496464.79</v>
      </c>
      <c r="Q84" s="4">
        <v>509940.01899999997</v>
      </c>
      <c r="R84" s="4">
        <v>503776.97200000001</v>
      </c>
      <c r="S84" s="4">
        <v>502212.31800000003</v>
      </c>
      <c r="T84" s="4">
        <v>437182.511</v>
      </c>
      <c r="U84" s="4">
        <v>460415.89399999997</v>
      </c>
      <c r="V84" s="4"/>
    </row>
    <row r="85" spans="1:50">
      <c r="A85" t="s">
        <v>175</v>
      </c>
      <c r="B85" s="1" t="s">
        <v>229</v>
      </c>
      <c r="C85" s="1" t="s">
        <v>10</v>
      </c>
      <c r="D85" s="1"/>
      <c r="E85" s="4">
        <v>119920.19100000001</v>
      </c>
      <c r="F85" s="4">
        <v>127927.246</v>
      </c>
      <c r="G85" s="4">
        <v>137982.33600000001</v>
      </c>
      <c r="H85" s="4">
        <v>148646.356</v>
      </c>
      <c r="I85" s="4">
        <v>155747.66800000001</v>
      </c>
      <c r="J85" s="4">
        <v>173285.72200000001</v>
      </c>
      <c r="K85" s="4">
        <v>170521.573</v>
      </c>
      <c r="L85" s="4">
        <v>188517.02100000001</v>
      </c>
      <c r="M85" s="4">
        <v>197961.32399999999</v>
      </c>
      <c r="N85" s="4">
        <v>198234.31</v>
      </c>
      <c r="O85" s="4">
        <v>203974.484</v>
      </c>
      <c r="P85" s="4">
        <v>207258.67600000001</v>
      </c>
      <c r="Q85" s="4">
        <v>215103.34099999999</v>
      </c>
      <c r="R85" s="4">
        <v>224765.639</v>
      </c>
      <c r="S85" s="4">
        <v>232009.65</v>
      </c>
      <c r="T85" s="4">
        <v>239204.41200000001</v>
      </c>
      <c r="U85" s="4">
        <v>251466.671</v>
      </c>
      <c r="V85" s="4"/>
    </row>
    <row r="86" spans="1:50">
      <c r="A86" t="s">
        <v>265</v>
      </c>
      <c r="B86" s="1"/>
      <c r="C86" s="1"/>
      <c r="D86" s="1"/>
      <c r="E86" s="4">
        <f>SUM(E87:E93)</f>
        <v>39091.012999999999</v>
      </c>
      <c r="F86" s="4">
        <f t="shared" ref="F86:U86" si="15">SUM(F87:F93)</f>
        <v>40849.508999999991</v>
      </c>
      <c r="G86" s="4">
        <f t="shared" si="15"/>
        <v>43117.099000000002</v>
      </c>
      <c r="H86" s="4">
        <f t="shared" si="15"/>
        <v>46658.856000000007</v>
      </c>
      <c r="I86" s="4">
        <f t="shared" si="15"/>
        <v>48945.244999999995</v>
      </c>
      <c r="J86" s="4">
        <f t="shared" si="15"/>
        <v>55636.907999999996</v>
      </c>
      <c r="K86" s="4">
        <f t="shared" si="15"/>
        <v>56287.603000000003</v>
      </c>
      <c r="L86" s="4">
        <f t="shared" si="15"/>
        <v>63618.900999999983</v>
      </c>
      <c r="M86" s="4">
        <f t="shared" si="15"/>
        <v>70869.194000000003</v>
      </c>
      <c r="N86" s="4">
        <f t="shared" si="15"/>
        <v>74490.459000000003</v>
      </c>
      <c r="O86" s="4">
        <f t="shared" si="15"/>
        <v>76700.573999999993</v>
      </c>
      <c r="P86" s="4">
        <f t="shared" si="15"/>
        <v>78900.738999999987</v>
      </c>
      <c r="Q86" s="4">
        <f t="shared" si="15"/>
        <v>83190.237000000008</v>
      </c>
      <c r="R86" s="4">
        <f t="shared" si="15"/>
        <v>89180.643000000011</v>
      </c>
      <c r="S86" s="4">
        <f t="shared" si="15"/>
        <v>93295.157999999996</v>
      </c>
      <c r="T86" s="4">
        <f t="shared" si="15"/>
        <v>100740.48499999999</v>
      </c>
      <c r="U86" s="4">
        <f t="shared" si="15"/>
        <v>103296.85799999999</v>
      </c>
      <c r="V86" s="4"/>
    </row>
    <row r="87" spans="1:50" outlineLevel="1">
      <c r="A87" t="s">
        <v>266</v>
      </c>
      <c r="B87" s="1"/>
      <c r="C87" s="1"/>
      <c r="D87" s="1"/>
      <c r="E87" s="4">
        <v>26398.14</v>
      </c>
      <c r="F87" s="4">
        <v>26654.115000000002</v>
      </c>
      <c r="G87" s="4">
        <v>26457.823</v>
      </c>
      <c r="H87" s="4">
        <v>27996.803</v>
      </c>
      <c r="I87" s="4">
        <v>28288.850999999999</v>
      </c>
      <c r="J87" s="4">
        <v>31971.186000000002</v>
      </c>
      <c r="K87" s="4">
        <v>26433.826000000001</v>
      </c>
      <c r="L87" s="4">
        <v>28518.713</v>
      </c>
      <c r="M87" s="4">
        <v>31643.449000000001</v>
      </c>
      <c r="N87" s="4">
        <v>31818.505000000001</v>
      </c>
      <c r="O87" s="4">
        <v>28889.782999999999</v>
      </c>
      <c r="P87" s="4">
        <v>29715.545999999998</v>
      </c>
      <c r="Q87" s="4">
        <v>25309.198</v>
      </c>
      <c r="R87" s="4">
        <v>29568.48</v>
      </c>
      <c r="S87" s="4">
        <v>27537.362000000001</v>
      </c>
      <c r="T87" s="4">
        <v>29852.117999999999</v>
      </c>
      <c r="U87" s="4">
        <v>29949.940999999999</v>
      </c>
      <c r="V87" s="4"/>
    </row>
    <row r="88" spans="1:50" outlineLevel="1">
      <c r="A88" t="s">
        <v>178</v>
      </c>
      <c r="B88" s="1" t="s">
        <v>229</v>
      </c>
      <c r="C88" s="1" t="s">
        <v>10</v>
      </c>
      <c r="D88" s="1"/>
      <c r="E88" s="4">
        <v>5304.3389999999999</v>
      </c>
      <c r="F88" s="4">
        <v>5478.5590000000002</v>
      </c>
      <c r="G88" s="4">
        <v>5611.6809999999996</v>
      </c>
      <c r="H88" s="4">
        <v>5609.2460000000001</v>
      </c>
      <c r="I88" s="4">
        <v>5454.4570000000003</v>
      </c>
      <c r="J88" s="4">
        <v>5493.1090000000004</v>
      </c>
      <c r="K88" s="4">
        <v>5789.1540000000005</v>
      </c>
      <c r="L88" s="4">
        <v>5709.8069999999998</v>
      </c>
      <c r="M88" s="4">
        <v>5949.8639999999996</v>
      </c>
      <c r="N88" s="4">
        <v>6189.6239999999998</v>
      </c>
      <c r="O88" s="4">
        <v>6502.3109999999997</v>
      </c>
      <c r="P88" s="4">
        <v>6696.8379999999997</v>
      </c>
      <c r="Q88" s="4">
        <v>6771.7790000000005</v>
      </c>
      <c r="R88" s="4">
        <v>6785.1760000000004</v>
      </c>
      <c r="S88" s="4">
        <v>6898.1890000000003</v>
      </c>
      <c r="T88" s="4">
        <v>6898.3990000000003</v>
      </c>
      <c r="U88" s="4">
        <v>6790.19</v>
      </c>
      <c r="V88" s="4"/>
    </row>
    <row r="89" spans="1:50" outlineLevel="1">
      <c r="A89" t="s">
        <v>267</v>
      </c>
      <c r="B89" s="1" t="s">
        <v>229</v>
      </c>
      <c r="C89" s="1" t="s">
        <v>10</v>
      </c>
      <c r="D89" s="1"/>
      <c r="E89" s="4">
        <v>5855.08</v>
      </c>
      <c r="F89" s="4">
        <v>6767.97</v>
      </c>
      <c r="G89" s="4">
        <v>8590.5</v>
      </c>
      <c r="H89" s="4">
        <v>9736.4449999999997</v>
      </c>
      <c r="I89" s="4">
        <v>10709.884</v>
      </c>
      <c r="J89" s="4">
        <v>12024.261</v>
      </c>
      <c r="K89" s="4">
        <v>14217.275</v>
      </c>
      <c r="L89" s="4">
        <v>16119.422</v>
      </c>
      <c r="M89" s="4">
        <v>18011.593000000001</v>
      </c>
      <c r="N89" s="4">
        <v>19119.231</v>
      </c>
      <c r="O89" s="4">
        <v>22631.531999999999</v>
      </c>
      <c r="P89" s="4">
        <v>22941.928</v>
      </c>
      <c r="Q89" s="4">
        <v>26854.094000000001</v>
      </c>
      <c r="R89" s="4">
        <v>27568.006000000001</v>
      </c>
      <c r="S89" s="4">
        <v>31566.451000000001</v>
      </c>
      <c r="T89" s="4">
        <v>34204.521999999997</v>
      </c>
      <c r="U89" s="4">
        <v>33264.525000000001</v>
      </c>
      <c r="V89" s="4"/>
    </row>
    <row r="90" spans="1:50" outlineLevel="1">
      <c r="A90" t="s">
        <v>177</v>
      </c>
      <c r="B90" s="1" t="s">
        <v>229</v>
      </c>
      <c r="C90" s="1" t="s">
        <v>10</v>
      </c>
      <c r="D90" s="1"/>
      <c r="E90" s="28">
        <v>735.49800000000005</v>
      </c>
      <c r="F90" s="28">
        <v>835.52200000000005</v>
      </c>
      <c r="G90" s="28">
        <v>956.44299999999998</v>
      </c>
      <c r="H90" s="28">
        <v>1118.8510000000001</v>
      </c>
      <c r="I90" s="28">
        <v>1340.4870000000001</v>
      </c>
      <c r="J90" s="28">
        <v>1797.45</v>
      </c>
      <c r="K90" s="28">
        <v>2177.1019999999999</v>
      </c>
      <c r="L90" s="28">
        <v>3254.7719999999999</v>
      </c>
      <c r="M90" s="28">
        <v>3731.0940000000001</v>
      </c>
      <c r="N90" s="28">
        <v>4124.3829999999998</v>
      </c>
      <c r="O90" s="28">
        <v>4293.62</v>
      </c>
      <c r="P90" s="28">
        <v>4350.1469999999999</v>
      </c>
      <c r="Q90" s="28">
        <v>4541.3379999999997</v>
      </c>
      <c r="R90" s="28">
        <v>4297.2190000000001</v>
      </c>
      <c r="S90" s="28">
        <v>4648.4989999999998</v>
      </c>
      <c r="T90" s="28">
        <v>4480.3469999999998</v>
      </c>
      <c r="U90" s="28">
        <v>4551.2830000000004</v>
      </c>
      <c r="AD90" s="5"/>
    </row>
    <row r="91" spans="1:50" outlineLevel="1">
      <c r="A91" t="s">
        <v>268</v>
      </c>
      <c r="B91" s="1" t="s">
        <v>229</v>
      </c>
      <c r="C91" s="1" t="s">
        <v>10</v>
      </c>
      <c r="D91" s="1"/>
      <c r="E91">
        <v>125.425</v>
      </c>
      <c r="F91">
        <v>214.05600000000001</v>
      </c>
      <c r="G91">
        <v>323.86200000000002</v>
      </c>
      <c r="H91" s="28">
        <v>638.13099999999997</v>
      </c>
      <c r="I91" s="28">
        <v>1203.8689999999999</v>
      </c>
      <c r="J91" s="28">
        <v>1931.4559999999999</v>
      </c>
      <c r="K91" s="28">
        <v>3897.6410000000001</v>
      </c>
      <c r="L91" s="28">
        <v>5706.48</v>
      </c>
      <c r="M91" s="28">
        <v>6824.232</v>
      </c>
      <c r="N91" s="28">
        <v>7628.3810000000003</v>
      </c>
      <c r="O91" s="28">
        <v>8191.1980000000003</v>
      </c>
      <c r="P91" s="28">
        <v>8207.866</v>
      </c>
      <c r="Q91" s="28">
        <v>8774.8870000000006</v>
      </c>
      <c r="R91" s="28">
        <v>9303.491</v>
      </c>
      <c r="S91" s="28">
        <v>10163.505999999999</v>
      </c>
      <c r="T91" s="28">
        <v>12048.561</v>
      </c>
      <c r="U91" s="28">
        <v>13636.138000000001</v>
      </c>
      <c r="AO91" s="41"/>
    </row>
    <row r="92" spans="1:50" outlineLevel="1">
      <c r="A92" t="s">
        <v>269</v>
      </c>
      <c r="B92" s="1" t="s">
        <v>229</v>
      </c>
      <c r="C92" s="1" t="s">
        <v>10</v>
      </c>
      <c r="D92" s="1"/>
      <c r="E92">
        <v>41.35</v>
      </c>
      <c r="F92">
        <v>39.92</v>
      </c>
      <c r="G92">
        <v>40.008000000000003</v>
      </c>
      <c r="H92">
        <v>39.993000000000002</v>
      </c>
      <c r="I92" s="28">
        <v>38.537999999999997</v>
      </c>
      <c r="J92" s="28">
        <v>40.963000000000001</v>
      </c>
      <c r="K92" s="28">
        <v>41.039000000000001</v>
      </c>
      <c r="L92" s="28">
        <v>39.380000000000003</v>
      </c>
      <c r="M92" s="28">
        <v>35.561</v>
      </c>
      <c r="N92" s="28">
        <v>41.317999999999998</v>
      </c>
      <c r="O92" s="28">
        <v>41.911000000000001</v>
      </c>
      <c r="P92" s="28">
        <v>43.036000000000001</v>
      </c>
      <c r="Q92" s="28">
        <v>44.86</v>
      </c>
      <c r="R92" s="28">
        <v>41.267000000000003</v>
      </c>
      <c r="S92" s="28">
        <v>42.902999999999999</v>
      </c>
      <c r="T92" s="28">
        <v>43.746000000000002</v>
      </c>
      <c r="U92" s="28">
        <v>43.232999999999997</v>
      </c>
    </row>
    <row r="93" spans="1:50" outlineLevel="1">
      <c r="A93" t="s">
        <v>179</v>
      </c>
      <c r="B93" s="1" t="s">
        <v>229</v>
      </c>
      <c r="C93" s="1" t="s">
        <v>10</v>
      </c>
      <c r="D93" s="1"/>
      <c r="E93">
        <v>631.18100000000004</v>
      </c>
      <c r="F93">
        <v>859.36699999999996</v>
      </c>
      <c r="G93" s="28">
        <v>1136.7819999999999</v>
      </c>
      <c r="H93" s="28">
        <v>1519.3869999999999</v>
      </c>
      <c r="I93" s="28">
        <v>1909.1590000000001</v>
      </c>
      <c r="J93" s="28">
        <v>2378.4830000000002</v>
      </c>
      <c r="K93" s="28">
        <v>3731.5659999999998</v>
      </c>
      <c r="L93" s="28">
        <v>4270.3270000000002</v>
      </c>
      <c r="M93" s="28">
        <v>4673.4009999999998</v>
      </c>
      <c r="N93" s="28">
        <v>5569.0169999999998</v>
      </c>
      <c r="O93" s="28">
        <v>6150.2190000000001</v>
      </c>
      <c r="P93" s="28">
        <v>6945.3779999999997</v>
      </c>
      <c r="Q93" s="28">
        <v>10894.081</v>
      </c>
      <c r="R93" s="28">
        <v>11617.004000000001</v>
      </c>
      <c r="S93" s="28">
        <v>12438.248</v>
      </c>
      <c r="T93" s="28">
        <v>13212.791999999999</v>
      </c>
      <c r="U93" s="28">
        <v>15061.548000000001</v>
      </c>
    </row>
    <row r="94" spans="1:50">
      <c r="A94" t="s">
        <v>270</v>
      </c>
      <c r="B94" s="1"/>
      <c r="C94" s="1"/>
      <c r="D94" s="1"/>
      <c r="E94" s="28">
        <f>SUM(E95:E105)</f>
        <v>80829.177999999971</v>
      </c>
      <c r="F94" s="28">
        <f t="shared" ref="F94:U94" si="16">SUM(F95:F105)</f>
        <v>87077.739000000016</v>
      </c>
      <c r="G94" s="28">
        <f t="shared" si="16"/>
        <v>94865.220000000016</v>
      </c>
      <c r="H94" s="28">
        <f t="shared" si="16"/>
        <v>101987.49799999999</v>
      </c>
      <c r="I94" s="28">
        <f t="shared" si="16"/>
        <v>106802.42500000002</v>
      </c>
      <c r="J94" s="28">
        <f t="shared" si="16"/>
        <v>117648.80600000001</v>
      </c>
      <c r="K94" s="28">
        <f t="shared" si="16"/>
        <v>114233.98499999999</v>
      </c>
      <c r="L94" s="28">
        <f t="shared" si="16"/>
        <v>124898.117</v>
      </c>
      <c r="M94" s="28">
        <f t="shared" si="16"/>
        <v>127092.13100000001</v>
      </c>
      <c r="N94" s="28">
        <f t="shared" si="16"/>
        <v>123743.851</v>
      </c>
      <c r="O94" s="28">
        <f t="shared" si="16"/>
        <v>127273.905</v>
      </c>
      <c r="P94" s="28">
        <f t="shared" si="16"/>
        <v>128357.933</v>
      </c>
      <c r="Q94" s="28">
        <f t="shared" si="16"/>
        <v>131913.106</v>
      </c>
      <c r="R94" s="28">
        <f t="shared" si="16"/>
        <v>135584.99300000002</v>
      </c>
      <c r="S94" s="28">
        <f t="shared" si="16"/>
        <v>138714.49400000001</v>
      </c>
      <c r="T94" s="28">
        <f t="shared" si="16"/>
        <v>138463.92200000002</v>
      </c>
      <c r="U94" s="28">
        <f t="shared" si="16"/>
        <v>148169.802</v>
      </c>
    </row>
    <row r="95" spans="1:50" outlineLevel="1">
      <c r="A95" t="s">
        <v>271</v>
      </c>
      <c r="B95" s="1" t="s">
        <v>229</v>
      </c>
      <c r="C95" s="1" t="s">
        <v>10</v>
      </c>
      <c r="D95" s="1"/>
      <c r="E95" s="28">
        <v>68536.875</v>
      </c>
      <c r="F95" s="28">
        <v>71536.004000000001</v>
      </c>
      <c r="G95" s="28">
        <v>75352.691000000006</v>
      </c>
      <c r="H95" s="28">
        <v>79865.19</v>
      </c>
      <c r="I95" s="28">
        <v>81565.827000000005</v>
      </c>
      <c r="J95" s="28">
        <v>89322.126000000004</v>
      </c>
      <c r="K95" s="28">
        <v>84012.725000000006</v>
      </c>
      <c r="L95" s="28">
        <v>91587.611000000004</v>
      </c>
      <c r="M95" s="28">
        <v>93082.31</v>
      </c>
      <c r="N95" s="28">
        <v>87686.315000000002</v>
      </c>
      <c r="O95" s="28">
        <v>90357.307000000001</v>
      </c>
      <c r="P95" s="28">
        <v>91100.425000000003</v>
      </c>
      <c r="Q95" s="28">
        <v>92415.232999999993</v>
      </c>
      <c r="R95" s="28">
        <v>95156.888999999996</v>
      </c>
      <c r="S95" s="28">
        <v>96912.898000000001</v>
      </c>
      <c r="T95" s="28">
        <v>96151.418999999994</v>
      </c>
      <c r="U95" s="4">
        <v>104133.961</v>
      </c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5"/>
      <c r="AH95" s="45"/>
      <c r="AI95" s="45"/>
      <c r="AJ95" s="45"/>
      <c r="AK95" s="45"/>
      <c r="AL95" s="45"/>
      <c r="AM95" s="45"/>
      <c r="AN95" s="45"/>
      <c r="AO95" s="4"/>
      <c r="AP95" s="4"/>
      <c r="AQ95" s="4"/>
      <c r="AR95" s="4"/>
      <c r="AS95" s="4"/>
      <c r="AT95" s="4"/>
      <c r="AU95" s="4"/>
      <c r="AV95" s="4"/>
      <c r="AW95" s="4"/>
      <c r="AX95" s="4"/>
    </row>
    <row r="96" spans="1:50" outlineLevel="1">
      <c r="A96" t="s">
        <v>272</v>
      </c>
      <c r="B96" s="1"/>
      <c r="C96" s="1"/>
      <c r="D96" s="1"/>
      <c r="E96">
        <v>169.94200000000001</v>
      </c>
      <c r="F96">
        <v>174.72900000000001</v>
      </c>
      <c r="G96" s="28">
        <v>232.22499999999999</v>
      </c>
      <c r="H96" s="28">
        <v>234.38</v>
      </c>
      <c r="I96" s="28">
        <v>277.14299999999997</v>
      </c>
      <c r="J96" s="28">
        <v>265.59500000000003</v>
      </c>
      <c r="K96" s="28">
        <v>280.28199999999998</v>
      </c>
      <c r="L96" s="28">
        <v>310.90600000000001</v>
      </c>
      <c r="M96" s="28">
        <v>303.62599999999998</v>
      </c>
      <c r="N96" s="28">
        <v>297.55799999999999</v>
      </c>
      <c r="O96" s="28">
        <v>309.661</v>
      </c>
      <c r="P96" s="28">
        <v>293.64800000000002</v>
      </c>
      <c r="Q96" s="28">
        <v>312.13799999999998</v>
      </c>
      <c r="R96" s="28">
        <v>323.91300000000001</v>
      </c>
      <c r="S96" s="28">
        <v>300.988</v>
      </c>
      <c r="T96" s="28">
        <v>259.03199999999998</v>
      </c>
      <c r="U96" s="4">
        <v>251.10300000000001</v>
      </c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5"/>
      <c r="AH96" s="45"/>
      <c r="AI96" s="45"/>
      <c r="AJ96" s="45"/>
      <c r="AK96" s="45"/>
      <c r="AL96" s="45"/>
      <c r="AM96" s="45"/>
      <c r="AN96" s="45"/>
      <c r="AO96" s="4"/>
      <c r="AP96" s="4"/>
      <c r="AQ96" s="4"/>
      <c r="AR96" s="4"/>
      <c r="AS96" s="4"/>
      <c r="AT96" s="4"/>
      <c r="AU96" s="4"/>
      <c r="AV96" s="4"/>
      <c r="AW96" s="4"/>
      <c r="AX96" s="4"/>
    </row>
    <row r="97" spans="1:50" outlineLevel="1">
      <c r="A97" t="s">
        <v>273</v>
      </c>
      <c r="B97" s="1" t="s">
        <v>229</v>
      </c>
      <c r="C97" s="1" t="s">
        <v>10</v>
      </c>
      <c r="D97" s="1"/>
      <c r="E97" s="28">
        <v>562.92100000000005</v>
      </c>
      <c r="F97" s="28">
        <v>843.83799999999997</v>
      </c>
      <c r="G97" s="28">
        <v>1078.9549999999999</v>
      </c>
      <c r="H97" s="28">
        <v>1727.7329999999999</v>
      </c>
      <c r="I97" s="28">
        <v>2084.2779999999998</v>
      </c>
      <c r="J97" s="28">
        <v>2432.8980000000001</v>
      </c>
      <c r="K97" s="28">
        <v>2446.25</v>
      </c>
      <c r="L97" s="28">
        <v>2465.37</v>
      </c>
      <c r="M97" s="28">
        <v>2322.52</v>
      </c>
      <c r="N97" s="28">
        <v>2294.8420000000001</v>
      </c>
      <c r="O97" s="28">
        <v>2381.6390000000001</v>
      </c>
      <c r="P97" s="28">
        <v>2355.2890000000002</v>
      </c>
      <c r="Q97" s="28">
        <v>2505.54</v>
      </c>
      <c r="R97" s="28">
        <v>2703.8789999999999</v>
      </c>
      <c r="S97" s="28">
        <v>2855.5940000000001</v>
      </c>
      <c r="T97" s="28">
        <v>2831.1529999999998</v>
      </c>
      <c r="U97" s="4">
        <v>3197.2060000000001</v>
      </c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5"/>
      <c r="AH97" s="45"/>
      <c r="AI97" s="45"/>
      <c r="AJ97" s="45"/>
      <c r="AK97" s="45"/>
      <c r="AL97" s="45"/>
      <c r="AM97" s="45"/>
      <c r="AN97" s="45"/>
      <c r="AO97" s="4"/>
      <c r="AP97" s="4"/>
      <c r="AQ97" s="4"/>
      <c r="AR97" s="4"/>
      <c r="AS97" s="4"/>
      <c r="AT97" s="4"/>
      <c r="AU97" s="4"/>
      <c r="AV97" s="4"/>
      <c r="AW97" s="4"/>
      <c r="AX97" s="4"/>
    </row>
    <row r="98" spans="1:50" outlineLevel="1">
      <c r="A98" t="s">
        <v>274</v>
      </c>
      <c r="B98" s="1" t="s">
        <v>229</v>
      </c>
      <c r="C98" s="1" t="s">
        <v>10</v>
      </c>
      <c r="D98" s="1"/>
      <c r="E98">
        <v>0</v>
      </c>
      <c r="F98">
        <v>2.7309999999999999</v>
      </c>
      <c r="G98">
        <v>-4.9800000000000004</v>
      </c>
      <c r="H98">
        <v>-31.209</v>
      </c>
      <c r="I98">
        <v>12.266999999999999</v>
      </c>
      <c r="J98">
        <v>51.895000000000003</v>
      </c>
      <c r="K98">
        <v>126.30500000000001</v>
      </c>
      <c r="L98">
        <v>40.338000000000001</v>
      </c>
      <c r="M98">
        <v>-1.7010000000000001</v>
      </c>
      <c r="N98">
        <v>-2.4180000000000001</v>
      </c>
      <c r="O98">
        <v>-47.56</v>
      </c>
      <c r="P98">
        <v>-45.276000000000003</v>
      </c>
      <c r="Q98">
        <v>-9.5020000000000007</v>
      </c>
      <c r="R98">
        <v>-117.288</v>
      </c>
      <c r="S98">
        <v>-89.111999999999995</v>
      </c>
      <c r="T98">
        <v>-124.312</v>
      </c>
      <c r="U98" s="4">
        <v>-34.124000000000002</v>
      </c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5"/>
      <c r="AH98" s="45"/>
      <c r="AI98" s="45"/>
      <c r="AJ98" s="45"/>
      <c r="AK98" s="45"/>
      <c r="AL98" s="45"/>
      <c r="AM98" s="45"/>
      <c r="AN98" s="45"/>
      <c r="AO98" s="4"/>
      <c r="AP98" s="4"/>
      <c r="AQ98" s="4"/>
      <c r="AR98" s="4"/>
      <c r="AS98" s="4"/>
      <c r="AT98" s="4"/>
      <c r="AU98" s="4"/>
      <c r="AV98" s="4"/>
      <c r="AW98" s="4"/>
      <c r="AX98" s="4"/>
    </row>
    <row r="99" spans="1:50" outlineLevel="1">
      <c r="A99" t="s">
        <v>275</v>
      </c>
      <c r="B99" s="1" t="s">
        <v>229</v>
      </c>
      <c r="C99" s="1" t="s">
        <v>10</v>
      </c>
      <c r="D99" s="1"/>
      <c r="E99" s="28">
        <v>2514.5549999999998</v>
      </c>
      <c r="F99" s="28">
        <v>3826.777</v>
      </c>
      <c r="G99" s="28">
        <v>5548.27</v>
      </c>
      <c r="H99" s="28">
        <v>7170.8469999999998</v>
      </c>
      <c r="I99" s="28">
        <v>8646.6090000000004</v>
      </c>
      <c r="J99" s="28">
        <v>9649.5139999999992</v>
      </c>
      <c r="K99" s="28">
        <v>10071.184999999999</v>
      </c>
      <c r="L99" s="28">
        <v>11195.403</v>
      </c>
      <c r="M99" s="28">
        <v>9776.6710000000003</v>
      </c>
      <c r="N99" s="28">
        <v>10782.298000000001</v>
      </c>
      <c r="O99" s="28">
        <v>10709.599</v>
      </c>
      <c r="P99" s="28">
        <v>10456.01</v>
      </c>
      <c r="Q99" s="28">
        <v>11643.106</v>
      </c>
      <c r="R99" s="28">
        <v>13029.672</v>
      </c>
      <c r="S99" s="28">
        <v>13407.687</v>
      </c>
      <c r="T99" s="28">
        <v>13894.44</v>
      </c>
      <c r="U99" s="28">
        <v>14286.944</v>
      </c>
    </row>
    <row r="100" spans="1:50" outlineLevel="1">
      <c r="A100" t="s">
        <v>276</v>
      </c>
      <c r="B100" s="1" t="s">
        <v>229</v>
      </c>
      <c r="C100" s="1" t="s">
        <v>10</v>
      </c>
      <c r="D100" s="1"/>
      <c r="E100" s="5">
        <v>17.608000000000001</v>
      </c>
      <c r="F100">
        <v>97.811999999999998</v>
      </c>
      <c r="G100">
        <v>161.59700000000001</v>
      </c>
      <c r="H100">
        <v>13.535</v>
      </c>
      <c r="I100">
        <v>100.26600000000001</v>
      </c>
      <c r="J100">
        <v>156.13300000000001</v>
      </c>
      <c r="K100">
        <v>196.851</v>
      </c>
      <c r="L100">
        <v>127.605</v>
      </c>
      <c r="M100">
        <v>106.923</v>
      </c>
      <c r="N100">
        <v>48.390999999999998</v>
      </c>
      <c r="O100">
        <v>187.02</v>
      </c>
      <c r="P100">
        <v>212.12</v>
      </c>
      <c r="Q100">
        <v>534.55700000000002</v>
      </c>
      <c r="R100">
        <v>107.319</v>
      </c>
      <c r="S100">
        <v>475.40800000000002</v>
      </c>
      <c r="T100">
        <v>-59.097999999999999</v>
      </c>
      <c r="U100">
        <v>408.815</v>
      </c>
    </row>
    <row r="101" spans="1:50" outlineLevel="1">
      <c r="A101" t="s">
        <v>277</v>
      </c>
      <c r="B101" s="1" t="s">
        <v>229</v>
      </c>
      <c r="C101" s="1" t="s">
        <v>10</v>
      </c>
      <c r="D101" s="1"/>
      <c r="E101" s="5">
        <v>0</v>
      </c>
      <c r="F101" s="28">
        <v>0</v>
      </c>
      <c r="G101" s="28">
        <v>0</v>
      </c>
      <c r="H101" s="28">
        <v>0</v>
      </c>
      <c r="I101" s="28">
        <v>0</v>
      </c>
      <c r="J101" s="28">
        <v>0</v>
      </c>
      <c r="K101" s="28">
        <v>0</v>
      </c>
      <c r="L101" s="28">
        <v>0</v>
      </c>
      <c r="M101" s="28">
        <v>0</v>
      </c>
      <c r="N101" s="28">
        <v>0</v>
      </c>
      <c r="O101" s="28">
        <v>0</v>
      </c>
      <c r="P101" s="28">
        <v>0</v>
      </c>
      <c r="Q101" s="28">
        <v>0</v>
      </c>
      <c r="R101" s="28">
        <v>0</v>
      </c>
      <c r="S101" s="28">
        <v>0</v>
      </c>
      <c r="T101" s="28">
        <v>0</v>
      </c>
      <c r="U101" s="28">
        <v>0</v>
      </c>
    </row>
    <row r="102" spans="1:50" outlineLevel="1">
      <c r="A102" t="s">
        <v>278</v>
      </c>
      <c r="B102" s="1" t="s">
        <v>229</v>
      </c>
      <c r="C102" s="1" t="s">
        <v>10</v>
      </c>
      <c r="D102" s="1"/>
      <c r="E102" s="5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</row>
    <row r="103" spans="1:50" outlineLevel="1">
      <c r="A103" t="s">
        <v>279</v>
      </c>
      <c r="B103" s="1" t="s">
        <v>229</v>
      </c>
      <c r="C103" s="1" t="s">
        <v>10</v>
      </c>
      <c r="D103" s="1"/>
      <c r="E103" s="5">
        <v>676.04899999999998</v>
      </c>
      <c r="F103" s="28">
        <v>1419.1410000000001</v>
      </c>
      <c r="G103" s="28">
        <v>1264.1320000000001</v>
      </c>
      <c r="H103">
        <v>950.90800000000002</v>
      </c>
      <c r="I103" s="28">
        <v>1188.0260000000001</v>
      </c>
      <c r="J103" s="28">
        <v>1365.9190000000001</v>
      </c>
      <c r="K103">
        <v>843.851</v>
      </c>
      <c r="L103">
        <v>860.09</v>
      </c>
      <c r="M103" s="28">
        <v>1025.508</v>
      </c>
      <c r="N103" s="28">
        <v>1108.288</v>
      </c>
      <c r="O103" s="28">
        <v>1200.55</v>
      </c>
      <c r="P103" s="28">
        <v>1189.0160000000001</v>
      </c>
      <c r="Q103" s="28">
        <v>1113.6969999999999</v>
      </c>
      <c r="R103" s="28">
        <v>1184.3530000000001</v>
      </c>
      <c r="S103" s="28">
        <v>1267.68</v>
      </c>
      <c r="T103" s="28">
        <v>1278.712</v>
      </c>
      <c r="U103" s="28">
        <v>1198.181</v>
      </c>
    </row>
    <row r="104" spans="1:50" outlineLevel="1">
      <c r="A104" t="s">
        <v>280</v>
      </c>
      <c r="B104" s="1" t="s">
        <v>229</v>
      </c>
      <c r="C104" s="1" t="s">
        <v>10</v>
      </c>
      <c r="D104" s="1"/>
      <c r="E104" s="5">
        <v>2679.8429999999998</v>
      </c>
      <c r="F104" s="28">
        <v>3036.2220000000002</v>
      </c>
      <c r="G104" s="28">
        <v>4332.7839999999997</v>
      </c>
      <c r="H104" s="28">
        <v>5151.1220000000003</v>
      </c>
      <c r="I104" s="28">
        <v>5934.1719999999996</v>
      </c>
      <c r="J104" s="28">
        <v>6996.1710000000003</v>
      </c>
      <c r="K104" s="28">
        <v>8670.8220000000001</v>
      </c>
      <c r="L104" s="28">
        <v>10301.526</v>
      </c>
      <c r="M104" s="28">
        <v>11890.305</v>
      </c>
      <c r="N104" s="28">
        <v>12680.76</v>
      </c>
      <c r="O104" s="28">
        <v>13168.191999999999</v>
      </c>
      <c r="P104" s="28">
        <v>13589.905000000001</v>
      </c>
      <c r="Q104" s="28">
        <v>13900.48</v>
      </c>
      <c r="R104" s="28">
        <v>13859.456</v>
      </c>
      <c r="S104" s="28">
        <v>14145.682000000001</v>
      </c>
      <c r="T104" s="28">
        <v>14686.834000000001</v>
      </c>
      <c r="U104" s="28">
        <v>14947.819</v>
      </c>
      <c r="W104" s="40"/>
    </row>
    <row r="105" spans="1:50" outlineLevel="1">
      <c r="A105" t="s">
        <v>281</v>
      </c>
      <c r="B105" s="1" t="s">
        <v>229</v>
      </c>
      <c r="C105" s="1" t="s">
        <v>10</v>
      </c>
      <c r="D105" s="1"/>
      <c r="E105" s="28">
        <v>5671.3850000000002</v>
      </c>
      <c r="F105" s="28">
        <v>6140.4849999999997</v>
      </c>
      <c r="G105" s="28">
        <v>6899.5460000000003</v>
      </c>
      <c r="H105" s="28">
        <v>6904.9920000000002</v>
      </c>
      <c r="I105" s="28">
        <v>6993.8370000000004</v>
      </c>
      <c r="J105" s="28">
        <v>7408.5550000000003</v>
      </c>
      <c r="K105" s="28">
        <v>7585.7139999999999</v>
      </c>
      <c r="L105" s="28">
        <v>8009.268</v>
      </c>
      <c r="M105" s="28">
        <v>8585.9689999999991</v>
      </c>
      <c r="N105" s="28">
        <v>8847.8169999999991</v>
      </c>
      <c r="O105" s="28">
        <v>9007.4969999999994</v>
      </c>
      <c r="P105" s="28">
        <v>9206.7960000000003</v>
      </c>
      <c r="Q105" s="28">
        <v>9497.857</v>
      </c>
      <c r="R105" s="28">
        <v>9336.7999999999993</v>
      </c>
      <c r="S105" s="28">
        <v>9437.6689999999999</v>
      </c>
      <c r="T105" s="28">
        <v>9545.7420000000002</v>
      </c>
      <c r="U105" s="28">
        <v>9779.8970000000008</v>
      </c>
    </row>
    <row r="106" spans="1:50">
      <c r="A106" t="s">
        <v>180</v>
      </c>
      <c r="B106" s="1" t="s">
        <v>229</v>
      </c>
      <c r="C106" s="1" t="s">
        <v>10</v>
      </c>
      <c r="D106" s="1"/>
      <c r="E106" s="28">
        <v>7185.0680000000002</v>
      </c>
      <c r="F106" s="28">
        <v>7913.2359999999999</v>
      </c>
      <c r="G106" s="28">
        <v>8388.5229999999992</v>
      </c>
      <c r="H106" s="28">
        <v>9101.9989999999998</v>
      </c>
      <c r="I106" s="28">
        <v>10008.709999999999</v>
      </c>
      <c r="J106" s="28">
        <v>10678.15</v>
      </c>
      <c r="K106" s="28">
        <v>11345.264999999999</v>
      </c>
      <c r="L106" s="28">
        <v>11464.233</v>
      </c>
      <c r="M106" s="28">
        <v>11944.793</v>
      </c>
      <c r="N106" s="28">
        <v>12504.654</v>
      </c>
      <c r="O106" s="28">
        <v>12758.174999999999</v>
      </c>
      <c r="P106" s="28">
        <v>13755.753000000001</v>
      </c>
      <c r="Q106" s="28">
        <v>13827.764999999999</v>
      </c>
      <c r="R106" s="28">
        <v>13907.514999999999</v>
      </c>
      <c r="S106" s="28">
        <v>14147.391</v>
      </c>
      <c r="T106" s="28">
        <v>14363.295</v>
      </c>
      <c r="U106" s="28">
        <v>14495.029</v>
      </c>
    </row>
    <row r="107" spans="1:50" outlineLevel="1">
      <c r="A107" t="s">
        <v>282</v>
      </c>
      <c r="B107" s="1" t="s">
        <v>229</v>
      </c>
      <c r="C107" s="1" t="s">
        <v>10</v>
      </c>
      <c r="D107" s="1"/>
      <c r="E107" s="5">
        <v>1253.4580000000001</v>
      </c>
      <c r="F107" s="28">
        <v>1396.799</v>
      </c>
      <c r="G107" s="28">
        <v>1590.5050000000001</v>
      </c>
      <c r="H107" s="28">
        <v>2328.3519999999999</v>
      </c>
      <c r="I107" s="28">
        <v>3064.8110000000001</v>
      </c>
      <c r="J107" s="28">
        <v>3504.38</v>
      </c>
      <c r="K107" s="28">
        <v>4005.768</v>
      </c>
      <c r="L107" s="28">
        <v>3908.8220000000001</v>
      </c>
      <c r="M107" s="28">
        <v>3723.114</v>
      </c>
      <c r="N107" s="28">
        <v>4001.8870000000002</v>
      </c>
      <c r="O107" s="28">
        <v>4219.25</v>
      </c>
      <c r="P107" s="28">
        <v>4626.8729999999996</v>
      </c>
      <c r="Q107" s="28">
        <v>4435.8999999999996</v>
      </c>
      <c r="R107" s="28">
        <v>4675.2269999999999</v>
      </c>
      <c r="S107" s="28">
        <v>4826.4870000000001</v>
      </c>
      <c r="T107" s="28">
        <v>4927.26</v>
      </c>
      <c r="U107" s="28">
        <v>4957.8019999999997</v>
      </c>
    </row>
    <row r="108" spans="1:50" outlineLevel="1">
      <c r="A108" t="s">
        <v>283</v>
      </c>
      <c r="B108" s="1" t="s">
        <v>229</v>
      </c>
      <c r="C108" s="1" t="s">
        <v>10</v>
      </c>
      <c r="D108" s="1"/>
      <c r="E108" s="28">
        <v>5931.6109999999999</v>
      </c>
      <c r="F108" s="28">
        <v>6516.4359999999997</v>
      </c>
      <c r="G108" s="28">
        <v>6798.0209999999997</v>
      </c>
      <c r="H108" s="28">
        <v>6773.6440000000002</v>
      </c>
      <c r="I108" s="28">
        <v>6943.8990000000003</v>
      </c>
      <c r="J108" s="28">
        <v>7173.7709999999997</v>
      </c>
      <c r="K108" s="28">
        <v>7339.4989999999998</v>
      </c>
      <c r="L108" s="28">
        <v>7555.4080000000004</v>
      </c>
      <c r="M108" s="28">
        <v>8221.68</v>
      </c>
      <c r="N108" s="28">
        <v>8502.7649999999994</v>
      </c>
      <c r="O108" s="28">
        <v>8538.9249999999993</v>
      </c>
      <c r="P108" s="28">
        <v>9128.8790000000008</v>
      </c>
      <c r="Q108" s="28">
        <v>9391.8649999999998</v>
      </c>
      <c r="R108" s="28">
        <v>9232.2890000000007</v>
      </c>
      <c r="S108" s="28">
        <v>9320.9050000000007</v>
      </c>
      <c r="T108" s="28">
        <v>9436.0339999999997</v>
      </c>
      <c r="U108" s="28">
        <v>9537.2270000000008</v>
      </c>
    </row>
    <row r="109" spans="1:50">
      <c r="A109" t="s">
        <v>284</v>
      </c>
      <c r="B109" s="1" t="s">
        <v>229</v>
      </c>
      <c r="C109" s="1" t="s">
        <v>10</v>
      </c>
      <c r="D109" s="1"/>
      <c r="E109" s="28">
        <v>236774.26</v>
      </c>
      <c r="F109" s="28">
        <v>236349.42300000001</v>
      </c>
      <c r="G109" s="28">
        <v>225455.389</v>
      </c>
      <c r="H109" s="28">
        <v>228671.21</v>
      </c>
      <c r="I109" s="28">
        <v>212543.53400000001</v>
      </c>
      <c r="J109" s="28">
        <v>219620.71799999999</v>
      </c>
      <c r="K109" s="28">
        <v>215345.913</v>
      </c>
      <c r="L109" s="28">
        <v>208372.39499999999</v>
      </c>
      <c r="M109" s="28">
        <v>206514.04699999999</v>
      </c>
      <c r="N109" s="28">
        <v>208966.14600000001</v>
      </c>
      <c r="O109" s="28">
        <v>203781.65100000001</v>
      </c>
      <c r="P109" s="28">
        <v>197052.79199999999</v>
      </c>
      <c r="Q109" s="28">
        <v>194898.85699999999</v>
      </c>
      <c r="R109" s="28">
        <v>195247.61199999999</v>
      </c>
      <c r="S109" s="28">
        <v>196180.921</v>
      </c>
      <c r="T109" s="28">
        <v>175176.12899999999</v>
      </c>
      <c r="U109" s="28">
        <v>186662.50700000001</v>
      </c>
    </row>
    <row r="110" spans="1:50" ht="14.25" customHeight="1">
      <c r="A110" t="s">
        <v>146</v>
      </c>
      <c r="B110" s="1" t="s">
        <v>229</v>
      </c>
      <c r="C110" s="1" t="s">
        <v>10</v>
      </c>
      <c r="D110" s="1"/>
      <c r="E110" s="28">
        <v>632.40599999999995</v>
      </c>
      <c r="F110" s="28">
        <v>38.976999999999997</v>
      </c>
      <c r="G110" s="28">
        <v>911.73500000000001</v>
      </c>
      <c r="H110" s="28">
        <v>1036.3979999999999</v>
      </c>
      <c r="I110" s="28">
        <v>1486.0630000000001</v>
      </c>
      <c r="J110" s="28">
        <v>421.27100000000002</v>
      </c>
      <c r="K110" s="28">
        <v>83.096000000000004</v>
      </c>
      <c r="L110" s="28">
        <v>583.45899999999995</v>
      </c>
      <c r="M110" s="28">
        <v>-156.52099999999999</v>
      </c>
      <c r="N110" s="28">
        <v>-431.93700000000001</v>
      </c>
      <c r="O110" s="28">
        <v>-573.95600000000002</v>
      </c>
      <c r="P110" s="28">
        <v>55.581000000000003</v>
      </c>
      <c r="Q110" s="28">
        <v>-393.43900000000002</v>
      </c>
      <c r="R110" s="28">
        <v>761.00800000000004</v>
      </c>
      <c r="S110" s="28">
        <v>253.20099999999999</v>
      </c>
      <c r="T110" s="28">
        <v>1200.5419999999999</v>
      </c>
      <c r="U110" s="28">
        <v>629.18499999999995</v>
      </c>
    </row>
    <row r="111" spans="1:50">
      <c r="A111" t="s">
        <v>181</v>
      </c>
      <c r="B111" s="1" t="s">
        <v>229</v>
      </c>
      <c r="C111" s="1" t="s">
        <v>10</v>
      </c>
      <c r="D111" s="1"/>
      <c r="E111" s="28">
        <v>529.87</v>
      </c>
      <c r="F111" s="28">
        <v>546.49599999999998</v>
      </c>
      <c r="G111" s="28">
        <v>594.02599999999995</v>
      </c>
      <c r="H111" s="28">
        <v>703.73900000000003</v>
      </c>
      <c r="I111" s="28">
        <v>591.69399999999996</v>
      </c>
      <c r="J111" s="28">
        <v>721.56100000000004</v>
      </c>
      <c r="K111" s="28">
        <v>732.80600000000004</v>
      </c>
      <c r="L111" s="28">
        <v>765.20699999999999</v>
      </c>
      <c r="M111" s="28">
        <v>821.37199999999996</v>
      </c>
      <c r="N111" s="28">
        <v>869.97799999999995</v>
      </c>
      <c r="O111" s="28">
        <v>998.91600000000005</v>
      </c>
      <c r="P111" s="28">
        <v>1090.29</v>
      </c>
      <c r="Q111" s="28">
        <v>1133.432</v>
      </c>
      <c r="R111" s="28">
        <v>1079.7719999999999</v>
      </c>
      <c r="S111" s="28">
        <v>1090.7809999999999</v>
      </c>
      <c r="T111" s="28">
        <v>1110.6189999999999</v>
      </c>
      <c r="U111" s="28">
        <v>1116.636</v>
      </c>
    </row>
    <row r="112" spans="1:50">
      <c r="B112" s="1" t="s">
        <v>229</v>
      </c>
      <c r="C112" s="1" t="s">
        <v>10</v>
      </c>
      <c r="D112" s="1"/>
      <c r="H112" s="28"/>
      <c r="I112" s="28"/>
      <c r="T112" s="28"/>
    </row>
    <row r="113" spans="2:21">
      <c r="B113" s="1" t="s">
        <v>229</v>
      </c>
      <c r="C113" s="1" t="s">
        <v>10</v>
      </c>
      <c r="D113" s="1"/>
      <c r="P113" s="28"/>
      <c r="Q113" s="28"/>
      <c r="R113" s="28"/>
      <c r="S113" s="28"/>
      <c r="T113" s="28"/>
      <c r="U113" s="28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801B0-7CEB-46B3-A6B9-7B8692324FBA}">
  <sheetPr filterMode="1"/>
  <dimension ref="A1:AR5621"/>
  <sheetViews>
    <sheetView topLeftCell="M1" workbookViewId="0">
      <selection activeCell="M6" sqref="M6"/>
    </sheetView>
  </sheetViews>
  <sheetFormatPr defaultRowHeight="15"/>
  <cols>
    <col min="13" max="13" width="82.42578125" bestFit="1" customWidth="1"/>
    <col min="14" max="14" width="16.42578125" bestFit="1" customWidth="1"/>
    <col min="15" max="38" width="12.5703125" bestFit="1" customWidth="1"/>
    <col min="39" max="40" width="12" bestFit="1" customWidth="1"/>
    <col min="41" max="41" width="12.5703125" bestFit="1" customWidth="1"/>
    <col min="42" max="42" width="12" bestFit="1" customWidth="1"/>
    <col min="43" max="44" width="12.5703125" bestFit="1" customWidth="1"/>
  </cols>
  <sheetData>
    <row r="1" spans="1:44">
      <c r="A1" s="61" t="s">
        <v>285</v>
      </c>
      <c r="B1" s="62" t="s">
        <v>286</v>
      </c>
      <c r="C1" s="62" t="s">
        <v>287</v>
      </c>
      <c r="D1" s="62" t="s">
        <v>288</v>
      </c>
      <c r="E1" s="62" t="s">
        <v>289</v>
      </c>
      <c r="F1" s="62" t="s">
        <v>290</v>
      </c>
      <c r="G1" s="62" t="s">
        <v>291</v>
      </c>
      <c r="H1" s="62" t="s">
        <v>292</v>
      </c>
      <c r="I1" s="63" t="s">
        <v>293</v>
      </c>
      <c r="M1" s="70" t="s">
        <v>289</v>
      </c>
      <c r="N1" t="s">
        <v>294</v>
      </c>
    </row>
    <row r="2" spans="1:44">
      <c r="A2" s="64" t="s">
        <v>295</v>
      </c>
      <c r="B2" s="65">
        <v>2021</v>
      </c>
      <c r="C2" s="65">
        <v>2023</v>
      </c>
      <c r="D2" s="65" t="s">
        <v>296</v>
      </c>
      <c r="E2" s="65" t="s">
        <v>294</v>
      </c>
      <c r="F2" s="65" t="s">
        <v>297</v>
      </c>
      <c r="G2" s="65"/>
      <c r="H2" s="65"/>
      <c r="I2" s="66">
        <v>1179032.8214913891</v>
      </c>
      <c r="M2" s="70" t="s">
        <v>290</v>
      </c>
      <c r="N2" t="s">
        <v>40</v>
      </c>
    </row>
    <row r="3" spans="1:44">
      <c r="A3" s="67" t="s">
        <v>295</v>
      </c>
      <c r="B3" s="68">
        <v>2021</v>
      </c>
      <c r="C3" s="68">
        <v>2023</v>
      </c>
      <c r="D3" s="68" t="s">
        <v>296</v>
      </c>
      <c r="E3" s="68" t="s">
        <v>294</v>
      </c>
      <c r="F3" s="68" t="s">
        <v>298</v>
      </c>
      <c r="G3" s="68"/>
      <c r="H3" s="68"/>
      <c r="I3" s="69">
        <v>1060346.642678333</v>
      </c>
    </row>
    <row r="4" spans="1:44">
      <c r="A4" s="64" t="s">
        <v>295</v>
      </c>
      <c r="B4" s="65">
        <v>2021</v>
      </c>
      <c r="C4" s="65">
        <v>2023</v>
      </c>
      <c r="D4" s="65" t="s">
        <v>296</v>
      </c>
      <c r="E4" s="65" t="s">
        <v>294</v>
      </c>
      <c r="F4" s="65" t="s">
        <v>40</v>
      </c>
      <c r="G4" s="65"/>
      <c r="H4" s="65"/>
      <c r="I4" s="66">
        <v>2577170.6785550001</v>
      </c>
      <c r="M4" s="70" t="s">
        <v>299</v>
      </c>
      <c r="N4" s="70" t="s">
        <v>300</v>
      </c>
    </row>
    <row r="5" spans="1:44">
      <c r="A5" s="67" t="s">
        <v>295</v>
      </c>
      <c r="B5" s="68">
        <v>2021</v>
      </c>
      <c r="C5" s="68">
        <v>2023</v>
      </c>
      <c r="D5" s="68" t="s">
        <v>296</v>
      </c>
      <c r="E5" s="68" t="s">
        <v>301</v>
      </c>
      <c r="F5" s="68" t="s">
        <v>297</v>
      </c>
      <c r="G5" s="68"/>
      <c r="H5" s="68"/>
      <c r="I5" s="69">
        <v>1512531.3806913891</v>
      </c>
      <c r="M5" s="70" t="s">
        <v>302</v>
      </c>
      <c r="N5">
        <v>2021</v>
      </c>
      <c r="O5">
        <v>2022</v>
      </c>
      <c r="P5">
        <v>2023</v>
      </c>
      <c r="Q5">
        <v>2024</v>
      </c>
      <c r="R5">
        <v>2025</v>
      </c>
      <c r="S5">
        <v>2026</v>
      </c>
      <c r="T5">
        <v>2027</v>
      </c>
      <c r="U5">
        <v>2028</v>
      </c>
      <c r="V5">
        <v>2029</v>
      </c>
      <c r="W5">
        <v>2030</v>
      </c>
      <c r="X5">
        <v>2031</v>
      </c>
      <c r="Y5">
        <v>2032</v>
      </c>
      <c r="Z5">
        <v>2033</v>
      </c>
      <c r="AA5">
        <v>2034</v>
      </c>
      <c r="AB5">
        <v>2035</v>
      </c>
      <c r="AC5">
        <v>2036</v>
      </c>
      <c r="AD5">
        <v>2037</v>
      </c>
      <c r="AE5">
        <v>2038</v>
      </c>
      <c r="AF5">
        <v>2039</v>
      </c>
      <c r="AG5">
        <v>2040</v>
      </c>
      <c r="AH5">
        <v>2041</v>
      </c>
      <c r="AI5">
        <v>2042</v>
      </c>
      <c r="AJ5">
        <v>2043</v>
      </c>
      <c r="AK5">
        <v>2044</v>
      </c>
      <c r="AL5">
        <v>2045</v>
      </c>
      <c r="AM5">
        <v>2046</v>
      </c>
      <c r="AN5">
        <v>2047</v>
      </c>
      <c r="AO5">
        <v>2048</v>
      </c>
      <c r="AP5">
        <v>2049</v>
      </c>
      <c r="AQ5">
        <v>2050</v>
      </c>
      <c r="AR5" t="s">
        <v>303</v>
      </c>
    </row>
    <row r="6" spans="1:44">
      <c r="A6" s="64" t="s">
        <v>295</v>
      </c>
      <c r="B6" s="65">
        <v>2021</v>
      </c>
      <c r="C6" s="65">
        <v>2023</v>
      </c>
      <c r="D6" s="65" t="s">
        <v>296</v>
      </c>
      <c r="E6" s="65" t="s">
        <v>301</v>
      </c>
      <c r="F6" s="65" t="s">
        <v>298</v>
      </c>
      <c r="G6" s="65"/>
      <c r="H6" s="65"/>
      <c r="I6" s="66">
        <v>1066654.8474183329</v>
      </c>
      <c r="M6" s="71" t="s">
        <v>296</v>
      </c>
      <c r="N6">
        <v>2577170.6785550001</v>
      </c>
      <c r="O6">
        <v>2558392.0939099998</v>
      </c>
      <c r="P6">
        <v>2528139.7053499999</v>
      </c>
      <c r="Q6">
        <v>2429962.23153</v>
      </c>
      <c r="R6">
        <v>2347068.2849699999</v>
      </c>
      <c r="S6">
        <v>2241519.6005699998</v>
      </c>
      <c r="T6">
        <v>2136144.0229400001</v>
      </c>
      <c r="U6">
        <v>2044705.74422</v>
      </c>
      <c r="V6">
        <v>1944873.1497599999</v>
      </c>
      <c r="W6">
        <v>1859635.4403599999</v>
      </c>
      <c r="X6">
        <v>1798228.680116144</v>
      </c>
      <c r="Y6">
        <v>1738923.8434551761</v>
      </c>
      <c r="Z6">
        <v>1681447.4882206609</v>
      </c>
      <c r="AA6">
        <v>1625545.244421286</v>
      </c>
      <c r="AB6">
        <v>1568025.1932875849</v>
      </c>
      <c r="AC6">
        <v>1523123.3159200661</v>
      </c>
      <c r="AD6">
        <v>1481579.8709735691</v>
      </c>
      <c r="AE6">
        <v>1443002.439255222</v>
      </c>
      <c r="AF6">
        <v>1405637.2006704661</v>
      </c>
      <c r="AG6">
        <v>1369555.1406144919</v>
      </c>
      <c r="AH6">
        <v>1344742.622749123</v>
      </c>
      <c r="AI6">
        <v>1324183.1395392939</v>
      </c>
      <c r="AJ6">
        <v>1304800.8252950171</v>
      </c>
      <c r="AK6">
        <v>1285722.8157706431</v>
      </c>
      <c r="AL6">
        <v>1268505.8842420529</v>
      </c>
      <c r="AM6">
        <v>1257198.515545523</v>
      </c>
      <c r="AN6">
        <v>1247320.7935738261</v>
      </c>
      <c r="AO6">
        <v>1237575.138498256</v>
      </c>
      <c r="AP6">
        <v>1228707.242811003</v>
      </c>
      <c r="AQ6">
        <v>1219398.4901402099</v>
      </c>
      <c r="AR6">
        <v>51020834.837264605</v>
      </c>
    </row>
    <row r="7" spans="1:44">
      <c r="A7" s="67" t="s">
        <v>295</v>
      </c>
      <c r="B7" s="68">
        <v>2021</v>
      </c>
      <c r="C7" s="68">
        <v>2023</v>
      </c>
      <c r="D7" s="68" t="s">
        <v>296</v>
      </c>
      <c r="E7" s="68" t="s">
        <v>301</v>
      </c>
      <c r="F7" s="68" t="s">
        <v>40</v>
      </c>
      <c r="G7" s="68"/>
      <c r="H7" s="68"/>
      <c r="I7" s="69">
        <v>2588698.0216094451</v>
      </c>
      <c r="M7" s="71" t="s">
        <v>304</v>
      </c>
      <c r="N7">
        <v>311847.05791138893</v>
      </c>
      <c r="O7">
        <v>310151.04687000002</v>
      </c>
      <c r="P7">
        <v>310109.73200000002</v>
      </c>
      <c r="Q7">
        <v>307927.24414999998</v>
      </c>
      <c r="R7">
        <v>305035.57146000001</v>
      </c>
      <c r="S7">
        <v>296981.70522</v>
      </c>
      <c r="T7">
        <v>288607.66136000003</v>
      </c>
      <c r="U7">
        <v>279658.26526999997</v>
      </c>
      <c r="V7">
        <v>270294.03473999997</v>
      </c>
      <c r="W7">
        <v>260627.08905000001</v>
      </c>
      <c r="X7">
        <v>254148.8392431424</v>
      </c>
      <c r="Y7">
        <v>248050.6032298347</v>
      </c>
      <c r="Z7">
        <v>242100.1155920637</v>
      </c>
      <c r="AA7">
        <v>236323.6666428406</v>
      </c>
      <c r="AB7">
        <v>230658.5818322069</v>
      </c>
      <c r="AC7">
        <v>226607.9567296023</v>
      </c>
      <c r="AD7">
        <v>222881.05392670451</v>
      </c>
      <c r="AE7">
        <v>219332.79446860249</v>
      </c>
      <c r="AF7">
        <v>215835.42872296931</v>
      </c>
      <c r="AG7">
        <v>212221.16769988241</v>
      </c>
      <c r="AH7">
        <v>212954.46315815311</v>
      </c>
      <c r="AI7">
        <v>212883.37158661531</v>
      </c>
      <c r="AJ7">
        <v>212839.60029343801</v>
      </c>
      <c r="AK7">
        <v>212765.83650577121</v>
      </c>
      <c r="AL7">
        <v>212868.17714929249</v>
      </c>
      <c r="AM7">
        <v>212774.49066109871</v>
      </c>
      <c r="AN7">
        <v>212678.37857478831</v>
      </c>
      <c r="AO7">
        <v>212581.78555020539</v>
      </c>
      <c r="AP7">
        <v>212494.5040906207</v>
      </c>
      <c r="AQ7">
        <v>212173.23018361491</v>
      </c>
      <c r="AR7">
        <v>7376413.4538728371</v>
      </c>
    </row>
    <row r="8" spans="1:44">
      <c r="A8" s="64" t="s">
        <v>295</v>
      </c>
      <c r="B8" s="65">
        <v>2021</v>
      </c>
      <c r="C8" s="65">
        <v>2023</v>
      </c>
      <c r="D8" s="65" t="s">
        <v>296</v>
      </c>
      <c r="E8" s="65" t="s">
        <v>305</v>
      </c>
      <c r="F8" s="65" t="s">
        <v>297</v>
      </c>
      <c r="G8" s="65"/>
      <c r="H8" s="65"/>
      <c r="I8" s="66">
        <v>10121.20045</v>
      </c>
      <c r="M8" s="71" t="s">
        <v>306</v>
      </c>
      <c r="N8">
        <v>383919.26348999998</v>
      </c>
      <c r="O8">
        <v>381680.49975000002</v>
      </c>
      <c r="P8">
        <v>377029.04518000002</v>
      </c>
      <c r="Q8">
        <v>374394.56930999999</v>
      </c>
      <c r="R8">
        <v>371471.60576000001</v>
      </c>
      <c r="S8">
        <v>368922.17524000001</v>
      </c>
      <c r="T8">
        <v>366318.32681</v>
      </c>
      <c r="U8">
        <v>363845.87575000001</v>
      </c>
      <c r="V8">
        <v>361317.56761999999</v>
      </c>
      <c r="W8">
        <v>358687.97989000002</v>
      </c>
      <c r="X8">
        <v>357383.26458313811</v>
      </c>
      <c r="Y8">
        <v>356324.59556526958</v>
      </c>
      <c r="Z8">
        <v>355246.04335152038</v>
      </c>
      <c r="AA8">
        <v>354173.93399860541</v>
      </c>
      <c r="AB8">
        <v>353086.52179679013</v>
      </c>
      <c r="AC8">
        <v>352562.06083161832</v>
      </c>
      <c r="AD8">
        <v>352061.72638149309</v>
      </c>
      <c r="AE8">
        <v>351526.93545136781</v>
      </c>
      <c r="AF8">
        <v>350972.22683224932</v>
      </c>
      <c r="AG8">
        <v>350480.08455212403</v>
      </c>
      <c r="AH8">
        <v>349544.09243204183</v>
      </c>
      <c r="AI8">
        <v>348736.82412105048</v>
      </c>
      <c r="AJ8">
        <v>347952.18819684902</v>
      </c>
      <c r="AK8">
        <v>347154.45153191092</v>
      </c>
      <c r="AL8">
        <v>346379.26621687523</v>
      </c>
      <c r="AM8">
        <v>345729.42047824932</v>
      </c>
      <c r="AN8">
        <v>345088.23197466979</v>
      </c>
      <c r="AO8">
        <v>344487.88938587141</v>
      </c>
      <c r="AP8">
        <v>343879.11647229188</v>
      </c>
      <c r="AQ8">
        <v>343224.91901366599</v>
      </c>
      <c r="AR8">
        <v>10703580.701967655</v>
      </c>
    </row>
    <row r="9" spans="1:44">
      <c r="A9" s="67" t="s">
        <v>295</v>
      </c>
      <c r="B9" s="68">
        <v>2021</v>
      </c>
      <c r="C9" s="68">
        <v>2023</v>
      </c>
      <c r="D9" s="68" t="s">
        <v>296</v>
      </c>
      <c r="E9" s="68" t="s">
        <v>305</v>
      </c>
      <c r="F9" s="68" t="s">
        <v>298</v>
      </c>
      <c r="G9" s="68"/>
      <c r="H9" s="68"/>
      <c r="I9" s="69">
        <v>8220.4160599999996</v>
      </c>
      <c r="M9" s="71" t="s">
        <v>307</v>
      </c>
      <c r="N9">
        <v>-248120.87646</v>
      </c>
      <c r="O9">
        <v>-248352.44039999999</v>
      </c>
      <c r="P9">
        <v>-248859.61984</v>
      </c>
      <c r="Q9">
        <v>-252808.11147</v>
      </c>
      <c r="R9">
        <v>-255099.62414</v>
      </c>
      <c r="S9">
        <v>-252720.54154000001</v>
      </c>
      <c r="T9">
        <v>-254213.44377000001</v>
      </c>
      <c r="U9">
        <v>-255138.20009</v>
      </c>
      <c r="V9">
        <v>-257437.96617999999</v>
      </c>
      <c r="W9">
        <v>-260294.27648999999</v>
      </c>
      <c r="X9">
        <v>-259423.2575150565</v>
      </c>
      <c r="Y9">
        <v>-260056.0748668928</v>
      </c>
      <c r="Z9">
        <v>-259325.364639181</v>
      </c>
      <c r="AA9">
        <v>-257190.32969433541</v>
      </c>
      <c r="AB9">
        <v>-257250.27275336269</v>
      </c>
      <c r="AC9">
        <v>-254459.46817734349</v>
      </c>
      <c r="AD9">
        <v>-251280.3295440948</v>
      </c>
      <c r="AE9">
        <v>-247076.37417711969</v>
      </c>
      <c r="AF9">
        <v>-247190.36263745531</v>
      </c>
      <c r="AG9">
        <v>-246260.15020253981</v>
      </c>
      <c r="AH9">
        <v>-245465.06924431221</v>
      </c>
      <c r="AI9">
        <v>-246288.4338478428</v>
      </c>
      <c r="AJ9">
        <v>-246139.4108184294</v>
      </c>
      <c r="AK9">
        <v>-246180.03571824211</v>
      </c>
      <c r="AL9">
        <v>-246120.11028506249</v>
      </c>
      <c r="AM9">
        <v>-245125.69903039481</v>
      </c>
      <c r="AN9">
        <v>-245008.98795065889</v>
      </c>
      <c r="AO9">
        <v>-244398.34416341741</v>
      </c>
      <c r="AP9">
        <v>-243920.62397035109</v>
      </c>
      <c r="AQ9">
        <v>-244475.98638542299</v>
      </c>
      <c r="AR9">
        <v>-7525679.7860015146</v>
      </c>
    </row>
    <row r="10" spans="1:44">
      <c r="A10" s="64" t="s">
        <v>295</v>
      </c>
      <c r="B10" s="65">
        <v>2021</v>
      </c>
      <c r="C10" s="65">
        <v>2023</v>
      </c>
      <c r="D10" s="65" t="s">
        <v>296</v>
      </c>
      <c r="E10" s="65" t="s">
        <v>305</v>
      </c>
      <c r="F10" s="65" t="s">
        <v>40</v>
      </c>
      <c r="G10" s="65"/>
      <c r="H10" s="65"/>
      <c r="I10" s="66">
        <v>130129.54402</v>
      </c>
      <c r="M10" s="71" t="s">
        <v>308</v>
      </c>
      <c r="N10">
        <v>120080.73561638891</v>
      </c>
      <c r="O10">
        <v>116605.58461999999</v>
      </c>
      <c r="P10">
        <v>112995.02085</v>
      </c>
      <c r="Q10">
        <v>109103.60976000001</v>
      </c>
      <c r="R10">
        <v>105666.04114</v>
      </c>
      <c r="S10">
        <v>102831.00456</v>
      </c>
      <c r="T10">
        <v>100009.4062</v>
      </c>
      <c r="U10">
        <v>97217.206959999996</v>
      </c>
      <c r="V10">
        <v>94459.040500000003</v>
      </c>
      <c r="W10">
        <v>91715.071370000005</v>
      </c>
      <c r="X10">
        <v>88972.327178053645</v>
      </c>
      <c r="Y10">
        <v>86275.69279610728</v>
      </c>
      <c r="Z10">
        <v>83680.112474160924</v>
      </c>
      <c r="AA10">
        <v>81123.320392214562</v>
      </c>
      <c r="AB10">
        <v>78600.034460268202</v>
      </c>
      <c r="AC10">
        <v>76519.777601549562</v>
      </c>
      <c r="AD10">
        <v>74472.739292830927</v>
      </c>
      <c r="AE10">
        <v>72460.475344112288</v>
      </c>
      <c r="AF10">
        <v>70484.060185393639</v>
      </c>
      <c r="AG10">
        <v>68527.308156675004</v>
      </c>
      <c r="AH10">
        <v>67312.83029795636</v>
      </c>
      <c r="AI10">
        <v>66133.495219237724</v>
      </c>
      <c r="AJ10">
        <v>64963.709510519067</v>
      </c>
      <c r="AK10">
        <v>63817.198891800443</v>
      </c>
      <c r="AL10">
        <v>62687.912953081788</v>
      </c>
      <c r="AM10">
        <v>61717.465134363149</v>
      </c>
      <c r="AN10">
        <v>60782.59619564451</v>
      </c>
      <c r="AO10">
        <v>59869.60631692587</v>
      </c>
      <c r="AP10">
        <v>58964.410668207231</v>
      </c>
      <c r="AQ10">
        <v>58076.529229488588</v>
      </c>
      <c r="AR10">
        <v>2456124.3238749802</v>
      </c>
    </row>
    <row r="11" spans="1:44">
      <c r="A11" s="67" t="s">
        <v>295</v>
      </c>
      <c r="B11" s="68">
        <v>2021</v>
      </c>
      <c r="C11" s="68">
        <v>2023</v>
      </c>
      <c r="D11" s="68" t="s">
        <v>309</v>
      </c>
      <c r="E11" s="68" t="s">
        <v>294</v>
      </c>
      <c r="F11" s="68" t="s">
        <v>297</v>
      </c>
      <c r="G11" s="68"/>
      <c r="H11" s="68"/>
      <c r="I11" s="69">
        <v>69944.86697805555</v>
      </c>
      <c r="M11" s="71" t="s">
        <v>310</v>
      </c>
      <c r="N11">
        <v>74387.354680037897</v>
      </c>
      <c r="O11">
        <v>87849.527847392019</v>
      </c>
      <c r="P11">
        <v>98540.026164746145</v>
      </c>
      <c r="Q11">
        <v>105907.9536721003</v>
      </c>
      <c r="R11">
        <v>111692.2223994544</v>
      </c>
      <c r="S11">
        <v>113083.8294477556</v>
      </c>
      <c r="T11">
        <v>114483.86656605671</v>
      </c>
      <c r="U11">
        <v>115649.6351743579</v>
      </c>
      <c r="V11">
        <v>116801.684882659</v>
      </c>
      <c r="W11">
        <v>117989.7249609602</v>
      </c>
      <c r="X11">
        <v>118583.5294180699</v>
      </c>
      <c r="Y11">
        <v>119129.3790795251</v>
      </c>
      <c r="Z11">
        <v>119664.8984866348</v>
      </c>
      <c r="AA11">
        <v>120190.5150337446</v>
      </c>
      <c r="AB11">
        <v>120707.6404408543</v>
      </c>
      <c r="AC11">
        <v>121308.87503889381</v>
      </c>
      <c r="AD11">
        <v>121797.9027069334</v>
      </c>
      <c r="AE11">
        <v>122278.57297497299</v>
      </c>
      <c r="AF11">
        <v>122750.46031301261</v>
      </c>
      <c r="AG11">
        <v>122739.27425105219</v>
      </c>
      <c r="AH11">
        <v>123344.7217585255</v>
      </c>
      <c r="AI11">
        <v>123944.4660659988</v>
      </c>
      <c r="AJ11">
        <v>124535.1804134721</v>
      </c>
      <c r="AK11">
        <v>125117.04216094541</v>
      </c>
      <c r="AL11">
        <v>125689.9008184187</v>
      </c>
      <c r="AM11">
        <v>126266.8212211052</v>
      </c>
      <c r="AN11">
        <v>126779.8009481372</v>
      </c>
      <c r="AO11">
        <v>127282.11285516911</v>
      </c>
      <c r="AP11">
        <v>127773.7289378556</v>
      </c>
      <c r="AQ11">
        <v>127857.4773248875</v>
      </c>
      <c r="AR11">
        <v>3524128.1260437286</v>
      </c>
    </row>
    <row r="12" spans="1:44">
      <c r="A12" s="64" t="s">
        <v>295</v>
      </c>
      <c r="B12" s="65">
        <v>2021</v>
      </c>
      <c r="C12" s="65">
        <v>2023</v>
      </c>
      <c r="D12" s="65" t="s">
        <v>309</v>
      </c>
      <c r="E12" s="65" t="s">
        <v>294</v>
      </c>
      <c r="F12" s="65" t="s">
        <v>298</v>
      </c>
      <c r="G12" s="65"/>
      <c r="H12" s="65"/>
      <c r="I12" s="66">
        <v>737232.25815000001</v>
      </c>
      <c r="M12" s="71" t="s">
        <v>311</v>
      </c>
      <c r="N12">
        <v>131197.7320327597</v>
      </c>
      <c r="O12">
        <v>133589.481333679</v>
      </c>
      <c r="P12">
        <v>135481.53481459821</v>
      </c>
      <c r="Q12">
        <v>137301.06935551739</v>
      </c>
      <c r="R12">
        <v>139092.37179643661</v>
      </c>
      <c r="S12">
        <v>138737.47233080171</v>
      </c>
      <c r="T12">
        <v>138380.79670516681</v>
      </c>
      <c r="U12">
        <v>138022.24986953189</v>
      </c>
      <c r="V12">
        <v>137661.73571389701</v>
      </c>
      <c r="W12">
        <v>137310.55713826211</v>
      </c>
      <c r="X12">
        <v>137673.12183071731</v>
      </c>
      <c r="Y12">
        <v>138035.30083605839</v>
      </c>
      <c r="Z12">
        <v>138397.84111139961</v>
      </c>
      <c r="AA12">
        <v>138761.34966674069</v>
      </c>
      <c r="AB12">
        <v>139125.8320220818</v>
      </c>
      <c r="AC12">
        <v>139573.32610212491</v>
      </c>
      <c r="AD12">
        <v>140002.376982168</v>
      </c>
      <c r="AE12">
        <v>140431.82276221109</v>
      </c>
      <c r="AF12">
        <v>140861.76973225409</v>
      </c>
      <c r="AG12">
        <v>141292.02286229719</v>
      </c>
      <c r="AH12">
        <v>141583.72818533931</v>
      </c>
      <c r="AI12">
        <v>141876.12085549539</v>
      </c>
      <c r="AJ12">
        <v>142168.75280853751</v>
      </c>
      <c r="AK12">
        <v>142462.00886869489</v>
      </c>
      <c r="AL12">
        <v>142755.5078617369</v>
      </c>
      <c r="AM12">
        <v>143423.86441506149</v>
      </c>
      <c r="AN12">
        <v>144092.55973838619</v>
      </c>
      <c r="AO12">
        <v>144761.39735171091</v>
      </c>
      <c r="AP12">
        <v>145430.47946503561</v>
      </c>
      <c r="AQ12">
        <v>146099.6068483603</v>
      </c>
      <c r="AR12">
        <v>4195583.7913970612</v>
      </c>
    </row>
    <row r="13" spans="1:44">
      <c r="A13" s="67" t="s">
        <v>295</v>
      </c>
      <c r="B13" s="68">
        <v>2021</v>
      </c>
      <c r="C13" s="68">
        <v>2023</v>
      </c>
      <c r="D13" s="68" t="s">
        <v>309</v>
      </c>
      <c r="E13" s="68" t="s">
        <v>294</v>
      </c>
      <c r="F13" s="68" t="s">
        <v>40</v>
      </c>
      <c r="G13" s="68"/>
      <c r="H13" s="68"/>
      <c r="I13" s="69">
        <v>807005.28670333338</v>
      </c>
      <c r="M13" s="71" t="s">
        <v>312</v>
      </c>
      <c r="N13">
        <v>948.07377999999994</v>
      </c>
      <c r="O13">
        <v>902.86890000000005</v>
      </c>
      <c r="P13">
        <v>899.12897999999996</v>
      </c>
      <c r="Q13">
        <v>897.46927000000005</v>
      </c>
      <c r="R13">
        <v>890.28060000000005</v>
      </c>
      <c r="S13">
        <v>886.96055999999999</v>
      </c>
      <c r="T13">
        <v>885.91779999999994</v>
      </c>
      <c r="U13">
        <v>882.05174999999997</v>
      </c>
      <c r="V13">
        <v>879.41413999999997</v>
      </c>
      <c r="W13">
        <v>876.23125000000005</v>
      </c>
      <c r="X13">
        <v>869.28232000000003</v>
      </c>
      <c r="Y13">
        <v>866.03337999999997</v>
      </c>
      <c r="Z13">
        <v>862.38445000000002</v>
      </c>
      <c r="AA13">
        <v>858.83552000000009</v>
      </c>
      <c r="AB13">
        <v>855.68656999999996</v>
      </c>
      <c r="AC13">
        <v>852.60347999999999</v>
      </c>
      <c r="AD13">
        <v>849.72037999999998</v>
      </c>
      <c r="AE13">
        <v>846.53728999999998</v>
      </c>
      <c r="AF13">
        <v>843.55418999999995</v>
      </c>
      <c r="AG13">
        <v>840.27110000000005</v>
      </c>
      <c r="AH13">
        <v>841.2693344006467</v>
      </c>
      <c r="AI13">
        <v>842.36756880129326</v>
      </c>
      <c r="AJ13">
        <v>843.46580320193982</v>
      </c>
      <c r="AK13">
        <v>844.36403760258634</v>
      </c>
      <c r="AL13">
        <v>845.4622720032329</v>
      </c>
      <c r="AM13">
        <v>849.06220793517537</v>
      </c>
      <c r="AN13">
        <v>853.16214386711772</v>
      </c>
      <c r="AO13">
        <v>857.06207979906014</v>
      </c>
      <c r="AP13">
        <v>861.06201573100259</v>
      </c>
      <c r="AQ13">
        <v>865.16195166294494</v>
      </c>
      <c r="AR13">
        <v>25995.745125005</v>
      </c>
    </row>
    <row r="14" spans="1:44">
      <c r="A14" s="64" t="s">
        <v>295</v>
      </c>
      <c r="B14" s="65">
        <v>2021</v>
      </c>
      <c r="C14" s="65">
        <v>2023</v>
      </c>
      <c r="D14" s="65" t="s">
        <v>309</v>
      </c>
      <c r="E14" s="65" t="s">
        <v>301</v>
      </c>
      <c r="F14" s="65" t="s">
        <v>297</v>
      </c>
      <c r="G14" s="65"/>
      <c r="H14" s="65"/>
      <c r="I14" s="66">
        <v>69880.225448055557</v>
      </c>
      <c r="M14" s="71" t="s">
        <v>313</v>
      </c>
      <c r="N14">
        <v>3393883.2561827782</v>
      </c>
      <c r="O14">
        <v>3367684.0654000002</v>
      </c>
      <c r="P14">
        <v>3329321.6420700001</v>
      </c>
      <c r="Q14">
        <v>3222423.7964699999</v>
      </c>
      <c r="R14">
        <v>3130262.79911</v>
      </c>
      <c r="S14">
        <v>3011259.6148199998</v>
      </c>
      <c r="T14">
        <v>2892078.6413400001</v>
      </c>
      <c r="U14">
        <v>2786415.4423000002</v>
      </c>
      <c r="V14">
        <v>2671922.8937499998</v>
      </c>
      <c r="W14">
        <v>2571635.3960600002</v>
      </c>
      <c r="X14">
        <v>2499692.9328832431</v>
      </c>
      <c r="Y14">
        <v>2430522.410356388</v>
      </c>
      <c r="Z14">
        <v>2363412.8552784058</v>
      </c>
      <c r="AA14">
        <v>2298097.1862849458</v>
      </c>
      <c r="AB14">
        <v>2231294.0625468502</v>
      </c>
      <c r="AC14">
        <v>2179730.058662836</v>
      </c>
      <c r="AD14">
        <v>2131905.8774045981</v>
      </c>
      <c r="AE14">
        <v>2087226.4865993049</v>
      </c>
      <c r="AF14">
        <v>2043826.681511078</v>
      </c>
      <c r="AG14">
        <v>2001675.9352631739</v>
      </c>
      <c r="AH14">
        <v>1974980.969847274</v>
      </c>
      <c r="AI14">
        <v>1952361.1209661979</v>
      </c>
      <c r="AJ14">
        <v>1930978.329885823</v>
      </c>
      <c r="AK14">
        <v>1909879.4739301261</v>
      </c>
      <c r="AL14">
        <v>1890858.0510213019</v>
      </c>
      <c r="AM14">
        <v>1877834.9638092341</v>
      </c>
      <c r="AN14">
        <v>1866283.666328928</v>
      </c>
      <c r="AO14">
        <v>1854926.702001258</v>
      </c>
      <c r="AP14">
        <v>1844456.2797821229</v>
      </c>
      <c r="AQ14">
        <v>1833283.3953769789</v>
      </c>
      <c r="AR14">
        <v>71580114.987242848</v>
      </c>
    </row>
    <row r="15" spans="1:44">
      <c r="A15" s="67" t="s">
        <v>295</v>
      </c>
      <c r="B15" s="68">
        <v>2021</v>
      </c>
      <c r="C15" s="68">
        <v>2023</v>
      </c>
      <c r="D15" s="68" t="s">
        <v>309</v>
      </c>
      <c r="E15" s="68" t="s">
        <v>301</v>
      </c>
      <c r="F15" s="68" t="s">
        <v>298</v>
      </c>
      <c r="G15" s="68"/>
      <c r="H15" s="68"/>
      <c r="I15" s="69">
        <v>742257.60962</v>
      </c>
      <c r="M15" s="71" t="s">
        <v>314</v>
      </c>
      <c r="N15">
        <v>3145822.4475583341</v>
      </c>
      <c r="O15">
        <v>3119346.0947500002</v>
      </c>
      <c r="P15">
        <v>3080471.7012200002</v>
      </c>
      <c r="Q15">
        <v>2969620.4745100001</v>
      </c>
      <c r="R15">
        <v>2875163.1749700001</v>
      </c>
      <c r="S15">
        <v>2758538.99327</v>
      </c>
      <c r="T15">
        <v>2637865.1375899999</v>
      </c>
      <c r="U15">
        <v>2531277.2022099998</v>
      </c>
      <c r="V15">
        <v>2414484.8075899999</v>
      </c>
      <c r="W15">
        <v>2311341.0195599999</v>
      </c>
      <c r="X15">
        <v>2240266.313955422</v>
      </c>
      <c r="Y15">
        <v>2170466.7754894951</v>
      </c>
      <c r="Z15">
        <v>2104087.5506092249</v>
      </c>
      <c r="AA15">
        <v>2040907.036580611</v>
      </c>
      <c r="AB15">
        <v>1974044.2897934869</v>
      </c>
      <c r="AC15">
        <v>1925270.6504654931</v>
      </c>
      <c r="AD15">
        <v>1880625.4678605029</v>
      </c>
      <c r="AE15">
        <v>1840150.3924321849</v>
      </c>
      <c r="AF15">
        <v>1796636.358883623</v>
      </c>
      <c r="AG15">
        <v>1755415.6850406339</v>
      </c>
      <c r="AH15">
        <v>1686226.0948629619</v>
      </c>
      <c r="AI15">
        <v>1671079.608118355</v>
      </c>
      <c r="AJ15">
        <v>1657334.9271873939</v>
      </c>
      <c r="AK15">
        <v>1642741.2130118839</v>
      </c>
      <c r="AL15">
        <v>1644737.7407162399</v>
      </c>
      <c r="AM15">
        <v>1621724.0786588399</v>
      </c>
      <c r="AN15">
        <v>1614452.409778269</v>
      </c>
      <c r="AO15">
        <v>1607317.2577478411</v>
      </c>
      <c r="AP15">
        <v>1600535.535801772</v>
      </c>
      <c r="AQ15">
        <v>1588807.2089815559</v>
      </c>
      <c r="AR15">
        <v>63906757.64920412</v>
      </c>
    </row>
    <row r="16" spans="1:44">
      <c r="A16" s="64" t="s">
        <v>295</v>
      </c>
      <c r="B16" s="65">
        <v>2021</v>
      </c>
      <c r="C16" s="65">
        <v>2023</v>
      </c>
      <c r="D16" s="65" t="s">
        <v>309</v>
      </c>
      <c r="E16" s="65" t="s">
        <v>301</v>
      </c>
      <c r="F16" s="65" t="s">
        <v>40</v>
      </c>
      <c r="G16" s="65"/>
      <c r="H16" s="65"/>
      <c r="I16" s="66">
        <v>811966.01665333332</v>
      </c>
      <c r="M16" s="71" t="s">
        <v>303</v>
      </c>
      <c r="N16">
        <v>9891135.7233466879</v>
      </c>
      <c r="O16">
        <v>9827848.8229810707</v>
      </c>
      <c r="P16">
        <v>9724127.9167893436</v>
      </c>
      <c r="Q16">
        <v>9404730.3065576181</v>
      </c>
      <c r="R16">
        <v>9131242.7280658912</v>
      </c>
      <c r="S16">
        <v>8780040.8144785557</v>
      </c>
      <c r="T16">
        <v>8420560.3335412238</v>
      </c>
      <c r="U16">
        <v>8102535.4734138902</v>
      </c>
      <c r="V16">
        <v>7755256.3625165559</v>
      </c>
      <c r="W16">
        <v>7449524.233149223</v>
      </c>
      <c r="X16">
        <v>7236395.0340128746</v>
      </c>
      <c r="Y16">
        <v>7028538.5593209611</v>
      </c>
      <c r="Z16">
        <v>6829573.9249348901</v>
      </c>
      <c r="AA16">
        <v>6638790.7588466536</v>
      </c>
      <c r="AB16">
        <v>6439147.5699967602</v>
      </c>
      <c r="AC16">
        <v>6291089.1566548413</v>
      </c>
      <c r="AD16">
        <v>6154896.4063647054</v>
      </c>
      <c r="AE16">
        <v>6030180.0824008584</v>
      </c>
      <c r="AF16">
        <v>5900657.378403591</v>
      </c>
      <c r="AG16">
        <v>5776486.7393377908</v>
      </c>
      <c r="AH16">
        <v>5656065.7233814644</v>
      </c>
      <c r="AI16">
        <v>5595752.0801932029</v>
      </c>
      <c r="AJ16">
        <v>5540277.5685758218</v>
      </c>
      <c r="AK16">
        <v>5484324.3689911366</v>
      </c>
      <c r="AL16">
        <v>5449207.7929659411</v>
      </c>
      <c r="AM16">
        <v>5402392.983101015</v>
      </c>
      <c r="AN16">
        <v>5373322.6113058571</v>
      </c>
      <c r="AO16">
        <v>5345260.60762362</v>
      </c>
      <c r="AP16">
        <v>5319181.7360742893</v>
      </c>
      <c r="AQ16">
        <v>5285310.0326650022</v>
      </c>
      <c r="AR16">
        <v>207263853.82999134</v>
      </c>
    </row>
    <row r="17" spans="1:43">
      <c r="A17" s="67" t="s">
        <v>295</v>
      </c>
      <c r="B17" s="68">
        <v>2021</v>
      </c>
      <c r="C17" s="68">
        <v>2023</v>
      </c>
      <c r="D17" s="68" t="s">
        <v>309</v>
      </c>
      <c r="E17" s="68" t="s">
        <v>305</v>
      </c>
      <c r="F17" s="68" t="s">
        <v>297</v>
      </c>
      <c r="G17" s="68"/>
      <c r="H17" s="68"/>
      <c r="I17" s="69">
        <v>138.27332999999999</v>
      </c>
    </row>
    <row r="18" spans="1:43">
      <c r="A18" s="64" t="s">
        <v>295</v>
      </c>
      <c r="B18" s="65">
        <v>2021</v>
      </c>
      <c r="C18" s="65">
        <v>2023</v>
      </c>
      <c r="D18" s="65" t="s">
        <v>309</v>
      </c>
      <c r="E18" s="65" t="s">
        <v>305</v>
      </c>
      <c r="F18" s="65" t="s">
        <v>298</v>
      </c>
      <c r="G18" s="65"/>
      <c r="H18" s="65"/>
      <c r="I18" s="66">
        <v>6865.1160600000003</v>
      </c>
    </row>
    <row r="19" spans="1:43">
      <c r="A19" s="67" t="s">
        <v>295</v>
      </c>
      <c r="B19" s="68">
        <v>2021</v>
      </c>
      <c r="C19" s="68">
        <v>2023</v>
      </c>
      <c r="D19" s="68" t="s">
        <v>309</v>
      </c>
      <c r="E19" s="68" t="s">
        <v>305</v>
      </c>
      <c r="F19" s="68" t="s">
        <v>40</v>
      </c>
      <c r="G19" s="68"/>
      <c r="H19" s="68"/>
      <c r="I19" s="69">
        <v>47976.889389999997</v>
      </c>
    </row>
    <row r="20" spans="1:43">
      <c r="A20" s="64" t="s">
        <v>295</v>
      </c>
      <c r="B20" s="65">
        <v>2021</v>
      </c>
      <c r="C20" s="65">
        <v>2023</v>
      </c>
      <c r="D20" s="65" t="s">
        <v>315</v>
      </c>
      <c r="E20" s="65" t="s">
        <v>294</v>
      </c>
      <c r="F20" s="65" t="s">
        <v>297</v>
      </c>
      <c r="G20" s="65"/>
      <c r="H20" s="65"/>
      <c r="I20" s="66">
        <v>118391.2774344444</v>
      </c>
    </row>
    <row r="21" spans="1:43">
      <c r="A21" s="67" t="s">
        <v>295</v>
      </c>
      <c r="B21" s="68">
        <v>2021</v>
      </c>
      <c r="C21" s="68">
        <v>2023</v>
      </c>
      <c r="D21" s="68" t="s">
        <v>315</v>
      </c>
      <c r="E21" s="68" t="s">
        <v>294</v>
      </c>
      <c r="F21" s="68" t="s">
        <v>298</v>
      </c>
      <c r="G21" s="68"/>
      <c r="H21" s="68"/>
      <c r="I21" s="69">
        <v>305698.23654999997</v>
      </c>
      <c r="N21">
        <v>2021</v>
      </c>
      <c r="O21">
        <v>2022</v>
      </c>
      <c r="P21">
        <v>2023</v>
      </c>
      <c r="Q21">
        <v>2024</v>
      </c>
      <c r="R21">
        <v>2025</v>
      </c>
      <c r="S21">
        <v>2026</v>
      </c>
      <c r="T21">
        <v>2027</v>
      </c>
      <c r="U21">
        <v>2028</v>
      </c>
      <c r="V21">
        <v>2029</v>
      </c>
      <c r="W21">
        <v>2030</v>
      </c>
      <c r="X21">
        <v>2031</v>
      </c>
      <c r="Y21">
        <v>2032</v>
      </c>
      <c r="Z21">
        <v>2033</v>
      </c>
      <c r="AA21">
        <v>2034</v>
      </c>
      <c r="AB21">
        <v>2035</v>
      </c>
      <c r="AC21">
        <v>2036</v>
      </c>
      <c r="AD21">
        <v>2037</v>
      </c>
      <c r="AE21">
        <v>2038</v>
      </c>
      <c r="AF21">
        <v>2039</v>
      </c>
      <c r="AG21">
        <v>2040</v>
      </c>
      <c r="AH21">
        <v>2041</v>
      </c>
      <c r="AI21">
        <v>2042</v>
      </c>
      <c r="AJ21">
        <v>2043</v>
      </c>
      <c r="AK21">
        <v>2044</v>
      </c>
      <c r="AL21">
        <v>2045</v>
      </c>
      <c r="AM21">
        <v>2046</v>
      </c>
      <c r="AN21">
        <v>2047</v>
      </c>
      <c r="AO21">
        <v>2048</v>
      </c>
      <c r="AP21">
        <v>2049</v>
      </c>
      <c r="AQ21">
        <v>2050</v>
      </c>
    </row>
    <row r="22" spans="1:43">
      <c r="A22" s="64" t="s">
        <v>295</v>
      </c>
      <c r="B22" s="65">
        <v>2021</v>
      </c>
      <c r="C22" s="65">
        <v>2023</v>
      </c>
      <c r="D22" s="65" t="s">
        <v>315</v>
      </c>
      <c r="E22" s="65" t="s">
        <v>294</v>
      </c>
      <c r="F22" s="65" t="s">
        <v>40</v>
      </c>
      <c r="G22" s="65"/>
      <c r="H22" s="65"/>
      <c r="I22" s="66">
        <v>423690.01225527778</v>
      </c>
      <c r="M22" t="s">
        <v>296</v>
      </c>
      <c r="N22">
        <v>2577170.6785550001</v>
      </c>
      <c r="O22">
        <v>2558392.0939099998</v>
      </c>
      <c r="P22">
        <v>2528139.7053499999</v>
      </c>
      <c r="Q22">
        <v>2429962.23153</v>
      </c>
      <c r="R22">
        <v>2347068.2849699999</v>
      </c>
      <c r="S22">
        <v>2241519.6005699998</v>
      </c>
      <c r="T22">
        <v>2136144.0229400001</v>
      </c>
      <c r="U22">
        <v>2044705.74422</v>
      </c>
      <c r="V22">
        <v>1944873.1497599999</v>
      </c>
      <c r="W22">
        <v>1859635.4403599999</v>
      </c>
      <c r="X22">
        <v>1798228.680116144</v>
      </c>
      <c r="Y22">
        <v>1738923.8434551761</v>
      </c>
      <c r="Z22">
        <v>1681447.4882206609</v>
      </c>
      <c r="AA22">
        <v>1625545.244421286</v>
      </c>
      <c r="AB22">
        <v>1568025.1932875849</v>
      </c>
      <c r="AC22">
        <v>1523123.3159200661</v>
      </c>
      <c r="AD22">
        <v>1481579.8709735691</v>
      </c>
      <c r="AE22">
        <v>1443002.439255222</v>
      </c>
      <c r="AF22">
        <v>1405637.2006704661</v>
      </c>
      <c r="AG22">
        <v>1369555.1406144919</v>
      </c>
      <c r="AH22">
        <v>1344742.622749123</v>
      </c>
      <c r="AI22">
        <v>1324183.1395392939</v>
      </c>
      <c r="AJ22">
        <v>1304800.8252950171</v>
      </c>
      <c r="AK22">
        <v>1285722.8157706431</v>
      </c>
      <c r="AL22">
        <v>1268505.8842420529</v>
      </c>
      <c r="AM22">
        <v>1257198.515545523</v>
      </c>
      <c r="AN22">
        <v>1247320.7935738261</v>
      </c>
      <c r="AO22">
        <v>1237575.138498256</v>
      </c>
      <c r="AP22">
        <v>1228707.242811003</v>
      </c>
      <c r="AQ22">
        <v>1219398.4901402099</v>
      </c>
    </row>
    <row r="23" spans="1:43">
      <c r="A23" s="67" t="s">
        <v>295</v>
      </c>
      <c r="B23" s="68">
        <v>2021</v>
      </c>
      <c r="C23" s="68">
        <v>2023</v>
      </c>
      <c r="D23" s="68" t="s">
        <v>315</v>
      </c>
      <c r="E23" s="68" t="s">
        <v>301</v>
      </c>
      <c r="F23" s="68" t="s">
        <v>297</v>
      </c>
      <c r="G23" s="68"/>
      <c r="H23" s="68"/>
      <c r="I23" s="69">
        <v>118552.9360344444</v>
      </c>
      <c r="M23" t="s">
        <v>304</v>
      </c>
      <c r="N23">
        <v>311847.05791138893</v>
      </c>
      <c r="O23">
        <v>310151.04687000002</v>
      </c>
      <c r="P23">
        <v>310109.73200000002</v>
      </c>
      <c r="Q23">
        <v>307927.24414999998</v>
      </c>
      <c r="R23">
        <v>305035.57146000001</v>
      </c>
      <c r="S23">
        <v>296981.70522</v>
      </c>
      <c r="T23">
        <v>288607.66136000003</v>
      </c>
      <c r="U23">
        <v>279658.26526999997</v>
      </c>
      <c r="V23">
        <v>270294.03473999997</v>
      </c>
      <c r="W23">
        <v>260627.08905000001</v>
      </c>
      <c r="X23">
        <v>254148.8392431424</v>
      </c>
      <c r="Y23">
        <v>248050.6032298347</v>
      </c>
      <c r="Z23">
        <v>242100.1155920637</v>
      </c>
      <c r="AA23">
        <v>236323.6666428406</v>
      </c>
      <c r="AB23">
        <v>230658.5818322069</v>
      </c>
      <c r="AC23">
        <v>226607.9567296023</v>
      </c>
      <c r="AD23">
        <v>222881.05392670451</v>
      </c>
      <c r="AE23">
        <v>219332.79446860249</v>
      </c>
      <c r="AF23">
        <v>215835.42872296931</v>
      </c>
      <c r="AG23">
        <v>212221.16769988241</v>
      </c>
      <c r="AH23">
        <v>212954.46315815311</v>
      </c>
      <c r="AI23">
        <v>212883.37158661531</v>
      </c>
      <c r="AJ23">
        <v>212839.60029343801</v>
      </c>
      <c r="AK23">
        <v>212765.83650577121</v>
      </c>
      <c r="AL23">
        <v>212868.17714929249</v>
      </c>
      <c r="AM23">
        <v>212774.49066109871</v>
      </c>
      <c r="AN23">
        <v>212678.37857478831</v>
      </c>
      <c r="AO23">
        <v>212581.78555020539</v>
      </c>
      <c r="AP23">
        <v>212494.5040906207</v>
      </c>
      <c r="AQ23">
        <v>212173.23018361491</v>
      </c>
    </row>
    <row r="24" spans="1:43">
      <c r="A24" s="64" t="s">
        <v>295</v>
      </c>
      <c r="B24" s="65">
        <v>2021</v>
      </c>
      <c r="C24" s="65">
        <v>2023</v>
      </c>
      <c r="D24" s="65" t="s">
        <v>315</v>
      </c>
      <c r="E24" s="65" t="s">
        <v>301</v>
      </c>
      <c r="F24" s="65" t="s">
        <v>298</v>
      </c>
      <c r="G24" s="65"/>
      <c r="H24" s="65"/>
      <c r="I24" s="66">
        <v>306940.56666999997</v>
      </c>
      <c r="M24" t="s">
        <v>306</v>
      </c>
      <c r="N24">
        <v>383919.26348999998</v>
      </c>
      <c r="O24">
        <v>381680.49975000002</v>
      </c>
      <c r="P24">
        <v>377029.04518000002</v>
      </c>
      <c r="Q24">
        <v>374394.56930999999</v>
      </c>
      <c r="R24">
        <v>371471.60576000001</v>
      </c>
      <c r="S24">
        <v>368922.17524000001</v>
      </c>
      <c r="T24">
        <v>366318.32681</v>
      </c>
      <c r="U24">
        <v>363845.87575000001</v>
      </c>
      <c r="V24">
        <v>361317.56761999999</v>
      </c>
      <c r="W24">
        <v>358687.97989000002</v>
      </c>
      <c r="X24">
        <v>357383.26458313811</v>
      </c>
      <c r="Y24">
        <v>356324.59556526958</v>
      </c>
      <c r="Z24">
        <v>355246.04335152038</v>
      </c>
      <c r="AA24">
        <v>354173.93399860541</v>
      </c>
      <c r="AB24">
        <v>353086.52179679013</v>
      </c>
      <c r="AC24">
        <v>352562.06083161832</v>
      </c>
      <c r="AD24">
        <v>352061.72638149309</v>
      </c>
      <c r="AE24">
        <v>351526.93545136781</v>
      </c>
      <c r="AF24">
        <v>350972.22683224932</v>
      </c>
      <c r="AG24">
        <v>350480.08455212403</v>
      </c>
      <c r="AH24">
        <v>349544.09243204183</v>
      </c>
      <c r="AI24">
        <v>348736.82412105048</v>
      </c>
      <c r="AJ24">
        <v>347952.18819684902</v>
      </c>
      <c r="AK24">
        <v>347154.45153191092</v>
      </c>
      <c r="AL24">
        <v>346379.26621687523</v>
      </c>
      <c r="AM24">
        <v>345729.42047824932</v>
      </c>
      <c r="AN24">
        <v>345088.23197466979</v>
      </c>
      <c r="AO24">
        <v>344487.88938587141</v>
      </c>
      <c r="AP24">
        <v>343879.11647229188</v>
      </c>
      <c r="AQ24">
        <v>343224.91901366599</v>
      </c>
    </row>
    <row r="25" spans="1:43">
      <c r="A25" s="67" t="s">
        <v>295</v>
      </c>
      <c r="B25" s="68">
        <v>2021</v>
      </c>
      <c r="C25" s="68">
        <v>2023</v>
      </c>
      <c r="D25" s="68" t="s">
        <v>315</v>
      </c>
      <c r="E25" s="68" t="s">
        <v>301</v>
      </c>
      <c r="F25" s="68" t="s">
        <v>40</v>
      </c>
      <c r="G25" s="68"/>
      <c r="H25" s="68"/>
      <c r="I25" s="69">
        <v>425094.10096527782</v>
      </c>
      <c r="M25" t="s">
        <v>307</v>
      </c>
      <c r="N25">
        <v>-248120.87646</v>
      </c>
      <c r="O25">
        <v>-248352.44039999999</v>
      </c>
      <c r="P25">
        <v>-248859.61984</v>
      </c>
      <c r="Q25">
        <v>-252808.11147</v>
      </c>
      <c r="R25">
        <v>-255099.62414</v>
      </c>
      <c r="S25">
        <v>-252720.54154000001</v>
      </c>
      <c r="T25">
        <v>-254213.44377000001</v>
      </c>
      <c r="U25">
        <v>-255138.20009</v>
      </c>
      <c r="V25">
        <v>-257437.96617999999</v>
      </c>
      <c r="W25">
        <v>-260294.27648999999</v>
      </c>
      <c r="X25">
        <v>-259423.2575150565</v>
      </c>
      <c r="Y25">
        <v>-260056.0748668928</v>
      </c>
      <c r="Z25">
        <v>-259325.364639181</v>
      </c>
      <c r="AA25">
        <v>-257190.32969433541</v>
      </c>
      <c r="AB25">
        <v>-257250.27275336269</v>
      </c>
      <c r="AC25">
        <v>-254459.46817734349</v>
      </c>
      <c r="AD25">
        <v>-251280.3295440948</v>
      </c>
      <c r="AE25">
        <v>-247076.37417711969</v>
      </c>
      <c r="AF25">
        <v>-247190.36263745531</v>
      </c>
      <c r="AG25">
        <v>-246260.15020253981</v>
      </c>
      <c r="AH25">
        <v>-245465.06924431221</v>
      </c>
      <c r="AI25">
        <v>-246288.4338478428</v>
      </c>
      <c r="AJ25">
        <v>-246139.4108184294</v>
      </c>
      <c r="AK25">
        <v>-246180.03571824211</v>
      </c>
      <c r="AL25">
        <v>-246120.11028506249</v>
      </c>
      <c r="AM25">
        <v>-245125.69903039481</v>
      </c>
      <c r="AN25">
        <v>-245008.98795065889</v>
      </c>
      <c r="AO25">
        <v>-244398.34416341741</v>
      </c>
      <c r="AP25">
        <v>-243920.62397035109</v>
      </c>
      <c r="AQ25">
        <v>-244475.98638542299</v>
      </c>
    </row>
    <row r="26" spans="1:43">
      <c r="A26" s="64" t="s">
        <v>295</v>
      </c>
      <c r="B26" s="65">
        <v>2021</v>
      </c>
      <c r="C26" s="65">
        <v>2023</v>
      </c>
      <c r="D26" s="65" t="s">
        <v>315</v>
      </c>
      <c r="E26" s="65" t="s">
        <v>305</v>
      </c>
      <c r="F26" s="65" t="s">
        <v>297</v>
      </c>
      <c r="G26" s="65"/>
      <c r="H26" s="65"/>
      <c r="I26" s="66">
        <v>927.28965000000005</v>
      </c>
      <c r="M26" t="s">
        <v>308</v>
      </c>
      <c r="N26">
        <v>120080.73561638891</v>
      </c>
      <c r="O26">
        <v>116605.58461999999</v>
      </c>
      <c r="P26">
        <v>112995.02085</v>
      </c>
      <c r="Q26">
        <v>109103.60976000001</v>
      </c>
      <c r="R26">
        <v>105666.04114</v>
      </c>
      <c r="S26">
        <v>102831.00456</v>
      </c>
      <c r="T26">
        <v>100009.4062</v>
      </c>
      <c r="U26">
        <v>97217.206959999996</v>
      </c>
      <c r="V26">
        <v>94459.040500000003</v>
      </c>
      <c r="W26">
        <v>91715.071370000005</v>
      </c>
      <c r="X26">
        <v>88972.327178053645</v>
      </c>
      <c r="Y26">
        <v>86275.69279610728</v>
      </c>
      <c r="Z26">
        <v>83680.112474160924</v>
      </c>
      <c r="AA26">
        <v>81123.320392214562</v>
      </c>
      <c r="AB26">
        <v>78600.034460268202</v>
      </c>
      <c r="AC26">
        <v>76519.777601549562</v>
      </c>
      <c r="AD26">
        <v>74472.739292830927</v>
      </c>
      <c r="AE26">
        <v>72460.475344112288</v>
      </c>
      <c r="AF26">
        <v>70484.060185393639</v>
      </c>
      <c r="AG26">
        <v>68527.308156675004</v>
      </c>
      <c r="AH26">
        <v>67312.83029795636</v>
      </c>
      <c r="AI26">
        <v>66133.495219237724</v>
      </c>
      <c r="AJ26">
        <v>64963.709510519067</v>
      </c>
      <c r="AK26">
        <v>63817.198891800443</v>
      </c>
      <c r="AL26">
        <v>62687.912953081788</v>
      </c>
      <c r="AM26">
        <v>61717.465134363149</v>
      </c>
      <c r="AN26">
        <v>60782.59619564451</v>
      </c>
      <c r="AO26">
        <v>59869.60631692587</v>
      </c>
      <c r="AP26">
        <v>58964.410668207231</v>
      </c>
      <c r="AQ26">
        <v>58076.529229488588</v>
      </c>
    </row>
    <row r="27" spans="1:43">
      <c r="A27" s="67" t="s">
        <v>295</v>
      </c>
      <c r="B27" s="68">
        <v>2021</v>
      </c>
      <c r="C27" s="68">
        <v>2023</v>
      </c>
      <c r="D27" s="68" t="s">
        <v>315</v>
      </c>
      <c r="E27" s="68" t="s">
        <v>305</v>
      </c>
      <c r="F27" s="68" t="s">
        <v>298</v>
      </c>
      <c r="G27" s="68"/>
      <c r="H27" s="68"/>
      <c r="I27" s="69">
        <v>1285.4000000000001</v>
      </c>
      <c r="M27" t="s">
        <v>310</v>
      </c>
      <c r="N27">
        <v>74387.354680037897</v>
      </c>
      <c r="O27">
        <v>87849.527847392019</v>
      </c>
      <c r="P27">
        <v>98540.026164746145</v>
      </c>
      <c r="Q27">
        <v>105907.9536721003</v>
      </c>
      <c r="R27">
        <v>111692.2223994544</v>
      </c>
      <c r="S27">
        <v>113083.8294477556</v>
      </c>
      <c r="T27">
        <v>114483.86656605671</v>
      </c>
      <c r="U27">
        <v>115649.6351743579</v>
      </c>
      <c r="V27">
        <v>116801.684882659</v>
      </c>
      <c r="W27">
        <v>117989.7249609602</v>
      </c>
      <c r="X27">
        <v>118583.5294180699</v>
      </c>
      <c r="Y27">
        <v>119129.3790795251</v>
      </c>
      <c r="Z27">
        <v>119664.8984866348</v>
      </c>
      <c r="AA27">
        <v>120190.5150337446</v>
      </c>
      <c r="AB27">
        <v>120707.6404408543</v>
      </c>
      <c r="AC27">
        <v>121308.87503889381</v>
      </c>
      <c r="AD27">
        <v>121797.9027069334</v>
      </c>
      <c r="AE27">
        <v>122278.57297497299</v>
      </c>
      <c r="AF27">
        <v>122750.46031301261</v>
      </c>
      <c r="AG27">
        <v>122739.27425105219</v>
      </c>
      <c r="AH27">
        <v>123344.7217585255</v>
      </c>
      <c r="AI27">
        <v>123944.4660659988</v>
      </c>
      <c r="AJ27">
        <v>124535.1804134721</v>
      </c>
      <c r="AK27">
        <v>125117.04216094541</v>
      </c>
      <c r="AL27">
        <v>125689.9008184187</v>
      </c>
      <c r="AM27">
        <v>126266.8212211052</v>
      </c>
      <c r="AN27">
        <v>126779.8009481372</v>
      </c>
      <c r="AO27">
        <v>127282.11285516911</v>
      </c>
      <c r="AP27">
        <v>127773.7289378556</v>
      </c>
      <c r="AQ27">
        <v>127857.4773248875</v>
      </c>
    </row>
    <row r="28" spans="1:43">
      <c r="A28" s="64" t="s">
        <v>295</v>
      </c>
      <c r="B28" s="65">
        <v>2021</v>
      </c>
      <c r="C28" s="65">
        <v>2023</v>
      </c>
      <c r="D28" s="65" t="s">
        <v>315</v>
      </c>
      <c r="E28" s="65" t="s">
        <v>305</v>
      </c>
      <c r="F28" s="65" t="s">
        <v>40</v>
      </c>
      <c r="G28" s="65"/>
      <c r="H28" s="65"/>
      <c r="I28" s="66">
        <v>18239.389650000001</v>
      </c>
      <c r="M28" t="s">
        <v>311</v>
      </c>
      <c r="N28">
        <v>131197.7320327597</v>
      </c>
      <c r="O28">
        <v>133589.481333679</v>
      </c>
      <c r="P28">
        <v>135481.53481459821</v>
      </c>
      <c r="Q28">
        <v>137301.06935551739</v>
      </c>
      <c r="R28">
        <v>139092.37179643661</v>
      </c>
      <c r="S28">
        <v>138737.47233080171</v>
      </c>
      <c r="T28">
        <v>138380.79670516681</v>
      </c>
      <c r="U28">
        <v>138022.24986953189</v>
      </c>
      <c r="V28">
        <v>137661.73571389701</v>
      </c>
      <c r="W28">
        <v>137310.55713826211</v>
      </c>
      <c r="X28">
        <v>137673.12183071731</v>
      </c>
      <c r="Y28">
        <v>138035.30083605839</v>
      </c>
      <c r="Z28">
        <v>138397.84111139961</v>
      </c>
      <c r="AA28">
        <v>138761.34966674069</v>
      </c>
      <c r="AB28">
        <v>139125.8320220818</v>
      </c>
      <c r="AC28">
        <v>139573.32610212491</v>
      </c>
      <c r="AD28">
        <v>140002.376982168</v>
      </c>
      <c r="AE28">
        <v>140431.82276221109</v>
      </c>
      <c r="AF28">
        <v>140861.76973225409</v>
      </c>
      <c r="AG28">
        <v>141292.02286229719</v>
      </c>
      <c r="AH28">
        <v>141583.72818533931</v>
      </c>
      <c r="AI28">
        <v>141876.12085549539</v>
      </c>
      <c r="AJ28">
        <v>142168.75280853751</v>
      </c>
      <c r="AK28">
        <v>142462.00886869489</v>
      </c>
      <c r="AL28">
        <v>142755.5078617369</v>
      </c>
      <c r="AM28">
        <v>143423.86441506149</v>
      </c>
      <c r="AN28">
        <v>144092.55973838619</v>
      </c>
      <c r="AO28">
        <v>144761.39735171091</v>
      </c>
      <c r="AP28">
        <v>145430.47946503561</v>
      </c>
      <c r="AQ28">
        <v>146099.6068483603</v>
      </c>
    </row>
    <row r="29" spans="1:43">
      <c r="A29" s="67" t="s">
        <v>295</v>
      </c>
      <c r="B29" s="68">
        <v>2021</v>
      </c>
      <c r="C29" s="68">
        <v>2023</v>
      </c>
      <c r="D29" s="68" t="s">
        <v>316</v>
      </c>
      <c r="E29" s="68" t="s">
        <v>294</v>
      </c>
      <c r="F29" s="68" t="s">
        <v>297</v>
      </c>
      <c r="G29" s="68"/>
      <c r="H29" s="68"/>
      <c r="I29" s="69">
        <v>748176.22444333334</v>
      </c>
      <c r="M29" t="s">
        <v>312</v>
      </c>
      <c r="N29">
        <v>948.07377999999994</v>
      </c>
      <c r="O29">
        <v>902.86890000000005</v>
      </c>
      <c r="P29">
        <v>899.12897999999996</v>
      </c>
      <c r="Q29">
        <v>897.46927000000005</v>
      </c>
      <c r="R29">
        <v>890.28060000000005</v>
      </c>
      <c r="S29">
        <v>886.96055999999999</v>
      </c>
      <c r="T29">
        <v>885.91779999999994</v>
      </c>
      <c r="U29">
        <v>882.05174999999997</v>
      </c>
      <c r="V29">
        <v>879.41413999999997</v>
      </c>
      <c r="W29">
        <v>876.23125000000005</v>
      </c>
      <c r="X29">
        <v>869.28232000000003</v>
      </c>
      <c r="Y29">
        <v>866.03337999999997</v>
      </c>
      <c r="Z29">
        <v>862.38445000000002</v>
      </c>
      <c r="AA29">
        <v>858.83552000000009</v>
      </c>
      <c r="AB29">
        <v>855.68656999999996</v>
      </c>
      <c r="AC29">
        <v>852.60347999999999</v>
      </c>
      <c r="AD29">
        <v>849.72037999999998</v>
      </c>
      <c r="AE29">
        <v>846.53728999999998</v>
      </c>
      <c r="AF29">
        <v>843.55418999999995</v>
      </c>
      <c r="AG29">
        <v>840.27110000000005</v>
      </c>
      <c r="AH29">
        <v>841.2693344006467</v>
      </c>
      <c r="AI29">
        <v>842.36756880129326</v>
      </c>
      <c r="AJ29">
        <v>843.46580320193982</v>
      </c>
      <c r="AK29">
        <v>844.36403760258634</v>
      </c>
      <c r="AL29">
        <v>845.4622720032329</v>
      </c>
      <c r="AM29">
        <v>849.06220793517537</v>
      </c>
      <c r="AN29">
        <v>853.16214386711772</v>
      </c>
      <c r="AO29">
        <v>857.06207979906014</v>
      </c>
      <c r="AP29">
        <v>861.06201573100259</v>
      </c>
      <c r="AQ29">
        <v>865.16195166294494</v>
      </c>
    </row>
    <row r="30" spans="1:43">
      <c r="A30" s="64" t="s">
        <v>295</v>
      </c>
      <c r="B30" s="65">
        <v>2021</v>
      </c>
      <c r="C30" s="65">
        <v>2023</v>
      </c>
      <c r="D30" s="65" t="s">
        <v>316</v>
      </c>
      <c r="E30" s="65" t="s">
        <v>294</v>
      </c>
      <c r="F30" s="65" t="s">
        <v>298</v>
      </c>
      <c r="G30" s="65"/>
      <c r="H30" s="65"/>
      <c r="I30" s="66">
        <v>3358.1554700000002</v>
      </c>
      <c r="M30" t="s">
        <v>313</v>
      </c>
      <c r="N30">
        <v>3393883.2561827782</v>
      </c>
      <c r="O30">
        <v>3367684.0654000002</v>
      </c>
      <c r="P30">
        <v>3329321.6420700001</v>
      </c>
      <c r="Q30">
        <v>3222423.7964699999</v>
      </c>
      <c r="R30">
        <v>3130262.79911</v>
      </c>
      <c r="S30">
        <v>3011259.6148199998</v>
      </c>
      <c r="T30">
        <v>2892078.6413400001</v>
      </c>
      <c r="U30">
        <v>2786415.4423000002</v>
      </c>
      <c r="V30">
        <v>2671922.8937499998</v>
      </c>
      <c r="W30">
        <v>2571635.3960600002</v>
      </c>
      <c r="X30">
        <v>2499692.9328832431</v>
      </c>
      <c r="Y30">
        <v>2430522.410356388</v>
      </c>
      <c r="Z30">
        <v>2363412.8552784058</v>
      </c>
      <c r="AA30">
        <v>2298097.1862849458</v>
      </c>
      <c r="AB30">
        <v>2231294.0625468502</v>
      </c>
      <c r="AC30">
        <v>2179730.058662836</v>
      </c>
      <c r="AD30">
        <v>2131905.8774045981</v>
      </c>
      <c r="AE30">
        <v>2087226.4865993049</v>
      </c>
      <c r="AF30">
        <v>2043826.681511078</v>
      </c>
      <c r="AG30">
        <v>2001675.9352631739</v>
      </c>
      <c r="AH30">
        <v>1974980.969847274</v>
      </c>
      <c r="AI30">
        <v>1952361.1209661979</v>
      </c>
      <c r="AJ30">
        <v>1930978.329885823</v>
      </c>
      <c r="AK30">
        <v>1909879.4739301261</v>
      </c>
      <c r="AL30">
        <v>1890858.0510213019</v>
      </c>
      <c r="AM30">
        <v>1877834.9638092341</v>
      </c>
      <c r="AN30">
        <v>1866283.666328928</v>
      </c>
      <c r="AO30">
        <v>1854926.702001258</v>
      </c>
      <c r="AP30">
        <v>1844456.2797821229</v>
      </c>
      <c r="AQ30">
        <v>1833283.3953769789</v>
      </c>
    </row>
    <row r="31" spans="1:43">
      <c r="A31" s="67" t="s">
        <v>295</v>
      </c>
      <c r="B31" s="68">
        <v>2021</v>
      </c>
      <c r="C31" s="68">
        <v>2023</v>
      </c>
      <c r="D31" s="68" t="s">
        <v>316</v>
      </c>
      <c r="E31" s="68" t="s">
        <v>294</v>
      </c>
      <c r="F31" s="68" t="s">
        <v>40</v>
      </c>
      <c r="G31" s="68"/>
      <c r="H31" s="68"/>
      <c r="I31" s="69">
        <v>761568.06919000007</v>
      </c>
      <c r="M31" t="s">
        <v>314</v>
      </c>
      <c r="N31">
        <v>3145822.4475583341</v>
      </c>
      <c r="O31">
        <v>3119346.0947500002</v>
      </c>
      <c r="P31">
        <v>3080471.7012200002</v>
      </c>
      <c r="Q31">
        <v>2969620.4745100001</v>
      </c>
      <c r="R31">
        <v>2875163.1749700001</v>
      </c>
      <c r="S31">
        <v>2758538.99327</v>
      </c>
      <c r="T31">
        <v>2637865.1375899999</v>
      </c>
      <c r="U31">
        <v>2531277.2022099998</v>
      </c>
      <c r="V31">
        <v>2414484.8075899999</v>
      </c>
      <c r="W31">
        <v>2311341.0195599999</v>
      </c>
      <c r="X31">
        <v>2240266.313955422</v>
      </c>
      <c r="Y31">
        <v>2170466.7754894951</v>
      </c>
      <c r="Z31">
        <v>2104087.5506092249</v>
      </c>
      <c r="AA31">
        <v>2040907.036580611</v>
      </c>
      <c r="AB31">
        <v>1974044.2897934869</v>
      </c>
      <c r="AC31">
        <v>1925270.6504654931</v>
      </c>
      <c r="AD31">
        <v>1880625.4678605029</v>
      </c>
      <c r="AE31">
        <v>1840150.3924321849</v>
      </c>
      <c r="AF31">
        <v>1796636.358883623</v>
      </c>
      <c r="AG31">
        <v>1755415.6850406339</v>
      </c>
      <c r="AH31">
        <v>1686226.0948629619</v>
      </c>
      <c r="AI31">
        <v>1671079.608118355</v>
      </c>
      <c r="AJ31">
        <v>1657334.9271873939</v>
      </c>
      <c r="AK31">
        <v>1642741.2130118839</v>
      </c>
      <c r="AL31">
        <v>1644737.7407162399</v>
      </c>
      <c r="AM31">
        <v>1621724.0786588399</v>
      </c>
      <c r="AN31">
        <v>1614452.409778269</v>
      </c>
      <c r="AO31">
        <v>1607317.2577478411</v>
      </c>
      <c r="AP31">
        <v>1600535.535801772</v>
      </c>
      <c r="AQ31">
        <v>1588807.2089815559</v>
      </c>
    </row>
    <row r="32" spans="1:43">
      <c r="A32" s="64" t="s">
        <v>295</v>
      </c>
      <c r="B32" s="65">
        <v>2021</v>
      </c>
      <c r="C32" s="65">
        <v>2023</v>
      </c>
      <c r="D32" s="65" t="s">
        <v>316</v>
      </c>
      <c r="E32" s="65" t="s">
        <v>301</v>
      </c>
      <c r="F32" s="65" t="s">
        <v>297</v>
      </c>
      <c r="G32" s="65"/>
      <c r="H32" s="65"/>
      <c r="I32" s="66">
        <v>750891.02621333336</v>
      </c>
    </row>
    <row r="33" spans="1:43">
      <c r="A33" s="67" t="s">
        <v>295</v>
      </c>
      <c r="B33" s="68">
        <v>2021</v>
      </c>
      <c r="C33" s="68">
        <v>2023</v>
      </c>
      <c r="D33" s="68" t="s">
        <v>316</v>
      </c>
      <c r="E33" s="68" t="s">
        <v>301</v>
      </c>
      <c r="F33" s="68" t="s">
        <v>298</v>
      </c>
      <c r="G33" s="68"/>
      <c r="H33" s="68"/>
      <c r="I33" s="69">
        <v>3358.1554700000002</v>
      </c>
    </row>
    <row r="34" spans="1:43">
      <c r="A34" s="64" t="s">
        <v>295</v>
      </c>
      <c r="B34" s="65">
        <v>2021</v>
      </c>
      <c r="C34" s="65">
        <v>2023</v>
      </c>
      <c r="D34" s="65" t="s">
        <v>316</v>
      </c>
      <c r="E34" s="65" t="s">
        <v>301</v>
      </c>
      <c r="F34" s="65" t="s">
        <v>40</v>
      </c>
      <c r="G34" s="65"/>
      <c r="H34" s="65"/>
      <c r="I34" s="66">
        <v>764288.57096000004</v>
      </c>
      <c r="N34">
        <v>2021</v>
      </c>
      <c r="O34">
        <v>2022</v>
      </c>
      <c r="P34">
        <v>2023</v>
      </c>
      <c r="Q34">
        <v>2024</v>
      </c>
      <c r="R34">
        <v>2025</v>
      </c>
      <c r="S34">
        <v>2026</v>
      </c>
      <c r="T34">
        <v>2027</v>
      </c>
      <c r="U34">
        <v>2028</v>
      </c>
      <c r="V34">
        <v>2029</v>
      </c>
      <c r="W34">
        <v>2030</v>
      </c>
      <c r="X34">
        <v>2031</v>
      </c>
      <c r="Y34">
        <v>2032</v>
      </c>
      <c r="Z34">
        <v>2033</v>
      </c>
      <c r="AA34">
        <v>2034</v>
      </c>
      <c r="AB34">
        <v>2035</v>
      </c>
      <c r="AC34">
        <v>2036</v>
      </c>
      <c r="AD34">
        <v>2037</v>
      </c>
      <c r="AE34">
        <v>2038</v>
      </c>
      <c r="AF34">
        <v>2039</v>
      </c>
      <c r="AG34">
        <v>2040</v>
      </c>
      <c r="AH34">
        <v>2041</v>
      </c>
      <c r="AI34">
        <v>2042</v>
      </c>
      <c r="AJ34">
        <v>2043</v>
      </c>
      <c r="AK34">
        <v>2044</v>
      </c>
      <c r="AL34">
        <v>2045</v>
      </c>
      <c r="AM34">
        <v>2046</v>
      </c>
      <c r="AN34">
        <v>2047</v>
      </c>
      <c r="AO34">
        <v>2048</v>
      </c>
      <c r="AP34">
        <v>2049</v>
      </c>
      <c r="AQ34">
        <v>2050</v>
      </c>
    </row>
    <row r="35" spans="1:43">
      <c r="A35" s="67" t="s">
        <v>295</v>
      </c>
      <c r="B35" s="68">
        <v>2021</v>
      </c>
      <c r="C35" s="68">
        <v>2023</v>
      </c>
      <c r="D35" s="68" t="s">
        <v>316</v>
      </c>
      <c r="E35" s="68" t="s">
        <v>305</v>
      </c>
      <c r="F35" s="68" t="s">
        <v>297</v>
      </c>
      <c r="G35" s="68"/>
      <c r="H35" s="68"/>
      <c r="I35" s="69">
        <v>6984.70604</v>
      </c>
      <c r="M35" t="s">
        <v>296</v>
      </c>
      <c r="N35" s="4">
        <f>N22/1000</f>
        <v>2577.170678555</v>
      </c>
      <c r="O35" s="4">
        <f t="shared" ref="O35:AQ35" si="0">O22/1000</f>
        <v>2558.3920939099999</v>
      </c>
      <c r="P35" s="4">
        <f t="shared" si="0"/>
        <v>2528.13970535</v>
      </c>
      <c r="Q35" s="4">
        <f t="shared" si="0"/>
        <v>2429.9622315299998</v>
      </c>
      <c r="R35" s="4">
        <f t="shared" si="0"/>
        <v>2347.0682849699997</v>
      </c>
      <c r="S35" s="4">
        <f t="shared" si="0"/>
        <v>2241.51960057</v>
      </c>
      <c r="T35" s="4">
        <f t="shared" si="0"/>
        <v>2136.14402294</v>
      </c>
      <c r="U35" s="4">
        <f t="shared" si="0"/>
        <v>2044.70574422</v>
      </c>
      <c r="V35" s="4">
        <f t="shared" si="0"/>
        <v>1944.8731497599999</v>
      </c>
      <c r="W35" s="4">
        <f t="shared" si="0"/>
        <v>1859.6354403599998</v>
      </c>
      <c r="X35" s="4">
        <f t="shared" si="0"/>
        <v>1798.228680116144</v>
      </c>
      <c r="Y35" s="4">
        <f t="shared" si="0"/>
        <v>1738.9238434551762</v>
      </c>
      <c r="Z35" s="4">
        <f t="shared" si="0"/>
        <v>1681.4474882206609</v>
      </c>
      <c r="AA35" s="4">
        <f t="shared" si="0"/>
        <v>1625.545244421286</v>
      </c>
      <c r="AB35" s="4">
        <f t="shared" si="0"/>
        <v>1568.0251932875849</v>
      </c>
      <c r="AC35" s="4">
        <f t="shared" si="0"/>
        <v>1523.123315920066</v>
      </c>
      <c r="AD35" s="4">
        <f t="shared" si="0"/>
        <v>1481.5798709735691</v>
      </c>
      <c r="AE35" s="4">
        <f t="shared" si="0"/>
        <v>1443.002439255222</v>
      </c>
      <c r="AF35" s="4">
        <f t="shared" si="0"/>
        <v>1405.637200670466</v>
      </c>
      <c r="AG35" s="4">
        <f t="shared" si="0"/>
        <v>1369.5551406144918</v>
      </c>
      <c r="AH35" s="4">
        <f t="shared" si="0"/>
        <v>1344.742622749123</v>
      </c>
      <c r="AI35" s="4">
        <f t="shared" si="0"/>
        <v>1324.183139539294</v>
      </c>
      <c r="AJ35" s="4">
        <f t="shared" si="0"/>
        <v>1304.8008252950171</v>
      </c>
      <c r="AK35" s="4">
        <f t="shared" si="0"/>
        <v>1285.7228157706431</v>
      </c>
      <c r="AL35" s="4">
        <f t="shared" si="0"/>
        <v>1268.5058842420528</v>
      </c>
      <c r="AM35" s="4">
        <f t="shared" si="0"/>
        <v>1257.1985155455229</v>
      </c>
      <c r="AN35" s="4">
        <f t="shared" si="0"/>
        <v>1247.320793573826</v>
      </c>
      <c r="AO35" s="4">
        <f t="shared" si="0"/>
        <v>1237.5751384982559</v>
      </c>
      <c r="AP35" s="4">
        <f t="shared" si="0"/>
        <v>1228.707242811003</v>
      </c>
      <c r="AQ35" s="4">
        <f t="shared" si="0"/>
        <v>1219.39849014021</v>
      </c>
    </row>
    <row r="36" spans="1:43">
      <c r="A36" s="64" t="s">
        <v>295</v>
      </c>
      <c r="B36" s="65">
        <v>2021</v>
      </c>
      <c r="C36" s="65">
        <v>2023</v>
      </c>
      <c r="D36" s="65" t="s">
        <v>316</v>
      </c>
      <c r="E36" s="65" t="s">
        <v>305</v>
      </c>
      <c r="F36" s="65" t="s">
        <v>298</v>
      </c>
      <c r="G36" s="65"/>
      <c r="H36" s="65"/>
      <c r="I36" s="66">
        <v>0</v>
      </c>
      <c r="M36" t="s">
        <v>304</v>
      </c>
      <c r="N36" s="4">
        <f t="shared" ref="N36:AQ36" si="1">N23/1000</f>
        <v>311.8470579113889</v>
      </c>
      <c r="O36" s="4">
        <f t="shared" si="1"/>
        <v>310.15104687000002</v>
      </c>
      <c r="P36" s="4">
        <f t="shared" si="1"/>
        <v>310.10973200000001</v>
      </c>
      <c r="Q36" s="4">
        <f t="shared" si="1"/>
        <v>307.92724414999998</v>
      </c>
      <c r="R36" s="4">
        <f t="shared" si="1"/>
        <v>305.03557146000003</v>
      </c>
      <c r="S36" s="4">
        <f t="shared" si="1"/>
        <v>296.98170521999998</v>
      </c>
      <c r="T36" s="4">
        <f t="shared" si="1"/>
        <v>288.60766136000001</v>
      </c>
      <c r="U36" s="4">
        <f t="shared" si="1"/>
        <v>279.65826526999996</v>
      </c>
      <c r="V36" s="4">
        <f t="shared" si="1"/>
        <v>270.29403473999997</v>
      </c>
      <c r="W36" s="4">
        <f t="shared" si="1"/>
        <v>260.62708905</v>
      </c>
      <c r="X36" s="4">
        <f t="shared" si="1"/>
        <v>254.14883924314239</v>
      </c>
      <c r="Y36" s="4">
        <f t="shared" si="1"/>
        <v>248.05060322983471</v>
      </c>
      <c r="Z36" s="4">
        <f t="shared" si="1"/>
        <v>242.1001155920637</v>
      </c>
      <c r="AA36" s="4">
        <f t="shared" si="1"/>
        <v>236.32366664284061</v>
      </c>
      <c r="AB36" s="4">
        <f t="shared" si="1"/>
        <v>230.65858183220689</v>
      </c>
      <c r="AC36" s="4">
        <f t="shared" si="1"/>
        <v>226.60795672960231</v>
      </c>
      <c r="AD36" s="4">
        <f t="shared" si="1"/>
        <v>222.88105392670451</v>
      </c>
      <c r="AE36" s="4">
        <f t="shared" si="1"/>
        <v>219.33279446860249</v>
      </c>
      <c r="AF36" s="4">
        <f t="shared" si="1"/>
        <v>215.83542872296931</v>
      </c>
      <c r="AG36" s="4">
        <f t="shared" si="1"/>
        <v>212.22116769988241</v>
      </c>
      <c r="AH36" s="4">
        <f t="shared" si="1"/>
        <v>212.95446315815312</v>
      </c>
      <c r="AI36" s="4">
        <f t="shared" si="1"/>
        <v>212.88337158661531</v>
      </c>
      <c r="AJ36" s="4">
        <f t="shared" si="1"/>
        <v>212.839600293438</v>
      </c>
      <c r="AK36" s="4">
        <f t="shared" si="1"/>
        <v>212.7658365057712</v>
      </c>
      <c r="AL36" s="4">
        <f t="shared" si="1"/>
        <v>212.86817714929248</v>
      </c>
      <c r="AM36" s="4">
        <f t="shared" si="1"/>
        <v>212.7744906610987</v>
      </c>
      <c r="AN36" s="4">
        <f t="shared" si="1"/>
        <v>212.6783785747883</v>
      </c>
      <c r="AO36" s="4">
        <f t="shared" si="1"/>
        <v>212.58178555020538</v>
      </c>
      <c r="AP36" s="4">
        <f t="shared" si="1"/>
        <v>212.49450409062069</v>
      </c>
      <c r="AQ36" s="4">
        <f t="shared" si="1"/>
        <v>212.17323018361492</v>
      </c>
    </row>
    <row r="37" spans="1:43">
      <c r="A37" s="67" t="s">
        <v>295</v>
      </c>
      <c r="B37" s="68">
        <v>2021</v>
      </c>
      <c r="C37" s="68">
        <v>2023</v>
      </c>
      <c r="D37" s="68" t="s">
        <v>316</v>
      </c>
      <c r="E37" s="68" t="s">
        <v>305</v>
      </c>
      <c r="F37" s="68" t="s">
        <v>40</v>
      </c>
      <c r="G37" s="68"/>
      <c r="H37" s="68"/>
      <c r="I37" s="69">
        <v>28078.833559999999</v>
      </c>
      <c r="M37" t="s">
        <v>306</v>
      </c>
      <c r="N37" s="4">
        <f t="shared" ref="N37:AQ37" si="2">N24/1000</f>
        <v>383.91926348999999</v>
      </c>
      <c r="O37" s="4">
        <f t="shared" si="2"/>
        <v>381.68049975000002</v>
      </c>
      <c r="P37" s="4">
        <f t="shared" si="2"/>
        <v>377.02904518000003</v>
      </c>
      <c r="Q37" s="4">
        <f t="shared" si="2"/>
        <v>374.39456931000001</v>
      </c>
      <c r="R37" s="4">
        <f t="shared" si="2"/>
        <v>371.47160575999999</v>
      </c>
      <c r="S37" s="4">
        <f t="shared" si="2"/>
        <v>368.92217524</v>
      </c>
      <c r="T37" s="4">
        <f t="shared" si="2"/>
        <v>366.31832680999997</v>
      </c>
      <c r="U37" s="4">
        <f t="shared" si="2"/>
        <v>363.84587575</v>
      </c>
      <c r="V37" s="4">
        <f t="shared" si="2"/>
        <v>361.31756761999998</v>
      </c>
      <c r="W37" s="4">
        <f t="shared" si="2"/>
        <v>358.68797989000001</v>
      </c>
      <c r="X37" s="4">
        <f t="shared" si="2"/>
        <v>357.3832645831381</v>
      </c>
      <c r="Y37" s="4">
        <f t="shared" si="2"/>
        <v>356.32459556526959</v>
      </c>
      <c r="Z37" s="4">
        <f t="shared" si="2"/>
        <v>355.24604335152037</v>
      </c>
      <c r="AA37" s="4">
        <f t="shared" si="2"/>
        <v>354.17393399860543</v>
      </c>
      <c r="AB37" s="4">
        <f t="shared" si="2"/>
        <v>353.08652179679012</v>
      </c>
      <c r="AC37" s="4">
        <f t="shared" si="2"/>
        <v>352.56206083161834</v>
      </c>
      <c r="AD37" s="4">
        <f t="shared" si="2"/>
        <v>352.06172638149309</v>
      </c>
      <c r="AE37" s="4">
        <f t="shared" si="2"/>
        <v>351.52693545136782</v>
      </c>
      <c r="AF37" s="4">
        <f t="shared" si="2"/>
        <v>350.97222683224931</v>
      </c>
      <c r="AG37" s="4">
        <f t="shared" si="2"/>
        <v>350.48008455212403</v>
      </c>
      <c r="AH37" s="4">
        <f t="shared" si="2"/>
        <v>349.54409243204185</v>
      </c>
      <c r="AI37" s="4">
        <f t="shared" si="2"/>
        <v>348.73682412105046</v>
      </c>
      <c r="AJ37" s="4">
        <f t="shared" si="2"/>
        <v>347.95218819684902</v>
      </c>
      <c r="AK37" s="4">
        <f t="shared" si="2"/>
        <v>347.15445153191092</v>
      </c>
      <c r="AL37" s="4">
        <f t="shared" si="2"/>
        <v>346.37926621687524</v>
      </c>
      <c r="AM37" s="4">
        <f t="shared" si="2"/>
        <v>345.72942047824932</v>
      </c>
      <c r="AN37" s="4">
        <f t="shared" si="2"/>
        <v>345.08823197466978</v>
      </c>
      <c r="AO37" s="4">
        <f t="shared" si="2"/>
        <v>344.48788938587143</v>
      </c>
      <c r="AP37" s="4">
        <f t="shared" si="2"/>
        <v>343.87911647229186</v>
      </c>
      <c r="AQ37" s="4">
        <f t="shared" si="2"/>
        <v>343.22491901366601</v>
      </c>
    </row>
    <row r="38" spans="1:43">
      <c r="A38" s="64" t="s">
        <v>295</v>
      </c>
      <c r="B38" s="65">
        <v>2021</v>
      </c>
      <c r="C38" s="65">
        <v>2023</v>
      </c>
      <c r="D38" s="65" t="s">
        <v>317</v>
      </c>
      <c r="E38" s="65" t="s">
        <v>294</v>
      </c>
      <c r="F38" s="65" t="s">
        <v>297</v>
      </c>
      <c r="G38" s="65"/>
      <c r="H38" s="65"/>
      <c r="I38" s="66">
        <v>92.528117500000008</v>
      </c>
      <c r="M38" t="s">
        <v>307</v>
      </c>
      <c r="N38" s="4">
        <f t="shared" ref="N38:AQ38" si="3">N25/1000</f>
        <v>-248.12087646000001</v>
      </c>
      <c r="O38" s="4">
        <f t="shared" si="3"/>
        <v>-248.35244040000001</v>
      </c>
      <c r="P38" s="4">
        <f t="shared" si="3"/>
        <v>-248.85961983999999</v>
      </c>
      <c r="Q38" s="4">
        <f t="shared" si="3"/>
        <v>-252.80811147</v>
      </c>
      <c r="R38" s="4">
        <f t="shared" si="3"/>
        <v>-255.09962414</v>
      </c>
      <c r="S38" s="4">
        <f t="shared" si="3"/>
        <v>-252.72054154</v>
      </c>
      <c r="T38" s="4">
        <f t="shared" si="3"/>
        <v>-254.21344377000003</v>
      </c>
      <c r="U38" s="4">
        <f t="shared" si="3"/>
        <v>-255.13820009</v>
      </c>
      <c r="V38" s="4">
        <f t="shared" si="3"/>
        <v>-257.43796617999999</v>
      </c>
      <c r="W38" s="4">
        <f t="shared" si="3"/>
        <v>-260.29427649000002</v>
      </c>
      <c r="X38" s="4">
        <f t="shared" si="3"/>
        <v>-259.42325751505649</v>
      </c>
      <c r="Y38" s="4">
        <f t="shared" si="3"/>
        <v>-260.0560748668928</v>
      </c>
      <c r="Z38" s="4">
        <f t="shared" si="3"/>
        <v>-259.32536463918098</v>
      </c>
      <c r="AA38" s="4">
        <f t="shared" si="3"/>
        <v>-257.19032969433539</v>
      </c>
      <c r="AB38" s="4">
        <f t="shared" si="3"/>
        <v>-257.25027275336271</v>
      </c>
      <c r="AC38" s="4">
        <f t="shared" si="3"/>
        <v>-254.4594681773435</v>
      </c>
      <c r="AD38" s="4">
        <f t="shared" si="3"/>
        <v>-251.2803295440948</v>
      </c>
      <c r="AE38" s="4">
        <f t="shared" si="3"/>
        <v>-247.0763741771197</v>
      </c>
      <c r="AF38" s="4">
        <f t="shared" si="3"/>
        <v>-247.19036263745531</v>
      </c>
      <c r="AG38" s="4">
        <f t="shared" si="3"/>
        <v>-246.26015020253982</v>
      </c>
      <c r="AH38" s="4">
        <f t="shared" si="3"/>
        <v>-245.46506924431222</v>
      </c>
      <c r="AI38" s="4">
        <f t="shared" si="3"/>
        <v>-246.28843384784278</v>
      </c>
      <c r="AJ38" s="4">
        <f t="shared" si="3"/>
        <v>-246.13941081842941</v>
      </c>
      <c r="AK38" s="4">
        <f t="shared" si="3"/>
        <v>-246.18003571824212</v>
      </c>
      <c r="AL38" s="4">
        <f t="shared" si="3"/>
        <v>-246.12011028506248</v>
      </c>
      <c r="AM38" s="4">
        <f t="shared" si="3"/>
        <v>-245.1256990303948</v>
      </c>
      <c r="AN38" s="4">
        <f t="shared" si="3"/>
        <v>-245.00898795065888</v>
      </c>
      <c r="AO38" s="4">
        <f t="shared" si="3"/>
        <v>-244.39834416341742</v>
      </c>
      <c r="AP38" s="4">
        <f t="shared" si="3"/>
        <v>-243.9206239703511</v>
      </c>
      <c r="AQ38" s="4">
        <f t="shared" si="3"/>
        <v>-244.475986385423</v>
      </c>
    </row>
    <row r="39" spans="1:43">
      <c r="A39" s="67" t="s">
        <v>295</v>
      </c>
      <c r="B39" s="68">
        <v>2021</v>
      </c>
      <c r="C39" s="68">
        <v>2023</v>
      </c>
      <c r="D39" s="68" t="s">
        <v>317</v>
      </c>
      <c r="E39" s="68" t="s">
        <v>294</v>
      </c>
      <c r="F39" s="68" t="s">
        <v>40</v>
      </c>
      <c r="G39" s="68"/>
      <c r="H39" s="68"/>
      <c r="I39" s="69">
        <v>10125.848319999999</v>
      </c>
      <c r="M39" t="s">
        <v>308</v>
      </c>
      <c r="N39" s="4">
        <f t="shared" ref="N39:AQ39" si="4">N26/1000</f>
        <v>120.08073561638891</v>
      </c>
      <c r="O39" s="4">
        <f t="shared" si="4"/>
        <v>116.60558461999999</v>
      </c>
      <c r="P39" s="4">
        <f t="shared" si="4"/>
        <v>112.99502085</v>
      </c>
      <c r="Q39" s="4">
        <f t="shared" si="4"/>
        <v>109.10360976000001</v>
      </c>
      <c r="R39" s="4">
        <f t="shared" si="4"/>
        <v>105.66604114</v>
      </c>
      <c r="S39" s="4">
        <f t="shared" si="4"/>
        <v>102.83100456</v>
      </c>
      <c r="T39" s="4">
        <f t="shared" si="4"/>
        <v>100.0094062</v>
      </c>
      <c r="U39" s="4">
        <f t="shared" si="4"/>
        <v>97.217206959999999</v>
      </c>
      <c r="V39" s="4">
        <f t="shared" si="4"/>
        <v>94.4590405</v>
      </c>
      <c r="W39" s="4">
        <f t="shared" si="4"/>
        <v>91.715071370000004</v>
      </c>
      <c r="X39" s="4">
        <f t="shared" si="4"/>
        <v>88.972327178053646</v>
      </c>
      <c r="Y39" s="4">
        <f t="shared" si="4"/>
        <v>86.275692796107279</v>
      </c>
      <c r="Z39" s="4">
        <f t="shared" si="4"/>
        <v>83.680112474160921</v>
      </c>
      <c r="AA39" s="4">
        <f t="shared" si="4"/>
        <v>81.123320392214566</v>
      </c>
      <c r="AB39" s="4">
        <f t="shared" si="4"/>
        <v>78.600034460268205</v>
      </c>
      <c r="AC39" s="4">
        <f t="shared" si="4"/>
        <v>76.519777601549563</v>
      </c>
      <c r="AD39" s="4">
        <f t="shared" si="4"/>
        <v>74.472739292830923</v>
      </c>
      <c r="AE39" s="4">
        <f t="shared" si="4"/>
        <v>72.460475344112282</v>
      </c>
      <c r="AF39" s="4">
        <f t="shared" si="4"/>
        <v>70.484060185393645</v>
      </c>
      <c r="AG39" s="4">
        <f t="shared" si="4"/>
        <v>68.527308156675005</v>
      </c>
      <c r="AH39" s="4">
        <f t="shared" si="4"/>
        <v>67.312830297956353</v>
      </c>
      <c r="AI39" s="4">
        <f t="shared" si="4"/>
        <v>66.13349521923773</v>
      </c>
      <c r="AJ39" s="4">
        <f t="shared" si="4"/>
        <v>64.963709510519067</v>
      </c>
      <c r="AK39" s="4">
        <f t="shared" si="4"/>
        <v>63.817198891800444</v>
      </c>
      <c r="AL39" s="4">
        <f t="shared" si="4"/>
        <v>62.687912953081785</v>
      </c>
      <c r="AM39" s="4">
        <f t="shared" si="4"/>
        <v>61.717465134363145</v>
      </c>
      <c r="AN39" s="4">
        <f t="shared" si="4"/>
        <v>60.782596195644508</v>
      </c>
      <c r="AO39" s="4">
        <f t="shared" si="4"/>
        <v>59.869606316925868</v>
      </c>
      <c r="AP39" s="4">
        <f t="shared" si="4"/>
        <v>58.964410668207229</v>
      </c>
      <c r="AQ39" s="4">
        <f t="shared" si="4"/>
        <v>58.076529229488585</v>
      </c>
    </row>
    <row r="40" spans="1:43">
      <c r="A40" s="64" t="s">
        <v>295</v>
      </c>
      <c r="B40" s="65">
        <v>2021</v>
      </c>
      <c r="C40" s="65">
        <v>2023</v>
      </c>
      <c r="D40" s="65" t="s">
        <v>317</v>
      </c>
      <c r="E40" s="65" t="s">
        <v>301</v>
      </c>
      <c r="F40" s="65" t="s">
        <v>297</v>
      </c>
      <c r="G40" s="65"/>
      <c r="H40" s="65"/>
      <c r="I40" s="66">
        <v>92.621069500000004</v>
      </c>
      <c r="M40" t="s">
        <v>310</v>
      </c>
      <c r="N40" s="4">
        <f t="shared" ref="N40:AQ40" si="5">N27/1000</f>
        <v>74.387354680037902</v>
      </c>
      <c r="O40" s="4">
        <f t="shared" si="5"/>
        <v>87.849527847392025</v>
      </c>
      <c r="P40" s="4">
        <f t="shared" si="5"/>
        <v>98.540026164746138</v>
      </c>
      <c r="Q40" s="4">
        <f t="shared" si="5"/>
        <v>105.90795367210029</v>
      </c>
      <c r="R40" s="4">
        <f t="shared" si="5"/>
        <v>111.69222239945441</v>
      </c>
      <c r="S40" s="4">
        <f t="shared" si="5"/>
        <v>113.0838294477556</v>
      </c>
      <c r="T40" s="4">
        <f t="shared" si="5"/>
        <v>114.4838665660567</v>
      </c>
      <c r="U40" s="4">
        <f t="shared" si="5"/>
        <v>115.6496351743579</v>
      </c>
      <c r="V40" s="4">
        <f t="shared" si="5"/>
        <v>116.801684882659</v>
      </c>
      <c r="W40" s="4">
        <f t="shared" si="5"/>
        <v>117.9897249609602</v>
      </c>
      <c r="X40" s="4">
        <f t="shared" si="5"/>
        <v>118.5835294180699</v>
      </c>
      <c r="Y40" s="4">
        <f t="shared" si="5"/>
        <v>119.12937907952509</v>
      </c>
      <c r="Z40" s="4">
        <f t="shared" si="5"/>
        <v>119.6648984866348</v>
      </c>
      <c r="AA40" s="4">
        <f t="shared" si="5"/>
        <v>120.19051503374459</v>
      </c>
      <c r="AB40" s="4">
        <f t="shared" si="5"/>
        <v>120.70764044085431</v>
      </c>
      <c r="AC40" s="4">
        <f t="shared" si="5"/>
        <v>121.3088750388938</v>
      </c>
      <c r="AD40" s="4">
        <f t="shared" si="5"/>
        <v>121.7979027069334</v>
      </c>
      <c r="AE40" s="4">
        <f t="shared" si="5"/>
        <v>122.27857297497299</v>
      </c>
      <c r="AF40" s="4">
        <f t="shared" si="5"/>
        <v>122.75046031301261</v>
      </c>
      <c r="AG40" s="4">
        <f t="shared" si="5"/>
        <v>122.73927425105219</v>
      </c>
      <c r="AH40" s="4">
        <f t="shared" si="5"/>
        <v>123.34472175852549</v>
      </c>
      <c r="AI40" s="4">
        <f t="shared" si="5"/>
        <v>123.9444660659988</v>
      </c>
      <c r="AJ40" s="4">
        <f t="shared" si="5"/>
        <v>124.5351804134721</v>
      </c>
      <c r="AK40" s="4">
        <f t="shared" si="5"/>
        <v>125.1170421609454</v>
      </c>
      <c r="AL40" s="4">
        <f t="shared" si="5"/>
        <v>125.68990081841869</v>
      </c>
      <c r="AM40" s="4">
        <f t="shared" si="5"/>
        <v>126.2668212211052</v>
      </c>
      <c r="AN40" s="4">
        <f t="shared" si="5"/>
        <v>126.77980094813719</v>
      </c>
      <c r="AO40" s="4">
        <f t="shared" si="5"/>
        <v>127.2821128551691</v>
      </c>
      <c r="AP40" s="4">
        <f t="shared" si="5"/>
        <v>127.77372893785561</v>
      </c>
      <c r="AQ40" s="4">
        <f t="shared" si="5"/>
        <v>127.8574773248875</v>
      </c>
    </row>
    <row r="41" spans="1:43">
      <c r="A41" s="67" t="s">
        <v>295</v>
      </c>
      <c r="B41" s="68">
        <v>2021</v>
      </c>
      <c r="C41" s="68">
        <v>2023</v>
      </c>
      <c r="D41" s="68" t="s">
        <v>317</v>
      </c>
      <c r="E41" s="68" t="s">
        <v>301</v>
      </c>
      <c r="F41" s="68" t="s">
        <v>40</v>
      </c>
      <c r="G41" s="68"/>
      <c r="H41" s="68"/>
      <c r="I41" s="69">
        <v>10131.54832</v>
      </c>
      <c r="M41" t="s">
        <v>311</v>
      </c>
      <c r="N41" s="4">
        <f t="shared" ref="N41:AQ41" si="6">N28/1000</f>
        <v>131.19773203275969</v>
      </c>
      <c r="O41" s="4">
        <f t="shared" si="6"/>
        <v>133.589481333679</v>
      </c>
      <c r="P41" s="4">
        <f t="shared" si="6"/>
        <v>135.48153481459821</v>
      </c>
      <c r="Q41" s="4">
        <f t="shared" si="6"/>
        <v>137.3010693555174</v>
      </c>
      <c r="R41" s="4">
        <f t="shared" si="6"/>
        <v>139.09237179643659</v>
      </c>
      <c r="S41" s="4">
        <f t="shared" si="6"/>
        <v>138.73747233080172</v>
      </c>
      <c r="T41" s="4">
        <f t="shared" si="6"/>
        <v>138.3807967051668</v>
      </c>
      <c r="U41" s="4">
        <f t="shared" si="6"/>
        <v>138.02224986953189</v>
      </c>
      <c r="V41" s="4">
        <f t="shared" si="6"/>
        <v>137.661735713897</v>
      </c>
      <c r="W41" s="4">
        <f t="shared" si="6"/>
        <v>137.31055713826211</v>
      </c>
      <c r="X41" s="4">
        <f t="shared" si="6"/>
        <v>137.67312183071732</v>
      </c>
      <c r="Y41" s="4">
        <f t="shared" si="6"/>
        <v>138.03530083605838</v>
      </c>
      <c r="Z41" s="4">
        <f t="shared" si="6"/>
        <v>138.3978411113996</v>
      </c>
      <c r="AA41" s="4">
        <f t="shared" si="6"/>
        <v>138.7613496667407</v>
      </c>
      <c r="AB41" s="4">
        <f t="shared" si="6"/>
        <v>139.1258320220818</v>
      </c>
      <c r="AC41" s="4">
        <f t="shared" si="6"/>
        <v>139.57332610212489</v>
      </c>
      <c r="AD41" s="4">
        <f t="shared" si="6"/>
        <v>140.00237698216802</v>
      </c>
      <c r="AE41" s="4">
        <f t="shared" si="6"/>
        <v>140.43182276221108</v>
      </c>
      <c r="AF41" s="4">
        <f t="shared" si="6"/>
        <v>140.86176973225409</v>
      </c>
      <c r="AG41" s="4">
        <f t="shared" si="6"/>
        <v>141.29202286229719</v>
      </c>
      <c r="AH41" s="4">
        <f t="shared" si="6"/>
        <v>141.58372818533931</v>
      </c>
      <c r="AI41" s="4">
        <f t="shared" si="6"/>
        <v>141.8761208554954</v>
      </c>
      <c r="AJ41" s="4">
        <f t="shared" si="6"/>
        <v>142.1687528085375</v>
      </c>
      <c r="AK41" s="4">
        <f t="shared" si="6"/>
        <v>142.46200886869488</v>
      </c>
      <c r="AL41" s="4">
        <f t="shared" si="6"/>
        <v>142.7555078617369</v>
      </c>
      <c r="AM41" s="4">
        <f t="shared" si="6"/>
        <v>143.42386441506147</v>
      </c>
      <c r="AN41" s="4">
        <f t="shared" si="6"/>
        <v>144.0925597383862</v>
      </c>
      <c r="AO41" s="4">
        <f t="shared" si="6"/>
        <v>144.76139735171091</v>
      </c>
      <c r="AP41" s="4">
        <f t="shared" si="6"/>
        <v>145.4304794650356</v>
      </c>
      <c r="AQ41" s="4">
        <f t="shared" si="6"/>
        <v>146.09960684836031</v>
      </c>
    </row>
    <row r="42" spans="1:43">
      <c r="A42" s="64" t="s">
        <v>295</v>
      </c>
      <c r="B42" s="65">
        <v>2021</v>
      </c>
      <c r="C42" s="65">
        <v>2023</v>
      </c>
      <c r="D42" s="65" t="s">
        <v>317</v>
      </c>
      <c r="E42" s="65" t="s">
        <v>305</v>
      </c>
      <c r="F42" s="65" t="s">
        <v>297</v>
      </c>
      <c r="G42" s="65"/>
      <c r="H42" s="65"/>
      <c r="I42" s="66">
        <v>1.137E-2</v>
      </c>
      <c r="M42" t="s">
        <v>312</v>
      </c>
      <c r="N42" s="4">
        <f t="shared" ref="N42:AQ42" si="7">N29/1000</f>
        <v>0.94807377999999998</v>
      </c>
      <c r="O42" s="4">
        <f t="shared" si="7"/>
        <v>0.90286890000000009</v>
      </c>
      <c r="P42" s="4">
        <f t="shared" si="7"/>
        <v>0.89912897999999997</v>
      </c>
      <c r="Q42" s="4">
        <f t="shared" si="7"/>
        <v>0.8974692700000001</v>
      </c>
      <c r="R42" s="4">
        <f t="shared" si="7"/>
        <v>0.89028060000000009</v>
      </c>
      <c r="S42" s="4">
        <f t="shared" si="7"/>
        <v>0.88696056000000001</v>
      </c>
      <c r="T42" s="4">
        <f t="shared" si="7"/>
        <v>0.88591779999999998</v>
      </c>
      <c r="U42" s="4">
        <f t="shared" si="7"/>
        <v>0.88205175000000002</v>
      </c>
      <c r="V42" s="4">
        <f t="shared" si="7"/>
        <v>0.87941413999999996</v>
      </c>
      <c r="W42" s="4">
        <f t="shared" si="7"/>
        <v>0.87623125000000002</v>
      </c>
      <c r="X42" s="4">
        <f t="shared" si="7"/>
        <v>0.86928232000000005</v>
      </c>
      <c r="Y42" s="4">
        <f t="shared" si="7"/>
        <v>0.86603337999999996</v>
      </c>
      <c r="Z42" s="4">
        <f t="shared" si="7"/>
        <v>0.86238444999999997</v>
      </c>
      <c r="AA42" s="4">
        <f t="shared" si="7"/>
        <v>0.85883552000000007</v>
      </c>
      <c r="AB42" s="4">
        <f t="shared" si="7"/>
        <v>0.85568656999999992</v>
      </c>
      <c r="AC42" s="4">
        <f t="shared" si="7"/>
        <v>0.85260347999999997</v>
      </c>
      <c r="AD42" s="4">
        <f t="shared" si="7"/>
        <v>0.84972037999999994</v>
      </c>
      <c r="AE42" s="4">
        <f t="shared" si="7"/>
        <v>0.84653729</v>
      </c>
      <c r="AF42" s="4">
        <f t="shared" si="7"/>
        <v>0.84355418999999998</v>
      </c>
      <c r="AG42" s="4">
        <f t="shared" si="7"/>
        <v>0.84027110000000005</v>
      </c>
      <c r="AH42" s="4">
        <f t="shared" si="7"/>
        <v>0.84126933440064666</v>
      </c>
      <c r="AI42" s="4">
        <f t="shared" si="7"/>
        <v>0.84236756880129326</v>
      </c>
      <c r="AJ42" s="4">
        <f t="shared" si="7"/>
        <v>0.84346580320193987</v>
      </c>
      <c r="AK42" s="4">
        <f t="shared" si="7"/>
        <v>0.84436403760258638</v>
      </c>
      <c r="AL42" s="4">
        <f t="shared" si="7"/>
        <v>0.84546227200323287</v>
      </c>
      <c r="AM42" s="4">
        <f t="shared" si="7"/>
        <v>0.84906220793517539</v>
      </c>
      <c r="AN42" s="4">
        <f t="shared" si="7"/>
        <v>0.85316214386711775</v>
      </c>
      <c r="AO42" s="4">
        <f t="shared" si="7"/>
        <v>0.85706207979906013</v>
      </c>
      <c r="AP42" s="4">
        <f t="shared" si="7"/>
        <v>0.86106201573100261</v>
      </c>
      <c r="AQ42" s="4">
        <f t="shared" si="7"/>
        <v>0.86516195166294496</v>
      </c>
    </row>
    <row r="43" spans="1:43">
      <c r="A43" s="67" t="s">
        <v>295</v>
      </c>
      <c r="B43" s="68">
        <v>2021</v>
      </c>
      <c r="C43" s="68">
        <v>2023</v>
      </c>
      <c r="D43" s="68" t="s">
        <v>317</v>
      </c>
      <c r="E43" s="68" t="s">
        <v>305</v>
      </c>
      <c r="F43" s="68" t="s">
        <v>40</v>
      </c>
      <c r="G43" s="68"/>
      <c r="H43" s="68"/>
      <c r="I43" s="69">
        <v>295.53888000000001</v>
      </c>
      <c r="M43" t="s">
        <v>313</v>
      </c>
      <c r="N43" s="4">
        <f t="shared" ref="N43:AQ43" si="8">N30/1000</f>
        <v>3393.883256182778</v>
      </c>
      <c r="O43" s="4">
        <f t="shared" si="8"/>
        <v>3367.6840654000002</v>
      </c>
      <c r="P43" s="4">
        <f t="shared" si="8"/>
        <v>3329.3216420700001</v>
      </c>
      <c r="Q43" s="4">
        <f t="shared" si="8"/>
        <v>3222.4237964700001</v>
      </c>
      <c r="R43" s="4">
        <f t="shared" si="8"/>
        <v>3130.2627991099998</v>
      </c>
      <c r="S43" s="4">
        <f t="shared" si="8"/>
        <v>3011.2596148199996</v>
      </c>
      <c r="T43" s="4">
        <f t="shared" si="8"/>
        <v>2892.0786413400001</v>
      </c>
      <c r="U43" s="4">
        <f t="shared" si="8"/>
        <v>2786.4154423000004</v>
      </c>
      <c r="V43" s="4">
        <f t="shared" si="8"/>
        <v>2671.9228937499997</v>
      </c>
      <c r="W43" s="4">
        <f t="shared" si="8"/>
        <v>2571.6353960599999</v>
      </c>
      <c r="X43" s="4">
        <f t="shared" si="8"/>
        <v>2499.692932883243</v>
      </c>
      <c r="Y43" s="4">
        <f t="shared" si="8"/>
        <v>2430.5224103563878</v>
      </c>
      <c r="Z43" s="4">
        <f t="shared" si="8"/>
        <v>2363.4128552784059</v>
      </c>
      <c r="AA43" s="4">
        <f t="shared" si="8"/>
        <v>2298.097186284946</v>
      </c>
      <c r="AB43" s="4">
        <f t="shared" si="8"/>
        <v>2231.29406254685</v>
      </c>
      <c r="AC43" s="4">
        <f t="shared" si="8"/>
        <v>2179.7300586628362</v>
      </c>
      <c r="AD43" s="4">
        <f t="shared" si="8"/>
        <v>2131.905877404598</v>
      </c>
      <c r="AE43" s="4">
        <f t="shared" si="8"/>
        <v>2087.2264865993047</v>
      </c>
      <c r="AF43" s="4">
        <f t="shared" si="8"/>
        <v>2043.826681511078</v>
      </c>
      <c r="AG43" s="4">
        <f t="shared" si="8"/>
        <v>2001.6759352631739</v>
      </c>
      <c r="AH43" s="4">
        <f t="shared" si="8"/>
        <v>1974.9809698472741</v>
      </c>
      <c r="AI43" s="4">
        <f t="shared" si="8"/>
        <v>1952.3611209661979</v>
      </c>
      <c r="AJ43" s="4">
        <f t="shared" si="8"/>
        <v>1930.9783298858229</v>
      </c>
      <c r="AK43" s="4">
        <f t="shared" si="8"/>
        <v>1909.8794739301261</v>
      </c>
      <c r="AL43" s="4">
        <f t="shared" si="8"/>
        <v>1890.8580510213019</v>
      </c>
      <c r="AM43" s="4">
        <f t="shared" si="8"/>
        <v>1877.8349638092341</v>
      </c>
      <c r="AN43" s="4">
        <f t="shared" si="8"/>
        <v>1866.2836663289279</v>
      </c>
      <c r="AO43" s="4">
        <f t="shared" si="8"/>
        <v>1854.926702001258</v>
      </c>
      <c r="AP43" s="4">
        <f t="shared" si="8"/>
        <v>1844.4562797821229</v>
      </c>
      <c r="AQ43" s="4">
        <f t="shared" si="8"/>
        <v>1833.2833953769789</v>
      </c>
    </row>
    <row r="44" spans="1:43">
      <c r="A44" s="64" t="s">
        <v>295</v>
      </c>
      <c r="B44" s="65">
        <v>2021</v>
      </c>
      <c r="C44" s="65">
        <v>2023</v>
      </c>
      <c r="D44" s="65" t="s">
        <v>318</v>
      </c>
      <c r="E44" s="65" t="s">
        <v>294</v>
      </c>
      <c r="F44" s="65" t="s">
        <v>297</v>
      </c>
      <c r="G44" s="65"/>
      <c r="H44" s="65"/>
      <c r="I44" s="66">
        <v>726717.50264999992</v>
      </c>
      <c r="M44" t="s">
        <v>314</v>
      </c>
      <c r="N44" s="4">
        <f t="shared" ref="N44:AQ44" si="9">N31/1000</f>
        <v>3145.8224475583343</v>
      </c>
      <c r="O44" s="4">
        <f t="shared" si="9"/>
        <v>3119.3460947500002</v>
      </c>
      <c r="P44" s="4">
        <f t="shared" si="9"/>
        <v>3080.4717012200003</v>
      </c>
      <c r="Q44" s="4">
        <f t="shared" si="9"/>
        <v>2969.6204745099999</v>
      </c>
      <c r="R44" s="4">
        <f t="shared" si="9"/>
        <v>2875.16317497</v>
      </c>
      <c r="S44" s="4">
        <f t="shared" si="9"/>
        <v>2758.53899327</v>
      </c>
      <c r="T44" s="4">
        <f t="shared" si="9"/>
        <v>2637.8651375899999</v>
      </c>
      <c r="U44" s="4">
        <f t="shared" si="9"/>
        <v>2531.2772022099998</v>
      </c>
      <c r="V44" s="4">
        <f t="shared" si="9"/>
        <v>2414.4848075899999</v>
      </c>
      <c r="W44" s="4">
        <f t="shared" si="9"/>
        <v>2311.3410195599999</v>
      </c>
      <c r="X44" s="4">
        <f t="shared" si="9"/>
        <v>2240.266313955422</v>
      </c>
      <c r="Y44" s="4">
        <f t="shared" si="9"/>
        <v>2170.4667754894949</v>
      </c>
      <c r="Z44" s="4">
        <f t="shared" si="9"/>
        <v>2104.0875506092248</v>
      </c>
      <c r="AA44" s="4">
        <f t="shared" si="9"/>
        <v>2040.907036580611</v>
      </c>
      <c r="AB44" s="4">
        <f t="shared" si="9"/>
        <v>1974.044289793487</v>
      </c>
      <c r="AC44" s="4">
        <f t="shared" si="9"/>
        <v>1925.2706504654932</v>
      </c>
      <c r="AD44" s="4">
        <f t="shared" si="9"/>
        <v>1880.6254678605028</v>
      </c>
      <c r="AE44" s="4">
        <f t="shared" si="9"/>
        <v>1840.1503924321848</v>
      </c>
      <c r="AF44" s="4">
        <f t="shared" si="9"/>
        <v>1796.636358883623</v>
      </c>
      <c r="AG44" s="4">
        <f t="shared" si="9"/>
        <v>1755.4156850406339</v>
      </c>
      <c r="AH44" s="4">
        <f t="shared" si="9"/>
        <v>1686.2260948629619</v>
      </c>
      <c r="AI44" s="4">
        <f t="shared" si="9"/>
        <v>1671.0796081183551</v>
      </c>
      <c r="AJ44" s="4">
        <f t="shared" si="9"/>
        <v>1657.334927187394</v>
      </c>
      <c r="AK44" s="4">
        <f t="shared" si="9"/>
        <v>1642.7412130118839</v>
      </c>
      <c r="AL44" s="4">
        <f t="shared" si="9"/>
        <v>1644.7377407162398</v>
      </c>
      <c r="AM44" s="4">
        <f t="shared" si="9"/>
        <v>1621.72407865884</v>
      </c>
      <c r="AN44" s="4">
        <f t="shared" si="9"/>
        <v>1614.4524097782689</v>
      </c>
      <c r="AO44" s="4">
        <f t="shared" si="9"/>
        <v>1607.317257747841</v>
      </c>
      <c r="AP44" s="4">
        <f t="shared" si="9"/>
        <v>1600.5355358017721</v>
      </c>
      <c r="AQ44" s="4">
        <f t="shared" si="9"/>
        <v>1588.807208981556</v>
      </c>
    </row>
    <row r="45" spans="1:43">
      <c r="A45" s="67" t="s">
        <v>295</v>
      </c>
      <c r="B45" s="68">
        <v>2021</v>
      </c>
      <c r="C45" s="68">
        <v>2023</v>
      </c>
      <c r="D45" s="68" t="s">
        <v>318</v>
      </c>
      <c r="E45" s="68" t="s">
        <v>294</v>
      </c>
      <c r="F45" s="68" t="s">
        <v>298</v>
      </c>
      <c r="G45" s="68"/>
      <c r="H45" s="68"/>
      <c r="I45" s="69">
        <v>0</v>
      </c>
    </row>
    <row r="46" spans="1:43">
      <c r="A46" s="64" t="s">
        <v>295</v>
      </c>
      <c r="B46" s="65">
        <v>2021</v>
      </c>
      <c r="C46" s="65">
        <v>2023</v>
      </c>
      <c r="D46" s="65" t="s">
        <v>318</v>
      </c>
      <c r="E46" s="65" t="s">
        <v>294</v>
      </c>
      <c r="F46" s="65" t="s">
        <v>40</v>
      </c>
      <c r="G46" s="65"/>
      <c r="H46" s="65"/>
      <c r="I46" s="66">
        <v>726795.39611999993</v>
      </c>
      <c r="M46" t="s">
        <v>319</v>
      </c>
      <c r="N46" s="4">
        <f>N44+N40+N41*'O1 &amp; Fig 2. GHG emissions'!V68</f>
        <v>3303.8424787601052</v>
      </c>
      <c r="O46" s="4">
        <f>O44+O40+O41*'O1 &amp; Fig 2. GHG emissions'!W68</f>
        <v>3207.1956225973922</v>
      </c>
      <c r="P46" s="4">
        <f>P44+P40+P41*'O1 &amp; Fig 2. GHG emissions'!X68</f>
        <v>3179.0117273847463</v>
      </c>
      <c r="Q46" s="4">
        <f>Q44+Q40+Q41*'O1 &amp; Fig 2. GHG emissions'!Y68</f>
        <v>3075.5284281821</v>
      </c>
      <c r="R46" s="4">
        <f>R44+R40+R41*'O1 &amp; Fig 2. GHG emissions'!Z68</f>
        <v>2986.8553973694543</v>
      </c>
      <c r="S46" s="4">
        <f>S44+S40+S41*'O1 &amp; Fig 2. GHG emissions'!AA68</f>
        <v>2871.6228227177558</v>
      </c>
      <c r="T46" s="4">
        <f>T44+T40+T41*'O1 &amp; Fig 2. GHG emissions'!AB68</f>
        <v>2752.3490041560567</v>
      </c>
      <c r="U46" s="4">
        <f>U44+U40+U41*'O1 &amp; Fig 2. GHG emissions'!AC68</f>
        <v>2646.9268373843579</v>
      </c>
      <c r="V46" s="4">
        <f>V44+V40+V41*'O1 &amp; Fig 2. GHG emissions'!AD68</f>
        <v>2531.2864924726591</v>
      </c>
      <c r="W46" s="4">
        <f>W44+W40+W41*'O1 &amp; Fig 2. GHG emissions'!AE68</f>
        <v>2429.3307445209603</v>
      </c>
      <c r="X46" s="4">
        <f>X44+X40+X41*'O1 &amp; Fig 2. GHG emissions'!AF68</f>
        <v>2358.8498433734917</v>
      </c>
      <c r="Y46" s="4">
        <f>Y44+Y40+Y41*'O1 &amp; Fig 2. GHG emissions'!AG68</f>
        <v>2289.5961545690202</v>
      </c>
      <c r="Z46" s="4">
        <f>Z44+Z40+Z41*'O1 &amp; Fig 2. GHG emissions'!AH68</f>
        <v>2223.7524490958594</v>
      </c>
      <c r="AA46" s="4">
        <f>AA44+AA40+AA41*'O1 &amp; Fig 2. GHG emissions'!AI68</f>
        <v>2161.0975516143558</v>
      </c>
      <c r="AB46" s="4">
        <f>AB44+AB40+AB41*'O1 &amp; Fig 2. GHG emissions'!AJ68</f>
        <v>2094.7519302343412</v>
      </c>
      <c r="AC46" s="4">
        <f>AC44+AC40+AC41*'O1 &amp; Fig 2. GHG emissions'!AK68</f>
        <v>2046.579525504387</v>
      </c>
      <c r="AD46" s="4">
        <f>AD44+AD40+AD41*'O1 &amp; Fig 2. GHG emissions'!AL68</f>
        <v>2002.4233705674362</v>
      </c>
      <c r="AE46" s="4">
        <f>AE44+AE40+AE41*'O1 &amp; Fig 2. GHG emissions'!AM68</f>
        <v>1962.4289654071579</v>
      </c>
      <c r="AF46" s="4">
        <f>AF44+AF40+AF41*'O1 &amp; Fig 2. GHG emissions'!AN68</f>
        <v>1919.3868191966355</v>
      </c>
      <c r="AG46" s="4">
        <f>AG44+AG40+AG41*'O1 &amp; Fig 2. GHG emissions'!AO68</f>
        <v>1878.1549592916861</v>
      </c>
      <c r="AH46" s="4">
        <f>AH44+AH40+AH41*'O1 &amp; Fig 2. GHG emissions'!AP68</f>
        <v>1809.5708166214874</v>
      </c>
      <c r="AI46" s="4">
        <f>AI44+AI40+AI41*'O1 &amp; Fig 2. GHG emissions'!AQ68</f>
        <v>1795.0240741843538</v>
      </c>
      <c r="AJ46" s="4">
        <f>AJ44+AJ40+AJ41*'O1 &amp; Fig 2. GHG emissions'!AR68</f>
        <v>1781.870107600866</v>
      </c>
      <c r="AK46" s="4">
        <f>AK44+AK40+AK41*'O1 &amp; Fig 2. GHG emissions'!AS68</f>
        <v>1767.8582551728293</v>
      </c>
      <c r="AL46" s="4">
        <f>AL44+AL40+AL41*'O1 &amp; Fig 2. GHG emissions'!AT68</f>
        <v>1770.4276415346585</v>
      </c>
      <c r="AM46" s="4">
        <f>AM44+AM40+AM41*'O1 &amp; Fig 2. GHG emissions'!AU68</f>
        <v>1747.9908998799451</v>
      </c>
      <c r="AN46" s="4">
        <f>AN44+AN40+AN41*'O1 &amp; Fig 2. GHG emissions'!AV68</f>
        <v>1741.232210726406</v>
      </c>
      <c r="AO46" s="4">
        <f>AO44+AO40+AO41*'O1 &amp; Fig 2. GHG emissions'!AW68</f>
        <v>1734.5993706030101</v>
      </c>
      <c r="AP46" s="4">
        <f>AP44+AP40+AP41*'O1 &amp; Fig 2. GHG emissions'!AX68</f>
        <v>1728.3092647396277</v>
      </c>
      <c r="AQ46" s="4">
        <f>AQ44+AQ40+AQ41*'O1 &amp; Fig 2. GHG emissions'!AY68</f>
        <v>1716.6646863064434</v>
      </c>
    </row>
    <row r="47" spans="1:43">
      <c r="A47" s="67" t="s">
        <v>295</v>
      </c>
      <c r="B47" s="68">
        <v>2021</v>
      </c>
      <c r="C47" s="68">
        <v>2023</v>
      </c>
      <c r="D47" s="68" t="s">
        <v>318</v>
      </c>
      <c r="E47" s="68" t="s">
        <v>301</v>
      </c>
      <c r="F47" s="68" t="s">
        <v>297</v>
      </c>
      <c r="G47" s="68"/>
      <c r="H47" s="68"/>
      <c r="I47" s="69">
        <v>729360.97142999992</v>
      </c>
    </row>
    <row r="48" spans="1:43">
      <c r="A48" s="64" t="s">
        <v>295</v>
      </c>
      <c r="B48" s="65">
        <v>2021</v>
      </c>
      <c r="C48" s="65">
        <v>2023</v>
      </c>
      <c r="D48" s="65" t="s">
        <v>318</v>
      </c>
      <c r="E48" s="65" t="s">
        <v>301</v>
      </c>
      <c r="F48" s="65" t="s">
        <v>298</v>
      </c>
      <c r="G48" s="65"/>
      <c r="H48" s="65"/>
      <c r="I48" s="66">
        <v>0</v>
      </c>
    </row>
    <row r="49" spans="1:9">
      <c r="A49" s="67" t="s">
        <v>295</v>
      </c>
      <c r="B49" s="68">
        <v>2021</v>
      </c>
      <c r="C49" s="68">
        <v>2023</v>
      </c>
      <c r="D49" s="68" t="s">
        <v>318</v>
      </c>
      <c r="E49" s="68" t="s">
        <v>301</v>
      </c>
      <c r="F49" s="68" t="s">
        <v>40</v>
      </c>
      <c r="G49" s="68"/>
      <c r="H49" s="68"/>
      <c r="I49" s="69">
        <v>729438.86489999993</v>
      </c>
    </row>
    <row r="50" spans="1:9">
      <c r="A50" s="64" t="s">
        <v>295</v>
      </c>
      <c r="B50" s="65">
        <v>2021</v>
      </c>
      <c r="C50" s="65">
        <v>2023</v>
      </c>
      <c r="D50" s="65" t="s">
        <v>318</v>
      </c>
      <c r="E50" s="65" t="s">
        <v>305</v>
      </c>
      <c r="F50" s="65" t="s">
        <v>297</v>
      </c>
      <c r="G50" s="65"/>
      <c r="H50" s="65"/>
      <c r="I50" s="66">
        <v>6899.4182000000001</v>
      </c>
    </row>
    <row r="51" spans="1:9">
      <c r="A51" s="67" t="s">
        <v>295</v>
      </c>
      <c r="B51" s="68">
        <v>2021</v>
      </c>
      <c r="C51" s="68">
        <v>2023</v>
      </c>
      <c r="D51" s="68" t="s">
        <v>318</v>
      </c>
      <c r="E51" s="68" t="s">
        <v>305</v>
      </c>
      <c r="F51" s="68" t="s">
        <v>40</v>
      </c>
      <c r="G51" s="68"/>
      <c r="H51" s="68"/>
      <c r="I51" s="69">
        <v>26868.018199999999</v>
      </c>
    </row>
    <row r="52" spans="1:9">
      <c r="A52" s="64" t="s">
        <v>295</v>
      </c>
      <c r="B52" s="65">
        <v>2021</v>
      </c>
      <c r="C52" s="65">
        <v>2023</v>
      </c>
      <c r="D52" s="65" t="s">
        <v>320</v>
      </c>
      <c r="E52" s="65" t="s">
        <v>294</v>
      </c>
      <c r="F52" s="65" t="s">
        <v>297</v>
      </c>
      <c r="G52" s="65"/>
      <c r="H52" s="65"/>
      <c r="I52" s="66">
        <v>3635.2778199999998</v>
      </c>
    </row>
    <row r="53" spans="1:9">
      <c r="A53" s="67" t="s">
        <v>295</v>
      </c>
      <c r="B53" s="68">
        <v>2021</v>
      </c>
      <c r="C53" s="68">
        <v>2023</v>
      </c>
      <c r="D53" s="68" t="s">
        <v>320</v>
      </c>
      <c r="E53" s="68" t="s">
        <v>294</v>
      </c>
      <c r="F53" s="68" t="s">
        <v>298</v>
      </c>
      <c r="G53" s="68"/>
      <c r="H53" s="68"/>
      <c r="I53" s="69">
        <v>0</v>
      </c>
    </row>
    <row r="54" spans="1:9">
      <c r="A54" s="64" t="s">
        <v>295</v>
      </c>
      <c r="B54" s="65">
        <v>2021</v>
      </c>
      <c r="C54" s="65">
        <v>2023</v>
      </c>
      <c r="D54" s="65" t="s">
        <v>320</v>
      </c>
      <c r="E54" s="65" t="s">
        <v>294</v>
      </c>
      <c r="F54" s="65" t="s">
        <v>40</v>
      </c>
      <c r="G54" s="65"/>
      <c r="H54" s="65"/>
      <c r="I54" s="66">
        <v>3635.2766999999999</v>
      </c>
    </row>
    <row r="55" spans="1:9">
      <c r="A55" s="67" t="s">
        <v>295</v>
      </c>
      <c r="B55" s="68">
        <v>2021</v>
      </c>
      <c r="C55" s="68">
        <v>2023</v>
      </c>
      <c r="D55" s="68" t="s">
        <v>320</v>
      </c>
      <c r="E55" s="68" t="s">
        <v>301</v>
      </c>
      <c r="F55" s="68" t="s">
        <v>297</v>
      </c>
      <c r="G55" s="68"/>
      <c r="H55" s="68"/>
      <c r="I55" s="69">
        <v>3690.51782</v>
      </c>
    </row>
    <row r="56" spans="1:9">
      <c r="A56" s="64" t="s">
        <v>295</v>
      </c>
      <c r="B56" s="65">
        <v>2021</v>
      </c>
      <c r="C56" s="65">
        <v>2023</v>
      </c>
      <c r="D56" s="65" t="s">
        <v>320</v>
      </c>
      <c r="E56" s="65" t="s">
        <v>301</v>
      </c>
      <c r="F56" s="65" t="s">
        <v>298</v>
      </c>
      <c r="G56" s="65"/>
      <c r="H56" s="65"/>
      <c r="I56" s="66">
        <v>0</v>
      </c>
    </row>
    <row r="57" spans="1:9">
      <c r="A57" s="67" t="s">
        <v>295</v>
      </c>
      <c r="B57" s="68">
        <v>2021</v>
      </c>
      <c r="C57" s="68">
        <v>2023</v>
      </c>
      <c r="D57" s="68" t="s">
        <v>320</v>
      </c>
      <c r="E57" s="68" t="s">
        <v>301</v>
      </c>
      <c r="F57" s="68" t="s">
        <v>40</v>
      </c>
      <c r="G57" s="68"/>
      <c r="H57" s="68"/>
      <c r="I57" s="69">
        <v>3690.5167000000001</v>
      </c>
    </row>
    <row r="58" spans="1:9">
      <c r="A58" s="64" t="s">
        <v>295</v>
      </c>
      <c r="B58" s="65">
        <v>2021</v>
      </c>
      <c r="C58" s="65">
        <v>2023</v>
      </c>
      <c r="D58" s="65" t="s">
        <v>320</v>
      </c>
      <c r="E58" s="65" t="s">
        <v>305</v>
      </c>
      <c r="F58" s="65" t="s">
        <v>297</v>
      </c>
      <c r="G58" s="65"/>
      <c r="H58" s="65"/>
      <c r="I58" s="66">
        <v>32.799999999999997</v>
      </c>
    </row>
    <row r="59" spans="1:9">
      <c r="A59" s="67" t="s">
        <v>295</v>
      </c>
      <c r="B59" s="68">
        <v>2021</v>
      </c>
      <c r="C59" s="68">
        <v>2023</v>
      </c>
      <c r="D59" s="68" t="s">
        <v>320</v>
      </c>
      <c r="E59" s="68" t="s">
        <v>305</v>
      </c>
      <c r="F59" s="68" t="s">
        <v>40</v>
      </c>
      <c r="G59" s="68"/>
      <c r="H59" s="68"/>
      <c r="I59" s="69">
        <v>487.4</v>
      </c>
    </row>
    <row r="60" spans="1:9">
      <c r="A60" s="64" t="s">
        <v>295</v>
      </c>
      <c r="B60" s="65">
        <v>2021</v>
      </c>
      <c r="C60" s="65">
        <v>2023</v>
      </c>
      <c r="D60" s="65" t="s">
        <v>321</v>
      </c>
      <c r="E60" s="65" t="s">
        <v>294</v>
      </c>
      <c r="F60" s="65" t="s">
        <v>297</v>
      </c>
      <c r="G60" s="65"/>
      <c r="H60" s="65"/>
      <c r="I60" s="66">
        <v>16102.46518138889</v>
      </c>
    </row>
    <row r="61" spans="1:9">
      <c r="A61" s="67" t="s">
        <v>295</v>
      </c>
      <c r="B61" s="68">
        <v>2021</v>
      </c>
      <c r="C61" s="68">
        <v>2023</v>
      </c>
      <c r="D61" s="68" t="s">
        <v>321</v>
      </c>
      <c r="E61" s="68" t="s">
        <v>294</v>
      </c>
      <c r="F61" s="68" t="s">
        <v>298</v>
      </c>
      <c r="G61" s="68"/>
      <c r="H61" s="68"/>
      <c r="I61" s="69">
        <v>0</v>
      </c>
    </row>
    <row r="62" spans="1:9">
      <c r="A62" s="64" t="s">
        <v>295</v>
      </c>
      <c r="B62" s="65">
        <v>2021</v>
      </c>
      <c r="C62" s="65">
        <v>2023</v>
      </c>
      <c r="D62" s="65" t="s">
        <v>321</v>
      </c>
      <c r="E62" s="65" t="s">
        <v>294</v>
      </c>
      <c r="F62" s="65" t="s">
        <v>40</v>
      </c>
      <c r="G62" s="65"/>
      <c r="H62" s="65"/>
      <c r="I62" s="66">
        <v>16119.98012</v>
      </c>
    </row>
    <row r="63" spans="1:9">
      <c r="A63" s="67" t="s">
        <v>295</v>
      </c>
      <c r="B63" s="68">
        <v>2021</v>
      </c>
      <c r="C63" s="68">
        <v>2023</v>
      </c>
      <c r="D63" s="68" t="s">
        <v>321</v>
      </c>
      <c r="E63" s="68" t="s">
        <v>301</v>
      </c>
      <c r="F63" s="68" t="s">
        <v>297</v>
      </c>
      <c r="G63" s="68"/>
      <c r="H63" s="68"/>
      <c r="I63" s="69">
        <v>16106.55817138889</v>
      </c>
    </row>
    <row r="64" spans="1:9">
      <c r="A64" s="64" t="s">
        <v>295</v>
      </c>
      <c r="B64" s="65">
        <v>2021</v>
      </c>
      <c r="C64" s="65">
        <v>2023</v>
      </c>
      <c r="D64" s="65" t="s">
        <v>321</v>
      </c>
      <c r="E64" s="65" t="s">
        <v>301</v>
      </c>
      <c r="F64" s="65" t="s">
        <v>298</v>
      </c>
      <c r="G64" s="65"/>
      <c r="H64" s="65"/>
      <c r="I64" s="66">
        <v>0</v>
      </c>
    </row>
    <row r="65" spans="1:9">
      <c r="A65" s="67" t="s">
        <v>295</v>
      </c>
      <c r="B65" s="68">
        <v>2021</v>
      </c>
      <c r="C65" s="68">
        <v>2023</v>
      </c>
      <c r="D65" s="68" t="s">
        <v>321</v>
      </c>
      <c r="E65" s="68" t="s">
        <v>301</v>
      </c>
      <c r="F65" s="68" t="s">
        <v>40</v>
      </c>
      <c r="G65" s="68"/>
      <c r="H65" s="68"/>
      <c r="I65" s="69">
        <v>16124.073109999999</v>
      </c>
    </row>
    <row r="66" spans="1:9">
      <c r="A66" s="64" t="s">
        <v>295</v>
      </c>
      <c r="B66" s="65">
        <v>2021</v>
      </c>
      <c r="C66" s="65">
        <v>2023</v>
      </c>
      <c r="D66" s="65" t="s">
        <v>321</v>
      </c>
      <c r="E66" s="65" t="s">
        <v>305</v>
      </c>
      <c r="F66" s="65" t="s">
        <v>297</v>
      </c>
      <c r="G66" s="65"/>
      <c r="H66" s="65"/>
      <c r="I66" s="66">
        <v>45.176470000000002</v>
      </c>
    </row>
    <row r="67" spans="1:9">
      <c r="A67" s="67" t="s">
        <v>295</v>
      </c>
      <c r="B67" s="68">
        <v>2021</v>
      </c>
      <c r="C67" s="68">
        <v>2023</v>
      </c>
      <c r="D67" s="68" t="s">
        <v>321</v>
      </c>
      <c r="E67" s="68" t="s">
        <v>305</v>
      </c>
      <c r="F67" s="68" t="s">
        <v>40</v>
      </c>
      <c r="G67" s="68"/>
      <c r="H67" s="68"/>
      <c r="I67" s="69">
        <v>244.77646999999999</v>
      </c>
    </row>
    <row r="68" spans="1:9">
      <c r="A68" s="64" t="s">
        <v>295</v>
      </c>
      <c r="B68" s="65">
        <v>2021</v>
      </c>
      <c r="C68" s="65">
        <v>2023</v>
      </c>
      <c r="D68" s="65" t="s">
        <v>322</v>
      </c>
      <c r="E68" s="65" t="s">
        <v>294</v>
      </c>
      <c r="F68" s="65" t="s">
        <v>297</v>
      </c>
      <c r="G68" s="65"/>
      <c r="H68" s="65"/>
      <c r="I68" s="66">
        <v>1540.25137</v>
      </c>
    </row>
    <row r="69" spans="1:9">
      <c r="A69" s="67" t="s">
        <v>295</v>
      </c>
      <c r="B69" s="68">
        <v>2021</v>
      </c>
      <c r="C69" s="68">
        <v>2023</v>
      </c>
      <c r="D69" s="68" t="s">
        <v>322</v>
      </c>
      <c r="E69" s="68" t="s">
        <v>294</v>
      </c>
      <c r="F69" s="68" t="s">
        <v>298</v>
      </c>
      <c r="G69" s="68"/>
      <c r="H69" s="68"/>
      <c r="I69" s="69">
        <v>3358.1554700000002</v>
      </c>
    </row>
    <row r="70" spans="1:9">
      <c r="A70" s="64" t="s">
        <v>295</v>
      </c>
      <c r="B70" s="65">
        <v>2021</v>
      </c>
      <c r="C70" s="65">
        <v>2023</v>
      </c>
      <c r="D70" s="65" t="s">
        <v>322</v>
      </c>
      <c r="E70" s="65" t="s">
        <v>294</v>
      </c>
      <c r="F70" s="65" t="s">
        <v>40</v>
      </c>
      <c r="G70" s="65"/>
      <c r="H70" s="65"/>
      <c r="I70" s="66">
        <v>4898.5057200000001</v>
      </c>
    </row>
    <row r="71" spans="1:9">
      <c r="A71" s="67" t="s">
        <v>295</v>
      </c>
      <c r="B71" s="68">
        <v>2021</v>
      </c>
      <c r="C71" s="68">
        <v>2023</v>
      </c>
      <c r="D71" s="68" t="s">
        <v>322</v>
      </c>
      <c r="E71" s="68" t="s">
        <v>301</v>
      </c>
      <c r="F71" s="68" t="s">
        <v>297</v>
      </c>
      <c r="G71" s="68"/>
      <c r="H71" s="68"/>
      <c r="I71" s="69">
        <v>1552.25137</v>
      </c>
    </row>
    <row r="72" spans="1:9">
      <c r="A72" s="64" t="s">
        <v>295</v>
      </c>
      <c r="B72" s="65">
        <v>2021</v>
      </c>
      <c r="C72" s="65">
        <v>2023</v>
      </c>
      <c r="D72" s="65" t="s">
        <v>322</v>
      </c>
      <c r="E72" s="65" t="s">
        <v>301</v>
      </c>
      <c r="F72" s="65" t="s">
        <v>298</v>
      </c>
      <c r="G72" s="65"/>
      <c r="H72" s="65"/>
      <c r="I72" s="66">
        <v>3358.1554700000002</v>
      </c>
    </row>
    <row r="73" spans="1:9">
      <c r="A73" s="67" t="s">
        <v>295</v>
      </c>
      <c r="B73" s="68">
        <v>2021</v>
      </c>
      <c r="C73" s="68">
        <v>2023</v>
      </c>
      <c r="D73" s="68" t="s">
        <v>322</v>
      </c>
      <c r="E73" s="68" t="s">
        <v>301</v>
      </c>
      <c r="F73" s="68" t="s">
        <v>40</v>
      </c>
      <c r="G73" s="68"/>
      <c r="H73" s="68"/>
      <c r="I73" s="69">
        <v>4910.5057200000001</v>
      </c>
    </row>
    <row r="74" spans="1:9">
      <c r="A74" s="64" t="s">
        <v>295</v>
      </c>
      <c r="B74" s="65">
        <v>2021</v>
      </c>
      <c r="C74" s="65">
        <v>2023</v>
      </c>
      <c r="D74" s="65" t="s">
        <v>322</v>
      </c>
      <c r="E74" s="65" t="s">
        <v>305</v>
      </c>
      <c r="F74" s="65" t="s">
        <v>297</v>
      </c>
      <c r="G74" s="65"/>
      <c r="H74" s="65"/>
      <c r="I74" s="66">
        <v>7.2</v>
      </c>
    </row>
    <row r="75" spans="1:9">
      <c r="A75" s="67" t="s">
        <v>295</v>
      </c>
      <c r="B75" s="68">
        <v>2021</v>
      </c>
      <c r="C75" s="68">
        <v>2023</v>
      </c>
      <c r="D75" s="68" t="s">
        <v>322</v>
      </c>
      <c r="E75" s="68" t="s">
        <v>305</v>
      </c>
      <c r="F75" s="68" t="s">
        <v>40</v>
      </c>
      <c r="G75" s="68"/>
      <c r="H75" s="68"/>
      <c r="I75" s="69">
        <v>182.9</v>
      </c>
    </row>
    <row r="76" spans="1:9">
      <c r="A76" s="64" t="s">
        <v>295</v>
      </c>
      <c r="B76" s="65">
        <v>2021</v>
      </c>
      <c r="C76" s="65">
        <v>2023</v>
      </c>
      <c r="D76" s="65" t="s">
        <v>323</v>
      </c>
      <c r="E76" s="65" t="s">
        <v>294</v>
      </c>
      <c r="F76" s="65" t="s">
        <v>297</v>
      </c>
      <c r="G76" s="65"/>
      <c r="H76" s="65"/>
      <c r="I76" s="66">
        <v>511948.6303344444</v>
      </c>
    </row>
    <row r="77" spans="1:9">
      <c r="A77" s="67" t="s">
        <v>295</v>
      </c>
      <c r="B77" s="68">
        <v>2021</v>
      </c>
      <c r="C77" s="68">
        <v>2023</v>
      </c>
      <c r="D77" s="68" t="s">
        <v>323</v>
      </c>
      <c r="E77" s="68" t="s">
        <v>294</v>
      </c>
      <c r="F77" s="68" t="s">
        <v>298</v>
      </c>
      <c r="G77" s="68"/>
      <c r="H77" s="68"/>
      <c r="I77" s="69">
        <v>2178.8536783333329</v>
      </c>
    </row>
    <row r="78" spans="1:9">
      <c r="A78" s="64" t="s">
        <v>295</v>
      </c>
      <c r="B78" s="65">
        <v>2021</v>
      </c>
      <c r="C78" s="65">
        <v>2023</v>
      </c>
      <c r="D78" s="65" t="s">
        <v>323</v>
      </c>
      <c r="E78" s="65" t="s">
        <v>294</v>
      </c>
      <c r="F78" s="65" t="s">
        <v>40</v>
      </c>
      <c r="G78" s="65"/>
      <c r="H78" s="65"/>
      <c r="I78" s="66">
        <v>514191.99055611109</v>
      </c>
    </row>
    <row r="79" spans="1:9">
      <c r="A79" s="67" t="s">
        <v>295</v>
      </c>
      <c r="B79" s="68">
        <v>2021</v>
      </c>
      <c r="C79" s="68">
        <v>2023</v>
      </c>
      <c r="D79" s="68" t="s">
        <v>323</v>
      </c>
      <c r="E79" s="68" t="s">
        <v>301</v>
      </c>
      <c r="F79" s="68" t="s">
        <v>297</v>
      </c>
      <c r="G79" s="68"/>
      <c r="H79" s="68"/>
      <c r="I79" s="69">
        <v>514175.05757444439</v>
      </c>
    </row>
    <row r="80" spans="1:9">
      <c r="A80" s="64" t="s">
        <v>295</v>
      </c>
      <c r="B80" s="65">
        <v>2021</v>
      </c>
      <c r="C80" s="65">
        <v>2023</v>
      </c>
      <c r="D80" s="65" t="s">
        <v>323</v>
      </c>
      <c r="E80" s="65" t="s">
        <v>301</v>
      </c>
      <c r="F80" s="65" t="s">
        <v>298</v>
      </c>
      <c r="G80" s="65"/>
      <c r="H80" s="65"/>
      <c r="I80" s="66">
        <v>2181.8764083333331</v>
      </c>
    </row>
    <row r="81" spans="1:9">
      <c r="A81" s="67" t="s">
        <v>295</v>
      </c>
      <c r="B81" s="68">
        <v>2021</v>
      </c>
      <c r="C81" s="68">
        <v>2023</v>
      </c>
      <c r="D81" s="68" t="s">
        <v>323</v>
      </c>
      <c r="E81" s="68" t="s">
        <v>301</v>
      </c>
      <c r="F81" s="68" t="s">
        <v>40</v>
      </c>
      <c r="G81" s="68"/>
      <c r="H81" s="68"/>
      <c r="I81" s="69">
        <v>516421.5405361111</v>
      </c>
    </row>
    <row r="82" spans="1:9">
      <c r="A82" s="64" t="s">
        <v>295</v>
      </c>
      <c r="B82" s="65">
        <v>2021</v>
      </c>
      <c r="C82" s="65">
        <v>2023</v>
      </c>
      <c r="D82" s="65" t="s">
        <v>323</v>
      </c>
      <c r="E82" s="65" t="s">
        <v>305</v>
      </c>
      <c r="F82" s="65" t="s">
        <v>297</v>
      </c>
      <c r="G82" s="65"/>
      <c r="H82" s="65"/>
      <c r="I82" s="66">
        <v>1639.53142</v>
      </c>
    </row>
    <row r="83" spans="1:9">
      <c r="A83" s="67" t="s">
        <v>295</v>
      </c>
      <c r="B83" s="68">
        <v>2021</v>
      </c>
      <c r="C83" s="68">
        <v>2023</v>
      </c>
      <c r="D83" s="68" t="s">
        <v>323</v>
      </c>
      <c r="E83" s="68" t="s">
        <v>305</v>
      </c>
      <c r="F83" s="68" t="s">
        <v>40</v>
      </c>
      <c r="G83" s="68"/>
      <c r="H83" s="68"/>
      <c r="I83" s="69">
        <v>15914.73142</v>
      </c>
    </row>
    <row r="84" spans="1:9">
      <c r="A84" s="64" t="s">
        <v>295</v>
      </c>
      <c r="B84" s="65">
        <v>2021</v>
      </c>
      <c r="C84" s="65">
        <v>2023</v>
      </c>
      <c r="D84" s="65" t="s">
        <v>324</v>
      </c>
      <c r="E84" s="65" t="s">
        <v>294</v>
      </c>
      <c r="F84" s="65" t="s">
        <v>297</v>
      </c>
      <c r="G84" s="65"/>
      <c r="H84" s="65"/>
      <c r="I84" s="66">
        <v>4627.7358644444439</v>
      </c>
    </row>
    <row r="85" spans="1:9">
      <c r="A85" s="67" t="s">
        <v>295</v>
      </c>
      <c r="B85" s="68">
        <v>2021</v>
      </c>
      <c r="C85" s="68">
        <v>2023</v>
      </c>
      <c r="D85" s="68" t="s">
        <v>324</v>
      </c>
      <c r="E85" s="68" t="s">
        <v>294</v>
      </c>
      <c r="F85" s="68" t="s">
        <v>298</v>
      </c>
      <c r="G85" s="68"/>
      <c r="H85" s="68"/>
      <c r="I85" s="69">
        <v>0</v>
      </c>
    </row>
    <row r="86" spans="1:9">
      <c r="A86" s="64" t="s">
        <v>295</v>
      </c>
      <c r="B86" s="65">
        <v>2021</v>
      </c>
      <c r="C86" s="65">
        <v>2023</v>
      </c>
      <c r="D86" s="65" t="s">
        <v>324</v>
      </c>
      <c r="E86" s="65" t="s">
        <v>294</v>
      </c>
      <c r="F86" s="65" t="s">
        <v>40</v>
      </c>
      <c r="G86" s="65"/>
      <c r="H86" s="65"/>
      <c r="I86" s="66">
        <v>4653.84087</v>
      </c>
    </row>
    <row r="87" spans="1:9">
      <c r="A87" s="67" t="s">
        <v>295</v>
      </c>
      <c r="B87" s="68">
        <v>2021</v>
      </c>
      <c r="C87" s="68">
        <v>2023</v>
      </c>
      <c r="D87" s="68" t="s">
        <v>324</v>
      </c>
      <c r="E87" s="68" t="s">
        <v>301</v>
      </c>
      <c r="F87" s="68" t="s">
        <v>297</v>
      </c>
      <c r="G87" s="68"/>
      <c r="H87" s="68"/>
      <c r="I87" s="69">
        <v>4627.7358644444439</v>
      </c>
    </row>
    <row r="88" spans="1:9">
      <c r="A88" s="64" t="s">
        <v>295</v>
      </c>
      <c r="B88" s="65">
        <v>2021</v>
      </c>
      <c r="C88" s="65">
        <v>2023</v>
      </c>
      <c r="D88" s="65" t="s">
        <v>324</v>
      </c>
      <c r="E88" s="65" t="s">
        <v>301</v>
      </c>
      <c r="F88" s="65" t="s">
        <v>298</v>
      </c>
      <c r="G88" s="65"/>
      <c r="H88" s="65"/>
      <c r="I88" s="66">
        <v>0</v>
      </c>
    </row>
    <row r="89" spans="1:9">
      <c r="A89" s="67" t="s">
        <v>295</v>
      </c>
      <c r="B89" s="68">
        <v>2021</v>
      </c>
      <c r="C89" s="68">
        <v>2023</v>
      </c>
      <c r="D89" s="68" t="s">
        <v>324</v>
      </c>
      <c r="E89" s="68" t="s">
        <v>301</v>
      </c>
      <c r="F89" s="68" t="s">
        <v>40</v>
      </c>
      <c r="G89" s="68"/>
      <c r="H89" s="68"/>
      <c r="I89" s="69">
        <v>4653.84087</v>
      </c>
    </row>
    <row r="90" spans="1:9">
      <c r="A90" s="64" t="s">
        <v>295</v>
      </c>
      <c r="B90" s="65">
        <v>2021</v>
      </c>
      <c r="C90" s="65">
        <v>2023</v>
      </c>
      <c r="D90" s="65" t="s">
        <v>324</v>
      </c>
      <c r="E90" s="65" t="s">
        <v>305</v>
      </c>
      <c r="F90" s="65" t="s">
        <v>297</v>
      </c>
      <c r="G90" s="65"/>
      <c r="H90" s="65"/>
      <c r="I90" s="66">
        <v>4.0999999999999996</v>
      </c>
    </row>
    <row r="91" spans="1:9">
      <c r="A91" s="67" t="s">
        <v>295</v>
      </c>
      <c r="B91" s="68">
        <v>2021</v>
      </c>
      <c r="C91" s="68">
        <v>2023</v>
      </c>
      <c r="D91" s="68" t="s">
        <v>324</v>
      </c>
      <c r="E91" s="68" t="s">
        <v>305</v>
      </c>
      <c r="F91" s="68" t="s">
        <v>40</v>
      </c>
      <c r="G91" s="68"/>
      <c r="H91" s="68"/>
      <c r="I91" s="69">
        <v>1246.2</v>
      </c>
    </row>
    <row r="92" spans="1:9">
      <c r="A92" s="64" t="s">
        <v>295</v>
      </c>
      <c r="B92" s="65">
        <v>2021</v>
      </c>
      <c r="C92" s="65">
        <v>2023</v>
      </c>
      <c r="D92" s="65" t="s">
        <v>325</v>
      </c>
      <c r="E92" s="65" t="s">
        <v>294</v>
      </c>
      <c r="F92" s="65" t="s">
        <v>297</v>
      </c>
      <c r="G92" s="65"/>
      <c r="H92" s="65"/>
      <c r="I92" s="66">
        <v>54274.675450000002</v>
      </c>
    </row>
    <row r="93" spans="1:9">
      <c r="A93" s="67" t="s">
        <v>295</v>
      </c>
      <c r="B93" s="68">
        <v>2021</v>
      </c>
      <c r="C93" s="68">
        <v>2023</v>
      </c>
      <c r="D93" s="68" t="s">
        <v>325</v>
      </c>
      <c r="E93" s="68" t="s">
        <v>294</v>
      </c>
      <c r="F93" s="68" t="s">
        <v>298</v>
      </c>
      <c r="G93" s="68"/>
      <c r="H93" s="68"/>
      <c r="I93" s="69">
        <v>11849.59881</v>
      </c>
    </row>
    <row r="94" spans="1:9">
      <c r="A94" s="64" t="s">
        <v>295</v>
      </c>
      <c r="B94" s="65">
        <v>2021</v>
      </c>
      <c r="C94" s="65">
        <v>2023</v>
      </c>
      <c r="D94" s="65" t="s">
        <v>325</v>
      </c>
      <c r="E94" s="65" t="s">
        <v>294</v>
      </c>
      <c r="F94" s="65" t="s">
        <v>40</v>
      </c>
      <c r="G94" s="65"/>
      <c r="H94" s="65"/>
      <c r="I94" s="66">
        <v>66124.375840000008</v>
      </c>
    </row>
    <row r="95" spans="1:9">
      <c r="A95" s="67" t="s">
        <v>295</v>
      </c>
      <c r="B95" s="68">
        <v>2021</v>
      </c>
      <c r="C95" s="68">
        <v>2023</v>
      </c>
      <c r="D95" s="68" t="s">
        <v>325</v>
      </c>
      <c r="E95" s="68" t="s">
        <v>301</v>
      </c>
      <c r="F95" s="68" t="s">
        <v>297</v>
      </c>
      <c r="G95" s="68"/>
      <c r="H95" s="68"/>
      <c r="I95" s="69">
        <v>54464.594549999987</v>
      </c>
    </row>
    <row r="96" spans="1:9">
      <c r="A96" s="64" t="s">
        <v>295</v>
      </c>
      <c r="B96" s="65">
        <v>2021</v>
      </c>
      <c r="C96" s="65">
        <v>2023</v>
      </c>
      <c r="D96" s="65" t="s">
        <v>325</v>
      </c>
      <c r="E96" s="65" t="s">
        <v>301</v>
      </c>
      <c r="F96" s="65" t="s">
        <v>298</v>
      </c>
      <c r="G96" s="65"/>
      <c r="H96" s="65"/>
      <c r="I96" s="66">
        <v>11887.09922</v>
      </c>
    </row>
    <row r="97" spans="1:9">
      <c r="A97" s="67" t="s">
        <v>295</v>
      </c>
      <c r="B97" s="68">
        <v>2021</v>
      </c>
      <c r="C97" s="68">
        <v>2023</v>
      </c>
      <c r="D97" s="68" t="s">
        <v>325</v>
      </c>
      <c r="E97" s="68" t="s">
        <v>301</v>
      </c>
      <c r="F97" s="68" t="s">
        <v>40</v>
      </c>
      <c r="G97" s="68"/>
      <c r="H97" s="68"/>
      <c r="I97" s="69">
        <v>66351.795360000004</v>
      </c>
    </row>
    <row r="98" spans="1:9">
      <c r="A98" s="64" t="s">
        <v>295</v>
      </c>
      <c r="B98" s="65">
        <v>2021</v>
      </c>
      <c r="C98" s="65">
        <v>2023</v>
      </c>
      <c r="D98" s="65" t="s">
        <v>325</v>
      </c>
      <c r="E98" s="65" t="s">
        <v>305</v>
      </c>
      <c r="F98" s="65" t="s">
        <v>297</v>
      </c>
      <c r="G98" s="65"/>
      <c r="H98" s="65"/>
      <c r="I98" s="66">
        <v>427.2</v>
      </c>
    </row>
    <row r="99" spans="1:9">
      <c r="A99" s="67" t="s">
        <v>295</v>
      </c>
      <c r="B99" s="68">
        <v>2021</v>
      </c>
      <c r="C99" s="68">
        <v>2023</v>
      </c>
      <c r="D99" s="68" t="s">
        <v>325</v>
      </c>
      <c r="E99" s="68" t="s">
        <v>305</v>
      </c>
      <c r="F99" s="68" t="s">
        <v>298</v>
      </c>
      <c r="G99" s="68"/>
      <c r="H99" s="68"/>
      <c r="I99" s="69">
        <v>69.900000000000006</v>
      </c>
    </row>
    <row r="100" spans="1:9">
      <c r="A100" s="64" t="s">
        <v>295</v>
      </c>
      <c r="B100" s="65">
        <v>2021</v>
      </c>
      <c r="C100" s="65">
        <v>2023</v>
      </c>
      <c r="D100" s="65" t="s">
        <v>325</v>
      </c>
      <c r="E100" s="65" t="s">
        <v>305</v>
      </c>
      <c r="F100" s="65" t="s">
        <v>40</v>
      </c>
      <c r="G100" s="65"/>
      <c r="H100" s="65"/>
      <c r="I100" s="66">
        <v>18673.5</v>
      </c>
    </row>
    <row r="101" spans="1:9">
      <c r="A101" s="67" t="s">
        <v>295</v>
      </c>
      <c r="B101" s="68">
        <v>2021</v>
      </c>
      <c r="C101" s="68">
        <v>2023</v>
      </c>
      <c r="D101" s="68" t="s">
        <v>326</v>
      </c>
      <c r="E101" s="68" t="s">
        <v>294</v>
      </c>
      <c r="F101" s="68" t="s">
        <v>297</v>
      </c>
      <c r="G101" s="68"/>
      <c r="H101" s="68"/>
      <c r="I101" s="69">
        <v>0</v>
      </c>
    </row>
    <row r="102" spans="1:9">
      <c r="A102" s="64" t="s">
        <v>295</v>
      </c>
      <c r="B102" s="65">
        <v>2021</v>
      </c>
      <c r="C102" s="65">
        <v>2023</v>
      </c>
      <c r="D102" s="65" t="s">
        <v>326</v>
      </c>
      <c r="E102" s="65" t="s">
        <v>294</v>
      </c>
      <c r="F102" s="65" t="s">
        <v>298</v>
      </c>
      <c r="G102" s="65"/>
      <c r="H102" s="65"/>
      <c r="I102" s="66">
        <v>0</v>
      </c>
    </row>
    <row r="103" spans="1:9">
      <c r="A103" s="67" t="s">
        <v>295</v>
      </c>
      <c r="B103" s="68">
        <v>2021</v>
      </c>
      <c r="C103" s="68">
        <v>2023</v>
      </c>
      <c r="D103" s="68" t="s">
        <v>326</v>
      </c>
      <c r="E103" s="68" t="s">
        <v>294</v>
      </c>
      <c r="F103" s="68" t="s">
        <v>40</v>
      </c>
      <c r="G103" s="68"/>
      <c r="H103" s="68"/>
      <c r="I103" s="69">
        <v>0</v>
      </c>
    </row>
    <row r="104" spans="1:9">
      <c r="A104" s="64" t="s">
        <v>295</v>
      </c>
      <c r="B104" s="65">
        <v>2021</v>
      </c>
      <c r="C104" s="65">
        <v>2023</v>
      </c>
      <c r="D104" s="65" t="s">
        <v>326</v>
      </c>
      <c r="E104" s="65" t="s">
        <v>301</v>
      </c>
      <c r="F104" s="65" t="s">
        <v>297</v>
      </c>
      <c r="G104" s="65"/>
      <c r="H104" s="65"/>
      <c r="I104" s="66">
        <v>0</v>
      </c>
    </row>
    <row r="105" spans="1:9">
      <c r="A105" s="67" t="s">
        <v>295</v>
      </c>
      <c r="B105" s="68">
        <v>2021</v>
      </c>
      <c r="C105" s="68">
        <v>2023</v>
      </c>
      <c r="D105" s="68" t="s">
        <v>326</v>
      </c>
      <c r="E105" s="68" t="s">
        <v>301</v>
      </c>
      <c r="F105" s="68" t="s">
        <v>298</v>
      </c>
      <c r="G105" s="68"/>
      <c r="H105" s="68"/>
      <c r="I105" s="69">
        <v>0</v>
      </c>
    </row>
    <row r="106" spans="1:9">
      <c r="A106" s="64" t="s">
        <v>295</v>
      </c>
      <c r="B106" s="65">
        <v>2021</v>
      </c>
      <c r="C106" s="65">
        <v>2023</v>
      </c>
      <c r="D106" s="65" t="s">
        <v>326</v>
      </c>
      <c r="E106" s="65" t="s">
        <v>301</v>
      </c>
      <c r="F106" s="65" t="s">
        <v>40</v>
      </c>
      <c r="G106" s="65"/>
      <c r="H106" s="65"/>
      <c r="I106" s="66">
        <v>0</v>
      </c>
    </row>
    <row r="107" spans="1:9">
      <c r="A107" s="67" t="s">
        <v>295</v>
      </c>
      <c r="B107" s="68">
        <v>2021</v>
      </c>
      <c r="C107" s="68">
        <v>2023</v>
      </c>
      <c r="D107" s="68" t="s">
        <v>304</v>
      </c>
      <c r="E107" s="68" t="s">
        <v>294</v>
      </c>
      <c r="F107" s="68" t="s">
        <v>297</v>
      </c>
      <c r="G107" s="68"/>
      <c r="H107" s="68"/>
      <c r="I107" s="69">
        <v>99106.380069999999</v>
      </c>
    </row>
    <row r="108" spans="1:9">
      <c r="A108" s="64" t="s">
        <v>295</v>
      </c>
      <c r="B108" s="65">
        <v>2021</v>
      </c>
      <c r="C108" s="65">
        <v>2023</v>
      </c>
      <c r="D108" s="65" t="s">
        <v>304</v>
      </c>
      <c r="E108" s="65" t="s">
        <v>294</v>
      </c>
      <c r="F108" s="65" t="s">
        <v>298</v>
      </c>
      <c r="G108" s="65"/>
      <c r="H108" s="65"/>
      <c r="I108" s="66">
        <v>212775.54203722221</v>
      </c>
    </row>
    <row r="109" spans="1:9">
      <c r="A109" s="67" t="s">
        <v>295</v>
      </c>
      <c r="B109" s="68">
        <v>2021</v>
      </c>
      <c r="C109" s="68">
        <v>2023</v>
      </c>
      <c r="D109" s="68" t="s">
        <v>304</v>
      </c>
      <c r="E109" s="68" t="s">
        <v>294</v>
      </c>
      <c r="F109" s="68" t="s">
        <v>40</v>
      </c>
      <c r="G109" s="68"/>
      <c r="H109" s="68"/>
      <c r="I109" s="69">
        <v>311847.05791138893</v>
      </c>
    </row>
    <row r="110" spans="1:9">
      <c r="A110" s="64" t="s">
        <v>295</v>
      </c>
      <c r="B110" s="65">
        <v>2021</v>
      </c>
      <c r="C110" s="65">
        <v>2023</v>
      </c>
      <c r="D110" s="65" t="s">
        <v>304</v>
      </c>
      <c r="E110" s="65" t="s">
        <v>301</v>
      </c>
      <c r="F110" s="65" t="s">
        <v>297</v>
      </c>
      <c r="G110" s="65"/>
      <c r="H110" s="65"/>
      <c r="I110" s="66">
        <v>99156.356320000006</v>
      </c>
    </row>
    <row r="111" spans="1:9">
      <c r="A111" s="67" t="s">
        <v>295</v>
      </c>
      <c r="B111" s="68">
        <v>2021</v>
      </c>
      <c r="C111" s="68">
        <v>2023</v>
      </c>
      <c r="D111" s="68" t="s">
        <v>304</v>
      </c>
      <c r="E111" s="68" t="s">
        <v>301</v>
      </c>
      <c r="F111" s="68" t="s">
        <v>298</v>
      </c>
      <c r="G111" s="68"/>
      <c r="H111" s="68"/>
      <c r="I111" s="69">
        <v>212862.3797272222</v>
      </c>
    </row>
    <row r="112" spans="1:9">
      <c r="A112" s="64" t="s">
        <v>295</v>
      </c>
      <c r="B112" s="65">
        <v>2021</v>
      </c>
      <c r="C112" s="65">
        <v>2023</v>
      </c>
      <c r="D112" s="65" t="s">
        <v>304</v>
      </c>
      <c r="E112" s="65" t="s">
        <v>301</v>
      </c>
      <c r="F112" s="65" t="s">
        <v>40</v>
      </c>
      <c r="G112" s="65"/>
      <c r="H112" s="65"/>
      <c r="I112" s="66">
        <v>311983.87139138888</v>
      </c>
    </row>
    <row r="113" spans="1:9">
      <c r="A113" s="67" t="s">
        <v>295</v>
      </c>
      <c r="B113" s="68">
        <v>2021</v>
      </c>
      <c r="C113" s="68">
        <v>2023</v>
      </c>
      <c r="D113" s="68" t="s">
        <v>304</v>
      </c>
      <c r="E113" s="68" t="s">
        <v>305</v>
      </c>
      <c r="F113" s="68" t="s">
        <v>297</v>
      </c>
      <c r="G113" s="68"/>
      <c r="H113" s="68"/>
      <c r="I113" s="69">
        <v>915.26566000000003</v>
      </c>
    </row>
    <row r="114" spans="1:9">
      <c r="A114" s="64" t="s">
        <v>295</v>
      </c>
      <c r="B114" s="65">
        <v>2021</v>
      </c>
      <c r="C114" s="65">
        <v>2023</v>
      </c>
      <c r="D114" s="65" t="s">
        <v>304</v>
      </c>
      <c r="E114" s="65" t="s">
        <v>305</v>
      </c>
      <c r="F114" s="65" t="s">
        <v>298</v>
      </c>
      <c r="G114" s="65"/>
      <c r="H114" s="65"/>
      <c r="I114" s="66">
        <v>709.1</v>
      </c>
    </row>
    <row r="115" spans="1:9">
      <c r="A115" s="67" t="s">
        <v>295</v>
      </c>
      <c r="B115" s="68">
        <v>2021</v>
      </c>
      <c r="C115" s="68">
        <v>2023</v>
      </c>
      <c r="D115" s="68" t="s">
        <v>304</v>
      </c>
      <c r="E115" s="68" t="s">
        <v>305</v>
      </c>
      <c r="F115" s="68" t="s">
        <v>40</v>
      </c>
      <c r="G115" s="68"/>
      <c r="H115" s="68"/>
      <c r="I115" s="69">
        <v>17472.165659999999</v>
      </c>
    </row>
    <row r="116" spans="1:9">
      <c r="A116" s="64" t="s">
        <v>295</v>
      </c>
      <c r="B116" s="65">
        <v>2021</v>
      </c>
      <c r="C116" s="65">
        <v>2023</v>
      </c>
      <c r="D116" s="65" t="s">
        <v>306</v>
      </c>
      <c r="E116" s="65" t="s">
        <v>294</v>
      </c>
      <c r="F116" s="65" t="s">
        <v>297</v>
      </c>
      <c r="G116" s="65"/>
      <c r="H116" s="65"/>
      <c r="I116" s="66">
        <v>383919.26195000001</v>
      </c>
    </row>
    <row r="117" spans="1:9">
      <c r="A117" s="67" t="s">
        <v>295</v>
      </c>
      <c r="B117" s="68">
        <v>2021</v>
      </c>
      <c r="C117" s="68">
        <v>2023</v>
      </c>
      <c r="D117" s="68" t="s">
        <v>306</v>
      </c>
      <c r="E117" s="68" t="s">
        <v>294</v>
      </c>
      <c r="F117" s="68" t="s">
        <v>40</v>
      </c>
      <c r="G117" s="68"/>
      <c r="H117" s="68"/>
      <c r="I117" s="69">
        <v>383919.26348999998</v>
      </c>
    </row>
    <row r="118" spans="1:9">
      <c r="A118" s="64" t="s">
        <v>295</v>
      </c>
      <c r="B118" s="65">
        <v>2021</v>
      </c>
      <c r="C118" s="65">
        <v>2023</v>
      </c>
      <c r="D118" s="65" t="s">
        <v>306</v>
      </c>
      <c r="E118" s="65" t="s">
        <v>301</v>
      </c>
      <c r="F118" s="65" t="s">
        <v>297</v>
      </c>
      <c r="G118" s="65"/>
      <c r="H118" s="65"/>
      <c r="I118" s="66">
        <v>384136.36309</v>
      </c>
    </row>
    <row r="119" spans="1:9">
      <c r="A119" s="67" t="s">
        <v>295</v>
      </c>
      <c r="B119" s="68">
        <v>2021</v>
      </c>
      <c r="C119" s="68">
        <v>2023</v>
      </c>
      <c r="D119" s="68" t="s">
        <v>306</v>
      </c>
      <c r="E119" s="68" t="s">
        <v>301</v>
      </c>
      <c r="F119" s="68" t="s">
        <v>40</v>
      </c>
      <c r="G119" s="68"/>
      <c r="H119" s="68"/>
      <c r="I119" s="69">
        <v>384136.36463000003</v>
      </c>
    </row>
    <row r="120" spans="1:9">
      <c r="A120" s="64" t="s">
        <v>295</v>
      </c>
      <c r="B120" s="65">
        <v>2021</v>
      </c>
      <c r="C120" s="65">
        <v>2023</v>
      </c>
      <c r="D120" s="65" t="s">
        <v>306</v>
      </c>
      <c r="E120" s="65" t="s">
        <v>305</v>
      </c>
      <c r="F120" s="65" t="s">
        <v>297</v>
      </c>
      <c r="G120" s="65"/>
      <c r="H120" s="65"/>
      <c r="I120" s="66">
        <v>1998.8397500000001</v>
      </c>
    </row>
    <row r="121" spans="1:9">
      <c r="A121" s="67" t="s">
        <v>295</v>
      </c>
      <c r="B121" s="68">
        <v>2021</v>
      </c>
      <c r="C121" s="68">
        <v>2023</v>
      </c>
      <c r="D121" s="68" t="s">
        <v>306</v>
      </c>
      <c r="E121" s="68" t="s">
        <v>305</v>
      </c>
      <c r="F121" s="68" t="s">
        <v>40</v>
      </c>
      <c r="G121" s="68"/>
      <c r="H121" s="68"/>
      <c r="I121" s="69">
        <v>26685.439750000001</v>
      </c>
    </row>
    <row r="122" spans="1:9">
      <c r="A122" s="64" t="s">
        <v>295</v>
      </c>
      <c r="B122" s="65">
        <v>2021</v>
      </c>
      <c r="C122" s="65">
        <v>2023</v>
      </c>
      <c r="D122" s="65" t="s">
        <v>307</v>
      </c>
      <c r="E122" s="65" t="s">
        <v>294</v>
      </c>
      <c r="F122" s="65" t="s">
        <v>40</v>
      </c>
      <c r="G122" s="65"/>
      <c r="H122" s="65"/>
      <c r="I122" s="66">
        <v>-248120.87646</v>
      </c>
    </row>
    <row r="123" spans="1:9">
      <c r="A123" s="67" t="s">
        <v>295</v>
      </c>
      <c r="B123" s="68">
        <v>2021</v>
      </c>
      <c r="C123" s="68">
        <v>2023</v>
      </c>
      <c r="D123" s="68" t="s">
        <v>307</v>
      </c>
      <c r="E123" s="68" t="s">
        <v>301</v>
      </c>
      <c r="F123" s="68" t="s">
        <v>40</v>
      </c>
      <c r="G123" s="68"/>
      <c r="H123" s="68"/>
      <c r="I123" s="69">
        <v>-246643.21469749999</v>
      </c>
    </row>
    <row r="124" spans="1:9">
      <c r="A124" s="64" t="s">
        <v>295</v>
      </c>
      <c r="B124" s="65">
        <v>2021</v>
      </c>
      <c r="C124" s="65">
        <v>2023</v>
      </c>
      <c r="D124" s="65" t="s">
        <v>307</v>
      </c>
      <c r="E124" s="65" t="s">
        <v>305</v>
      </c>
      <c r="F124" s="65" t="s">
        <v>40</v>
      </c>
      <c r="G124" s="65"/>
      <c r="H124" s="65"/>
      <c r="I124" s="66">
        <v>-24228.697380000001</v>
      </c>
    </row>
    <row r="125" spans="1:9">
      <c r="A125" s="67" t="s">
        <v>295</v>
      </c>
      <c r="B125" s="68">
        <v>2021</v>
      </c>
      <c r="C125" s="68">
        <v>2023</v>
      </c>
      <c r="D125" s="68" t="s">
        <v>327</v>
      </c>
      <c r="E125" s="68" t="s">
        <v>294</v>
      </c>
      <c r="F125" s="68" t="s">
        <v>40</v>
      </c>
      <c r="G125" s="68"/>
      <c r="H125" s="68"/>
      <c r="I125" s="69">
        <v>-308446.32139</v>
      </c>
    </row>
    <row r="126" spans="1:9">
      <c r="A126" s="64" t="s">
        <v>295</v>
      </c>
      <c r="B126" s="65">
        <v>2021</v>
      </c>
      <c r="C126" s="65">
        <v>2023</v>
      </c>
      <c r="D126" s="65" t="s">
        <v>327</v>
      </c>
      <c r="E126" s="65" t="s">
        <v>301</v>
      </c>
      <c r="F126" s="65" t="s">
        <v>40</v>
      </c>
      <c r="G126" s="65"/>
      <c r="H126" s="65"/>
      <c r="I126" s="66">
        <v>-311584.80514000001</v>
      </c>
    </row>
    <row r="127" spans="1:9">
      <c r="A127" s="67" t="s">
        <v>295</v>
      </c>
      <c r="B127" s="68">
        <v>2021</v>
      </c>
      <c r="C127" s="68">
        <v>2023</v>
      </c>
      <c r="D127" s="68" t="s">
        <v>327</v>
      </c>
      <c r="E127" s="68" t="s">
        <v>305</v>
      </c>
      <c r="F127" s="68" t="s">
        <v>40</v>
      </c>
      <c r="G127" s="68"/>
      <c r="H127" s="68"/>
      <c r="I127" s="69">
        <v>-22890.093150000001</v>
      </c>
    </row>
    <row r="128" spans="1:9">
      <c r="A128" s="64" t="s">
        <v>295</v>
      </c>
      <c r="B128" s="65">
        <v>2021</v>
      </c>
      <c r="C128" s="65">
        <v>2023</v>
      </c>
      <c r="D128" s="65" t="s">
        <v>328</v>
      </c>
      <c r="E128" s="65" t="s">
        <v>294</v>
      </c>
      <c r="F128" s="65" t="s">
        <v>40</v>
      </c>
      <c r="G128" s="65"/>
      <c r="H128" s="65"/>
      <c r="I128" s="66">
        <v>39494.074829999998</v>
      </c>
    </row>
    <row r="129" spans="1:9">
      <c r="A129" s="67" t="s">
        <v>295</v>
      </c>
      <c r="B129" s="68">
        <v>2021</v>
      </c>
      <c r="C129" s="68">
        <v>2023</v>
      </c>
      <c r="D129" s="68" t="s">
        <v>328</v>
      </c>
      <c r="E129" s="68" t="s">
        <v>301</v>
      </c>
      <c r="F129" s="68" t="s">
        <v>40</v>
      </c>
      <c r="G129" s="68"/>
      <c r="H129" s="68"/>
      <c r="I129" s="69">
        <v>41092.273359999999</v>
      </c>
    </row>
    <row r="130" spans="1:9">
      <c r="A130" s="64" t="s">
        <v>295</v>
      </c>
      <c r="B130" s="65">
        <v>2021</v>
      </c>
      <c r="C130" s="65">
        <v>2023</v>
      </c>
      <c r="D130" s="65" t="s">
        <v>328</v>
      </c>
      <c r="E130" s="65" t="s">
        <v>305</v>
      </c>
      <c r="F130" s="65" t="s">
        <v>40</v>
      </c>
      <c r="G130" s="65"/>
      <c r="H130" s="65"/>
      <c r="I130" s="66">
        <v>-2382.82728</v>
      </c>
    </row>
    <row r="131" spans="1:9">
      <c r="A131" s="67" t="s">
        <v>295</v>
      </c>
      <c r="B131" s="68">
        <v>2021</v>
      </c>
      <c r="C131" s="68">
        <v>2023</v>
      </c>
      <c r="D131" s="68" t="s">
        <v>329</v>
      </c>
      <c r="E131" s="68" t="s">
        <v>294</v>
      </c>
      <c r="F131" s="68" t="s">
        <v>40</v>
      </c>
      <c r="G131" s="68"/>
      <c r="H131" s="68"/>
      <c r="I131" s="69">
        <v>14367.14867083333</v>
      </c>
    </row>
    <row r="132" spans="1:9">
      <c r="A132" s="64" t="s">
        <v>295</v>
      </c>
      <c r="B132" s="65">
        <v>2021</v>
      </c>
      <c r="C132" s="65">
        <v>2023</v>
      </c>
      <c r="D132" s="65" t="s">
        <v>329</v>
      </c>
      <c r="E132" s="65" t="s">
        <v>301</v>
      </c>
      <c r="F132" s="65" t="s">
        <v>40</v>
      </c>
      <c r="G132" s="65"/>
      <c r="H132" s="65"/>
      <c r="I132" s="66">
        <v>14975.798840833329</v>
      </c>
    </row>
    <row r="133" spans="1:9">
      <c r="A133" s="67" t="s">
        <v>295</v>
      </c>
      <c r="B133" s="68">
        <v>2021</v>
      </c>
      <c r="C133" s="68">
        <v>2023</v>
      </c>
      <c r="D133" s="68" t="s">
        <v>329</v>
      </c>
      <c r="E133" s="68" t="s">
        <v>305</v>
      </c>
      <c r="F133" s="68" t="s">
        <v>40</v>
      </c>
      <c r="G133" s="68"/>
      <c r="H133" s="68"/>
      <c r="I133" s="69">
        <v>171.08163999999999</v>
      </c>
    </row>
    <row r="134" spans="1:9">
      <c r="A134" s="64" t="s">
        <v>295</v>
      </c>
      <c r="B134" s="65">
        <v>2021</v>
      </c>
      <c r="C134" s="65">
        <v>2023</v>
      </c>
      <c r="D134" s="65" t="s">
        <v>330</v>
      </c>
      <c r="E134" s="65" t="s">
        <v>294</v>
      </c>
      <c r="F134" s="65" t="s">
        <v>40</v>
      </c>
      <c r="G134" s="65"/>
      <c r="H134" s="65"/>
      <c r="I134" s="66">
        <v>16323.02096388889</v>
      </c>
    </row>
    <row r="135" spans="1:9">
      <c r="A135" s="67" t="s">
        <v>295</v>
      </c>
      <c r="B135" s="68">
        <v>2021</v>
      </c>
      <c r="C135" s="68">
        <v>2023</v>
      </c>
      <c r="D135" s="68" t="s">
        <v>330</v>
      </c>
      <c r="E135" s="68" t="s">
        <v>301</v>
      </c>
      <c r="F135" s="68" t="s">
        <v>40</v>
      </c>
      <c r="G135" s="68"/>
      <c r="H135" s="68"/>
      <c r="I135" s="69">
        <v>16289.02248388889</v>
      </c>
    </row>
    <row r="136" spans="1:9">
      <c r="A136" s="64" t="s">
        <v>295</v>
      </c>
      <c r="B136" s="65">
        <v>2021</v>
      </c>
      <c r="C136" s="65">
        <v>2023</v>
      </c>
      <c r="D136" s="65" t="s">
        <v>330</v>
      </c>
      <c r="E136" s="65" t="s">
        <v>305</v>
      </c>
      <c r="F136" s="65" t="s">
        <v>40</v>
      </c>
      <c r="G136" s="65"/>
      <c r="H136" s="65"/>
      <c r="I136" s="66">
        <v>774.38648000000001</v>
      </c>
    </row>
    <row r="137" spans="1:9">
      <c r="A137" s="67" t="s">
        <v>295</v>
      </c>
      <c r="B137" s="68">
        <v>2021</v>
      </c>
      <c r="C137" s="68">
        <v>2023</v>
      </c>
      <c r="D137" s="68" t="s">
        <v>331</v>
      </c>
      <c r="E137" s="68" t="s">
        <v>294</v>
      </c>
      <c r="F137" s="68" t="s">
        <v>40</v>
      </c>
      <c r="G137" s="68"/>
      <c r="H137" s="68"/>
      <c r="I137" s="69">
        <v>36375.632019999997</v>
      </c>
    </row>
    <row r="138" spans="1:9">
      <c r="A138" s="64" t="s">
        <v>295</v>
      </c>
      <c r="B138" s="65">
        <v>2021</v>
      </c>
      <c r="C138" s="65">
        <v>2023</v>
      </c>
      <c r="D138" s="65" t="s">
        <v>331</v>
      </c>
      <c r="E138" s="65" t="s">
        <v>301</v>
      </c>
      <c r="F138" s="65" t="s">
        <v>40</v>
      </c>
      <c r="G138" s="65"/>
      <c r="H138" s="65"/>
      <c r="I138" s="66">
        <v>36930.33496</v>
      </c>
    </row>
    <row r="139" spans="1:9">
      <c r="A139" s="67" t="s">
        <v>295</v>
      </c>
      <c r="B139" s="68">
        <v>2021</v>
      </c>
      <c r="C139" s="68">
        <v>2023</v>
      </c>
      <c r="D139" s="68" t="s">
        <v>331</v>
      </c>
      <c r="E139" s="68" t="s">
        <v>305</v>
      </c>
      <c r="F139" s="68" t="s">
        <v>40</v>
      </c>
      <c r="G139" s="68"/>
      <c r="H139" s="68"/>
      <c r="I139" s="69">
        <v>2619.5793699999999</v>
      </c>
    </row>
    <row r="140" spans="1:9">
      <c r="A140" s="64" t="s">
        <v>295</v>
      </c>
      <c r="B140" s="65">
        <v>2021</v>
      </c>
      <c r="C140" s="65">
        <v>2023</v>
      </c>
      <c r="D140" s="65" t="s">
        <v>332</v>
      </c>
      <c r="E140" s="65" t="s">
        <v>294</v>
      </c>
      <c r="F140" s="65" t="s">
        <v>40</v>
      </c>
      <c r="G140" s="65"/>
      <c r="H140" s="65"/>
      <c r="I140" s="66">
        <v>766.42750999999998</v>
      </c>
    </row>
    <row r="141" spans="1:9">
      <c r="A141" s="67" t="s">
        <v>295</v>
      </c>
      <c r="B141" s="68">
        <v>2021</v>
      </c>
      <c r="C141" s="68">
        <v>2023</v>
      </c>
      <c r="D141" s="68" t="s">
        <v>332</v>
      </c>
      <c r="E141" s="68" t="s">
        <v>301</v>
      </c>
      <c r="F141" s="68" t="s">
        <v>40</v>
      </c>
      <c r="G141" s="68"/>
      <c r="H141" s="68"/>
      <c r="I141" s="69">
        <v>720.72753</v>
      </c>
    </row>
    <row r="142" spans="1:9">
      <c r="A142" s="64" t="s">
        <v>295</v>
      </c>
      <c r="B142" s="65">
        <v>2021</v>
      </c>
      <c r="C142" s="65">
        <v>2023</v>
      </c>
      <c r="D142" s="65" t="s">
        <v>332</v>
      </c>
      <c r="E142" s="65" t="s">
        <v>305</v>
      </c>
      <c r="F142" s="65" t="s">
        <v>40</v>
      </c>
      <c r="G142" s="65"/>
      <c r="H142" s="65"/>
      <c r="I142" s="66">
        <v>201.17555999999999</v>
      </c>
    </row>
    <row r="143" spans="1:9">
      <c r="A143" s="67" t="s">
        <v>295</v>
      </c>
      <c r="B143" s="68">
        <v>2021</v>
      </c>
      <c r="C143" s="68">
        <v>2023</v>
      </c>
      <c r="D143" s="68" t="s">
        <v>333</v>
      </c>
      <c r="E143" s="68" t="s">
        <v>294</v>
      </c>
      <c r="F143" s="68" t="s">
        <v>40</v>
      </c>
      <c r="G143" s="68"/>
      <c r="H143" s="68"/>
      <c r="I143" s="69">
        <v>-47256.430261666668</v>
      </c>
    </row>
    <row r="144" spans="1:9">
      <c r="A144" s="64" t="s">
        <v>295</v>
      </c>
      <c r="B144" s="65">
        <v>2021</v>
      </c>
      <c r="C144" s="65">
        <v>2023</v>
      </c>
      <c r="D144" s="65" t="s">
        <v>333</v>
      </c>
      <c r="E144" s="65" t="s">
        <v>301</v>
      </c>
      <c r="F144" s="65" t="s">
        <v>40</v>
      </c>
      <c r="G144" s="65"/>
      <c r="H144" s="65"/>
      <c r="I144" s="66">
        <v>-46565.569761666673</v>
      </c>
    </row>
    <row r="145" spans="1:9">
      <c r="A145" s="67" t="s">
        <v>295</v>
      </c>
      <c r="B145" s="68">
        <v>2021</v>
      </c>
      <c r="C145" s="68">
        <v>2023</v>
      </c>
      <c r="D145" s="68" t="s">
        <v>333</v>
      </c>
      <c r="E145" s="68" t="s">
        <v>305</v>
      </c>
      <c r="F145" s="68" t="s">
        <v>40</v>
      </c>
      <c r="G145" s="68"/>
      <c r="H145" s="68"/>
      <c r="I145" s="69">
        <v>-2721.9</v>
      </c>
    </row>
    <row r="146" spans="1:9">
      <c r="A146" s="64" t="s">
        <v>295</v>
      </c>
      <c r="B146" s="65">
        <v>2021</v>
      </c>
      <c r="C146" s="65">
        <v>2023</v>
      </c>
      <c r="D146" s="65" t="s">
        <v>334</v>
      </c>
      <c r="E146" s="65" t="s">
        <v>294</v>
      </c>
      <c r="F146" s="65" t="s">
        <v>40</v>
      </c>
      <c r="G146" s="65"/>
      <c r="H146" s="65"/>
      <c r="I146" s="66">
        <v>280.113</v>
      </c>
    </row>
    <row r="147" spans="1:9">
      <c r="A147" s="67" t="s">
        <v>295</v>
      </c>
      <c r="B147" s="68">
        <v>2021</v>
      </c>
      <c r="C147" s="68">
        <v>2023</v>
      </c>
      <c r="D147" s="68" t="s">
        <v>334</v>
      </c>
      <c r="E147" s="68" t="s">
        <v>301</v>
      </c>
      <c r="F147" s="68" t="s">
        <v>40</v>
      </c>
      <c r="G147" s="68"/>
      <c r="H147" s="68"/>
      <c r="I147" s="69">
        <v>280.113</v>
      </c>
    </row>
    <row r="148" spans="1:9">
      <c r="A148" s="64" t="s">
        <v>295</v>
      </c>
      <c r="B148" s="65">
        <v>2021</v>
      </c>
      <c r="C148" s="65">
        <v>2023</v>
      </c>
      <c r="D148" s="65" t="s">
        <v>308</v>
      </c>
      <c r="E148" s="65" t="s">
        <v>294</v>
      </c>
      <c r="F148" s="65" t="s">
        <v>297</v>
      </c>
      <c r="G148" s="65"/>
      <c r="H148" s="65"/>
      <c r="I148" s="66">
        <v>119843.20649</v>
      </c>
    </row>
    <row r="149" spans="1:9">
      <c r="A149" s="67" t="s">
        <v>295</v>
      </c>
      <c r="B149" s="68">
        <v>2021</v>
      </c>
      <c r="C149" s="68">
        <v>2023</v>
      </c>
      <c r="D149" s="68" t="s">
        <v>308</v>
      </c>
      <c r="E149" s="68" t="s">
        <v>294</v>
      </c>
      <c r="F149" s="68" t="s">
        <v>298</v>
      </c>
      <c r="G149" s="68"/>
      <c r="H149" s="68"/>
      <c r="I149" s="69">
        <v>231.75935000000001</v>
      </c>
    </row>
    <row r="150" spans="1:9">
      <c r="A150" s="64" t="s">
        <v>295</v>
      </c>
      <c r="B150" s="65">
        <v>2021</v>
      </c>
      <c r="C150" s="65">
        <v>2023</v>
      </c>
      <c r="D150" s="65" t="s">
        <v>308</v>
      </c>
      <c r="E150" s="65" t="s">
        <v>294</v>
      </c>
      <c r="F150" s="65" t="s">
        <v>40</v>
      </c>
      <c r="G150" s="65"/>
      <c r="H150" s="65"/>
      <c r="I150" s="66">
        <v>120080.73561638891</v>
      </c>
    </row>
    <row r="151" spans="1:9">
      <c r="A151" s="67" t="s">
        <v>295</v>
      </c>
      <c r="B151" s="68">
        <v>2021</v>
      </c>
      <c r="C151" s="68">
        <v>2023</v>
      </c>
      <c r="D151" s="68" t="s">
        <v>308</v>
      </c>
      <c r="E151" s="68" t="s">
        <v>301</v>
      </c>
      <c r="F151" s="68" t="s">
        <v>297</v>
      </c>
      <c r="G151" s="68"/>
      <c r="H151" s="68"/>
      <c r="I151" s="69">
        <v>120242.85557</v>
      </c>
    </row>
    <row r="152" spans="1:9">
      <c r="A152" s="64" t="s">
        <v>295</v>
      </c>
      <c r="B152" s="65">
        <v>2021</v>
      </c>
      <c r="C152" s="65">
        <v>2023</v>
      </c>
      <c r="D152" s="65" t="s">
        <v>308</v>
      </c>
      <c r="E152" s="65" t="s">
        <v>301</v>
      </c>
      <c r="F152" s="65" t="s">
        <v>298</v>
      </c>
      <c r="G152" s="65"/>
      <c r="H152" s="65"/>
      <c r="I152" s="66">
        <v>231.75935000000001</v>
      </c>
    </row>
    <row r="153" spans="1:9">
      <c r="A153" s="67" t="s">
        <v>295</v>
      </c>
      <c r="B153" s="68">
        <v>2021</v>
      </c>
      <c r="C153" s="68">
        <v>2023</v>
      </c>
      <c r="D153" s="68" t="s">
        <v>308</v>
      </c>
      <c r="E153" s="68" t="s">
        <v>301</v>
      </c>
      <c r="F153" s="68" t="s">
        <v>40</v>
      </c>
      <c r="G153" s="68"/>
      <c r="H153" s="68"/>
      <c r="I153" s="69">
        <v>120480.38469638889</v>
      </c>
    </row>
    <row r="154" spans="1:9">
      <c r="A154" s="64" t="s">
        <v>295</v>
      </c>
      <c r="B154" s="65">
        <v>2021</v>
      </c>
      <c r="C154" s="65">
        <v>2023</v>
      </c>
      <c r="D154" s="65" t="s">
        <v>308</v>
      </c>
      <c r="E154" s="65" t="s">
        <v>305</v>
      </c>
      <c r="F154" s="65" t="s">
        <v>297</v>
      </c>
      <c r="G154" s="65"/>
      <c r="H154" s="65"/>
      <c r="I154" s="66">
        <v>1432.9627499999999</v>
      </c>
    </row>
    <row r="155" spans="1:9">
      <c r="A155" s="67" t="s">
        <v>295</v>
      </c>
      <c r="B155" s="68">
        <v>2021</v>
      </c>
      <c r="C155" s="68">
        <v>2023</v>
      </c>
      <c r="D155" s="68" t="s">
        <v>308</v>
      </c>
      <c r="E155" s="68" t="s">
        <v>305</v>
      </c>
      <c r="F155" s="68" t="s">
        <v>40</v>
      </c>
      <c r="G155" s="68"/>
      <c r="H155" s="68"/>
      <c r="I155" s="69">
        <v>10708.962750000001</v>
      </c>
    </row>
    <row r="156" spans="1:9">
      <c r="A156" s="64" t="s">
        <v>295</v>
      </c>
      <c r="B156" s="65">
        <v>2021</v>
      </c>
      <c r="C156" s="65">
        <v>2023</v>
      </c>
      <c r="D156" s="65" t="s">
        <v>310</v>
      </c>
      <c r="E156" s="65" t="s">
        <v>294</v>
      </c>
      <c r="F156" s="65" t="s">
        <v>297</v>
      </c>
      <c r="G156" s="65"/>
      <c r="H156" s="65"/>
      <c r="I156" s="66">
        <v>106</v>
      </c>
    </row>
    <row r="157" spans="1:9">
      <c r="A157" s="67" t="s">
        <v>295</v>
      </c>
      <c r="B157" s="68">
        <v>2021</v>
      </c>
      <c r="C157" s="68">
        <v>2023</v>
      </c>
      <c r="D157" s="68" t="s">
        <v>310</v>
      </c>
      <c r="E157" s="68" t="s">
        <v>294</v>
      </c>
      <c r="F157" s="68" t="s">
        <v>40</v>
      </c>
      <c r="G157" s="68"/>
      <c r="H157" s="68"/>
      <c r="I157" s="69">
        <v>74387.354680037897</v>
      </c>
    </row>
    <row r="158" spans="1:9">
      <c r="A158" s="64" t="s">
        <v>295</v>
      </c>
      <c r="B158" s="65">
        <v>2021</v>
      </c>
      <c r="C158" s="65">
        <v>2023</v>
      </c>
      <c r="D158" s="65" t="s">
        <v>310</v>
      </c>
      <c r="E158" s="65" t="s">
        <v>301</v>
      </c>
      <c r="F158" s="65" t="s">
        <v>297</v>
      </c>
      <c r="G158" s="65"/>
      <c r="H158" s="65"/>
      <c r="I158" s="66">
        <v>106</v>
      </c>
    </row>
    <row r="159" spans="1:9">
      <c r="A159" s="67" t="s">
        <v>295</v>
      </c>
      <c r="B159" s="68">
        <v>2021</v>
      </c>
      <c r="C159" s="68">
        <v>2023</v>
      </c>
      <c r="D159" s="68" t="s">
        <v>310</v>
      </c>
      <c r="E159" s="68" t="s">
        <v>301</v>
      </c>
      <c r="F159" s="68" t="s">
        <v>40</v>
      </c>
      <c r="G159" s="68"/>
      <c r="H159" s="68"/>
      <c r="I159" s="69">
        <v>74515.485090037895</v>
      </c>
    </row>
    <row r="160" spans="1:9">
      <c r="A160" s="64" t="s">
        <v>295</v>
      </c>
      <c r="B160" s="65">
        <v>2021</v>
      </c>
      <c r="C160" s="65">
        <v>2023</v>
      </c>
      <c r="D160" s="65" t="s">
        <v>310</v>
      </c>
      <c r="E160" s="65" t="s">
        <v>305</v>
      </c>
      <c r="F160" s="65" t="s">
        <v>40</v>
      </c>
      <c r="G160" s="65"/>
      <c r="H160" s="65"/>
      <c r="I160" s="66">
        <v>900.98685999999998</v>
      </c>
    </row>
    <row r="161" spans="1:9">
      <c r="A161" s="67" t="s">
        <v>295</v>
      </c>
      <c r="B161" s="68">
        <v>2021</v>
      </c>
      <c r="C161" s="68">
        <v>2023</v>
      </c>
      <c r="D161" s="68" t="s">
        <v>311</v>
      </c>
      <c r="E161" s="68" t="s">
        <v>294</v>
      </c>
      <c r="F161" s="68" t="s">
        <v>297</v>
      </c>
      <c r="G161" s="68"/>
      <c r="H161" s="68"/>
      <c r="I161" s="69">
        <v>460.4</v>
      </c>
    </row>
    <row r="162" spans="1:9">
      <c r="A162" s="64" t="s">
        <v>295</v>
      </c>
      <c r="B162" s="65">
        <v>2021</v>
      </c>
      <c r="C162" s="65">
        <v>2023</v>
      </c>
      <c r="D162" s="65" t="s">
        <v>311</v>
      </c>
      <c r="E162" s="65" t="s">
        <v>294</v>
      </c>
      <c r="F162" s="65" t="s">
        <v>40</v>
      </c>
      <c r="G162" s="65"/>
      <c r="H162" s="65"/>
      <c r="I162" s="66">
        <v>131197.7320327597</v>
      </c>
    </row>
    <row r="163" spans="1:9">
      <c r="A163" s="67" t="s">
        <v>295</v>
      </c>
      <c r="B163" s="68">
        <v>2021</v>
      </c>
      <c r="C163" s="68">
        <v>2023</v>
      </c>
      <c r="D163" s="68" t="s">
        <v>311</v>
      </c>
      <c r="E163" s="68" t="s">
        <v>301</v>
      </c>
      <c r="F163" s="68" t="s">
        <v>297</v>
      </c>
      <c r="G163" s="68"/>
      <c r="H163" s="68"/>
      <c r="I163" s="69">
        <v>460.4</v>
      </c>
    </row>
    <row r="164" spans="1:9">
      <c r="A164" s="64" t="s">
        <v>295</v>
      </c>
      <c r="B164" s="65">
        <v>2021</v>
      </c>
      <c r="C164" s="65">
        <v>2023</v>
      </c>
      <c r="D164" s="65" t="s">
        <v>311</v>
      </c>
      <c r="E164" s="65" t="s">
        <v>301</v>
      </c>
      <c r="F164" s="65" t="s">
        <v>40</v>
      </c>
      <c r="G164" s="65"/>
      <c r="H164" s="65"/>
      <c r="I164" s="66">
        <v>131197.73094275969</v>
      </c>
    </row>
    <row r="165" spans="1:9">
      <c r="A165" s="67" t="s">
        <v>295</v>
      </c>
      <c r="B165" s="68">
        <v>2021</v>
      </c>
      <c r="C165" s="68">
        <v>2023</v>
      </c>
      <c r="D165" s="68" t="s">
        <v>311</v>
      </c>
      <c r="E165" s="68" t="s">
        <v>305</v>
      </c>
      <c r="F165" s="68" t="s">
        <v>40</v>
      </c>
      <c r="G165" s="68"/>
      <c r="H165" s="68"/>
      <c r="I165" s="69">
        <v>564.9</v>
      </c>
    </row>
    <row r="166" spans="1:9">
      <c r="A166" s="64" t="s">
        <v>295</v>
      </c>
      <c r="B166" s="65">
        <v>2021</v>
      </c>
      <c r="C166" s="65">
        <v>2023</v>
      </c>
      <c r="D166" s="65" t="s">
        <v>312</v>
      </c>
      <c r="E166" s="65" t="s">
        <v>294</v>
      </c>
      <c r="F166" s="65" t="s">
        <v>297</v>
      </c>
      <c r="G166" s="65"/>
      <c r="H166" s="65"/>
      <c r="I166" s="66">
        <v>774.01905638888843</v>
      </c>
    </row>
    <row r="167" spans="1:9">
      <c r="A167" s="67" t="s">
        <v>295</v>
      </c>
      <c r="B167" s="68">
        <v>2021</v>
      </c>
      <c r="C167" s="68">
        <v>2023</v>
      </c>
      <c r="D167" s="68" t="s">
        <v>312</v>
      </c>
      <c r="E167" s="68" t="s">
        <v>294</v>
      </c>
      <c r="F167" s="68" t="s">
        <v>40</v>
      </c>
      <c r="G167" s="68"/>
      <c r="H167" s="68"/>
      <c r="I167" s="69">
        <v>948.07377999999994</v>
      </c>
    </row>
    <row r="168" spans="1:9">
      <c r="A168" s="64" t="s">
        <v>295</v>
      </c>
      <c r="B168" s="65">
        <v>2021</v>
      </c>
      <c r="C168" s="65">
        <v>2023</v>
      </c>
      <c r="D168" s="65" t="s">
        <v>312</v>
      </c>
      <c r="E168" s="65" t="s">
        <v>301</v>
      </c>
      <c r="F168" s="65" t="s">
        <v>297</v>
      </c>
      <c r="G168" s="65"/>
      <c r="H168" s="65"/>
      <c r="I168" s="66">
        <v>774.0190663888884</v>
      </c>
    </row>
    <row r="169" spans="1:9">
      <c r="A169" s="67" t="s">
        <v>295</v>
      </c>
      <c r="B169" s="68">
        <v>2021</v>
      </c>
      <c r="C169" s="68">
        <v>2023</v>
      </c>
      <c r="D169" s="68" t="s">
        <v>312</v>
      </c>
      <c r="E169" s="68" t="s">
        <v>301</v>
      </c>
      <c r="F169" s="68" t="s">
        <v>40</v>
      </c>
      <c r="G169" s="68"/>
      <c r="H169" s="68"/>
      <c r="I169" s="69">
        <v>948.07378999999992</v>
      </c>
    </row>
    <row r="170" spans="1:9">
      <c r="A170" s="64" t="s">
        <v>295</v>
      </c>
      <c r="B170" s="65">
        <v>2021</v>
      </c>
      <c r="C170" s="65">
        <v>2023</v>
      </c>
      <c r="D170" s="65" t="s">
        <v>313</v>
      </c>
      <c r="E170" s="65" t="s">
        <v>294</v>
      </c>
      <c r="F170" s="65" t="s">
        <v>297</v>
      </c>
      <c r="G170" s="65"/>
      <c r="H170" s="65"/>
      <c r="I170" s="66">
        <v>2111037.1837113891</v>
      </c>
    </row>
    <row r="171" spans="1:9">
      <c r="A171" s="67" t="s">
        <v>295</v>
      </c>
      <c r="B171" s="68">
        <v>2021</v>
      </c>
      <c r="C171" s="68">
        <v>2023</v>
      </c>
      <c r="D171" s="68" t="s">
        <v>313</v>
      </c>
      <c r="E171" s="68" t="s">
        <v>294</v>
      </c>
      <c r="F171" s="68" t="s">
        <v>298</v>
      </c>
      <c r="G171" s="68"/>
      <c r="H171" s="68"/>
      <c r="I171" s="69">
        <v>1273354.4919755559</v>
      </c>
    </row>
    <row r="172" spans="1:9">
      <c r="A172" s="64" t="s">
        <v>295</v>
      </c>
      <c r="B172" s="65">
        <v>2021</v>
      </c>
      <c r="C172" s="65">
        <v>2023</v>
      </c>
      <c r="D172" s="65" t="s">
        <v>313</v>
      </c>
      <c r="E172" s="65" t="s">
        <v>294</v>
      </c>
      <c r="F172" s="65" t="s">
        <v>40</v>
      </c>
      <c r="G172" s="65"/>
      <c r="H172" s="65"/>
      <c r="I172" s="66">
        <v>3393883.2561827782</v>
      </c>
    </row>
    <row r="173" spans="1:9">
      <c r="A173" s="67" t="s">
        <v>295</v>
      </c>
      <c r="B173" s="68">
        <v>2021</v>
      </c>
      <c r="C173" s="68">
        <v>2023</v>
      </c>
      <c r="D173" s="68" t="s">
        <v>313</v>
      </c>
      <c r="E173" s="68" t="s">
        <v>301</v>
      </c>
      <c r="F173" s="68" t="s">
        <v>297</v>
      </c>
      <c r="G173" s="68"/>
      <c r="H173" s="68"/>
      <c r="I173" s="69">
        <v>2116625.5593013889</v>
      </c>
    </row>
    <row r="174" spans="1:9">
      <c r="A174" s="64" t="s">
        <v>295</v>
      </c>
      <c r="B174" s="65">
        <v>2021</v>
      </c>
      <c r="C174" s="65">
        <v>2023</v>
      </c>
      <c r="D174" s="65" t="s">
        <v>313</v>
      </c>
      <c r="E174" s="65" t="s">
        <v>301</v>
      </c>
      <c r="F174" s="65" t="s">
        <v>298</v>
      </c>
      <c r="G174" s="65"/>
      <c r="H174" s="65"/>
      <c r="I174" s="66">
        <v>1279749.414415556</v>
      </c>
    </row>
    <row r="175" spans="1:9">
      <c r="A175" s="67" t="s">
        <v>295</v>
      </c>
      <c r="B175" s="68">
        <v>2021</v>
      </c>
      <c r="C175" s="68">
        <v>2023</v>
      </c>
      <c r="D175" s="68" t="s">
        <v>313</v>
      </c>
      <c r="E175" s="68" t="s">
        <v>301</v>
      </c>
      <c r="F175" s="68" t="s">
        <v>40</v>
      </c>
      <c r="G175" s="68"/>
      <c r="H175" s="68"/>
      <c r="I175" s="69">
        <v>3405857.273877223</v>
      </c>
    </row>
    <row r="176" spans="1:9">
      <c r="A176" s="64" t="s">
        <v>295</v>
      </c>
      <c r="B176" s="65">
        <v>2021</v>
      </c>
      <c r="C176" s="65">
        <v>2023</v>
      </c>
      <c r="D176" s="65" t="s">
        <v>313</v>
      </c>
      <c r="E176" s="65" t="s">
        <v>305</v>
      </c>
      <c r="F176" s="65" t="s">
        <v>297</v>
      </c>
      <c r="G176" s="65"/>
      <c r="H176" s="65"/>
      <c r="I176" s="66">
        <v>14468.168610000001</v>
      </c>
    </row>
    <row r="177" spans="1:9">
      <c r="A177" s="67" t="s">
        <v>295</v>
      </c>
      <c r="B177" s="68">
        <v>2021</v>
      </c>
      <c r="C177" s="68">
        <v>2023</v>
      </c>
      <c r="D177" s="68" t="s">
        <v>313</v>
      </c>
      <c r="E177" s="68" t="s">
        <v>305</v>
      </c>
      <c r="F177" s="68" t="s">
        <v>298</v>
      </c>
      <c r="G177" s="68"/>
      <c r="H177" s="68"/>
      <c r="I177" s="69">
        <v>8929.4160599999996</v>
      </c>
    </row>
    <row r="178" spans="1:9">
      <c r="A178" s="64" t="s">
        <v>295</v>
      </c>
      <c r="B178" s="65">
        <v>2021</v>
      </c>
      <c r="C178" s="65">
        <v>2023</v>
      </c>
      <c r="D178" s="65" t="s">
        <v>313</v>
      </c>
      <c r="E178" s="65" t="s">
        <v>305</v>
      </c>
      <c r="F178" s="65" t="s">
        <v>40</v>
      </c>
      <c r="G178" s="65"/>
      <c r="H178" s="65"/>
      <c r="I178" s="66">
        <v>184996.01219000001</v>
      </c>
    </row>
    <row r="179" spans="1:9">
      <c r="A179" s="67" t="s">
        <v>295</v>
      </c>
      <c r="B179" s="68">
        <v>2021</v>
      </c>
      <c r="C179" s="68">
        <v>2023</v>
      </c>
      <c r="D179" s="68" t="s">
        <v>314</v>
      </c>
      <c r="E179" s="68" t="s">
        <v>294</v>
      </c>
      <c r="F179" s="68" t="s">
        <v>297</v>
      </c>
      <c r="G179" s="68"/>
      <c r="H179" s="68"/>
      <c r="I179" s="69">
        <v>2111056.4997113892</v>
      </c>
    </row>
    <row r="180" spans="1:9">
      <c r="A180" s="64" t="s">
        <v>295</v>
      </c>
      <c r="B180" s="65">
        <v>2021</v>
      </c>
      <c r="C180" s="65">
        <v>2023</v>
      </c>
      <c r="D180" s="65" t="s">
        <v>314</v>
      </c>
      <c r="E180" s="65" t="s">
        <v>294</v>
      </c>
      <c r="F180" s="65" t="s">
        <v>298</v>
      </c>
      <c r="G180" s="65"/>
      <c r="H180" s="65"/>
      <c r="I180" s="66">
        <v>1273354.4919755559</v>
      </c>
    </row>
    <row r="181" spans="1:9">
      <c r="A181" s="67" t="s">
        <v>295</v>
      </c>
      <c r="B181" s="68">
        <v>2021</v>
      </c>
      <c r="C181" s="68">
        <v>2023</v>
      </c>
      <c r="D181" s="68" t="s">
        <v>314</v>
      </c>
      <c r="E181" s="68" t="s">
        <v>294</v>
      </c>
      <c r="F181" s="68" t="s">
        <v>40</v>
      </c>
      <c r="G181" s="68"/>
      <c r="H181" s="68"/>
      <c r="I181" s="69">
        <v>3145822.4475583341</v>
      </c>
    </row>
    <row r="182" spans="1:9">
      <c r="A182" s="64" t="s">
        <v>295</v>
      </c>
      <c r="B182" s="65">
        <v>2021</v>
      </c>
      <c r="C182" s="65">
        <v>2023</v>
      </c>
      <c r="D182" s="65" t="s">
        <v>314</v>
      </c>
      <c r="E182" s="65" t="s">
        <v>301</v>
      </c>
      <c r="F182" s="65" t="s">
        <v>297</v>
      </c>
      <c r="G182" s="65"/>
      <c r="H182" s="65"/>
      <c r="I182" s="66">
        <v>2116644.8752913889</v>
      </c>
    </row>
    <row r="183" spans="1:9">
      <c r="A183" s="67" t="s">
        <v>295</v>
      </c>
      <c r="B183" s="68">
        <v>2021</v>
      </c>
      <c r="C183" s="68">
        <v>2023</v>
      </c>
      <c r="D183" s="68" t="s">
        <v>314</v>
      </c>
      <c r="E183" s="68" t="s">
        <v>301</v>
      </c>
      <c r="F183" s="68" t="s">
        <v>298</v>
      </c>
      <c r="G183" s="68"/>
      <c r="H183" s="68"/>
      <c r="I183" s="69">
        <v>1279749.414415556</v>
      </c>
    </row>
    <row r="184" spans="1:9">
      <c r="A184" s="64" t="s">
        <v>295</v>
      </c>
      <c r="B184" s="65">
        <v>2021</v>
      </c>
      <c r="C184" s="65">
        <v>2023</v>
      </c>
      <c r="D184" s="65" t="s">
        <v>314</v>
      </c>
      <c r="E184" s="65" t="s">
        <v>301</v>
      </c>
      <c r="F184" s="65" t="s">
        <v>40</v>
      </c>
      <c r="G184" s="65"/>
      <c r="H184" s="65"/>
      <c r="I184" s="66">
        <v>3159231.743819722</v>
      </c>
    </row>
    <row r="185" spans="1:9">
      <c r="A185" s="67" t="s">
        <v>295</v>
      </c>
      <c r="B185" s="68">
        <v>2021</v>
      </c>
      <c r="C185" s="68">
        <v>2023</v>
      </c>
      <c r="D185" s="68" t="s">
        <v>314</v>
      </c>
      <c r="E185" s="68" t="s">
        <v>305</v>
      </c>
      <c r="F185" s="68" t="s">
        <v>297</v>
      </c>
      <c r="G185" s="68"/>
      <c r="H185" s="68"/>
      <c r="I185" s="69">
        <v>14468.168610000001</v>
      </c>
    </row>
    <row r="186" spans="1:9">
      <c r="A186" s="64" t="s">
        <v>295</v>
      </c>
      <c r="B186" s="65">
        <v>2021</v>
      </c>
      <c r="C186" s="65">
        <v>2023</v>
      </c>
      <c r="D186" s="65" t="s">
        <v>314</v>
      </c>
      <c r="E186" s="65" t="s">
        <v>305</v>
      </c>
      <c r="F186" s="65" t="s">
        <v>298</v>
      </c>
      <c r="G186" s="65"/>
      <c r="H186" s="65"/>
      <c r="I186" s="66">
        <v>8929.4160599999996</v>
      </c>
    </row>
    <row r="187" spans="1:9">
      <c r="A187" s="67" t="s">
        <v>295</v>
      </c>
      <c r="B187" s="68">
        <v>2021</v>
      </c>
      <c r="C187" s="68">
        <v>2023</v>
      </c>
      <c r="D187" s="68" t="s">
        <v>314</v>
      </c>
      <c r="E187" s="68" t="s">
        <v>305</v>
      </c>
      <c r="F187" s="68" t="s">
        <v>40</v>
      </c>
      <c r="G187" s="68"/>
      <c r="H187" s="68"/>
      <c r="I187" s="69">
        <v>161002.61481</v>
      </c>
    </row>
    <row r="188" spans="1:9" hidden="1">
      <c r="A188" s="64" t="s">
        <v>295</v>
      </c>
      <c r="B188" s="65">
        <v>2022</v>
      </c>
      <c r="C188" s="65">
        <v>2023</v>
      </c>
      <c r="D188" s="65" t="s">
        <v>296</v>
      </c>
      <c r="E188" s="65" t="s">
        <v>294</v>
      </c>
      <c r="F188" s="65" t="s">
        <v>297</v>
      </c>
      <c r="G188" s="65"/>
      <c r="H188" s="65"/>
      <c r="I188" s="66">
        <v>1164787.9004899999</v>
      </c>
    </row>
    <row r="189" spans="1:9" hidden="1">
      <c r="A189" s="67" t="s">
        <v>295</v>
      </c>
      <c r="B189" s="68">
        <v>2022</v>
      </c>
      <c r="C189" s="68">
        <v>2023</v>
      </c>
      <c r="D189" s="68" t="s">
        <v>296</v>
      </c>
      <c r="E189" s="68" t="s">
        <v>294</v>
      </c>
      <c r="F189" s="68" t="s">
        <v>298</v>
      </c>
      <c r="G189" s="68"/>
      <c r="H189" s="68"/>
      <c r="I189" s="69">
        <v>1054398.0398899999</v>
      </c>
    </row>
    <row r="190" spans="1:9" hidden="1">
      <c r="A190" s="64" t="s">
        <v>295</v>
      </c>
      <c r="B190" s="65">
        <v>2022</v>
      </c>
      <c r="C190" s="65">
        <v>2023</v>
      </c>
      <c r="D190" s="65" t="s">
        <v>296</v>
      </c>
      <c r="E190" s="65" t="s">
        <v>294</v>
      </c>
      <c r="F190" s="65" t="s">
        <v>40</v>
      </c>
      <c r="G190" s="65"/>
      <c r="H190" s="65"/>
      <c r="I190" s="66">
        <v>2558392.0939099998</v>
      </c>
    </row>
    <row r="191" spans="1:9" hidden="1">
      <c r="A191" s="67" t="s">
        <v>295</v>
      </c>
      <c r="B191" s="68">
        <v>2022</v>
      </c>
      <c r="C191" s="68">
        <v>2023</v>
      </c>
      <c r="D191" s="68" t="s">
        <v>296</v>
      </c>
      <c r="E191" s="68" t="s">
        <v>301</v>
      </c>
      <c r="F191" s="68" t="s">
        <v>297</v>
      </c>
      <c r="G191" s="68"/>
      <c r="H191" s="68"/>
      <c r="I191" s="69">
        <v>1503558.2732200001</v>
      </c>
    </row>
    <row r="192" spans="1:9" hidden="1">
      <c r="A192" s="64" t="s">
        <v>295</v>
      </c>
      <c r="B192" s="65">
        <v>2022</v>
      </c>
      <c r="C192" s="65">
        <v>2023</v>
      </c>
      <c r="D192" s="65" t="s">
        <v>296</v>
      </c>
      <c r="E192" s="65" t="s">
        <v>301</v>
      </c>
      <c r="F192" s="65" t="s">
        <v>298</v>
      </c>
      <c r="G192" s="65"/>
      <c r="H192" s="65"/>
      <c r="I192" s="66">
        <v>1073638.6539100001</v>
      </c>
    </row>
    <row r="193" spans="1:9" hidden="1">
      <c r="A193" s="67" t="s">
        <v>295</v>
      </c>
      <c r="B193" s="68">
        <v>2022</v>
      </c>
      <c r="C193" s="68">
        <v>2023</v>
      </c>
      <c r="D193" s="68" t="s">
        <v>296</v>
      </c>
      <c r="E193" s="68" t="s">
        <v>301</v>
      </c>
      <c r="F193" s="68" t="s">
        <v>40</v>
      </c>
      <c r="G193" s="68"/>
      <c r="H193" s="68"/>
      <c r="I193" s="69">
        <v>2589379.3219699999</v>
      </c>
    </row>
    <row r="194" spans="1:9" hidden="1">
      <c r="A194" s="64" t="s">
        <v>295</v>
      </c>
      <c r="B194" s="65">
        <v>2022</v>
      </c>
      <c r="C194" s="65">
        <v>2023</v>
      </c>
      <c r="D194" s="65" t="s">
        <v>296</v>
      </c>
      <c r="E194" s="65" t="s">
        <v>305</v>
      </c>
      <c r="F194" s="65" t="s">
        <v>297</v>
      </c>
      <c r="G194" s="65"/>
      <c r="H194" s="65"/>
      <c r="I194" s="66">
        <v>10222.746880000001</v>
      </c>
    </row>
    <row r="195" spans="1:9" hidden="1">
      <c r="A195" s="67" t="s">
        <v>295</v>
      </c>
      <c r="B195" s="68">
        <v>2022</v>
      </c>
      <c r="C195" s="68">
        <v>2023</v>
      </c>
      <c r="D195" s="68" t="s">
        <v>296</v>
      </c>
      <c r="E195" s="68" t="s">
        <v>305</v>
      </c>
      <c r="F195" s="68" t="s">
        <v>298</v>
      </c>
      <c r="G195" s="68"/>
      <c r="H195" s="68"/>
      <c r="I195" s="69">
        <v>8238.6406999999999</v>
      </c>
    </row>
    <row r="196" spans="1:9" hidden="1">
      <c r="A196" s="64" t="s">
        <v>295</v>
      </c>
      <c r="B196" s="65">
        <v>2022</v>
      </c>
      <c r="C196" s="65">
        <v>2023</v>
      </c>
      <c r="D196" s="65" t="s">
        <v>296</v>
      </c>
      <c r="E196" s="65" t="s">
        <v>305</v>
      </c>
      <c r="F196" s="65" t="s">
        <v>40</v>
      </c>
      <c r="G196" s="65"/>
      <c r="H196" s="65"/>
      <c r="I196" s="66">
        <v>130870.99726</v>
      </c>
    </row>
    <row r="197" spans="1:9" hidden="1">
      <c r="A197" s="67" t="s">
        <v>295</v>
      </c>
      <c r="B197" s="68">
        <v>2022</v>
      </c>
      <c r="C197" s="68">
        <v>2023</v>
      </c>
      <c r="D197" s="68" t="s">
        <v>309</v>
      </c>
      <c r="E197" s="68" t="s">
        <v>294</v>
      </c>
      <c r="F197" s="68" t="s">
        <v>297</v>
      </c>
      <c r="G197" s="68"/>
      <c r="H197" s="68"/>
      <c r="I197" s="69">
        <v>67356.699399999998</v>
      </c>
    </row>
    <row r="198" spans="1:9" hidden="1">
      <c r="A198" s="64" t="s">
        <v>295</v>
      </c>
      <c r="B198" s="65">
        <v>2022</v>
      </c>
      <c r="C198" s="65">
        <v>2023</v>
      </c>
      <c r="D198" s="65" t="s">
        <v>309</v>
      </c>
      <c r="E198" s="65" t="s">
        <v>294</v>
      </c>
      <c r="F198" s="65" t="s">
        <v>298</v>
      </c>
      <c r="G198" s="65"/>
      <c r="H198" s="65"/>
      <c r="I198" s="66">
        <v>737225.75812999997</v>
      </c>
    </row>
    <row r="199" spans="1:9" hidden="1">
      <c r="A199" s="67" t="s">
        <v>295</v>
      </c>
      <c r="B199" s="68">
        <v>2022</v>
      </c>
      <c r="C199" s="68">
        <v>2023</v>
      </c>
      <c r="D199" s="68" t="s">
        <v>309</v>
      </c>
      <c r="E199" s="68" t="s">
        <v>294</v>
      </c>
      <c r="F199" s="68" t="s">
        <v>40</v>
      </c>
      <c r="G199" s="68"/>
      <c r="H199" s="68"/>
      <c r="I199" s="69">
        <v>804582.55802999996</v>
      </c>
    </row>
    <row r="200" spans="1:9" hidden="1">
      <c r="A200" s="64" t="s">
        <v>295</v>
      </c>
      <c r="B200" s="65">
        <v>2022</v>
      </c>
      <c r="C200" s="65">
        <v>2023</v>
      </c>
      <c r="D200" s="65" t="s">
        <v>309</v>
      </c>
      <c r="E200" s="65" t="s">
        <v>301</v>
      </c>
      <c r="F200" s="65" t="s">
        <v>297</v>
      </c>
      <c r="G200" s="65"/>
      <c r="H200" s="65"/>
      <c r="I200" s="66">
        <v>67228.265249999997</v>
      </c>
    </row>
    <row r="201" spans="1:9" hidden="1">
      <c r="A201" s="67" t="s">
        <v>295</v>
      </c>
      <c r="B201" s="68">
        <v>2022</v>
      </c>
      <c r="C201" s="68">
        <v>2023</v>
      </c>
      <c r="D201" s="68" t="s">
        <v>309</v>
      </c>
      <c r="E201" s="68" t="s">
        <v>301</v>
      </c>
      <c r="F201" s="68" t="s">
        <v>298</v>
      </c>
      <c r="G201" s="68"/>
      <c r="H201" s="68"/>
      <c r="I201" s="69">
        <v>752448.26732999994</v>
      </c>
    </row>
    <row r="202" spans="1:9" hidden="1">
      <c r="A202" s="64" t="s">
        <v>295</v>
      </c>
      <c r="B202" s="65">
        <v>2022</v>
      </c>
      <c r="C202" s="65">
        <v>2023</v>
      </c>
      <c r="D202" s="65" t="s">
        <v>309</v>
      </c>
      <c r="E202" s="65" t="s">
        <v>301</v>
      </c>
      <c r="F202" s="65" t="s">
        <v>40</v>
      </c>
      <c r="G202" s="65"/>
      <c r="H202" s="65"/>
      <c r="I202" s="66">
        <v>819676.57311</v>
      </c>
    </row>
    <row r="203" spans="1:9" hidden="1">
      <c r="A203" s="67" t="s">
        <v>295</v>
      </c>
      <c r="B203" s="68">
        <v>2022</v>
      </c>
      <c r="C203" s="68">
        <v>2023</v>
      </c>
      <c r="D203" s="68" t="s">
        <v>309</v>
      </c>
      <c r="E203" s="68" t="s">
        <v>305</v>
      </c>
      <c r="F203" s="68" t="s">
        <v>297</v>
      </c>
      <c r="G203" s="68"/>
      <c r="H203" s="68"/>
      <c r="I203" s="69">
        <v>142.40662</v>
      </c>
    </row>
    <row r="204" spans="1:9" hidden="1">
      <c r="A204" s="64" t="s">
        <v>295</v>
      </c>
      <c r="B204" s="65">
        <v>2022</v>
      </c>
      <c r="C204" s="65">
        <v>2023</v>
      </c>
      <c r="D204" s="65" t="s">
        <v>309</v>
      </c>
      <c r="E204" s="65" t="s">
        <v>305</v>
      </c>
      <c r="F204" s="65" t="s">
        <v>298</v>
      </c>
      <c r="G204" s="65"/>
      <c r="H204" s="65"/>
      <c r="I204" s="66">
        <v>6872.6406999999999</v>
      </c>
    </row>
    <row r="205" spans="1:9" hidden="1">
      <c r="A205" s="67" t="s">
        <v>295</v>
      </c>
      <c r="B205" s="68">
        <v>2022</v>
      </c>
      <c r="C205" s="68">
        <v>2023</v>
      </c>
      <c r="D205" s="68" t="s">
        <v>309</v>
      </c>
      <c r="E205" s="68" t="s">
        <v>305</v>
      </c>
      <c r="F205" s="68" t="s">
        <v>40</v>
      </c>
      <c r="G205" s="68"/>
      <c r="H205" s="68"/>
      <c r="I205" s="69">
        <v>47988.547319999998</v>
      </c>
    </row>
    <row r="206" spans="1:9" hidden="1">
      <c r="A206" s="64" t="s">
        <v>295</v>
      </c>
      <c r="B206" s="65">
        <v>2022</v>
      </c>
      <c r="C206" s="65">
        <v>2023</v>
      </c>
      <c r="D206" s="65" t="s">
        <v>315</v>
      </c>
      <c r="E206" s="65" t="s">
        <v>294</v>
      </c>
      <c r="F206" s="65" t="s">
        <v>297</v>
      </c>
      <c r="G206" s="65"/>
      <c r="H206" s="65"/>
      <c r="I206" s="66">
        <v>117387.7675</v>
      </c>
    </row>
    <row r="207" spans="1:9" hidden="1">
      <c r="A207" s="67" t="s">
        <v>295</v>
      </c>
      <c r="B207" s="68">
        <v>2022</v>
      </c>
      <c r="C207" s="68">
        <v>2023</v>
      </c>
      <c r="D207" s="68" t="s">
        <v>315</v>
      </c>
      <c r="E207" s="68" t="s">
        <v>294</v>
      </c>
      <c r="F207" s="68" t="s">
        <v>298</v>
      </c>
      <c r="G207" s="68"/>
      <c r="H207" s="68"/>
      <c r="I207" s="69">
        <v>298737.04496000003</v>
      </c>
    </row>
    <row r="208" spans="1:9" hidden="1">
      <c r="A208" s="64" t="s">
        <v>295</v>
      </c>
      <c r="B208" s="65">
        <v>2022</v>
      </c>
      <c r="C208" s="65">
        <v>2023</v>
      </c>
      <c r="D208" s="65" t="s">
        <v>315</v>
      </c>
      <c r="E208" s="65" t="s">
        <v>294</v>
      </c>
      <c r="F208" s="65" t="s">
        <v>40</v>
      </c>
      <c r="G208" s="65"/>
      <c r="H208" s="65"/>
      <c r="I208" s="66">
        <v>416124.71136999998</v>
      </c>
    </row>
    <row r="209" spans="1:9" hidden="1">
      <c r="A209" s="67" t="s">
        <v>295</v>
      </c>
      <c r="B209" s="68">
        <v>2022</v>
      </c>
      <c r="C209" s="68">
        <v>2023</v>
      </c>
      <c r="D209" s="68" t="s">
        <v>315</v>
      </c>
      <c r="E209" s="68" t="s">
        <v>301</v>
      </c>
      <c r="F209" s="68" t="s">
        <v>297</v>
      </c>
      <c r="G209" s="68"/>
      <c r="H209" s="68"/>
      <c r="I209" s="69">
        <v>118054.48934</v>
      </c>
    </row>
    <row r="210" spans="1:9" hidden="1">
      <c r="A210" s="64" t="s">
        <v>295</v>
      </c>
      <c r="B210" s="65">
        <v>2022</v>
      </c>
      <c r="C210" s="65">
        <v>2023</v>
      </c>
      <c r="D210" s="65" t="s">
        <v>315</v>
      </c>
      <c r="E210" s="65" t="s">
        <v>301</v>
      </c>
      <c r="F210" s="65" t="s">
        <v>298</v>
      </c>
      <c r="G210" s="65"/>
      <c r="H210" s="65"/>
      <c r="I210" s="66">
        <v>302594.90087999997</v>
      </c>
    </row>
    <row r="211" spans="1:9" hidden="1">
      <c r="A211" s="67" t="s">
        <v>295</v>
      </c>
      <c r="B211" s="68">
        <v>2022</v>
      </c>
      <c r="C211" s="68">
        <v>2023</v>
      </c>
      <c r="D211" s="68" t="s">
        <v>315</v>
      </c>
      <c r="E211" s="68" t="s">
        <v>301</v>
      </c>
      <c r="F211" s="68" t="s">
        <v>40</v>
      </c>
      <c r="G211" s="68"/>
      <c r="H211" s="68"/>
      <c r="I211" s="69">
        <v>420649.18910999998</v>
      </c>
    </row>
    <row r="212" spans="1:9" hidden="1">
      <c r="A212" s="64" t="s">
        <v>295</v>
      </c>
      <c r="B212" s="65">
        <v>2022</v>
      </c>
      <c r="C212" s="65">
        <v>2023</v>
      </c>
      <c r="D212" s="65" t="s">
        <v>315</v>
      </c>
      <c r="E212" s="65" t="s">
        <v>305</v>
      </c>
      <c r="F212" s="65" t="s">
        <v>297</v>
      </c>
      <c r="G212" s="65"/>
      <c r="H212" s="65"/>
      <c r="I212" s="66">
        <v>936.23984000000007</v>
      </c>
    </row>
    <row r="213" spans="1:9" hidden="1">
      <c r="A213" s="67" t="s">
        <v>295</v>
      </c>
      <c r="B213" s="68">
        <v>2022</v>
      </c>
      <c r="C213" s="68">
        <v>2023</v>
      </c>
      <c r="D213" s="68" t="s">
        <v>315</v>
      </c>
      <c r="E213" s="68" t="s">
        <v>305</v>
      </c>
      <c r="F213" s="68" t="s">
        <v>298</v>
      </c>
      <c r="G213" s="68"/>
      <c r="H213" s="68"/>
      <c r="I213" s="69">
        <v>1296.0999999999999</v>
      </c>
    </row>
    <row r="214" spans="1:9" hidden="1">
      <c r="A214" s="64" t="s">
        <v>295</v>
      </c>
      <c r="B214" s="65">
        <v>2022</v>
      </c>
      <c r="C214" s="65">
        <v>2023</v>
      </c>
      <c r="D214" s="65" t="s">
        <v>315</v>
      </c>
      <c r="E214" s="65" t="s">
        <v>305</v>
      </c>
      <c r="F214" s="65" t="s">
        <v>40</v>
      </c>
      <c r="G214" s="65"/>
      <c r="H214" s="65"/>
      <c r="I214" s="66">
        <v>18259.039840000001</v>
      </c>
    </row>
    <row r="215" spans="1:9" hidden="1">
      <c r="A215" s="67" t="s">
        <v>295</v>
      </c>
      <c r="B215" s="68">
        <v>2022</v>
      </c>
      <c r="C215" s="68">
        <v>2023</v>
      </c>
      <c r="D215" s="68" t="s">
        <v>316</v>
      </c>
      <c r="E215" s="68" t="s">
        <v>294</v>
      </c>
      <c r="F215" s="68" t="s">
        <v>297</v>
      </c>
      <c r="G215" s="68"/>
      <c r="H215" s="68"/>
      <c r="I215" s="69">
        <v>750903.09475666669</v>
      </c>
    </row>
    <row r="216" spans="1:9" hidden="1">
      <c r="A216" s="64" t="s">
        <v>295</v>
      </c>
      <c r="B216" s="65">
        <v>2022</v>
      </c>
      <c r="C216" s="65">
        <v>2023</v>
      </c>
      <c r="D216" s="65" t="s">
        <v>316</v>
      </c>
      <c r="E216" s="65" t="s">
        <v>294</v>
      </c>
      <c r="F216" s="65" t="s">
        <v>298</v>
      </c>
      <c r="G216" s="65"/>
      <c r="H216" s="65"/>
      <c r="I216" s="66">
        <v>3613.54504</v>
      </c>
    </row>
    <row r="217" spans="1:9" hidden="1">
      <c r="A217" s="67" t="s">
        <v>295</v>
      </c>
      <c r="B217" s="68">
        <v>2022</v>
      </c>
      <c r="C217" s="68">
        <v>2023</v>
      </c>
      <c r="D217" s="68" t="s">
        <v>316</v>
      </c>
      <c r="E217" s="68" t="s">
        <v>294</v>
      </c>
      <c r="F217" s="68" t="s">
        <v>40</v>
      </c>
      <c r="G217" s="68"/>
      <c r="H217" s="68"/>
      <c r="I217" s="69">
        <v>766430.20919000008</v>
      </c>
    </row>
    <row r="218" spans="1:9" hidden="1">
      <c r="A218" s="64" t="s">
        <v>295</v>
      </c>
      <c r="B218" s="65">
        <v>2022</v>
      </c>
      <c r="C218" s="65">
        <v>2023</v>
      </c>
      <c r="D218" s="65" t="s">
        <v>316</v>
      </c>
      <c r="E218" s="65" t="s">
        <v>301</v>
      </c>
      <c r="F218" s="65" t="s">
        <v>297</v>
      </c>
      <c r="G218" s="65"/>
      <c r="H218" s="65"/>
      <c r="I218" s="66">
        <v>755671.49275666662</v>
      </c>
    </row>
    <row r="219" spans="1:9" hidden="1">
      <c r="A219" s="67" t="s">
        <v>295</v>
      </c>
      <c r="B219" s="68">
        <v>2022</v>
      </c>
      <c r="C219" s="68">
        <v>2023</v>
      </c>
      <c r="D219" s="68" t="s">
        <v>316</v>
      </c>
      <c r="E219" s="68" t="s">
        <v>301</v>
      </c>
      <c r="F219" s="68" t="s">
        <v>298</v>
      </c>
      <c r="G219" s="68"/>
      <c r="H219" s="68"/>
      <c r="I219" s="69">
        <v>3613.54504</v>
      </c>
    </row>
    <row r="220" spans="1:9" hidden="1">
      <c r="A220" s="64" t="s">
        <v>295</v>
      </c>
      <c r="B220" s="65">
        <v>2022</v>
      </c>
      <c r="C220" s="65">
        <v>2023</v>
      </c>
      <c r="D220" s="65" t="s">
        <v>316</v>
      </c>
      <c r="E220" s="65" t="s">
        <v>301</v>
      </c>
      <c r="F220" s="65" t="s">
        <v>40</v>
      </c>
      <c r="G220" s="65"/>
      <c r="H220" s="65"/>
      <c r="I220" s="66">
        <v>771467.30718999996</v>
      </c>
    </row>
    <row r="221" spans="1:9" hidden="1">
      <c r="A221" s="67" t="s">
        <v>295</v>
      </c>
      <c r="B221" s="68">
        <v>2022</v>
      </c>
      <c r="C221" s="68">
        <v>2023</v>
      </c>
      <c r="D221" s="68" t="s">
        <v>316</v>
      </c>
      <c r="E221" s="68" t="s">
        <v>305</v>
      </c>
      <c r="F221" s="68" t="s">
        <v>297</v>
      </c>
      <c r="G221" s="68"/>
      <c r="H221" s="68"/>
      <c r="I221" s="69">
        <v>7091.4844699999994</v>
      </c>
    </row>
    <row r="222" spans="1:9" hidden="1">
      <c r="A222" s="64" t="s">
        <v>295</v>
      </c>
      <c r="B222" s="65">
        <v>2022</v>
      </c>
      <c r="C222" s="65">
        <v>2023</v>
      </c>
      <c r="D222" s="65" t="s">
        <v>316</v>
      </c>
      <c r="E222" s="65" t="s">
        <v>305</v>
      </c>
      <c r="F222" s="65" t="s">
        <v>298</v>
      </c>
      <c r="G222" s="65"/>
      <c r="H222" s="65"/>
      <c r="I222" s="66">
        <v>0</v>
      </c>
    </row>
    <row r="223" spans="1:9" hidden="1">
      <c r="A223" s="67" t="s">
        <v>295</v>
      </c>
      <c r="B223" s="68">
        <v>2022</v>
      </c>
      <c r="C223" s="68">
        <v>2023</v>
      </c>
      <c r="D223" s="68" t="s">
        <v>316</v>
      </c>
      <c r="E223" s="68" t="s">
        <v>305</v>
      </c>
      <c r="F223" s="68" t="s">
        <v>40</v>
      </c>
      <c r="G223" s="68"/>
      <c r="H223" s="68"/>
      <c r="I223" s="69">
        <v>28653.89414</v>
      </c>
    </row>
    <row r="224" spans="1:9" hidden="1">
      <c r="A224" s="64" t="s">
        <v>295</v>
      </c>
      <c r="B224" s="65">
        <v>2022</v>
      </c>
      <c r="C224" s="65">
        <v>2023</v>
      </c>
      <c r="D224" s="65" t="s">
        <v>317</v>
      </c>
      <c r="E224" s="65" t="s">
        <v>294</v>
      </c>
      <c r="F224" s="65" t="s">
        <v>297</v>
      </c>
      <c r="G224" s="65"/>
      <c r="H224" s="65"/>
      <c r="I224" s="66">
        <v>108.27762</v>
      </c>
    </row>
    <row r="225" spans="1:9" hidden="1">
      <c r="A225" s="67" t="s">
        <v>295</v>
      </c>
      <c r="B225" s="68">
        <v>2022</v>
      </c>
      <c r="C225" s="68">
        <v>2023</v>
      </c>
      <c r="D225" s="68" t="s">
        <v>317</v>
      </c>
      <c r="E225" s="68" t="s">
        <v>294</v>
      </c>
      <c r="F225" s="68" t="s">
        <v>40</v>
      </c>
      <c r="G225" s="68"/>
      <c r="H225" s="68"/>
      <c r="I225" s="69">
        <v>12021.851710000001</v>
      </c>
    </row>
    <row r="226" spans="1:9" hidden="1">
      <c r="A226" s="64" t="s">
        <v>295</v>
      </c>
      <c r="B226" s="65">
        <v>2022</v>
      </c>
      <c r="C226" s="65">
        <v>2023</v>
      </c>
      <c r="D226" s="65" t="s">
        <v>317</v>
      </c>
      <c r="E226" s="65" t="s">
        <v>301</v>
      </c>
      <c r="F226" s="65" t="s">
        <v>297</v>
      </c>
      <c r="G226" s="65"/>
      <c r="H226" s="65"/>
      <c r="I226" s="66">
        <v>110.267574</v>
      </c>
    </row>
    <row r="227" spans="1:9" hidden="1">
      <c r="A227" s="67" t="s">
        <v>295</v>
      </c>
      <c r="B227" s="68">
        <v>2022</v>
      </c>
      <c r="C227" s="68">
        <v>2023</v>
      </c>
      <c r="D227" s="68" t="s">
        <v>317</v>
      </c>
      <c r="E227" s="68" t="s">
        <v>301</v>
      </c>
      <c r="F227" s="68" t="s">
        <v>40</v>
      </c>
      <c r="G227" s="68"/>
      <c r="H227" s="68"/>
      <c r="I227" s="69">
        <v>12292.65171</v>
      </c>
    </row>
    <row r="228" spans="1:9" hidden="1">
      <c r="A228" s="64" t="s">
        <v>295</v>
      </c>
      <c r="B228" s="65">
        <v>2022</v>
      </c>
      <c r="C228" s="65">
        <v>2023</v>
      </c>
      <c r="D228" s="65" t="s">
        <v>317</v>
      </c>
      <c r="E228" s="65" t="s">
        <v>305</v>
      </c>
      <c r="F228" s="65" t="s">
        <v>297</v>
      </c>
      <c r="G228" s="65"/>
      <c r="H228" s="65"/>
      <c r="I228" s="66">
        <v>1.1849999999999999E-2</v>
      </c>
    </row>
    <row r="229" spans="1:9" hidden="1">
      <c r="A229" s="67" t="s">
        <v>295</v>
      </c>
      <c r="B229" s="68">
        <v>2022</v>
      </c>
      <c r="C229" s="68">
        <v>2023</v>
      </c>
      <c r="D229" s="68" t="s">
        <v>317</v>
      </c>
      <c r="E229" s="68" t="s">
        <v>305</v>
      </c>
      <c r="F229" s="68" t="s">
        <v>40</v>
      </c>
      <c r="G229" s="68"/>
      <c r="H229" s="68"/>
      <c r="I229" s="69">
        <v>308.32153</v>
      </c>
    </row>
    <row r="230" spans="1:9" hidden="1">
      <c r="A230" s="64" t="s">
        <v>295</v>
      </c>
      <c r="B230" s="65">
        <v>2022</v>
      </c>
      <c r="C230" s="65">
        <v>2023</v>
      </c>
      <c r="D230" s="65" t="s">
        <v>318</v>
      </c>
      <c r="E230" s="65" t="s">
        <v>294</v>
      </c>
      <c r="F230" s="65" t="s">
        <v>297</v>
      </c>
      <c r="G230" s="65"/>
      <c r="H230" s="65"/>
      <c r="I230" s="66">
        <v>728934.16584999999</v>
      </c>
    </row>
    <row r="231" spans="1:9" hidden="1">
      <c r="A231" s="67" t="s">
        <v>295</v>
      </c>
      <c r="B231" s="68">
        <v>2022</v>
      </c>
      <c r="C231" s="68">
        <v>2023</v>
      </c>
      <c r="D231" s="68" t="s">
        <v>318</v>
      </c>
      <c r="E231" s="68" t="s">
        <v>294</v>
      </c>
      <c r="F231" s="68" t="s">
        <v>298</v>
      </c>
      <c r="G231" s="68"/>
      <c r="H231" s="68"/>
      <c r="I231" s="69">
        <v>0</v>
      </c>
    </row>
    <row r="232" spans="1:9" hidden="1">
      <c r="A232" s="64" t="s">
        <v>295</v>
      </c>
      <c r="B232" s="65">
        <v>2022</v>
      </c>
      <c r="C232" s="65">
        <v>2023</v>
      </c>
      <c r="D232" s="65" t="s">
        <v>318</v>
      </c>
      <c r="E232" s="65" t="s">
        <v>294</v>
      </c>
      <c r="F232" s="65" t="s">
        <v>40</v>
      </c>
      <c r="G232" s="65"/>
      <c r="H232" s="65"/>
      <c r="I232" s="66">
        <v>729089.95438000001</v>
      </c>
    </row>
    <row r="233" spans="1:9" hidden="1">
      <c r="A233" s="67" t="s">
        <v>295</v>
      </c>
      <c r="B233" s="68">
        <v>2022</v>
      </c>
      <c r="C233" s="68">
        <v>2023</v>
      </c>
      <c r="D233" s="68" t="s">
        <v>318</v>
      </c>
      <c r="E233" s="68" t="s">
        <v>301</v>
      </c>
      <c r="F233" s="68" t="s">
        <v>297</v>
      </c>
      <c r="G233" s="68"/>
      <c r="H233" s="68"/>
      <c r="I233" s="69">
        <v>733599.88171999995</v>
      </c>
    </row>
    <row r="234" spans="1:9" hidden="1">
      <c r="A234" s="64" t="s">
        <v>295</v>
      </c>
      <c r="B234" s="65">
        <v>2022</v>
      </c>
      <c r="C234" s="65">
        <v>2023</v>
      </c>
      <c r="D234" s="65" t="s">
        <v>318</v>
      </c>
      <c r="E234" s="65" t="s">
        <v>301</v>
      </c>
      <c r="F234" s="65" t="s">
        <v>298</v>
      </c>
      <c r="G234" s="65"/>
      <c r="H234" s="65"/>
      <c r="I234" s="66">
        <v>0</v>
      </c>
    </row>
    <row r="235" spans="1:9" hidden="1">
      <c r="A235" s="67" t="s">
        <v>295</v>
      </c>
      <c r="B235" s="68">
        <v>2022</v>
      </c>
      <c r="C235" s="68">
        <v>2023</v>
      </c>
      <c r="D235" s="68" t="s">
        <v>318</v>
      </c>
      <c r="E235" s="68" t="s">
        <v>301</v>
      </c>
      <c r="F235" s="68" t="s">
        <v>40</v>
      </c>
      <c r="G235" s="68"/>
      <c r="H235" s="68"/>
      <c r="I235" s="69">
        <v>733755.67024999997</v>
      </c>
    </row>
    <row r="236" spans="1:9" hidden="1">
      <c r="A236" s="64" t="s">
        <v>295</v>
      </c>
      <c r="B236" s="65">
        <v>2022</v>
      </c>
      <c r="C236" s="65">
        <v>2023</v>
      </c>
      <c r="D236" s="65" t="s">
        <v>318</v>
      </c>
      <c r="E236" s="65" t="s">
        <v>305</v>
      </c>
      <c r="F236" s="65" t="s">
        <v>297</v>
      </c>
      <c r="G236" s="65"/>
      <c r="H236" s="65"/>
      <c r="I236" s="66">
        <v>7005.2677100000001</v>
      </c>
    </row>
    <row r="237" spans="1:9" hidden="1">
      <c r="A237" s="67" t="s">
        <v>295</v>
      </c>
      <c r="B237" s="68">
        <v>2022</v>
      </c>
      <c r="C237" s="68">
        <v>2023</v>
      </c>
      <c r="D237" s="68" t="s">
        <v>318</v>
      </c>
      <c r="E237" s="68" t="s">
        <v>305</v>
      </c>
      <c r="F237" s="68" t="s">
        <v>40</v>
      </c>
      <c r="G237" s="68"/>
      <c r="H237" s="68"/>
      <c r="I237" s="69">
        <v>27353.76771</v>
      </c>
    </row>
    <row r="238" spans="1:9" hidden="1">
      <c r="A238" s="64" t="s">
        <v>295</v>
      </c>
      <c r="B238" s="65">
        <v>2022</v>
      </c>
      <c r="C238" s="65">
        <v>2023</v>
      </c>
      <c r="D238" s="65" t="s">
        <v>320</v>
      </c>
      <c r="E238" s="65" t="s">
        <v>294</v>
      </c>
      <c r="F238" s="65" t="s">
        <v>297</v>
      </c>
      <c r="G238" s="65"/>
      <c r="H238" s="65"/>
      <c r="I238" s="66">
        <v>3684.5335399999999</v>
      </c>
    </row>
    <row r="239" spans="1:9" hidden="1">
      <c r="A239" s="67" t="s">
        <v>295</v>
      </c>
      <c r="B239" s="68">
        <v>2022</v>
      </c>
      <c r="C239" s="68">
        <v>2023</v>
      </c>
      <c r="D239" s="68" t="s">
        <v>320</v>
      </c>
      <c r="E239" s="68" t="s">
        <v>294</v>
      </c>
      <c r="F239" s="68" t="s">
        <v>298</v>
      </c>
      <c r="G239" s="68"/>
      <c r="H239" s="68"/>
      <c r="I239" s="69">
        <v>0</v>
      </c>
    </row>
    <row r="240" spans="1:9" hidden="1">
      <c r="A240" s="64" t="s">
        <v>295</v>
      </c>
      <c r="B240" s="65">
        <v>2022</v>
      </c>
      <c r="C240" s="65">
        <v>2023</v>
      </c>
      <c r="D240" s="65" t="s">
        <v>320</v>
      </c>
      <c r="E240" s="65" t="s">
        <v>294</v>
      </c>
      <c r="F240" s="65" t="s">
        <v>40</v>
      </c>
      <c r="G240" s="65"/>
      <c r="H240" s="65"/>
      <c r="I240" s="66">
        <v>3684.5323800000001</v>
      </c>
    </row>
    <row r="241" spans="1:9" hidden="1">
      <c r="A241" s="67" t="s">
        <v>295</v>
      </c>
      <c r="B241" s="68">
        <v>2022</v>
      </c>
      <c r="C241" s="68">
        <v>2023</v>
      </c>
      <c r="D241" s="68" t="s">
        <v>320</v>
      </c>
      <c r="E241" s="68" t="s">
        <v>301</v>
      </c>
      <c r="F241" s="68" t="s">
        <v>297</v>
      </c>
      <c r="G241" s="68"/>
      <c r="H241" s="68"/>
      <c r="I241" s="69">
        <v>3811.5917899999999</v>
      </c>
    </row>
    <row r="242" spans="1:9" hidden="1">
      <c r="A242" s="64" t="s">
        <v>295</v>
      </c>
      <c r="B242" s="65">
        <v>2022</v>
      </c>
      <c r="C242" s="65">
        <v>2023</v>
      </c>
      <c r="D242" s="65" t="s">
        <v>320</v>
      </c>
      <c r="E242" s="65" t="s">
        <v>301</v>
      </c>
      <c r="F242" s="65" t="s">
        <v>298</v>
      </c>
      <c r="G242" s="65"/>
      <c r="H242" s="65"/>
      <c r="I242" s="66">
        <v>0</v>
      </c>
    </row>
    <row r="243" spans="1:9" hidden="1">
      <c r="A243" s="67" t="s">
        <v>295</v>
      </c>
      <c r="B243" s="68">
        <v>2022</v>
      </c>
      <c r="C243" s="68">
        <v>2023</v>
      </c>
      <c r="D243" s="68" t="s">
        <v>320</v>
      </c>
      <c r="E243" s="68" t="s">
        <v>301</v>
      </c>
      <c r="F243" s="68" t="s">
        <v>40</v>
      </c>
      <c r="G243" s="68"/>
      <c r="H243" s="68"/>
      <c r="I243" s="69">
        <v>3811.5906300000001</v>
      </c>
    </row>
    <row r="244" spans="1:9" hidden="1">
      <c r="A244" s="64" t="s">
        <v>295</v>
      </c>
      <c r="B244" s="65">
        <v>2022</v>
      </c>
      <c r="C244" s="65">
        <v>2023</v>
      </c>
      <c r="D244" s="65" t="s">
        <v>320</v>
      </c>
      <c r="E244" s="65" t="s">
        <v>305</v>
      </c>
      <c r="F244" s="65" t="s">
        <v>297</v>
      </c>
      <c r="G244" s="65"/>
      <c r="H244" s="65"/>
      <c r="I244" s="66">
        <v>33.200000000000003</v>
      </c>
    </row>
    <row r="245" spans="1:9" hidden="1">
      <c r="A245" s="67" t="s">
        <v>295</v>
      </c>
      <c r="B245" s="68">
        <v>2022</v>
      </c>
      <c r="C245" s="68">
        <v>2023</v>
      </c>
      <c r="D245" s="68" t="s">
        <v>320</v>
      </c>
      <c r="E245" s="68" t="s">
        <v>305</v>
      </c>
      <c r="F245" s="68" t="s">
        <v>40</v>
      </c>
      <c r="G245" s="68"/>
      <c r="H245" s="68"/>
      <c r="I245" s="69">
        <v>547.20000000000005</v>
      </c>
    </row>
    <row r="246" spans="1:9" hidden="1">
      <c r="A246" s="64" t="s">
        <v>295</v>
      </c>
      <c r="B246" s="65">
        <v>2022</v>
      </c>
      <c r="C246" s="65">
        <v>2023</v>
      </c>
      <c r="D246" s="65" t="s">
        <v>321</v>
      </c>
      <c r="E246" s="65" t="s">
        <v>294</v>
      </c>
      <c r="F246" s="65" t="s">
        <v>297</v>
      </c>
      <c r="G246" s="65"/>
      <c r="H246" s="65"/>
      <c r="I246" s="66">
        <v>16644.299719999999</v>
      </c>
    </row>
    <row r="247" spans="1:9" hidden="1">
      <c r="A247" s="67" t="s">
        <v>295</v>
      </c>
      <c r="B247" s="68">
        <v>2022</v>
      </c>
      <c r="C247" s="68">
        <v>2023</v>
      </c>
      <c r="D247" s="68" t="s">
        <v>321</v>
      </c>
      <c r="E247" s="68" t="s">
        <v>294</v>
      </c>
      <c r="F247" s="68" t="s">
        <v>298</v>
      </c>
      <c r="G247" s="68"/>
      <c r="H247" s="68"/>
      <c r="I247" s="69">
        <v>0</v>
      </c>
    </row>
    <row r="248" spans="1:9" hidden="1">
      <c r="A248" s="64" t="s">
        <v>295</v>
      </c>
      <c r="B248" s="65">
        <v>2022</v>
      </c>
      <c r="C248" s="65">
        <v>2023</v>
      </c>
      <c r="D248" s="65" t="s">
        <v>321</v>
      </c>
      <c r="E248" s="65" t="s">
        <v>294</v>
      </c>
      <c r="F248" s="65" t="s">
        <v>40</v>
      </c>
      <c r="G248" s="65"/>
      <c r="H248" s="65"/>
      <c r="I248" s="66">
        <v>16644.300810000001</v>
      </c>
    </row>
    <row r="249" spans="1:9" hidden="1">
      <c r="A249" s="67" t="s">
        <v>295</v>
      </c>
      <c r="B249" s="68">
        <v>2022</v>
      </c>
      <c r="C249" s="68">
        <v>2023</v>
      </c>
      <c r="D249" s="68" t="s">
        <v>321</v>
      </c>
      <c r="E249" s="68" t="s">
        <v>301</v>
      </c>
      <c r="F249" s="68" t="s">
        <v>297</v>
      </c>
      <c r="G249" s="68"/>
      <c r="H249" s="68"/>
      <c r="I249" s="69">
        <v>16580.78443</v>
      </c>
    </row>
    <row r="250" spans="1:9" hidden="1">
      <c r="A250" s="64" t="s">
        <v>295</v>
      </c>
      <c r="B250" s="65">
        <v>2022</v>
      </c>
      <c r="C250" s="65">
        <v>2023</v>
      </c>
      <c r="D250" s="65" t="s">
        <v>321</v>
      </c>
      <c r="E250" s="65" t="s">
        <v>301</v>
      </c>
      <c r="F250" s="65" t="s">
        <v>298</v>
      </c>
      <c r="G250" s="65"/>
      <c r="H250" s="65"/>
      <c r="I250" s="66">
        <v>0</v>
      </c>
    </row>
    <row r="251" spans="1:9" hidden="1">
      <c r="A251" s="67" t="s">
        <v>295</v>
      </c>
      <c r="B251" s="68">
        <v>2022</v>
      </c>
      <c r="C251" s="68">
        <v>2023</v>
      </c>
      <c r="D251" s="68" t="s">
        <v>321</v>
      </c>
      <c r="E251" s="68" t="s">
        <v>301</v>
      </c>
      <c r="F251" s="68" t="s">
        <v>40</v>
      </c>
      <c r="G251" s="68"/>
      <c r="H251" s="68"/>
      <c r="I251" s="69">
        <v>16580.785520000001</v>
      </c>
    </row>
    <row r="252" spans="1:9" hidden="1">
      <c r="A252" s="64" t="s">
        <v>295</v>
      </c>
      <c r="B252" s="65">
        <v>2022</v>
      </c>
      <c r="C252" s="65">
        <v>2023</v>
      </c>
      <c r="D252" s="65" t="s">
        <v>321</v>
      </c>
      <c r="E252" s="65" t="s">
        <v>305</v>
      </c>
      <c r="F252" s="65" t="s">
        <v>297</v>
      </c>
      <c r="G252" s="65"/>
      <c r="H252" s="65"/>
      <c r="I252" s="66">
        <v>45.704909999999998</v>
      </c>
    </row>
    <row r="253" spans="1:9" hidden="1">
      <c r="A253" s="67" t="s">
        <v>295</v>
      </c>
      <c r="B253" s="68">
        <v>2022</v>
      </c>
      <c r="C253" s="68">
        <v>2023</v>
      </c>
      <c r="D253" s="68" t="s">
        <v>321</v>
      </c>
      <c r="E253" s="68" t="s">
        <v>305</v>
      </c>
      <c r="F253" s="68" t="s">
        <v>40</v>
      </c>
      <c r="G253" s="68"/>
      <c r="H253" s="68"/>
      <c r="I253" s="69">
        <v>254.00491</v>
      </c>
    </row>
    <row r="254" spans="1:9" hidden="1">
      <c r="A254" s="64" t="s">
        <v>295</v>
      </c>
      <c r="B254" s="65">
        <v>2022</v>
      </c>
      <c r="C254" s="65">
        <v>2023</v>
      </c>
      <c r="D254" s="65" t="s">
        <v>322</v>
      </c>
      <c r="E254" s="65" t="s">
        <v>294</v>
      </c>
      <c r="F254" s="65" t="s">
        <v>297</v>
      </c>
      <c r="G254" s="65"/>
      <c r="H254" s="65"/>
      <c r="I254" s="66">
        <v>1478.0485799999999</v>
      </c>
    </row>
    <row r="255" spans="1:9" hidden="1">
      <c r="A255" s="67" t="s">
        <v>295</v>
      </c>
      <c r="B255" s="68">
        <v>2022</v>
      </c>
      <c r="C255" s="68">
        <v>2023</v>
      </c>
      <c r="D255" s="68" t="s">
        <v>322</v>
      </c>
      <c r="E255" s="68" t="s">
        <v>294</v>
      </c>
      <c r="F255" s="68" t="s">
        <v>298</v>
      </c>
      <c r="G255" s="68"/>
      <c r="H255" s="68"/>
      <c r="I255" s="69">
        <v>3613.54504</v>
      </c>
    </row>
    <row r="256" spans="1:9" hidden="1">
      <c r="A256" s="64" t="s">
        <v>295</v>
      </c>
      <c r="B256" s="65">
        <v>2022</v>
      </c>
      <c r="C256" s="65">
        <v>2023</v>
      </c>
      <c r="D256" s="65" t="s">
        <v>322</v>
      </c>
      <c r="E256" s="65" t="s">
        <v>294</v>
      </c>
      <c r="F256" s="65" t="s">
        <v>40</v>
      </c>
      <c r="G256" s="65"/>
      <c r="H256" s="65"/>
      <c r="I256" s="66">
        <v>5091.5928000000004</v>
      </c>
    </row>
    <row r="257" spans="1:9" hidden="1">
      <c r="A257" s="67" t="s">
        <v>295</v>
      </c>
      <c r="B257" s="68">
        <v>2022</v>
      </c>
      <c r="C257" s="68">
        <v>2023</v>
      </c>
      <c r="D257" s="68" t="s">
        <v>322</v>
      </c>
      <c r="E257" s="68" t="s">
        <v>301</v>
      </c>
      <c r="F257" s="68" t="s">
        <v>297</v>
      </c>
      <c r="G257" s="68"/>
      <c r="H257" s="68"/>
      <c r="I257" s="69">
        <v>1515.2877699999999</v>
      </c>
    </row>
    <row r="258" spans="1:9" hidden="1">
      <c r="A258" s="64" t="s">
        <v>295</v>
      </c>
      <c r="B258" s="65">
        <v>2022</v>
      </c>
      <c r="C258" s="65">
        <v>2023</v>
      </c>
      <c r="D258" s="65" t="s">
        <v>322</v>
      </c>
      <c r="E258" s="65" t="s">
        <v>301</v>
      </c>
      <c r="F258" s="65" t="s">
        <v>298</v>
      </c>
      <c r="G258" s="65"/>
      <c r="H258" s="65"/>
      <c r="I258" s="66">
        <v>3613.54504</v>
      </c>
    </row>
    <row r="259" spans="1:9" hidden="1">
      <c r="A259" s="67" t="s">
        <v>295</v>
      </c>
      <c r="B259" s="68">
        <v>2022</v>
      </c>
      <c r="C259" s="68">
        <v>2023</v>
      </c>
      <c r="D259" s="68" t="s">
        <v>322</v>
      </c>
      <c r="E259" s="68" t="s">
        <v>301</v>
      </c>
      <c r="F259" s="68" t="s">
        <v>40</v>
      </c>
      <c r="G259" s="68"/>
      <c r="H259" s="68"/>
      <c r="I259" s="69">
        <v>5128.8319899999997</v>
      </c>
    </row>
    <row r="260" spans="1:9" hidden="1">
      <c r="A260" s="64" t="s">
        <v>295</v>
      </c>
      <c r="B260" s="65">
        <v>2022</v>
      </c>
      <c r="C260" s="65">
        <v>2023</v>
      </c>
      <c r="D260" s="65" t="s">
        <v>322</v>
      </c>
      <c r="E260" s="65" t="s">
        <v>305</v>
      </c>
      <c r="F260" s="65" t="s">
        <v>297</v>
      </c>
      <c r="G260" s="65"/>
      <c r="H260" s="65"/>
      <c r="I260" s="66">
        <v>7.2</v>
      </c>
    </row>
    <row r="261" spans="1:9" hidden="1">
      <c r="A261" s="67" t="s">
        <v>295</v>
      </c>
      <c r="B261" s="68">
        <v>2022</v>
      </c>
      <c r="C261" s="68">
        <v>2023</v>
      </c>
      <c r="D261" s="68" t="s">
        <v>322</v>
      </c>
      <c r="E261" s="68" t="s">
        <v>305</v>
      </c>
      <c r="F261" s="68" t="s">
        <v>40</v>
      </c>
      <c r="G261" s="68"/>
      <c r="H261" s="68"/>
      <c r="I261" s="69">
        <v>190.5</v>
      </c>
    </row>
    <row r="262" spans="1:9" hidden="1">
      <c r="A262" s="64" t="s">
        <v>295</v>
      </c>
      <c r="B262" s="65">
        <v>2022</v>
      </c>
      <c r="C262" s="65">
        <v>2023</v>
      </c>
      <c r="D262" s="65" t="s">
        <v>323</v>
      </c>
      <c r="E262" s="65" t="s">
        <v>294</v>
      </c>
      <c r="F262" s="65" t="s">
        <v>297</v>
      </c>
      <c r="G262" s="65"/>
      <c r="H262" s="65"/>
      <c r="I262" s="66">
        <v>497306.14425000001</v>
      </c>
    </row>
    <row r="263" spans="1:9" hidden="1">
      <c r="A263" s="67" t="s">
        <v>295</v>
      </c>
      <c r="B263" s="68">
        <v>2022</v>
      </c>
      <c r="C263" s="68">
        <v>2023</v>
      </c>
      <c r="D263" s="68" t="s">
        <v>323</v>
      </c>
      <c r="E263" s="68" t="s">
        <v>294</v>
      </c>
      <c r="F263" s="68" t="s">
        <v>298</v>
      </c>
      <c r="G263" s="68"/>
      <c r="H263" s="68"/>
      <c r="I263" s="69">
        <v>2101.63618</v>
      </c>
    </row>
    <row r="264" spans="1:9" hidden="1">
      <c r="A264" s="64" t="s">
        <v>295</v>
      </c>
      <c r="B264" s="65">
        <v>2022</v>
      </c>
      <c r="C264" s="65">
        <v>2023</v>
      </c>
      <c r="D264" s="65" t="s">
        <v>323</v>
      </c>
      <c r="E264" s="65" t="s">
        <v>294</v>
      </c>
      <c r="F264" s="65" t="s">
        <v>40</v>
      </c>
      <c r="G264" s="65"/>
      <c r="H264" s="65"/>
      <c r="I264" s="66">
        <v>499437.40518</v>
      </c>
    </row>
    <row r="265" spans="1:9" hidden="1">
      <c r="A265" s="67" t="s">
        <v>295</v>
      </c>
      <c r="B265" s="68">
        <v>2022</v>
      </c>
      <c r="C265" s="68">
        <v>2023</v>
      </c>
      <c r="D265" s="68" t="s">
        <v>323</v>
      </c>
      <c r="E265" s="68" t="s">
        <v>301</v>
      </c>
      <c r="F265" s="68" t="s">
        <v>297</v>
      </c>
      <c r="G265" s="68"/>
      <c r="H265" s="68"/>
      <c r="I265" s="69">
        <v>503056.46340000001</v>
      </c>
    </row>
    <row r="266" spans="1:9" hidden="1">
      <c r="A266" s="64" t="s">
        <v>295</v>
      </c>
      <c r="B266" s="65">
        <v>2022</v>
      </c>
      <c r="C266" s="65">
        <v>2023</v>
      </c>
      <c r="D266" s="65" t="s">
        <v>323</v>
      </c>
      <c r="E266" s="65" t="s">
        <v>301</v>
      </c>
      <c r="F266" s="65" t="s">
        <v>298</v>
      </c>
      <c r="G266" s="65"/>
      <c r="H266" s="65"/>
      <c r="I266" s="66">
        <v>2114.1816600000002</v>
      </c>
    </row>
    <row r="267" spans="1:9" hidden="1">
      <c r="A267" s="67" t="s">
        <v>295</v>
      </c>
      <c r="B267" s="68">
        <v>2022</v>
      </c>
      <c r="C267" s="68">
        <v>2023</v>
      </c>
      <c r="D267" s="68" t="s">
        <v>323</v>
      </c>
      <c r="E267" s="68" t="s">
        <v>301</v>
      </c>
      <c r="F267" s="68" t="s">
        <v>40</v>
      </c>
      <c r="G267" s="68"/>
      <c r="H267" s="68"/>
      <c r="I267" s="69">
        <v>505200.26980000001</v>
      </c>
    </row>
    <row r="268" spans="1:9" hidden="1">
      <c r="A268" s="64" t="s">
        <v>295</v>
      </c>
      <c r="B268" s="65">
        <v>2022</v>
      </c>
      <c r="C268" s="65">
        <v>2023</v>
      </c>
      <c r="D268" s="65" t="s">
        <v>323</v>
      </c>
      <c r="E268" s="65" t="s">
        <v>305</v>
      </c>
      <c r="F268" s="65" t="s">
        <v>297</v>
      </c>
      <c r="G268" s="65"/>
      <c r="H268" s="65"/>
      <c r="I268" s="66">
        <v>1621.01595</v>
      </c>
    </row>
    <row r="269" spans="1:9" hidden="1">
      <c r="A269" s="67" t="s">
        <v>295</v>
      </c>
      <c r="B269" s="68">
        <v>2022</v>
      </c>
      <c r="C269" s="68">
        <v>2023</v>
      </c>
      <c r="D269" s="68" t="s">
        <v>323</v>
      </c>
      <c r="E269" s="68" t="s">
        <v>305</v>
      </c>
      <c r="F269" s="68" t="s">
        <v>40</v>
      </c>
      <c r="G269" s="68"/>
      <c r="H269" s="68"/>
      <c r="I269" s="69">
        <v>16049.81595</v>
      </c>
    </row>
    <row r="270" spans="1:9" hidden="1">
      <c r="A270" s="64" t="s">
        <v>295</v>
      </c>
      <c r="B270" s="65">
        <v>2022</v>
      </c>
      <c r="C270" s="65">
        <v>2023</v>
      </c>
      <c r="D270" s="65" t="s">
        <v>324</v>
      </c>
      <c r="E270" s="65" t="s">
        <v>294</v>
      </c>
      <c r="F270" s="65" t="s">
        <v>297</v>
      </c>
      <c r="G270" s="65"/>
      <c r="H270" s="65"/>
      <c r="I270" s="66">
        <v>4480.7024700000002</v>
      </c>
    </row>
    <row r="271" spans="1:9" hidden="1">
      <c r="A271" s="67" t="s">
        <v>295</v>
      </c>
      <c r="B271" s="68">
        <v>2022</v>
      </c>
      <c r="C271" s="68">
        <v>2023</v>
      </c>
      <c r="D271" s="68" t="s">
        <v>324</v>
      </c>
      <c r="E271" s="68" t="s">
        <v>294</v>
      </c>
      <c r="F271" s="68" t="s">
        <v>298</v>
      </c>
      <c r="G271" s="68"/>
      <c r="H271" s="68"/>
      <c r="I271" s="69">
        <v>0</v>
      </c>
    </row>
    <row r="272" spans="1:9" hidden="1">
      <c r="A272" s="64" t="s">
        <v>295</v>
      </c>
      <c r="B272" s="65">
        <v>2022</v>
      </c>
      <c r="C272" s="65">
        <v>2023</v>
      </c>
      <c r="D272" s="65" t="s">
        <v>324</v>
      </c>
      <c r="E272" s="65" t="s">
        <v>294</v>
      </c>
      <c r="F272" s="65" t="s">
        <v>40</v>
      </c>
      <c r="G272" s="65"/>
      <c r="H272" s="65"/>
      <c r="I272" s="66">
        <v>4480.7024700000002</v>
      </c>
    </row>
    <row r="273" spans="1:9" hidden="1">
      <c r="A273" s="67" t="s">
        <v>295</v>
      </c>
      <c r="B273" s="68">
        <v>2022</v>
      </c>
      <c r="C273" s="68">
        <v>2023</v>
      </c>
      <c r="D273" s="68" t="s">
        <v>324</v>
      </c>
      <c r="E273" s="68" t="s">
        <v>301</v>
      </c>
      <c r="F273" s="68" t="s">
        <v>297</v>
      </c>
      <c r="G273" s="68"/>
      <c r="H273" s="68"/>
      <c r="I273" s="69">
        <v>4480.6988899999997</v>
      </c>
    </row>
    <row r="274" spans="1:9" hidden="1">
      <c r="A274" s="64" t="s">
        <v>295</v>
      </c>
      <c r="B274" s="65">
        <v>2022</v>
      </c>
      <c r="C274" s="65">
        <v>2023</v>
      </c>
      <c r="D274" s="65" t="s">
        <v>324</v>
      </c>
      <c r="E274" s="65" t="s">
        <v>301</v>
      </c>
      <c r="F274" s="65" t="s">
        <v>298</v>
      </c>
      <c r="G274" s="65"/>
      <c r="H274" s="65"/>
      <c r="I274" s="66">
        <v>0</v>
      </c>
    </row>
    <row r="275" spans="1:9" hidden="1">
      <c r="A275" s="67" t="s">
        <v>295</v>
      </c>
      <c r="B275" s="68">
        <v>2022</v>
      </c>
      <c r="C275" s="68">
        <v>2023</v>
      </c>
      <c r="D275" s="68" t="s">
        <v>324</v>
      </c>
      <c r="E275" s="68" t="s">
        <v>301</v>
      </c>
      <c r="F275" s="68" t="s">
        <v>40</v>
      </c>
      <c r="G275" s="68"/>
      <c r="H275" s="68"/>
      <c r="I275" s="69">
        <v>4480.6988899999997</v>
      </c>
    </row>
    <row r="276" spans="1:9" hidden="1">
      <c r="A276" s="64" t="s">
        <v>295</v>
      </c>
      <c r="B276" s="65">
        <v>2022</v>
      </c>
      <c r="C276" s="65">
        <v>2023</v>
      </c>
      <c r="D276" s="65" t="s">
        <v>324</v>
      </c>
      <c r="E276" s="65" t="s">
        <v>305</v>
      </c>
      <c r="F276" s="65" t="s">
        <v>297</v>
      </c>
      <c r="G276" s="65"/>
      <c r="H276" s="65"/>
      <c r="I276" s="66">
        <v>4.0999999999999996</v>
      </c>
    </row>
    <row r="277" spans="1:9" hidden="1">
      <c r="A277" s="67" t="s">
        <v>295</v>
      </c>
      <c r="B277" s="68">
        <v>2022</v>
      </c>
      <c r="C277" s="68">
        <v>2023</v>
      </c>
      <c r="D277" s="68" t="s">
        <v>324</v>
      </c>
      <c r="E277" s="68" t="s">
        <v>305</v>
      </c>
      <c r="F277" s="68" t="s">
        <v>40</v>
      </c>
      <c r="G277" s="68"/>
      <c r="H277" s="68"/>
      <c r="I277" s="69">
        <v>1246.2</v>
      </c>
    </row>
    <row r="278" spans="1:9" hidden="1">
      <c r="A278" s="64" t="s">
        <v>295</v>
      </c>
      <c r="B278" s="65">
        <v>2022</v>
      </c>
      <c r="C278" s="65">
        <v>2023</v>
      </c>
      <c r="D278" s="65" t="s">
        <v>325</v>
      </c>
      <c r="E278" s="65" t="s">
        <v>294</v>
      </c>
      <c r="F278" s="65" t="s">
        <v>297</v>
      </c>
      <c r="G278" s="65"/>
      <c r="H278" s="65"/>
      <c r="I278" s="66">
        <v>54706.287120000001</v>
      </c>
    </row>
    <row r="279" spans="1:9" hidden="1">
      <c r="A279" s="67" t="s">
        <v>295</v>
      </c>
      <c r="B279" s="68">
        <v>2022</v>
      </c>
      <c r="C279" s="68">
        <v>2023</v>
      </c>
      <c r="D279" s="68" t="s">
        <v>325</v>
      </c>
      <c r="E279" s="68" t="s">
        <v>294</v>
      </c>
      <c r="F279" s="68" t="s">
        <v>298</v>
      </c>
      <c r="G279" s="68"/>
      <c r="H279" s="68"/>
      <c r="I279" s="69">
        <v>12690.500609999999</v>
      </c>
    </row>
    <row r="280" spans="1:9" hidden="1">
      <c r="A280" s="64" t="s">
        <v>295</v>
      </c>
      <c r="B280" s="65">
        <v>2022</v>
      </c>
      <c r="C280" s="65">
        <v>2023</v>
      </c>
      <c r="D280" s="65" t="s">
        <v>325</v>
      </c>
      <c r="E280" s="65" t="s">
        <v>294</v>
      </c>
      <c r="F280" s="65" t="s">
        <v>40</v>
      </c>
      <c r="G280" s="65"/>
      <c r="H280" s="65"/>
      <c r="I280" s="66">
        <v>67396.961299999995</v>
      </c>
    </row>
    <row r="281" spans="1:9" hidden="1">
      <c r="A281" s="67" t="s">
        <v>295</v>
      </c>
      <c r="B281" s="68">
        <v>2022</v>
      </c>
      <c r="C281" s="68">
        <v>2023</v>
      </c>
      <c r="D281" s="68" t="s">
        <v>325</v>
      </c>
      <c r="E281" s="68" t="s">
        <v>301</v>
      </c>
      <c r="F281" s="68" t="s">
        <v>297</v>
      </c>
      <c r="G281" s="68"/>
      <c r="H281" s="68"/>
      <c r="I281" s="69">
        <v>55127.084840000003</v>
      </c>
    </row>
    <row r="282" spans="1:9" hidden="1">
      <c r="A282" s="64" t="s">
        <v>295</v>
      </c>
      <c r="B282" s="65">
        <v>2022</v>
      </c>
      <c r="C282" s="65">
        <v>2023</v>
      </c>
      <c r="D282" s="65" t="s">
        <v>325</v>
      </c>
      <c r="E282" s="65" t="s">
        <v>301</v>
      </c>
      <c r="F282" s="65" t="s">
        <v>298</v>
      </c>
      <c r="G282" s="65"/>
      <c r="H282" s="65"/>
      <c r="I282" s="66">
        <v>12838.60403</v>
      </c>
    </row>
    <row r="283" spans="1:9" hidden="1">
      <c r="A283" s="67" t="s">
        <v>295</v>
      </c>
      <c r="B283" s="68">
        <v>2022</v>
      </c>
      <c r="C283" s="68">
        <v>2023</v>
      </c>
      <c r="D283" s="68" t="s">
        <v>325</v>
      </c>
      <c r="E283" s="68" t="s">
        <v>301</v>
      </c>
      <c r="F283" s="68" t="s">
        <v>40</v>
      </c>
      <c r="G283" s="68"/>
      <c r="H283" s="68"/>
      <c r="I283" s="69">
        <v>67965.762440000006</v>
      </c>
    </row>
    <row r="284" spans="1:9" hidden="1">
      <c r="A284" s="64" t="s">
        <v>295</v>
      </c>
      <c r="B284" s="65">
        <v>2022</v>
      </c>
      <c r="C284" s="65">
        <v>2023</v>
      </c>
      <c r="D284" s="65" t="s">
        <v>325</v>
      </c>
      <c r="E284" s="65" t="s">
        <v>305</v>
      </c>
      <c r="F284" s="65" t="s">
        <v>297</v>
      </c>
      <c r="G284" s="65"/>
      <c r="H284" s="65"/>
      <c r="I284" s="66">
        <v>427.5</v>
      </c>
    </row>
    <row r="285" spans="1:9" hidden="1">
      <c r="A285" s="67" t="s">
        <v>295</v>
      </c>
      <c r="B285" s="68">
        <v>2022</v>
      </c>
      <c r="C285" s="68">
        <v>2023</v>
      </c>
      <c r="D285" s="68" t="s">
        <v>325</v>
      </c>
      <c r="E285" s="68" t="s">
        <v>305</v>
      </c>
      <c r="F285" s="68" t="s">
        <v>298</v>
      </c>
      <c r="G285" s="68"/>
      <c r="H285" s="68"/>
      <c r="I285" s="69">
        <v>69.900000000000006</v>
      </c>
    </row>
    <row r="286" spans="1:9" hidden="1">
      <c r="A286" s="64" t="s">
        <v>295</v>
      </c>
      <c r="B286" s="65">
        <v>2022</v>
      </c>
      <c r="C286" s="65">
        <v>2023</v>
      </c>
      <c r="D286" s="65" t="s">
        <v>325</v>
      </c>
      <c r="E286" s="65" t="s">
        <v>305</v>
      </c>
      <c r="F286" s="65" t="s">
        <v>40</v>
      </c>
      <c r="G286" s="65"/>
      <c r="H286" s="65"/>
      <c r="I286" s="66">
        <v>18673.7</v>
      </c>
    </row>
    <row r="287" spans="1:9" hidden="1">
      <c r="A287" s="67" t="s">
        <v>295</v>
      </c>
      <c r="B287" s="68">
        <v>2022</v>
      </c>
      <c r="C287" s="68">
        <v>2023</v>
      </c>
      <c r="D287" s="68" t="s">
        <v>326</v>
      </c>
      <c r="E287" s="68" t="s">
        <v>294</v>
      </c>
      <c r="F287" s="68" t="s">
        <v>297</v>
      </c>
      <c r="G287" s="68"/>
      <c r="H287" s="68"/>
      <c r="I287" s="69">
        <v>0</v>
      </c>
    </row>
    <row r="288" spans="1:9" hidden="1">
      <c r="A288" s="64" t="s">
        <v>295</v>
      </c>
      <c r="B288" s="65">
        <v>2022</v>
      </c>
      <c r="C288" s="65">
        <v>2023</v>
      </c>
      <c r="D288" s="65" t="s">
        <v>326</v>
      </c>
      <c r="E288" s="65" t="s">
        <v>294</v>
      </c>
      <c r="F288" s="65" t="s">
        <v>298</v>
      </c>
      <c r="G288" s="65"/>
      <c r="H288" s="65"/>
      <c r="I288" s="66">
        <v>0</v>
      </c>
    </row>
    <row r="289" spans="1:9" hidden="1">
      <c r="A289" s="67" t="s">
        <v>295</v>
      </c>
      <c r="B289" s="68">
        <v>2022</v>
      </c>
      <c r="C289" s="68">
        <v>2023</v>
      </c>
      <c r="D289" s="68" t="s">
        <v>326</v>
      </c>
      <c r="E289" s="68" t="s">
        <v>294</v>
      </c>
      <c r="F289" s="68" t="s">
        <v>40</v>
      </c>
      <c r="G289" s="68"/>
      <c r="H289" s="68"/>
      <c r="I289" s="69">
        <v>0</v>
      </c>
    </row>
    <row r="290" spans="1:9" hidden="1">
      <c r="A290" s="64" t="s">
        <v>295</v>
      </c>
      <c r="B290" s="65">
        <v>2022</v>
      </c>
      <c r="C290" s="65">
        <v>2023</v>
      </c>
      <c r="D290" s="65" t="s">
        <v>326</v>
      </c>
      <c r="E290" s="65" t="s">
        <v>301</v>
      </c>
      <c r="F290" s="65" t="s">
        <v>297</v>
      </c>
      <c r="G290" s="65"/>
      <c r="H290" s="65"/>
      <c r="I290" s="66">
        <v>0</v>
      </c>
    </row>
    <row r="291" spans="1:9" hidden="1">
      <c r="A291" s="67" t="s">
        <v>295</v>
      </c>
      <c r="B291" s="68">
        <v>2022</v>
      </c>
      <c r="C291" s="68">
        <v>2023</v>
      </c>
      <c r="D291" s="68" t="s">
        <v>326</v>
      </c>
      <c r="E291" s="68" t="s">
        <v>301</v>
      </c>
      <c r="F291" s="68" t="s">
        <v>298</v>
      </c>
      <c r="G291" s="68"/>
      <c r="H291" s="68"/>
      <c r="I291" s="69">
        <v>0</v>
      </c>
    </row>
    <row r="292" spans="1:9" hidden="1">
      <c r="A292" s="64" t="s">
        <v>295</v>
      </c>
      <c r="B292" s="65">
        <v>2022</v>
      </c>
      <c r="C292" s="65">
        <v>2023</v>
      </c>
      <c r="D292" s="65" t="s">
        <v>326</v>
      </c>
      <c r="E292" s="65" t="s">
        <v>301</v>
      </c>
      <c r="F292" s="65" t="s">
        <v>40</v>
      </c>
      <c r="G292" s="65"/>
      <c r="H292" s="65"/>
      <c r="I292" s="66">
        <v>0</v>
      </c>
    </row>
    <row r="293" spans="1:9" hidden="1">
      <c r="A293" s="67" t="s">
        <v>295</v>
      </c>
      <c r="B293" s="68">
        <v>2022</v>
      </c>
      <c r="C293" s="68">
        <v>2023</v>
      </c>
      <c r="D293" s="68" t="s">
        <v>304</v>
      </c>
      <c r="E293" s="68" t="s">
        <v>294</v>
      </c>
      <c r="F293" s="68" t="s">
        <v>297</v>
      </c>
      <c r="G293" s="68"/>
      <c r="H293" s="68"/>
      <c r="I293" s="69">
        <v>94390.341400000005</v>
      </c>
    </row>
    <row r="294" spans="1:9" hidden="1">
      <c r="A294" s="64" t="s">
        <v>295</v>
      </c>
      <c r="B294" s="65">
        <v>2022</v>
      </c>
      <c r="C294" s="65">
        <v>2023</v>
      </c>
      <c r="D294" s="65" t="s">
        <v>304</v>
      </c>
      <c r="E294" s="65" t="s">
        <v>294</v>
      </c>
      <c r="F294" s="65" t="s">
        <v>298</v>
      </c>
      <c r="G294" s="65"/>
      <c r="H294" s="65"/>
      <c r="I294" s="66">
        <v>215955.01525</v>
      </c>
    </row>
    <row r="295" spans="1:9" hidden="1">
      <c r="A295" s="67" t="s">
        <v>295</v>
      </c>
      <c r="B295" s="68">
        <v>2022</v>
      </c>
      <c r="C295" s="68">
        <v>2023</v>
      </c>
      <c r="D295" s="68" t="s">
        <v>304</v>
      </c>
      <c r="E295" s="68" t="s">
        <v>294</v>
      </c>
      <c r="F295" s="68" t="s">
        <v>40</v>
      </c>
      <c r="G295" s="68"/>
      <c r="H295" s="68"/>
      <c r="I295" s="69">
        <v>310151.04687000002</v>
      </c>
    </row>
    <row r="296" spans="1:9" hidden="1">
      <c r="A296" s="64" t="s">
        <v>295</v>
      </c>
      <c r="B296" s="65">
        <v>2022</v>
      </c>
      <c r="C296" s="65">
        <v>2023</v>
      </c>
      <c r="D296" s="65" t="s">
        <v>304</v>
      </c>
      <c r="E296" s="65" t="s">
        <v>301</v>
      </c>
      <c r="F296" s="65" t="s">
        <v>297</v>
      </c>
      <c r="G296" s="65"/>
      <c r="H296" s="65"/>
      <c r="I296" s="66">
        <v>94627.972890000005</v>
      </c>
    </row>
    <row r="297" spans="1:9" hidden="1">
      <c r="A297" s="67" t="s">
        <v>295</v>
      </c>
      <c r="B297" s="68">
        <v>2022</v>
      </c>
      <c r="C297" s="68">
        <v>2023</v>
      </c>
      <c r="D297" s="68" t="s">
        <v>304</v>
      </c>
      <c r="E297" s="68" t="s">
        <v>301</v>
      </c>
      <c r="F297" s="68" t="s">
        <v>298</v>
      </c>
      <c r="G297" s="68"/>
      <c r="H297" s="68"/>
      <c r="I297" s="69">
        <v>216773.09623</v>
      </c>
    </row>
    <row r="298" spans="1:9" hidden="1">
      <c r="A298" s="64" t="s">
        <v>295</v>
      </c>
      <c r="B298" s="65">
        <v>2022</v>
      </c>
      <c r="C298" s="65">
        <v>2023</v>
      </c>
      <c r="D298" s="65" t="s">
        <v>304</v>
      </c>
      <c r="E298" s="65" t="s">
        <v>301</v>
      </c>
      <c r="F298" s="65" t="s">
        <v>40</v>
      </c>
      <c r="G298" s="65"/>
      <c r="H298" s="65"/>
      <c r="I298" s="66">
        <v>311206.65932999999</v>
      </c>
    </row>
    <row r="299" spans="1:9" hidden="1">
      <c r="A299" s="67" t="s">
        <v>295</v>
      </c>
      <c r="B299" s="68">
        <v>2022</v>
      </c>
      <c r="C299" s="68">
        <v>2023</v>
      </c>
      <c r="D299" s="68" t="s">
        <v>304</v>
      </c>
      <c r="E299" s="68" t="s">
        <v>305</v>
      </c>
      <c r="F299" s="68" t="s">
        <v>297</v>
      </c>
      <c r="G299" s="68"/>
      <c r="H299" s="68"/>
      <c r="I299" s="69">
        <v>948.64063999999996</v>
      </c>
    </row>
    <row r="300" spans="1:9" hidden="1">
      <c r="A300" s="64" t="s">
        <v>295</v>
      </c>
      <c r="B300" s="65">
        <v>2022</v>
      </c>
      <c r="C300" s="65">
        <v>2023</v>
      </c>
      <c r="D300" s="65" t="s">
        <v>304</v>
      </c>
      <c r="E300" s="65" t="s">
        <v>305</v>
      </c>
      <c r="F300" s="65" t="s">
        <v>298</v>
      </c>
      <c r="G300" s="65"/>
      <c r="H300" s="65"/>
      <c r="I300" s="66">
        <v>712.4</v>
      </c>
    </row>
    <row r="301" spans="1:9" hidden="1">
      <c r="A301" s="67" t="s">
        <v>295</v>
      </c>
      <c r="B301" s="68">
        <v>2022</v>
      </c>
      <c r="C301" s="68">
        <v>2023</v>
      </c>
      <c r="D301" s="68" t="s">
        <v>304</v>
      </c>
      <c r="E301" s="68" t="s">
        <v>305</v>
      </c>
      <c r="F301" s="68" t="s">
        <v>40</v>
      </c>
      <c r="G301" s="68"/>
      <c r="H301" s="68"/>
      <c r="I301" s="69">
        <v>17200.340639999999</v>
      </c>
    </row>
    <row r="302" spans="1:9" hidden="1">
      <c r="A302" s="64" t="s">
        <v>295</v>
      </c>
      <c r="B302" s="65">
        <v>2022</v>
      </c>
      <c r="C302" s="65">
        <v>2023</v>
      </c>
      <c r="D302" s="65" t="s">
        <v>306</v>
      </c>
      <c r="E302" s="65" t="s">
        <v>294</v>
      </c>
      <c r="F302" s="65" t="s">
        <v>297</v>
      </c>
      <c r="G302" s="65"/>
      <c r="H302" s="65"/>
      <c r="I302" s="66">
        <v>381680.50095000002</v>
      </c>
    </row>
    <row r="303" spans="1:9" hidden="1">
      <c r="A303" s="67" t="s">
        <v>295</v>
      </c>
      <c r="B303" s="68">
        <v>2022</v>
      </c>
      <c r="C303" s="68">
        <v>2023</v>
      </c>
      <c r="D303" s="68" t="s">
        <v>306</v>
      </c>
      <c r="E303" s="68" t="s">
        <v>294</v>
      </c>
      <c r="F303" s="68" t="s">
        <v>40</v>
      </c>
      <c r="G303" s="68"/>
      <c r="H303" s="68"/>
      <c r="I303" s="69">
        <v>381680.49975000002</v>
      </c>
    </row>
    <row r="304" spans="1:9" hidden="1">
      <c r="A304" s="64" t="s">
        <v>295</v>
      </c>
      <c r="B304" s="65">
        <v>2022</v>
      </c>
      <c r="C304" s="65">
        <v>2023</v>
      </c>
      <c r="D304" s="65" t="s">
        <v>306</v>
      </c>
      <c r="E304" s="65" t="s">
        <v>301</v>
      </c>
      <c r="F304" s="65" t="s">
        <v>297</v>
      </c>
      <c r="G304" s="65"/>
      <c r="H304" s="65"/>
      <c r="I304" s="66">
        <v>382606.68738000002</v>
      </c>
    </row>
    <row r="305" spans="1:9" hidden="1">
      <c r="A305" s="67" t="s">
        <v>295</v>
      </c>
      <c r="B305" s="68">
        <v>2022</v>
      </c>
      <c r="C305" s="68">
        <v>2023</v>
      </c>
      <c r="D305" s="68" t="s">
        <v>306</v>
      </c>
      <c r="E305" s="68" t="s">
        <v>301</v>
      </c>
      <c r="F305" s="68" t="s">
        <v>40</v>
      </c>
      <c r="G305" s="68"/>
      <c r="H305" s="68"/>
      <c r="I305" s="69">
        <v>382606.68618000002</v>
      </c>
    </row>
    <row r="306" spans="1:9" hidden="1">
      <c r="A306" s="64" t="s">
        <v>295</v>
      </c>
      <c r="B306" s="65">
        <v>2022</v>
      </c>
      <c r="C306" s="65">
        <v>2023</v>
      </c>
      <c r="D306" s="65" t="s">
        <v>306</v>
      </c>
      <c r="E306" s="65" t="s">
        <v>305</v>
      </c>
      <c r="F306" s="65" t="s">
        <v>297</v>
      </c>
      <c r="G306" s="65"/>
      <c r="H306" s="65"/>
      <c r="I306" s="66">
        <v>2000.22462</v>
      </c>
    </row>
    <row r="307" spans="1:9" hidden="1">
      <c r="A307" s="67" t="s">
        <v>295</v>
      </c>
      <c r="B307" s="68">
        <v>2022</v>
      </c>
      <c r="C307" s="68">
        <v>2023</v>
      </c>
      <c r="D307" s="68" t="s">
        <v>306</v>
      </c>
      <c r="E307" s="68" t="s">
        <v>305</v>
      </c>
      <c r="F307" s="68" t="s">
        <v>40</v>
      </c>
      <c r="G307" s="68"/>
      <c r="H307" s="68"/>
      <c r="I307" s="69">
        <v>27129.02462</v>
      </c>
    </row>
    <row r="308" spans="1:9" hidden="1">
      <c r="A308" s="64" t="s">
        <v>295</v>
      </c>
      <c r="B308" s="65">
        <v>2022</v>
      </c>
      <c r="C308" s="65">
        <v>2023</v>
      </c>
      <c r="D308" s="65" t="s">
        <v>307</v>
      </c>
      <c r="E308" s="65" t="s">
        <v>294</v>
      </c>
      <c r="F308" s="65" t="s">
        <v>40</v>
      </c>
      <c r="G308" s="65"/>
      <c r="H308" s="65"/>
      <c r="I308" s="66">
        <v>-248352.44039999999</v>
      </c>
    </row>
    <row r="309" spans="1:9" hidden="1">
      <c r="A309" s="67" t="s">
        <v>295</v>
      </c>
      <c r="B309" s="68">
        <v>2022</v>
      </c>
      <c r="C309" s="68">
        <v>2023</v>
      </c>
      <c r="D309" s="68" t="s">
        <v>307</v>
      </c>
      <c r="E309" s="68" t="s">
        <v>301</v>
      </c>
      <c r="F309" s="68" t="s">
        <v>40</v>
      </c>
      <c r="G309" s="68"/>
      <c r="H309" s="68"/>
      <c r="I309" s="69">
        <v>-244507.41948000001</v>
      </c>
    </row>
    <row r="310" spans="1:9" hidden="1">
      <c r="A310" s="64" t="s">
        <v>295</v>
      </c>
      <c r="B310" s="65">
        <v>2022</v>
      </c>
      <c r="C310" s="65">
        <v>2023</v>
      </c>
      <c r="D310" s="65" t="s">
        <v>307</v>
      </c>
      <c r="E310" s="65" t="s">
        <v>305</v>
      </c>
      <c r="F310" s="65" t="s">
        <v>40</v>
      </c>
      <c r="G310" s="65"/>
      <c r="H310" s="65"/>
      <c r="I310" s="66">
        <v>-23661.109359999999</v>
      </c>
    </row>
    <row r="311" spans="1:9" hidden="1">
      <c r="A311" s="67" t="s">
        <v>295</v>
      </c>
      <c r="B311" s="68">
        <v>2022</v>
      </c>
      <c r="C311" s="68">
        <v>2023</v>
      </c>
      <c r="D311" s="68" t="s">
        <v>327</v>
      </c>
      <c r="E311" s="68" t="s">
        <v>294</v>
      </c>
      <c r="F311" s="68" t="s">
        <v>40</v>
      </c>
      <c r="G311" s="68"/>
      <c r="H311" s="68"/>
      <c r="I311" s="69">
        <v>-309122.72454999998</v>
      </c>
    </row>
    <row r="312" spans="1:9" hidden="1">
      <c r="A312" s="64" t="s">
        <v>295</v>
      </c>
      <c r="B312" s="65">
        <v>2022</v>
      </c>
      <c r="C312" s="65">
        <v>2023</v>
      </c>
      <c r="D312" s="65" t="s">
        <v>327</v>
      </c>
      <c r="E312" s="65" t="s">
        <v>301</v>
      </c>
      <c r="F312" s="65" t="s">
        <v>40</v>
      </c>
      <c r="G312" s="65"/>
      <c r="H312" s="65"/>
      <c r="I312" s="66">
        <v>-308950.2133</v>
      </c>
    </row>
    <row r="313" spans="1:9" hidden="1">
      <c r="A313" s="67" t="s">
        <v>295</v>
      </c>
      <c r="B313" s="68">
        <v>2022</v>
      </c>
      <c r="C313" s="68">
        <v>2023</v>
      </c>
      <c r="D313" s="68" t="s">
        <v>327</v>
      </c>
      <c r="E313" s="68" t="s">
        <v>305</v>
      </c>
      <c r="F313" s="68" t="s">
        <v>40</v>
      </c>
      <c r="G313" s="68"/>
      <c r="H313" s="68"/>
      <c r="I313" s="69">
        <v>-22586.508129999998</v>
      </c>
    </row>
    <row r="314" spans="1:9" hidden="1">
      <c r="A314" s="64" t="s">
        <v>295</v>
      </c>
      <c r="B314" s="65">
        <v>2022</v>
      </c>
      <c r="C314" s="65">
        <v>2023</v>
      </c>
      <c r="D314" s="65" t="s">
        <v>328</v>
      </c>
      <c r="E314" s="65" t="s">
        <v>294</v>
      </c>
      <c r="F314" s="65" t="s">
        <v>40</v>
      </c>
      <c r="G314" s="65"/>
      <c r="H314" s="65"/>
      <c r="I314" s="66">
        <v>40741.299420000003</v>
      </c>
    </row>
    <row r="315" spans="1:9" hidden="1">
      <c r="A315" s="67" t="s">
        <v>295</v>
      </c>
      <c r="B315" s="68">
        <v>2022</v>
      </c>
      <c r="C315" s="68">
        <v>2023</v>
      </c>
      <c r="D315" s="68" t="s">
        <v>328</v>
      </c>
      <c r="E315" s="68" t="s">
        <v>301</v>
      </c>
      <c r="F315" s="68" t="s">
        <v>40</v>
      </c>
      <c r="G315" s="68"/>
      <c r="H315" s="68"/>
      <c r="I315" s="69">
        <v>42633.071709999997</v>
      </c>
    </row>
    <row r="316" spans="1:9" hidden="1">
      <c r="A316" s="64" t="s">
        <v>295</v>
      </c>
      <c r="B316" s="65">
        <v>2022</v>
      </c>
      <c r="C316" s="65">
        <v>2023</v>
      </c>
      <c r="D316" s="65" t="s">
        <v>328</v>
      </c>
      <c r="E316" s="65" t="s">
        <v>305</v>
      </c>
      <c r="F316" s="65" t="s">
        <v>40</v>
      </c>
      <c r="G316" s="65"/>
      <c r="H316" s="65"/>
      <c r="I316" s="66">
        <v>-2378.2643800000001</v>
      </c>
    </row>
    <row r="317" spans="1:9" hidden="1">
      <c r="A317" s="67" t="s">
        <v>295</v>
      </c>
      <c r="B317" s="68">
        <v>2022</v>
      </c>
      <c r="C317" s="68">
        <v>2023</v>
      </c>
      <c r="D317" s="68" t="s">
        <v>329</v>
      </c>
      <c r="E317" s="68" t="s">
        <v>294</v>
      </c>
      <c r="F317" s="68" t="s">
        <v>40</v>
      </c>
      <c r="G317" s="68"/>
      <c r="H317" s="68"/>
      <c r="I317" s="69">
        <v>13906.94896</v>
      </c>
    </row>
    <row r="318" spans="1:9" hidden="1">
      <c r="A318" s="64" t="s">
        <v>295</v>
      </c>
      <c r="B318" s="65">
        <v>2022</v>
      </c>
      <c r="C318" s="65">
        <v>2023</v>
      </c>
      <c r="D318" s="65" t="s">
        <v>329</v>
      </c>
      <c r="E318" s="65" t="s">
        <v>301</v>
      </c>
      <c r="F318" s="65" t="s">
        <v>40</v>
      </c>
      <c r="G318" s="65"/>
      <c r="H318" s="65"/>
      <c r="I318" s="66">
        <v>14359.02634</v>
      </c>
    </row>
    <row r="319" spans="1:9" hidden="1">
      <c r="A319" s="67" t="s">
        <v>295</v>
      </c>
      <c r="B319" s="68">
        <v>2022</v>
      </c>
      <c r="C319" s="68">
        <v>2023</v>
      </c>
      <c r="D319" s="68" t="s">
        <v>329</v>
      </c>
      <c r="E319" s="68" t="s">
        <v>305</v>
      </c>
      <c r="F319" s="68" t="s">
        <v>40</v>
      </c>
      <c r="G319" s="68"/>
      <c r="H319" s="68"/>
      <c r="I319" s="69">
        <v>345.6705</v>
      </c>
    </row>
    <row r="320" spans="1:9" hidden="1">
      <c r="A320" s="64" t="s">
        <v>295</v>
      </c>
      <c r="B320" s="65">
        <v>2022</v>
      </c>
      <c r="C320" s="65">
        <v>2023</v>
      </c>
      <c r="D320" s="65" t="s">
        <v>330</v>
      </c>
      <c r="E320" s="65" t="s">
        <v>294</v>
      </c>
      <c r="F320" s="65" t="s">
        <v>40</v>
      </c>
      <c r="G320" s="65"/>
      <c r="H320" s="65"/>
      <c r="I320" s="66">
        <v>15787.90466</v>
      </c>
    </row>
    <row r="321" spans="1:9" hidden="1">
      <c r="A321" s="67" t="s">
        <v>295</v>
      </c>
      <c r="B321" s="68">
        <v>2022</v>
      </c>
      <c r="C321" s="68">
        <v>2023</v>
      </c>
      <c r="D321" s="68" t="s">
        <v>330</v>
      </c>
      <c r="E321" s="68" t="s">
        <v>301</v>
      </c>
      <c r="F321" s="68" t="s">
        <v>40</v>
      </c>
      <c r="G321" s="68"/>
      <c r="H321" s="68"/>
      <c r="I321" s="69">
        <v>15636.6077</v>
      </c>
    </row>
    <row r="322" spans="1:9" hidden="1">
      <c r="A322" s="64" t="s">
        <v>295</v>
      </c>
      <c r="B322" s="65">
        <v>2022</v>
      </c>
      <c r="C322" s="65">
        <v>2023</v>
      </c>
      <c r="D322" s="65" t="s">
        <v>330</v>
      </c>
      <c r="E322" s="65" t="s">
        <v>305</v>
      </c>
      <c r="F322" s="65" t="s">
        <v>40</v>
      </c>
      <c r="G322" s="65"/>
      <c r="H322" s="65"/>
      <c r="I322" s="66">
        <v>773.28647999999998</v>
      </c>
    </row>
    <row r="323" spans="1:9" hidden="1">
      <c r="A323" s="67" t="s">
        <v>295</v>
      </c>
      <c r="B323" s="68">
        <v>2022</v>
      </c>
      <c r="C323" s="68">
        <v>2023</v>
      </c>
      <c r="D323" s="68" t="s">
        <v>331</v>
      </c>
      <c r="E323" s="68" t="s">
        <v>294</v>
      </c>
      <c r="F323" s="68" t="s">
        <v>40</v>
      </c>
      <c r="G323" s="68"/>
      <c r="H323" s="68"/>
      <c r="I323" s="69">
        <v>36412.928030000003</v>
      </c>
    </row>
    <row r="324" spans="1:9" hidden="1">
      <c r="A324" s="64" t="s">
        <v>295</v>
      </c>
      <c r="B324" s="65">
        <v>2022</v>
      </c>
      <c r="C324" s="65">
        <v>2023</v>
      </c>
      <c r="D324" s="65" t="s">
        <v>331</v>
      </c>
      <c r="E324" s="65" t="s">
        <v>301</v>
      </c>
      <c r="F324" s="65" t="s">
        <v>40</v>
      </c>
      <c r="G324" s="65"/>
      <c r="H324" s="65"/>
      <c r="I324" s="66">
        <v>36957.56583</v>
      </c>
    </row>
    <row r="325" spans="1:9" hidden="1">
      <c r="A325" s="67" t="s">
        <v>295</v>
      </c>
      <c r="B325" s="68">
        <v>2022</v>
      </c>
      <c r="C325" s="68">
        <v>2023</v>
      </c>
      <c r="D325" s="68" t="s">
        <v>331</v>
      </c>
      <c r="E325" s="68" t="s">
        <v>305</v>
      </c>
      <c r="F325" s="68" t="s">
        <v>40</v>
      </c>
      <c r="G325" s="68"/>
      <c r="H325" s="68"/>
      <c r="I325" s="69">
        <v>2646.2370099999998</v>
      </c>
    </row>
    <row r="326" spans="1:9" hidden="1">
      <c r="A326" s="64" t="s">
        <v>295</v>
      </c>
      <c r="B326" s="65">
        <v>2022</v>
      </c>
      <c r="C326" s="65">
        <v>2023</v>
      </c>
      <c r="D326" s="65" t="s">
        <v>332</v>
      </c>
      <c r="E326" s="65" t="s">
        <v>294</v>
      </c>
      <c r="F326" s="65" t="s">
        <v>40</v>
      </c>
      <c r="G326" s="65"/>
      <c r="H326" s="65"/>
      <c r="I326" s="66">
        <v>747.68122000000005</v>
      </c>
    </row>
    <row r="327" spans="1:9" hidden="1">
      <c r="A327" s="67" t="s">
        <v>295</v>
      </c>
      <c r="B327" s="68">
        <v>2022</v>
      </c>
      <c r="C327" s="68">
        <v>2023</v>
      </c>
      <c r="D327" s="68" t="s">
        <v>332</v>
      </c>
      <c r="E327" s="68" t="s">
        <v>301</v>
      </c>
      <c r="F327" s="68" t="s">
        <v>40</v>
      </c>
      <c r="G327" s="68"/>
      <c r="H327" s="68"/>
      <c r="I327" s="69">
        <v>696.27980000000002</v>
      </c>
    </row>
    <row r="328" spans="1:9" hidden="1">
      <c r="A328" s="64" t="s">
        <v>295</v>
      </c>
      <c r="B328" s="65">
        <v>2022</v>
      </c>
      <c r="C328" s="65">
        <v>2023</v>
      </c>
      <c r="D328" s="65" t="s">
        <v>332</v>
      </c>
      <c r="E328" s="65" t="s">
        <v>305</v>
      </c>
      <c r="F328" s="65" t="s">
        <v>40</v>
      </c>
      <c r="G328" s="65"/>
      <c r="H328" s="65"/>
      <c r="I328" s="66">
        <v>208.99417</v>
      </c>
    </row>
    <row r="329" spans="1:9" hidden="1">
      <c r="A329" s="67" t="s">
        <v>295</v>
      </c>
      <c r="B329" s="68">
        <v>2022</v>
      </c>
      <c r="C329" s="68">
        <v>2023</v>
      </c>
      <c r="D329" s="68" t="s">
        <v>333</v>
      </c>
      <c r="E329" s="68" t="s">
        <v>294</v>
      </c>
      <c r="F329" s="68" t="s">
        <v>40</v>
      </c>
      <c r="G329" s="68"/>
      <c r="H329" s="68"/>
      <c r="I329" s="69">
        <v>-46804.275289999998</v>
      </c>
    </row>
    <row r="330" spans="1:9" hidden="1">
      <c r="A330" s="64" t="s">
        <v>295</v>
      </c>
      <c r="B330" s="65">
        <v>2022</v>
      </c>
      <c r="C330" s="65">
        <v>2023</v>
      </c>
      <c r="D330" s="65" t="s">
        <v>333</v>
      </c>
      <c r="E330" s="65" t="s">
        <v>301</v>
      </c>
      <c r="F330" s="65" t="s">
        <v>40</v>
      </c>
      <c r="G330" s="65"/>
      <c r="H330" s="65"/>
      <c r="I330" s="66">
        <v>-46093.329709999998</v>
      </c>
    </row>
    <row r="331" spans="1:9" hidden="1">
      <c r="A331" s="67" t="s">
        <v>295</v>
      </c>
      <c r="B331" s="68">
        <v>2022</v>
      </c>
      <c r="C331" s="68">
        <v>2023</v>
      </c>
      <c r="D331" s="68" t="s">
        <v>333</v>
      </c>
      <c r="E331" s="68" t="s">
        <v>305</v>
      </c>
      <c r="F331" s="68" t="s">
        <v>40</v>
      </c>
      <c r="G331" s="68"/>
      <c r="H331" s="68"/>
      <c r="I331" s="69">
        <v>-2670.4250000000002</v>
      </c>
    </row>
    <row r="332" spans="1:9" hidden="1">
      <c r="A332" s="64" t="s">
        <v>295</v>
      </c>
      <c r="B332" s="65">
        <v>2022</v>
      </c>
      <c r="C332" s="65">
        <v>2023</v>
      </c>
      <c r="D332" s="65" t="s">
        <v>334</v>
      </c>
      <c r="E332" s="65" t="s">
        <v>294</v>
      </c>
      <c r="F332" s="65" t="s">
        <v>40</v>
      </c>
      <c r="G332" s="65"/>
      <c r="H332" s="65"/>
      <c r="I332" s="66">
        <v>276.05567000000002</v>
      </c>
    </row>
    <row r="333" spans="1:9" hidden="1">
      <c r="A333" s="67" t="s">
        <v>295</v>
      </c>
      <c r="B333" s="68">
        <v>2022</v>
      </c>
      <c r="C333" s="68">
        <v>2023</v>
      </c>
      <c r="D333" s="68" t="s">
        <v>334</v>
      </c>
      <c r="E333" s="68" t="s">
        <v>301</v>
      </c>
      <c r="F333" s="68" t="s">
        <v>40</v>
      </c>
      <c r="G333" s="68"/>
      <c r="H333" s="68"/>
      <c r="I333" s="69">
        <v>276.05567000000002</v>
      </c>
    </row>
    <row r="334" spans="1:9" hidden="1">
      <c r="A334" s="64" t="s">
        <v>295</v>
      </c>
      <c r="B334" s="65">
        <v>2022</v>
      </c>
      <c r="C334" s="65">
        <v>2023</v>
      </c>
      <c r="D334" s="65" t="s">
        <v>308</v>
      </c>
      <c r="E334" s="65" t="s">
        <v>294</v>
      </c>
      <c r="F334" s="65" t="s">
        <v>297</v>
      </c>
      <c r="G334" s="65"/>
      <c r="H334" s="65"/>
      <c r="I334" s="66">
        <v>116366.45279</v>
      </c>
    </row>
    <row r="335" spans="1:9" hidden="1">
      <c r="A335" s="67" t="s">
        <v>295</v>
      </c>
      <c r="B335" s="68">
        <v>2022</v>
      </c>
      <c r="C335" s="68">
        <v>2023</v>
      </c>
      <c r="D335" s="68" t="s">
        <v>308</v>
      </c>
      <c r="E335" s="68" t="s">
        <v>294</v>
      </c>
      <c r="F335" s="68" t="s">
        <v>298</v>
      </c>
      <c r="G335" s="68"/>
      <c r="H335" s="68"/>
      <c r="I335" s="69">
        <v>239.13140000000001</v>
      </c>
    </row>
    <row r="336" spans="1:9" hidden="1">
      <c r="A336" s="64" t="s">
        <v>295</v>
      </c>
      <c r="B336" s="65">
        <v>2022</v>
      </c>
      <c r="C336" s="65">
        <v>2023</v>
      </c>
      <c r="D336" s="65" t="s">
        <v>308</v>
      </c>
      <c r="E336" s="65" t="s">
        <v>294</v>
      </c>
      <c r="F336" s="65" t="s">
        <v>40</v>
      </c>
      <c r="G336" s="65"/>
      <c r="H336" s="65"/>
      <c r="I336" s="66">
        <v>116605.58461999999</v>
      </c>
    </row>
    <row r="337" spans="1:9" hidden="1">
      <c r="A337" s="67" t="s">
        <v>295</v>
      </c>
      <c r="B337" s="68">
        <v>2022</v>
      </c>
      <c r="C337" s="68">
        <v>2023</v>
      </c>
      <c r="D337" s="68" t="s">
        <v>308</v>
      </c>
      <c r="E337" s="68" t="s">
        <v>301</v>
      </c>
      <c r="F337" s="68" t="s">
        <v>297</v>
      </c>
      <c r="G337" s="68"/>
      <c r="H337" s="68"/>
      <c r="I337" s="69">
        <v>116862.13219</v>
      </c>
    </row>
    <row r="338" spans="1:9" hidden="1">
      <c r="A338" s="64" t="s">
        <v>295</v>
      </c>
      <c r="B338" s="65">
        <v>2022</v>
      </c>
      <c r="C338" s="65">
        <v>2023</v>
      </c>
      <c r="D338" s="65" t="s">
        <v>308</v>
      </c>
      <c r="E338" s="65" t="s">
        <v>301</v>
      </c>
      <c r="F338" s="65" t="s">
        <v>298</v>
      </c>
      <c r="G338" s="65"/>
      <c r="H338" s="65"/>
      <c r="I338" s="66">
        <v>239.13140000000001</v>
      </c>
    </row>
    <row r="339" spans="1:9" hidden="1">
      <c r="A339" s="67" t="s">
        <v>295</v>
      </c>
      <c r="B339" s="68">
        <v>2022</v>
      </c>
      <c r="C339" s="68">
        <v>2023</v>
      </c>
      <c r="D339" s="68" t="s">
        <v>308</v>
      </c>
      <c r="E339" s="68" t="s">
        <v>301</v>
      </c>
      <c r="F339" s="68" t="s">
        <v>40</v>
      </c>
      <c r="G339" s="68"/>
      <c r="H339" s="68"/>
      <c r="I339" s="69">
        <v>117101.26402</v>
      </c>
    </row>
    <row r="340" spans="1:9" hidden="1">
      <c r="A340" s="64" t="s">
        <v>295</v>
      </c>
      <c r="B340" s="65">
        <v>2022</v>
      </c>
      <c r="C340" s="65">
        <v>2023</v>
      </c>
      <c r="D340" s="65" t="s">
        <v>308</v>
      </c>
      <c r="E340" s="65" t="s">
        <v>305</v>
      </c>
      <c r="F340" s="65" t="s">
        <v>297</v>
      </c>
      <c r="G340" s="65"/>
      <c r="H340" s="65"/>
      <c r="I340" s="66">
        <v>1464.3678</v>
      </c>
    </row>
    <row r="341" spans="1:9" hidden="1">
      <c r="A341" s="67" t="s">
        <v>295</v>
      </c>
      <c r="B341" s="68">
        <v>2022</v>
      </c>
      <c r="C341" s="68">
        <v>2023</v>
      </c>
      <c r="D341" s="68" t="s">
        <v>308</v>
      </c>
      <c r="E341" s="68" t="s">
        <v>305</v>
      </c>
      <c r="F341" s="68" t="s">
        <v>40</v>
      </c>
      <c r="G341" s="68"/>
      <c r="H341" s="68"/>
      <c r="I341" s="69">
        <v>10700.567800000001</v>
      </c>
    </row>
    <row r="342" spans="1:9" hidden="1">
      <c r="A342" s="64" t="s">
        <v>295</v>
      </c>
      <c r="B342" s="65">
        <v>2022</v>
      </c>
      <c r="C342" s="65">
        <v>2023</v>
      </c>
      <c r="D342" s="65" t="s">
        <v>310</v>
      </c>
      <c r="E342" s="65" t="s">
        <v>294</v>
      </c>
      <c r="F342" s="65" t="s">
        <v>297</v>
      </c>
      <c r="G342" s="65"/>
      <c r="H342" s="65"/>
      <c r="I342" s="66">
        <v>109.1</v>
      </c>
    </row>
    <row r="343" spans="1:9" hidden="1">
      <c r="A343" s="67" t="s">
        <v>295</v>
      </c>
      <c r="B343" s="68">
        <v>2022</v>
      </c>
      <c r="C343" s="68">
        <v>2023</v>
      </c>
      <c r="D343" s="68" t="s">
        <v>310</v>
      </c>
      <c r="E343" s="68" t="s">
        <v>294</v>
      </c>
      <c r="F343" s="68" t="s">
        <v>40</v>
      </c>
      <c r="G343" s="68"/>
      <c r="H343" s="68"/>
      <c r="I343" s="69">
        <v>87849.527847392019</v>
      </c>
    </row>
    <row r="344" spans="1:9" hidden="1">
      <c r="A344" s="64" t="s">
        <v>295</v>
      </c>
      <c r="B344" s="65">
        <v>2022</v>
      </c>
      <c r="C344" s="65">
        <v>2023</v>
      </c>
      <c r="D344" s="65" t="s">
        <v>310</v>
      </c>
      <c r="E344" s="65" t="s">
        <v>301</v>
      </c>
      <c r="F344" s="65" t="s">
        <v>297</v>
      </c>
      <c r="G344" s="65"/>
      <c r="H344" s="65"/>
      <c r="I344" s="66">
        <v>109.1</v>
      </c>
    </row>
    <row r="345" spans="1:9" hidden="1">
      <c r="A345" s="67" t="s">
        <v>295</v>
      </c>
      <c r="B345" s="68">
        <v>2022</v>
      </c>
      <c r="C345" s="68">
        <v>2023</v>
      </c>
      <c r="D345" s="68" t="s">
        <v>310</v>
      </c>
      <c r="E345" s="68" t="s">
        <v>301</v>
      </c>
      <c r="F345" s="68" t="s">
        <v>40</v>
      </c>
      <c r="G345" s="68"/>
      <c r="H345" s="68"/>
      <c r="I345" s="69">
        <v>89194.182147392014</v>
      </c>
    </row>
    <row r="346" spans="1:9" hidden="1">
      <c r="A346" s="64" t="s">
        <v>295</v>
      </c>
      <c r="B346" s="65">
        <v>2022</v>
      </c>
      <c r="C346" s="65">
        <v>2023</v>
      </c>
      <c r="D346" s="65" t="s">
        <v>310</v>
      </c>
      <c r="E346" s="65" t="s">
        <v>305</v>
      </c>
      <c r="F346" s="65" t="s">
        <v>40</v>
      </c>
      <c r="G346" s="65"/>
      <c r="H346" s="65"/>
      <c r="I346" s="66">
        <v>931.10717</v>
      </c>
    </row>
    <row r="347" spans="1:9" hidden="1">
      <c r="A347" s="67" t="s">
        <v>295</v>
      </c>
      <c r="B347" s="68">
        <v>2022</v>
      </c>
      <c r="C347" s="68">
        <v>2023</v>
      </c>
      <c r="D347" s="68" t="s">
        <v>311</v>
      </c>
      <c r="E347" s="68" t="s">
        <v>294</v>
      </c>
      <c r="F347" s="68" t="s">
        <v>297</v>
      </c>
      <c r="G347" s="68"/>
      <c r="H347" s="68"/>
      <c r="I347" s="69">
        <v>483.1</v>
      </c>
    </row>
    <row r="348" spans="1:9" hidden="1">
      <c r="A348" s="64" t="s">
        <v>295</v>
      </c>
      <c r="B348" s="65">
        <v>2022</v>
      </c>
      <c r="C348" s="65">
        <v>2023</v>
      </c>
      <c r="D348" s="65" t="s">
        <v>311</v>
      </c>
      <c r="E348" s="65" t="s">
        <v>294</v>
      </c>
      <c r="F348" s="65" t="s">
        <v>40</v>
      </c>
      <c r="G348" s="65"/>
      <c r="H348" s="65"/>
      <c r="I348" s="66">
        <v>133589.481333679</v>
      </c>
    </row>
    <row r="349" spans="1:9" hidden="1">
      <c r="A349" s="67" t="s">
        <v>295</v>
      </c>
      <c r="B349" s="68">
        <v>2022</v>
      </c>
      <c r="C349" s="68">
        <v>2023</v>
      </c>
      <c r="D349" s="68" t="s">
        <v>311</v>
      </c>
      <c r="E349" s="68" t="s">
        <v>301</v>
      </c>
      <c r="F349" s="68" t="s">
        <v>297</v>
      </c>
      <c r="G349" s="68"/>
      <c r="H349" s="68"/>
      <c r="I349" s="69">
        <v>483.1</v>
      </c>
    </row>
    <row r="350" spans="1:9" hidden="1">
      <c r="A350" s="64" t="s">
        <v>295</v>
      </c>
      <c r="B350" s="65">
        <v>2022</v>
      </c>
      <c r="C350" s="65">
        <v>2023</v>
      </c>
      <c r="D350" s="65" t="s">
        <v>311</v>
      </c>
      <c r="E350" s="65" t="s">
        <v>301</v>
      </c>
      <c r="F350" s="65" t="s">
        <v>40</v>
      </c>
      <c r="G350" s="65"/>
      <c r="H350" s="65"/>
      <c r="I350" s="66">
        <v>133693.07916367901</v>
      </c>
    </row>
    <row r="351" spans="1:9" hidden="1">
      <c r="A351" s="67" t="s">
        <v>295</v>
      </c>
      <c r="B351" s="68">
        <v>2022</v>
      </c>
      <c r="C351" s="68">
        <v>2023</v>
      </c>
      <c r="D351" s="68" t="s">
        <v>311</v>
      </c>
      <c r="E351" s="68" t="s">
        <v>305</v>
      </c>
      <c r="F351" s="68" t="s">
        <v>40</v>
      </c>
      <c r="G351" s="68"/>
      <c r="H351" s="68"/>
      <c r="I351" s="69">
        <v>588.4</v>
      </c>
    </row>
    <row r="352" spans="1:9" hidden="1">
      <c r="A352" s="64" t="s">
        <v>295</v>
      </c>
      <c r="B352" s="65">
        <v>2022</v>
      </c>
      <c r="C352" s="65">
        <v>2023</v>
      </c>
      <c r="D352" s="65" t="s">
        <v>312</v>
      </c>
      <c r="E352" s="65" t="s">
        <v>294</v>
      </c>
      <c r="F352" s="65" t="s">
        <v>297</v>
      </c>
      <c r="G352" s="65"/>
      <c r="H352" s="65"/>
      <c r="I352" s="66">
        <v>758.96889999999996</v>
      </c>
    </row>
    <row r="353" spans="1:9" hidden="1">
      <c r="A353" s="67" t="s">
        <v>295</v>
      </c>
      <c r="B353" s="68">
        <v>2022</v>
      </c>
      <c r="C353" s="68">
        <v>2023</v>
      </c>
      <c r="D353" s="68" t="s">
        <v>312</v>
      </c>
      <c r="E353" s="68" t="s">
        <v>294</v>
      </c>
      <c r="F353" s="68" t="s">
        <v>40</v>
      </c>
      <c r="G353" s="68"/>
      <c r="H353" s="68"/>
      <c r="I353" s="69">
        <v>902.86890000000005</v>
      </c>
    </row>
    <row r="354" spans="1:9" hidden="1">
      <c r="A354" s="64" t="s">
        <v>295</v>
      </c>
      <c r="B354" s="65">
        <v>2022</v>
      </c>
      <c r="C354" s="65">
        <v>2023</v>
      </c>
      <c r="D354" s="65" t="s">
        <v>312</v>
      </c>
      <c r="E354" s="65" t="s">
        <v>301</v>
      </c>
      <c r="F354" s="65" t="s">
        <v>297</v>
      </c>
      <c r="G354" s="65"/>
      <c r="H354" s="65"/>
      <c r="I354" s="66">
        <v>759.06892000000005</v>
      </c>
    </row>
    <row r="355" spans="1:9" hidden="1">
      <c r="A355" s="67" t="s">
        <v>295</v>
      </c>
      <c r="B355" s="68">
        <v>2022</v>
      </c>
      <c r="C355" s="68">
        <v>2023</v>
      </c>
      <c r="D355" s="68" t="s">
        <v>312</v>
      </c>
      <c r="E355" s="68" t="s">
        <v>301</v>
      </c>
      <c r="F355" s="68" t="s">
        <v>40</v>
      </c>
      <c r="G355" s="68"/>
      <c r="H355" s="68"/>
      <c r="I355" s="69">
        <v>902.96892000000003</v>
      </c>
    </row>
    <row r="356" spans="1:9" hidden="1">
      <c r="A356" s="64" t="s">
        <v>295</v>
      </c>
      <c r="B356" s="65">
        <v>2022</v>
      </c>
      <c r="C356" s="65">
        <v>2023</v>
      </c>
      <c r="D356" s="65" t="s">
        <v>313</v>
      </c>
      <c r="E356" s="65" t="s">
        <v>294</v>
      </c>
      <c r="F356" s="65" t="s">
        <v>297</v>
      </c>
      <c r="G356" s="65"/>
      <c r="H356" s="65"/>
      <c r="I356" s="66">
        <v>2085372.1229399999</v>
      </c>
    </row>
    <row r="357" spans="1:9" hidden="1">
      <c r="A357" s="67" t="s">
        <v>295</v>
      </c>
      <c r="B357" s="68">
        <v>2022</v>
      </c>
      <c r="C357" s="68">
        <v>2023</v>
      </c>
      <c r="D357" s="68" t="s">
        <v>313</v>
      </c>
      <c r="E357" s="68" t="s">
        <v>294</v>
      </c>
      <c r="F357" s="68" t="s">
        <v>298</v>
      </c>
      <c r="G357" s="68"/>
      <c r="H357" s="68"/>
      <c r="I357" s="69">
        <v>1270592.4474800001</v>
      </c>
    </row>
    <row r="358" spans="1:9" hidden="1">
      <c r="A358" s="64" t="s">
        <v>295</v>
      </c>
      <c r="B358" s="65">
        <v>2022</v>
      </c>
      <c r="C358" s="65">
        <v>2023</v>
      </c>
      <c r="D358" s="65" t="s">
        <v>313</v>
      </c>
      <c r="E358" s="65" t="s">
        <v>294</v>
      </c>
      <c r="F358" s="65" t="s">
        <v>40</v>
      </c>
      <c r="G358" s="65"/>
      <c r="H358" s="65"/>
      <c r="I358" s="66">
        <v>3367684.0654000002</v>
      </c>
    </row>
    <row r="359" spans="1:9" hidden="1">
      <c r="A359" s="67" t="s">
        <v>295</v>
      </c>
      <c r="B359" s="68">
        <v>2022</v>
      </c>
      <c r="C359" s="68">
        <v>2023</v>
      </c>
      <c r="D359" s="68" t="s">
        <v>313</v>
      </c>
      <c r="E359" s="68" t="s">
        <v>301</v>
      </c>
      <c r="F359" s="68" t="s">
        <v>297</v>
      </c>
      <c r="G359" s="68"/>
      <c r="H359" s="68"/>
      <c r="I359" s="69">
        <v>2098204.5414</v>
      </c>
    </row>
    <row r="360" spans="1:9" hidden="1">
      <c r="A360" s="64" t="s">
        <v>295</v>
      </c>
      <c r="B360" s="65">
        <v>2022</v>
      </c>
      <c r="C360" s="65">
        <v>2023</v>
      </c>
      <c r="D360" s="65" t="s">
        <v>313</v>
      </c>
      <c r="E360" s="65" t="s">
        <v>301</v>
      </c>
      <c r="F360" s="65" t="s">
        <v>298</v>
      </c>
      <c r="G360" s="65"/>
      <c r="H360" s="65"/>
      <c r="I360" s="66">
        <v>1290651.10247</v>
      </c>
    </row>
    <row r="361" spans="1:9" hidden="1">
      <c r="A361" s="67" t="s">
        <v>295</v>
      </c>
      <c r="B361" s="68">
        <v>2022</v>
      </c>
      <c r="C361" s="68">
        <v>2023</v>
      </c>
      <c r="D361" s="68" t="s">
        <v>313</v>
      </c>
      <c r="E361" s="68" t="s">
        <v>301</v>
      </c>
      <c r="F361" s="68" t="s">
        <v>40</v>
      </c>
      <c r="G361" s="68"/>
      <c r="H361" s="68"/>
      <c r="I361" s="69">
        <v>3400843.9388700002</v>
      </c>
    </row>
    <row r="362" spans="1:9" hidden="1">
      <c r="A362" s="64" t="s">
        <v>295</v>
      </c>
      <c r="B362" s="65">
        <v>2022</v>
      </c>
      <c r="C362" s="65">
        <v>2023</v>
      </c>
      <c r="D362" s="65" t="s">
        <v>313</v>
      </c>
      <c r="E362" s="65" t="s">
        <v>305</v>
      </c>
      <c r="F362" s="65" t="s">
        <v>297</v>
      </c>
      <c r="G362" s="65"/>
      <c r="H362" s="65"/>
      <c r="I362" s="66">
        <v>14635.97993</v>
      </c>
    </row>
    <row r="363" spans="1:9" hidden="1">
      <c r="A363" s="67" t="s">
        <v>295</v>
      </c>
      <c r="B363" s="68">
        <v>2022</v>
      </c>
      <c r="C363" s="68">
        <v>2023</v>
      </c>
      <c r="D363" s="68" t="s">
        <v>313</v>
      </c>
      <c r="E363" s="68" t="s">
        <v>305</v>
      </c>
      <c r="F363" s="68" t="s">
        <v>298</v>
      </c>
      <c r="G363" s="68"/>
      <c r="H363" s="68"/>
      <c r="I363" s="69">
        <v>8950.940700000001</v>
      </c>
    </row>
    <row r="364" spans="1:9" hidden="1">
      <c r="A364" s="64" t="s">
        <v>295</v>
      </c>
      <c r="B364" s="65">
        <v>2022</v>
      </c>
      <c r="C364" s="65">
        <v>2023</v>
      </c>
      <c r="D364" s="65" t="s">
        <v>313</v>
      </c>
      <c r="E364" s="65" t="s">
        <v>305</v>
      </c>
      <c r="F364" s="65" t="s">
        <v>40</v>
      </c>
      <c r="G364" s="65"/>
      <c r="H364" s="65"/>
      <c r="I364" s="66">
        <v>185901.13031000001</v>
      </c>
    </row>
    <row r="365" spans="1:9" hidden="1">
      <c r="A365" s="67" t="s">
        <v>295</v>
      </c>
      <c r="B365" s="68">
        <v>2022</v>
      </c>
      <c r="C365" s="68">
        <v>2023</v>
      </c>
      <c r="D365" s="68" t="s">
        <v>314</v>
      </c>
      <c r="E365" s="68" t="s">
        <v>294</v>
      </c>
      <c r="F365" s="68" t="s">
        <v>297</v>
      </c>
      <c r="G365" s="68"/>
      <c r="H365" s="68"/>
      <c r="I365" s="69">
        <v>2085386.5099299999</v>
      </c>
    </row>
    <row r="366" spans="1:9" hidden="1">
      <c r="A366" s="64" t="s">
        <v>295</v>
      </c>
      <c r="B366" s="65">
        <v>2022</v>
      </c>
      <c r="C366" s="65">
        <v>2023</v>
      </c>
      <c r="D366" s="65" t="s">
        <v>314</v>
      </c>
      <c r="E366" s="65" t="s">
        <v>294</v>
      </c>
      <c r="F366" s="65" t="s">
        <v>298</v>
      </c>
      <c r="G366" s="65"/>
      <c r="H366" s="65"/>
      <c r="I366" s="66">
        <v>1270592.54748</v>
      </c>
    </row>
    <row r="367" spans="1:9" hidden="1">
      <c r="A367" s="67" t="s">
        <v>295</v>
      </c>
      <c r="B367" s="68">
        <v>2022</v>
      </c>
      <c r="C367" s="68">
        <v>2023</v>
      </c>
      <c r="D367" s="68" t="s">
        <v>314</v>
      </c>
      <c r="E367" s="68" t="s">
        <v>294</v>
      </c>
      <c r="F367" s="68" t="s">
        <v>40</v>
      </c>
      <c r="G367" s="68"/>
      <c r="H367" s="68"/>
      <c r="I367" s="69">
        <v>3119346.0947500002</v>
      </c>
    </row>
    <row r="368" spans="1:9" hidden="1">
      <c r="A368" s="64" t="s">
        <v>295</v>
      </c>
      <c r="B368" s="65">
        <v>2022</v>
      </c>
      <c r="C368" s="65">
        <v>2023</v>
      </c>
      <c r="D368" s="65" t="s">
        <v>314</v>
      </c>
      <c r="E368" s="65" t="s">
        <v>301</v>
      </c>
      <c r="F368" s="65" t="s">
        <v>297</v>
      </c>
      <c r="G368" s="65"/>
      <c r="H368" s="65"/>
      <c r="I368" s="66">
        <v>2098218.92839</v>
      </c>
    </row>
    <row r="369" spans="1:9" hidden="1">
      <c r="A369" s="67" t="s">
        <v>295</v>
      </c>
      <c r="B369" s="68">
        <v>2022</v>
      </c>
      <c r="C369" s="68">
        <v>2023</v>
      </c>
      <c r="D369" s="68" t="s">
        <v>314</v>
      </c>
      <c r="E369" s="68" t="s">
        <v>301</v>
      </c>
      <c r="F369" s="68" t="s">
        <v>298</v>
      </c>
      <c r="G369" s="68"/>
      <c r="H369" s="68"/>
      <c r="I369" s="69">
        <v>1290651.2024699999</v>
      </c>
    </row>
    <row r="370" spans="1:9" hidden="1">
      <c r="A370" s="64" t="s">
        <v>295</v>
      </c>
      <c r="B370" s="65">
        <v>2022</v>
      </c>
      <c r="C370" s="65">
        <v>2023</v>
      </c>
      <c r="D370" s="65" t="s">
        <v>314</v>
      </c>
      <c r="E370" s="65" t="s">
        <v>301</v>
      </c>
      <c r="F370" s="65" t="s">
        <v>40</v>
      </c>
      <c r="G370" s="65"/>
      <c r="H370" s="65"/>
      <c r="I370" s="66">
        <v>3156347.94337</v>
      </c>
    </row>
    <row r="371" spans="1:9" hidden="1">
      <c r="A371" s="67" t="s">
        <v>295</v>
      </c>
      <c r="B371" s="68">
        <v>2022</v>
      </c>
      <c r="C371" s="68">
        <v>2023</v>
      </c>
      <c r="D371" s="68" t="s">
        <v>314</v>
      </c>
      <c r="E371" s="68" t="s">
        <v>305</v>
      </c>
      <c r="F371" s="68" t="s">
        <v>297</v>
      </c>
      <c r="G371" s="68"/>
      <c r="H371" s="68"/>
      <c r="I371" s="69">
        <v>14635.97993</v>
      </c>
    </row>
    <row r="372" spans="1:9" hidden="1">
      <c r="A372" s="64" t="s">
        <v>295</v>
      </c>
      <c r="B372" s="65">
        <v>2022</v>
      </c>
      <c r="C372" s="65">
        <v>2023</v>
      </c>
      <c r="D372" s="65" t="s">
        <v>314</v>
      </c>
      <c r="E372" s="65" t="s">
        <v>305</v>
      </c>
      <c r="F372" s="65" t="s">
        <v>298</v>
      </c>
      <c r="G372" s="65"/>
      <c r="H372" s="65"/>
      <c r="I372" s="66">
        <v>8950.940700000001</v>
      </c>
    </row>
    <row r="373" spans="1:9" hidden="1">
      <c r="A373" s="67" t="s">
        <v>295</v>
      </c>
      <c r="B373" s="68">
        <v>2022</v>
      </c>
      <c r="C373" s="68">
        <v>2023</v>
      </c>
      <c r="D373" s="68" t="s">
        <v>314</v>
      </c>
      <c r="E373" s="68" t="s">
        <v>305</v>
      </c>
      <c r="F373" s="68" t="s">
        <v>40</v>
      </c>
      <c r="G373" s="68"/>
      <c r="H373" s="68"/>
      <c r="I373" s="69">
        <v>162491.42095999999</v>
      </c>
    </row>
    <row r="374" spans="1:9" hidden="1">
      <c r="A374" s="64" t="s">
        <v>295</v>
      </c>
      <c r="B374" s="65">
        <v>2023</v>
      </c>
      <c r="C374" s="65">
        <v>2023</v>
      </c>
      <c r="D374" s="65" t="s">
        <v>296</v>
      </c>
      <c r="E374" s="65" t="s">
        <v>294</v>
      </c>
      <c r="F374" s="65" t="s">
        <v>297</v>
      </c>
      <c r="G374" s="65"/>
      <c r="H374" s="65"/>
      <c r="I374" s="66">
        <v>1463235.7548</v>
      </c>
    </row>
    <row r="375" spans="1:9" hidden="1">
      <c r="A375" s="67" t="s">
        <v>295</v>
      </c>
      <c r="B375" s="68">
        <v>2023</v>
      </c>
      <c r="C375" s="68">
        <v>2023</v>
      </c>
      <c r="D375" s="68" t="s">
        <v>296</v>
      </c>
      <c r="E375" s="68" t="s">
        <v>294</v>
      </c>
      <c r="F375" s="68" t="s">
        <v>298</v>
      </c>
      <c r="G375" s="68"/>
      <c r="H375" s="68"/>
      <c r="I375" s="69">
        <v>1051159.3146599999</v>
      </c>
    </row>
    <row r="376" spans="1:9" hidden="1">
      <c r="A376" s="64" t="s">
        <v>295</v>
      </c>
      <c r="B376" s="65">
        <v>2023</v>
      </c>
      <c r="C376" s="65">
        <v>2023</v>
      </c>
      <c r="D376" s="65" t="s">
        <v>296</v>
      </c>
      <c r="E376" s="65" t="s">
        <v>294</v>
      </c>
      <c r="F376" s="65" t="s">
        <v>40</v>
      </c>
      <c r="G376" s="65"/>
      <c r="H376" s="65"/>
      <c r="I376" s="66">
        <v>2528139.7053499999</v>
      </c>
    </row>
    <row r="377" spans="1:9" hidden="1">
      <c r="A377" s="67" t="s">
        <v>295</v>
      </c>
      <c r="B377" s="68">
        <v>2023</v>
      </c>
      <c r="C377" s="68">
        <v>2023</v>
      </c>
      <c r="D377" s="68" t="s">
        <v>296</v>
      </c>
      <c r="E377" s="68" t="s">
        <v>301</v>
      </c>
      <c r="F377" s="68" t="s">
        <v>297</v>
      </c>
      <c r="G377" s="68"/>
      <c r="H377" s="68"/>
      <c r="I377" s="69">
        <v>1493744.07048</v>
      </c>
    </row>
    <row r="378" spans="1:9" hidden="1">
      <c r="A378" s="64" t="s">
        <v>295</v>
      </c>
      <c r="B378" s="65">
        <v>2023</v>
      </c>
      <c r="C378" s="65">
        <v>2023</v>
      </c>
      <c r="D378" s="65" t="s">
        <v>296</v>
      </c>
      <c r="E378" s="65" t="s">
        <v>301</v>
      </c>
      <c r="F378" s="65" t="s">
        <v>298</v>
      </c>
      <c r="G378" s="65"/>
      <c r="H378" s="65"/>
      <c r="I378" s="66">
        <v>1080883.22829</v>
      </c>
    </row>
    <row r="379" spans="1:9" hidden="1">
      <c r="A379" s="67" t="s">
        <v>295</v>
      </c>
      <c r="B379" s="68">
        <v>2023</v>
      </c>
      <c r="C379" s="68">
        <v>2023</v>
      </c>
      <c r="D379" s="68" t="s">
        <v>296</v>
      </c>
      <c r="E379" s="68" t="s">
        <v>301</v>
      </c>
      <c r="F379" s="68" t="s">
        <v>40</v>
      </c>
      <c r="G379" s="68"/>
      <c r="H379" s="68"/>
      <c r="I379" s="69">
        <v>2588903.7746600001</v>
      </c>
    </row>
    <row r="380" spans="1:9" hidden="1">
      <c r="A380" s="64" t="s">
        <v>295</v>
      </c>
      <c r="B380" s="65">
        <v>2023</v>
      </c>
      <c r="C380" s="65">
        <v>2023</v>
      </c>
      <c r="D380" s="65" t="s">
        <v>296</v>
      </c>
      <c r="E380" s="65" t="s">
        <v>305</v>
      </c>
      <c r="F380" s="65" t="s">
        <v>297</v>
      </c>
      <c r="G380" s="65"/>
      <c r="H380" s="65"/>
      <c r="I380" s="66">
        <v>10322.36289</v>
      </c>
    </row>
    <row r="381" spans="1:9" hidden="1">
      <c r="A381" s="67" t="s">
        <v>295</v>
      </c>
      <c r="B381" s="68">
        <v>2023</v>
      </c>
      <c r="C381" s="68">
        <v>2023</v>
      </c>
      <c r="D381" s="68" t="s">
        <v>296</v>
      </c>
      <c r="E381" s="68" t="s">
        <v>305</v>
      </c>
      <c r="F381" s="68" t="s">
        <v>298</v>
      </c>
      <c r="G381" s="68"/>
      <c r="H381" s="68"/>
      <c r="I381" s="69">
        <v>8255.9632000000001</v>
      </c>
    </row>
    <row r="382" spans="1:9" hidden="1">
      <c r="A382" s="64" t="s">
        <v>295</v>
      </c>
      <c r="B382" s="65">
        <v>2023</v>
      </c>
      <c r="C382" s="65">
        <v>2023</v>
      </c>
      <c r="D382" s="65" t="s">
        <v>296</v>
      </c>
      <c r="E382" s="65" t="s">
        <v>305</v>
      </c>
      <c r="F382" s="65" t="s">
        <v>40</v>
      </c>
      <c r="G382" s="65"/>
      <c r="H382" s="65"/>
      <c r="I382" s="66">
        <v>131609.67314</v>
      </c>
    </row>
    <row r="383" spans="1:9" hidden="1">
      <c r="A383" s="67" t="s">
        <v>295</v>
      </c>
      <c r="B383" s="68">
        <v>2023</v>
      </c>
      <c r="C383" s="68">
        <v>2023</v>
      </c>
      <c r="D383" s="68" t="s">
        <v>309</v>
      </c>
      <c r="E383" s="68" t="s">
        <v>294</v>
      </c>
      <c r="F383" s="68" t="s">
        <v>297</v>
      </c>
      <c r="G383" s="68"/>
      <c r="H383" s="68"/>
      <c r="I383" s="69">
        <v>59414.899850000002</v>
      </c>
    </row>
    <row r="384" spans="1:9" hidden="1">
      <c r="A384" s="64" t="s">
        <v>295</v>
      </c>
      <c r="B384" s="65">
        <v>2023</v>
      </c>
      <c r="C384" s="65">
        <v>2023</v>
      </c>
      <c r="D384" s="65" t="s">
        <v>309</v>
      </c>
      <c r="E384" s="65" t="s">
        <v>294</v>
      </c>
      <c r="F384" s="65" t="s">
        <v>298</v>
      </c>
      <c r="G384" s="65"/>
      <c r="H384" s="65"/>
      <c r="I384" s="66">
        <v>739653.36716000002</v>
      </c>
    </row>
    <row r="385" spans="1:9" hidden="1">
      <c r="A385" s="67" t="s">
        <v>295</v>
      </c>
      <c r="B385" s="68">
        <v>2023</v>
      </c>
      <c r="C385" s="68">
        <v>2023</v>
      </c>
      <c r="D385" s="68" t="s">
        <v>309</v>
      </c>
      <c r="E385" s="68" t="s">
        <v>294</v>
      </c>
      <c r="F385" s="68" t="s">
        <v>40</v>
      </c>
      <c r="G385" s="68"/>
      <c r="H385" s="68"/>
      <c r="I385" s="69">
        <v>799068.16703999997</v>
      </c>
    </row>
    <row r="386" spans="1:9" hidden="1">
      <c r="A386" s="64" t="s">
        <v>295</v>
      </c>
      <c r="B386" s="65">
        <v>2023</v>
      </c>
      <c r="C386" s="65">
        <v>2023</v>
      </c>
      <c r="D386" s="65" t="s">
        <v>309</v>
      </c>
      <c r="E386" s="65" t="s">
        <v>301</v>
      </c>
      <c r="F386" s="65" t="s">
        <v>297</v>
      </c>
      <c r="G386" s="65"/>
      <c r="H386" s="65"/>
      <c r="I386" s="66">
        <v>64089.446960000001</v>
      </c>
    </row>
    <row r="387" spans="1:9" hidden="1">
      <c r="A387" s="67" t="s">
        <v>295</v>
      </c>
      <c r="B387" s="68">
        <v>2023</v>
      </c>
      <c r="C387" s="68">
        <v>2023</v>
      </c>
      <c r="D387" s="68" t="s">
        <v>309</v>
      </c>
      <c r="E387" s="68" t="s">
        <v>301</v>
      </c>
      <c r="F387" s="68" t="s">
        <v>298</v>
      </c>
      <c r="G387" s="68"/>
      <c r="H387" s="68"/>
      <c r="I387" s="69">
        <v>762159.48898000002</v>
      </c>
    </row>
    <row r="388" spans="1:9" hidden="1">
      <c r="A388" s="64" t="s">
        <v>295</v>
      </c>
      <c r="B388" s="65">
        <v>2023</v>
      </c>
      <c r="C388" s="65">
        <v>2023</v>
      </c>
      <c r="D388" s="65" t="s">
        <v>309</v>
      </c>
      <c r="E388" s="65" t="s">
        <v>301</v>
      </c>
      <c r="F388" s="65" t="s">
        <v>40</v>
      </c>
      <c r="G388" s="65"/>
      <c r="H388" s="65"/>
      <c r="I388" s="66">
        <v>826248.99594000005</v>
      </c>
    </row>
    <row r="389" spans="1:9" hidden="1">
      <c r="A389" s="67" t="s">
        <v>295</v>
      </c>
      <c r="B389" s="68">
        <v>2023</v>
      </c>
      <c r="C389" s="68">
        <v>2023</v>
      </c>
      <c r="D389" s="68" t="s">
        <v>309</v>
      </c>
      <c r="E389" s="68" t="s">
        <v>305</v>
      </c>
      <c r="F389" s="68" t="s">
        <v>297</v>
      </c>
      <c r="G389" s="68"/>
      <c r="H389" s="68"/>
      <c r="I389" s="69">
        <v>146.53592</v>
      </c>
    </row>
    <row r="390" spans="1:9" hidden="1">
      <c r="A390" s="64" t="s">
        <v>295</v>
      </c>
      <c r="B390" s="65">
        <v>2023</v>
      </c>
      <c r="C390" s="65">
        <v>2023</v>
      </c>
      <c r="D390" s="65" t="s">
        <v>309</v>
      </c>
      <c r="E390" s="65" t="s">
        <v>305</v>
      </c>
      <c r="F390" s="65" t="s">
        <v>298</v>
      </c>
      <c r="G390" s="65"/>
      <c r="H390" s="65"/>
      <c r="I390" s="66">
        <v>6879.2632000000003</v>
      </c>
    </row>
    <row r="391" spans="1:9" hidden="1">
      <c r="A391" s="67" t="s">
        <v>295</v>
      </c>
      <c r="B391" s="68">
        <v>2023</v>
      </c>
      <c r="C391" s="68">
        <v>2023</v>
      </c>
      <c r="D391" s="68" t="s">
        <v>309</v>
      </c>
      <c r="E391" s="68" t="s">
        <v>305</v>
      </c>
      <c r="F391" s="68" t="s">
        <v>40</v>
      </c>
      <c r="G391" s="68"/>
      <c r="H391" s="68"/>
      <c r="I391" s="69">
        <v>47999.299120000003</v>
      </c>
    </row>
    <row r="392" spans="1:9" hidden="1">
      <c r="A392" s="64" t="s">
        <v>295</v>
      </c>
      <c r="B392" s="65">
        <v>2023</v>
      </c>
      <c r="C392" s="65">
        <v>2023</v>
      </c>
      <c r="D392" s="65" t="s">
        <v>315</v>
      </c>
      <c r="E392" s="65" t="s">
        <v>294</v>
      </c>
      <c r="F392" s="65" t="s">
        <v>297</v>
      </c>
      <c r="G392" s="65"/>
      <c r="H392" s="65"/>
      <c r="I392" s="66">
        <v>116228.80848000001</v>
      </c>
    </row>
    <row r="393" spans="1:9" hidden="1">
      <c r="A393" s="67" t="s">
        <v>295</v>
      </c>
      <c r="B393" s="68">
        <v>2023</v>
      </c>
      <c r="C393" s="68">
        <v>2023</v>
      </c>
      <c r="D393" s="68" t="s">
        <v>315</v>
      </c>
      <c r="E393" s="68" t="s">
        <v>294</v>
      </c>
      <c r="F393" s="68" t="s">
        <v>298</v>
      </c>
      <c r="G393" s="68"/>
      <c r="H393" s="68"/>
      <c r="I393" s="69">
        <v>292220.90448000003</v>
      </c>
    </row>
    <row r="394" spans="1:9" hidden="1">
      <c r="A394" s="64" t="s">
        <v>295</v>
      </c>
      <c r="B394" s="65">
        <v>2023</v>
      </c>
      <c r="C394" s="65">
        <v>2023</v>
      </c>
      <c r="D394" s="65" t="s">
        <v>315</v>
      </c>
      <c r="E394" s="65" t="s">
        <v>294</v>
      </c>
      <c r="F394" s="65" t="s">
        <v>40</v>
      </c>
      <c r="G394" s="65"/>
      <c r="H394" s="65"/>
      <c r="I394" s="66">
        <v>408449.81297000003</v>
      </c>
    </row>
    <row r="395" spans="1:9" hidden="1">
      <c r="A395" s="67" t="s">
        <v>295</v>
      </c>
      <c r="B395" s="68">
        <v>2023</v>
      </c>
      <c r="C395" s="68">
        <v>2023</v>
      </c>
      <c r="D395" s="68" t="s">
        <v>315</v>
      </c>
      <c r="E395" s="68" t="s">
        <v>301</v>
      </c>
      <c r="F395" s="68" t="s">
        <v>297</v>
      </c>
      <c r="G395" s="68"/>
      <c r="H395" s="68"/>
      <c r="I395" s="69">
        <v>117623.94506</v>
      </c>
    </row>
    <row r="396" spans="1:9" hidden="1">
      <c r="A396" s="64" t="s">
        <v>295</v>
      </c>
      <c r="B396" s="65">
        <v>2023</v>
      </c>
      <c r="C396" s="65">
        <v>2023</v>
      </c>
      <c r="D396" s="65" t="s">
        <v>315</v>
      </c>
      <c r="E396" s="65" t="s">
        <v>301</v>
      </c>
      <c r="F396" s="65" t="s">
        <v>298</v>
      </c>
      <c r="G396" s="65"/>
      <c r="H396" s="65"/>
      <c r="I396" s="66">
        <v>299095.40693</v>
      </c>
    </row>
    <row r="397" spans="1:9" hidden="1">
      <c r="A397" s="67" t="s">
        <v>295</v>
      </c>
      <c r="B397" s="68">
        <v>2023</v>
      </c>
      <c r="C397" s="68">
        <v>2023</v>
      </c>
      <c r="D397" s="68" t="s">
        <v>315</v>
      </c>
      <c r="E397" s="68" t="s">
        <v>301</v>
      </c>
      <c r="F397" s="68" t="s">
        <v>40</v>
      </c>
      <c r="G397" s="68"/>
      <c r="H397" s="68"/>
      <c r="I397" s="69">
        <v>416719.25201</v>
      </c>
    </row>
    <row r="398" spans="1:9" hidden="1">
      <c r="A398" s="64" t="s">
        <v>295</v>
      </c>
      <c r="B398" s="65">
        <v>2023</v>
      </c>
      <c r="C398" s="65">
        <v>2023</v>
      </c>
      <c r="D398" s="65" t="s">
        <v>315</v>
      </c>
      <c r="E398" s="65" t="s">
        <v>305</v>
      </c>
      <c r="F398" s="65" t="s">
        <v>297</v>
      </c>
      <c r="G398" s="65"/>
      <c r="H398" s="65"/>
      <c r="I398" s="66">
        <v>945.10500999999999</v>
      </c>
    </row>
    <row r="399" spans="1:9" hidden="1">
      <c r="A399" s="67" t="s">
        <v>295</v>
      </c>
      <c r="B399" s="68">
        <v>2023</v>
      </c>
      <c r="C399" s="68">
        <v>2023</v>
      </c>
      <c r="D399" s="68" t="s">
        <v>315</v>
      </c>
      <c r="E399" s="68" t="s">
        <v>305</v>
      </c>
      <c r="F399" s="68" t="s">
        <v>298</v>
      </c>
      <c r="G399" s="68"/>
      <c r="H399" s="68"/>
      <c r="I399" s="69">
        <v>1306.8</v>
      </c>
    </row>
    <row r="400" spans="1:9" hidden="1">
      <c r="A400" s="64" t="s">
        <v>295</v>
      </c>
      <c r="B400" s="65">
        <v>2023</v>
      </c>
      <c r="C400" s="65">
        <v>2023</v>
      </c>
      <c r="D400" s="65" t="s">
        <v>315</v>
      </c>
      <c r="E400" s="65" t="s">
        <v>305</v>
      </c>
      <c r="F400" s="65" t="s">
        <v>40</v>
      </c>
      <c r="G400" s="65"/>
      <c r="H400" s="65"/>
      <c r="I400" s="66">
        <v>18278.505010000001</v>
      </c>
    </row>
    <row r="401" spans="1:9" hidden="1">
      <c r="A401" s="67" t="s">
        <v>295</v>
      </c>
      <c r="B401" s="68">
        <v>2023</v>
      </c>
      <c r="C401" s="68">
        <v>2023</v>
      </c>
      <c r="D401" s="68" t="s">
        <v>316</v>
      </c>
      <c r="E401" s="68" t="s">
        <v>294</v>
      </c>
      <c r="F401" s="68" t="s">
        <v>297</v>
      </c>
      <c r="G401" s="68"/>
      <c r="H401" s="68"/>
      <c r="I401" s="69">
        <v>750297.50655000005</v>
      </c>
    </row>
    <row r="402" spans="1:9" hidden="1">
      <c r="A402" s="64" t="s">
        <v>295</v>
      </c>
      <c r="B402" s="65">
        <v>2023</v>
      </c>
      <c r="C402" s="65">
        <v>2023</v>
      </c>
      <c r="D402" s="65" t="s">
        <v>316</v>
      </c>
      <c r="E402" s="65" t="s">
        <v>294</v>
      </c>
      <c r="F402" s="65" t="s">
        <v>298</v>
      </c>
      <c r="G402" s="65"/>
      <c r="H402" s="65"/>
      <c r="I402" s="66">
        <v>3746.2557999999999</v>
      </c>
    </row>
    <row r="403" spans="1:9" hidden="1">
      <c r="A403" s="67" t="s">
        <v>295</v>
      </c>
      <c r="B403" s="68">
        <v>2023</v>
      </c>
      <c r="C403" s="68">
        <v>2023</v>
      </c>
      <c r="D403" s="68" t="s">
        <v>316</v>
      </c>
      <c r="E403" s="68" t="s">
        <v>294</v>
      </c>
      <c r="F403" s="68" t="s">
        <v>40</v>
      </c>
      <c r="G403" s="68"/>
      <c r="H403" s="68"/>
      <c r="I403" s="69">
        <v>767788.38818000001</v>
      </c>
    </row>
    <row r="404" spans="1:9" hidden="1">
      <c r="A404" s="64" t="s">
        <v>295</v>
      </c>
      <c r="B404" s="65">
        <v>2023</v>
      </c>
      <c r="C404" s="65">
        <v>2023</v>
      </c>
      <c r="D404" s="65" t="s">
        <v>316</v>
      </c>
      <c r="E404" s="65" t="s">
        <v>301</v>
      </c>
      <c r="F404" s="65" t="s">
        <v>297</v>
      </c>
      <c r="G404" s="65"/>
      <c r="H404" s="65"/>
      <c r="I404" s="66">
        <v>759288.71577999997</v>
      </c>
    </row>
    <row r="405" spans="1:9" hidden="1">
      <c r="A405" s="67" t="s">
        <v>295</v>
      </c>
      <c r="B405" s="68">
        <v>2023</v>
      </c>
      <c r="C405" s="68">
        <v>2023</v>
      </c>
      <c r="D405" s="68" t="s">
        <v>316</v>
      </c>
      <c r="E405" s="68" t="s">
        <v>301</v>
      </c>
      <c r="F405" s="68" t="s">
        <v>298</v>
      </c>
      <c r="G405" s="68"/>
      <c r="H405" s="68"/>
      <c r="I405" s="69">
        <v>3794.1125400000001</v>
      </c>
    </row>
    <row r="406" spans="1:9" hidden="1">
      <c r="A406" s="64" t="s">
        <v>295</v>
      </c>
      <c r="B406" s="65">
        <v>2023</v>
      </c>
      <c r="C406" s="65">
        <v>2023</v>
      </c>
      <c r="D406" s="65" t="s">
        <v>316</v>
      </c>
      <c r="E406" s="65" t="s">
        <v>301</v>
      </c>
      <c r="F406" s="65" t="s">
        <v>40</v>
      </c>
      <c r="G406" s="65"/>
      <c r="H406" s="65"/>
      <c r="I406" s="66">
        <v>777359.35415000003</v>
      </c>
    </row>
    <row r="407" spans="1:9" hidden="1">
      <c r="A407" s="67" t="s">
        <v>295</v>
      </c>
      <c r="B407" s="68">
        <v>2023</v>
      </c>
      <c r="C407" s="68">
        <v>2023</v>
      </c>
      <c r="D407" s="68" t="s">
        <v>316</v>
      </c>
      <c r="E407" s="68" t="s">
        <v>305</v>
      </c>
      <c r="F407" s="68" t="s">
        <v>297</v>
      </c>
      <c r="G407" s="68"/>
      <c r="H407" s="68"/>
      <c r="I407" s="69">
        <v>7197.5003700000007</v>
      </c>
    </row>
    <row r="408" spans="1:9" hidden="1">
      <c r="A408" s="64" t="s">
        <v>295</v>
      </c>
      <c r="B408" s="65">
        <v>2023</v>
      </c>
      <c r="C408" s="65">
        <v>2023</v>
      </c>
      <c r="D408" s="65" t="s">
        <v>316</v>
      </c>
      <c r="E408" s="65" t="s">
        <v>305</v>
      </c>
      <c r="F408" s="65" t="s">
        <v>298</v>
      </c>
      <c r="G408" s="65"/>
      <c r="H408" s="65"/>
      <c r="I408" s="66">
        <v>0</v>
      </c>
    </row>
    <row r="409" spans="1:9" hidden="1">
      <c r="A409" s="67" t="s">
        <v>295</v>
      </c>
      <c r="B409" s="68">
        <v>2023</v>
      </c>
      <c r="C409" s="68">
        <v>2023</v>
      </c>
      <c r="D409" s="68" t="s">
        <v>316</v>
      </c>
      <c r="E409" s="68" t="s">
        <v>305</v>
      </c>
      <c r="F409" s="68" t="s">
        <v>40</v>
      </c>
      <c r="G409" s="68"/>
      <c r="H409" s="68"/>
      <c r="I409" s="69">
        <v>29228.24741</v>
      </c>
    </row>
    <row r="410" spans="1:9" hidden="1">
      <c r="A410" s="64" t="s">
        <v>295</v>
      </c>
      <c r="B410" s="65">
        <v>2023</v>
      </c>
      <c r="C410" s="65">
        <v>2023</v>
      </c>
      <c r="D410" s="65" t="s">
        <v>317</v>
      </c>
      <c r="E410" s="65" t="s">
        <v>294</v>
      </c>
      <c r="F410" s="65" t="s">
        <v>297</v>
      </c>
      <c r="G410" s="65"/>
      <c r="H410" s="65"/>
      <c r="I410" s="66">
        <v>124.05678</v>
      </c>
    </row>
    <row r="411" spans="1:9" hidden="1">
      <c r="A411" s="67" t="s">
        <v>295</v>
      </c>
      <c r="B411" s="68">
        <v>2023</v>
      </c>
      <c r="C411" s="68">
        <v>2023</v>
      </c>
      <c r="D411" s="68" t="s">
        <v>317</v>
      </c>
      <c r="E411" s="68" t="s">
        <v>294</v>
      </c>
      <c r="F411" s="68" t="s">
        <v>40</v>
      </c>
      <c r="G411" s="68"/>
      <c r="H411" s="68"/>
      <c r="I411" s="69">
        <v>13868.887119999999</v>
      </c>
    </row>
    <row r="412" spans="1:9" hidden="1">
      <c r="A412" s="64" t="s">
        <v>295</v>
      </c>
      <c r="B412" s="65">
        <v>2023</v>
      </c>
      <c r="C412" s="65">
        <v>2023</v>
      </c>
      <c r="D412" s="65" t="s">
        <v>317</v>
      </c>
      <c r="E412" s="65" t="s">
        <v>301</v>
      </c>
      <c r="F412" s="65" t="s">
        <v>297</v>
      </c>
      <c r="G412" s="65"/>
      <c r="H412" s="65"/>
      <c r="I412" s="66">
        <v>128.14373599999999</v>
      </c>
    </row>
    <row r="413" spans="1:9" hidden="1">
      <c r="A413" s="67" t="s">
        <v>295</v>
      </c>
      <c r="B413" s="68">
        <v>2023</v>
      </c>
      <c r="C413" s="68">
        <v>2023</v>
      </c>
      <c r="D413" s="68" t="s">
        <v>317</v>
      </c>
      <c r="E413" s="68" t="s">
        <v>301</v>
      </c>
      <c r="F413" s="68" t="s">
        <v>40</v>
      </c>
      <c r="G413" s="68"/>
      <c r="H413" s="68"/>
      <c r="I413" s="69">
        <v>14404.887119999999</v>
      </c>
    </row>
    <row r="414" spans="1:9" hidden="1">
      <c r="A414" s="64" t="s">
        <v>295</v>
      </c>
      <c r="B414" s="65">
        <v>2023</v>
      </c>
      <c r="C414" s="65">
        <v>2023</v>
      </c>
      <c r="D414" s="65" t="s">
        <v>317</v>
      </c>
      <c r="E414" s="65" t="s">
        <v>305</v>
      </c>
      <c r="F414" s="65" t="s">
        <v>297</v>
      </c>
      <c r="G414" s="65"/>
      <c r="H414" s="65"/>
      <c r="I414" s="66">
        <v>1.2070000000000001E-2</v>
      </c>
    </row>
    <row r="415" spans="1:9" hidden="1">
      <c r="A415" s="67" t="s">
        <v>295</v>
      </c>
      <c r="B415" s="68">
        <v>2023</v>
      </c>
      <c r="C415" s="68">
        <v>2023</v>
      </c>
      <c r="D415" s="68" t="s">
        <v>317</v>
      </c>
      <c r="E415" s="68" t="s">
        <v>305</v>
      </c>
      <c r="F415" s="68" t="s">
        <v>40</v>
      </c>
      <c r="G415" s="68"/>
      <c r="H415" s="68"/>
      <c r="I415" s="69">
        <v>321.05910999999998</v>
      </c>
    </row>
    <row r="416" spans="1:9" hidden="1">
      <c r="A416" s="64" t="s">
        <v>295</v>
      </c>
      <c r="B416" s="65">
        <v>2023</v>
      </c>
      <c r="C416" s="65">
        <v>2023</v>
      </c>
      <c r="D416" s="65" t="s">
        <v>318</v>
      </c>
      <c r="E416" s="65" t="s">
        <v>294</v>
      </c>
      <c r="F416" s="65" t="s">
        <v>297</v>
      </c>
      <c r="G416" s="65"/>
      <c r="H416" s="65"/>
      <c r="I416" s="66">
        <v>727713.39358999999</v>
      </c>
    </row>
    <row r="417" spans="1:9" hidden="1">
      <c r="A417" s="67" t="s">
        <v>295</v>
      </c>
      <c r="B417" s="68">
        <v>2023</v>
      </c>
      <c r="C417" s="68">
        <v>2023</v>
      </c>
      <c r="D417" s="68" t="s">
        <v>318</v>
      </c>
      <c r="E417" s="68" t="s">
        <v>294</v>
      </c>
      <c r="F417" s="68" t="s">
        <v>298</v>
      </c>
      <c r="G417" s="68"/>
      <c r="H417" s="68"/>
      <c r="I417" s="69">
        <v>0</v>
      </c>
    </row>
    <row r="418" spans="1:9" hidden="1">
      <c r="A418" s="64" t="s">
        <v>295</v>
      </c>
      <c r="B418" s="65">
        <v>2023</v>
      </c>
      <c r="C418" s="65">
        <v>2023</v>
      </c>
      <c r="D418" s="65" t="s">
        <v>318</v>
      </c>
      <c r="E418" s="65" t="s">
        <v>294</v>
      </c>
      <c r="F418" s="65" t="s">
        <v>40</v>
      </c>
      <c r="G418" s="65"/>
      <c r="H418" s="65"/>
      <c r="I418" s="66">
        <v>727713.39358999999</v>
      </c>
    </row>
    <row r="419" spans="1:9" hidden="1">
      <c r="A419" s="67" t="s">
        <v>295</v>
      </c>
      <c r="B419" s="68">
        <v>2023</v>
      </c>
      <c r="C419" s="68">
        <v>2023</v>
      </c>
      <c r="D419" s="68" t="s">
        <v>318</v>
      </c>
      <c r="E419" s="68" t="s">
        <v>301</v>
      </c>
      <c r="F419" s="68" t="s">
        <v>297</v>
      </c>
      <c r="G419" s="68"/>
      <c r="H419" s="68"/>
      <c r="I419" s="69">
        <v>736664.11214999994</v>
      </c>
    </row>
    <row r="420" spans="1:9" hidden="1">
      <c r="A420" s="64" t="s">
        <v>295</v>
      </c>
      <c r="B420" s="65">
        <v>2023</v>
      </c>
      <c r="C420" s="65">
        <v>2023</v>
      </c>
      <c r="D420" s="65" t="s">
        <v>318</v>
      </c>
      <c r="E420" s="65" t="s">
        <v>301</v>
      </c>
      <c r="F420" s="65" t="s">
        <v>298</v>
      </c>
      <c r="G420" s="65"/>
      <c r="H420" s="65"/>
      <c r="I420" s="66">
        <v>0</v>
      </c>
    </row>
    <row r="421" spans="1:9" hidden="1">
      <c r="A421" s="67" t="s">
        <v>295</v>
      </c>
      <c r="B421" s="68">
        <v>2023</v>
      </c>
      <c r="C421" s="68">
        <v>2023</v>
      </c>
      <c r="D421" s="68" t="s">
        <v>318</v>
      </c>
      <c r="E421" s="68" t="s">
        <v>301</v>
      </c>
      <c r="F421" s="68" t="s">
        <v>40</v>
      </c>
      <c r="G421" s="68"/>
      <c r="H421" s="68"/>
      <c r="I421" s="69">
        <v>736664.11214999994</v>
      </c>
    </row>
    <row r="422" spans="1:9" hidden="1">
      <c r="A422" s="64" t="s">
        <v>295</v>
      </c>
      <c r="B422" s="65">
        <v>2023</v>
      </c>
      <c r="C422" s="65">
        <v>2023</v>
      </c>
      <c r="D422" s="65" t="s">
        <v>318</v>
      </c>
      <c r="E422" s="65" t="s">
        <v>305</v>
      </c>
      <c r="F422" s="65" t="s">
        <v>297</v>
      </c>
      <c r="G422" s="65"/>
      <c r="H422" s="65"/>
      <c r="I422" s="66">
        <v>7110.4446200000002</v>
      </c>
    </row>
    <row r="423" spans="1:9" hidden="1">
      <c r="A423" s="67" t="s">
        <v>295</v>
      </c>
      <c r="B423" s="68">
        <v>2023</v>
      </c>
      <c r="C423" s="68">
        <v>2023</v>
      </c>
      <c r="D423" s="68" t="s">
        <v>318</v>
      </c>
      <c r="E423" s="68" t="s">
        <v>305</v>
      </c>
      <c r="F423" s="68" t="s">
        <v>40</v>
      </c>
      <c r="G423" s="68"/>
      <c r="H423" s="68"/>
      <c r="I423" s="69">
        <v>27838.84462</v>
      </c>
    </row>
    <row r="424" spans="1:9" hidden="1">
      <c r="A424" s="64" t="s">
        <v>295</v>
      </c>
      <c r="B424" s="65">
        <v>2023</v>
      </c>
      <c r="C424" s="65">
        <v>2023</v>
      </c>
      <c r="D424" s="65" t="s">
        <v>320</v>
      </c>
      <c r="E424" s="65" t="s">
        <v>294</v>
      </c>
      <c r="F424" s="65" t="s">
        <v>297</v>
      </c>
      <c r="G424" s="65"/>
      <c r="H424" s="65"/>
      <c r="I424" s="66">
        <v>3840.7751600000001</v>
      </c>
    </row>
    <row r="425" spans="1:9" hidden="1">
      <c r="A425" s="67" t="s">
        <v>295</v>
      </c>
      <c r="B425" s="68">
        <v>2023</v>
      </c>
      <c r="C425" s="68">
        <v>2023</v>
      </c>
      <c r="D425" s="68" t="s">
        <v>320</v>
      </c>
      <c r="E425" s="68" t="s">
        <v>294</v>
      </c>
      <c r="F425" s="68" t="s">
        <v>298</v>
      </c>
      <c r="G425" s="68"/>
      <c r="H425" s="68"/>
      <c r="I425" s="69">
        <v>0</v>
      </c>
    </row>
    <row r="426" spans="1:9" hidden="1">
      <c r="A426" s="64" t="s">
        <v>295</v>
      </c>
      <c r="B426" s="65">
        <v>2023</v>
      </c>
      <c r="C426" s="65">
        <v>2023</v>
      </c>
      <c r="D426" s="65" t="s">
        <v>320</v>
      </c>
      <c r="E426" s="65" t="s">
        <v>294</v>
      </c>
      <c r="F426" s="65" t="s">
        <v>40</v>
      </c>
      <c r="G426" s="65"/>
      <c r="H426" s="65"/>
      <c r="I426" s="66">
        <v>3840.7751600000001</v>
      </c>
    </row>
    <row r="427" spans="1:9" hidden="1">
      <c r="A427" s="67" t="s">
        <v>295</v>
      </c>
      <c r="B427" s="68">
        <v>2023</v>
      </c>
      <c r="C427" s="68">
        <v>2023</v>
      </c>
      <c r="D427" s="68" t="s">
        <v>320</v>
      </c>
      <c r="E427" s="68" t="s">
        <v>301</v>
      </c>
      <c r="F427" s="68" t="s">
        <v>297</v>
      </c>
      <c r="G427" s="68"/>
      <c r="H427" s="68"/>
      <c r="I427" s="69">
        <v>3945.6770700000002</v>
      </c>
    </row>
    <row r="428" spans="1:9" hidden="1">
      <c r="A428" s="64" t="s">
        <v>295</v>
      </c>
      <c r="B428" s="65">
        <v>2023</v>
      </c>
      <c r="C428" s="65">
        <v>2023</v>
      </c>
      <c r="D428" s="65" t="s">
        <v>320</v>
      </c>
      <c r="E428" s="65" t="s">
        <v>301</v>
      </c>
      <c r="F428" s="65" t="s">
        <v>298</v>
      </c>
      <c r="G428" s="65"/>
      <c r="H428" s="65"/>
      <c r="I428" s="66">
        <v>0</v>
      </c>
    </row>
    <row r="429" spans="1:9" hidden="1">
      <c r="A429" s="67" t="s">
        <v>295</v>
      </c>
      <c r="B429" s="68">
        <v>2023</v>
      </c>
      <c r="C429" s="68">
        <v>2023</v>
      </c>
      <c r="D429" s="68" t="s">
        <v>320</v>
      </c>
      <c r="E429" s="68" t="s">
        <v>301</v>
      </c>
      <c r="F429" s="68" t="s">
        <v>40</v>
      </c>
      <c r="G429" s="68"/>
      <c r="H429" s="68"/>
      <c r="I429" s="69">
        <v>3945.6770700000002</v>
      </c>
    </row>
    <row r="430" spans="1:9" hidden="1">
      <c r="A430" s="64" t="s">
        <v>295</v>
      </c>
      <c r="B430" s="65">
        <v>2023</v>
      </c>
      <c r="C430" s="65">
        <v>2023</v>
      </c>
      <c r="D430" s="65" t="s">
        <v>320</v>
      </c>
      <c r="E430" s="65" t="s">
        <v>305</v>
      </c>
      <c r="F430" s="65" t="s">
        <v>297</v>
      </c>
      <c r="G430" s="65"/>
      <c r="H430" s="65"/>
      <c r="I430" s="66">
        <v>33.6</v>
      </c>
    </row>
    <row r="431" spans="1:9" hidden="1">
      <c r="A431" s="67" t="s">
        <v>295</v>
      </c>
      <c r="B431" s="68">
        <v>2023</v>
      </c>
      <c r="C431" s="68">
        <v>2023</v>
      </c>
      <c r="D431" s="68" t="s">
        <v>320</v>
      </c>
      <c r="E431" s="68" t="s">
        <v>305</v>
      </c>
      <c r="F431" s="68" t="s">
        <v>40</v>
      </c>
      <c r="G431" s="68"/>
      <c r="H431" s="68"/>
      <c r="I431" s="69">
        <v>607</v>
      </c>
    </row>
    <row r="432" spans="1:9" hidden="1">
      <c r="A432" s="64" t="s">
        <v>295</v>
      </c>
      <c r="B432" s="65">
        <v>2023</v>
      </c>
      <c r="C432" s="65">
        <v>2023</v>
      </c>
      <c r="D432" s="65" t="s">
        <v>321</v>
      </c>
      <c r="E432" s="65" t="s">
        <v>294</v>
      </c>
      <c r="F432" s="65" t="s">
        <v>297</v>
      </c>
      <c r="G432" s="65"/>
      <c r="H432" s="65"/>
      <c r="I432" s="66">
        <v>17143.929980000001</v>
      </c>
    </row>
    <row r="433" spans="1:9" hidden="1">
      <c r="A433" s="67" t="s">
        <v>295</v>
      </c>
      <c r="B433" s="68">
        <v>2023</v>
      </c>
      <c r="C433" s="68">
        <v>2023</v>
      </c>
      <c r="D433" s="68" t="s">
        <v>321</v>
      </c>
      <c r="E433" s="68" t="s">
        <v>294</v>
      </c>
      <c r="F433" s="68" t="s">
        <v>298</v>
      </c>
      <c r="G433" s="68"/>
      <c r="H433" s="68"/>
      <c r="I433" s="69">
        <v>0</v>
      </c>
    </row>
    <row r="434" spans="1:9" hidden="1">
      <c r="A434" s="64" t="s">
        <v>295</v>
      </c>
      <c r="B434" s="65">
        <v>2023</v>
      </c>
      <c r="C434" s="65">
        <v>2023</v>
      </c>
      <c r="D434" s="65" t="s">
        <v>321</v>
      </c>
      <c r="E434" s="65" t="s">
        <v>294</v>
      </c>
      <c r="F434" s="65" t="s">
        <v>40</v>
      </c>
      <c r="G434" s="65"/>
      <c r="H434" s="65"/>
      <c r="I434" s="66">
        <v>17143.929820000001</v>
      </c>
    </row>
    <row r="435" spans="1:9" hidden="1">
      <c r="A435" s="67" t="s">
        <v>295</v>
      </c>
      <c r="B435" s="68">
        <v>2023</v>
      </c>
      <c r="C435" s="68">
        <v>2023</v>
      </c>
      <c r="D435" s="68" t="s">
        <v>321</v>
      </c>
      <c r="E435" s="68" t="s">
        <v>301</v>
      </c>
      <c r="F435" s="68" t="s">
        <v>297</v>
      </c>
      <c r="G435" s="68"/>
      <c r="H435" s="68"/>
      <c r="I435" s="69">
        <v>17012.506379999999</v>
      </c>
    </row>
    <row r="436" spans="1:9" hidden="1">
      <c r="A436" s="64" t="s">
        <v>295</v>
      </c>
      <c r="B436" s="65">
        <v>2023</v>
      </c>
      <c r="C436" s="65">
        <v>2023</v>
      </c>
      <c r="D436" s="65" t="s">
        <v>321</v>
      </c>
      <c r="E436" s="65" t="s">
        <v>301</v>
      </c>
      <c r="F436" s="65" t="s">
        <v>298</v>
      </c>
      <c r="G436" s="65"/>
      <c r="H436" s="65"/>
      <c r="I436" s="66">
        <v>0</v>
      </c>
    </row>
    <row r="437" spans="1:9" hidden="1">
      <c r="A437" s="67" t="s">
        <v>295</v>
      </c>
      <c r="B437" s="68">
        <v>2023</v>
      </c>
      <c r="C437" s="68">
        <v>2023</v>
      </c>
      <c r="D437" s="68" t="s">
        <v>321</v>
      </c>
      <c r="E437" s="68" t="s">
        <v>301</v>
      </c>
      <c r="F437" s="68" t="s">
        <v>40</v>
      </c>
      <c r="G437" s="68"/>
      <c r="H437" s="68"/>
      <c r="I437" s="69">
        <v>17012.506219999999</v>
      </c>
    </row>
    <row r="438" spans="1:9" hidden="1">
      <c r="A438" s="64" t="s">
        <v>295</v>
      </c>
      <c r="B438" s="65">
        <v>2023</v>
      </c>
      <c r="C438" s="65">
        <v>2023</v>
      </c>
      <c r="D438" s="65" t="s">
        <v>321</v>
      </c>
      <c r="E438" s="65" t="s">
        <v>305</v>
      </c>
      <c r="F438" s="65" t="s">
        <v>297</v>
      </c>
      <c r="G438" s="65"/>
      <c r="H438" s="65"/>
      <c r="I438" s="66">
        <v>46.243679999999998</v>
      </c>
    </row>
    <row r="439" spans="1:9" hidden="1">
      <c r="A439" s="67" t="s">
        <v>295</v>
      </c>
      <c r="B439" s="68">
        <v>2023</v>
      </c>
      <c r="C439" s="68">
        <v>2023</v>
      </c>
      <c r="D439" s="68" t="s">
        <v>321</v>
      </c>
      <c r="E439" s="68" t="s">
        <v>305</v>
      </c>
      <c r="F439" s="68" t="s">
        <v>40</v>
      </c>
      <c r="G439" s="68"/>
      <c r="H439" s="68"/>
      <c r="I439" s="69">
        <v>263.14368000000002</v>
      </c>
    </row>
    <row r="440" spans="1:9" hidden="1">
      <c r="A440" s="64" t="s">
        <v>295</v>
      </c>
      <c r="B440" s="65">
        <v>2023</v>
      </c>
      <c r="C440" s="65">
        <v>2023</v>
      </c>
      <c r="D440" s="65" t="s">
        <v>322</v>
      </c>
      <c r="E440" s="65" t="s">
        <v>294</v>
      </c>
      <c r="F440" s="65" t="s">
        <v>297</v>
      </c>
      <c r="G440" s="65"/>
      <c r="H440" s="65"/>
      <c r="I440" s="66">
        <v>1439.66992</v>
      </c>
    </row>
    <row r="441" spans="1:9" hidden="1">
      <c r="A441" s="67" t="s">
        <v>295</v>
      </c>
      <c r="B441" s="68">
        <v>2023</v>
      </c>
      <c r="C441" s="68">
        <v>2023</v>
      </c>
      <c r="D441" s="68" t="s">
        <v>322</v>
      </c>
      <c r="E441" s="68" t="s">
        <v>294</v>
      </c>
      <c r="F441" s="68" t="s">
        <v>298</v>
      </c>
      <c r="G441" s="68"/>
      <c r="H441" s="68"/>
      <c r="I441" s="69">
        <v>3746.2557999999999</v>
      </c>
    </row>
    <row r="442" spans="1:9" hidden="1">
      <c r="A442" s="64" t="s">
        <v>295</v>
      </c>
      <c r="B442" s="65">
        <v>2023</v>
      </c>
      <c r="C442" s="65">
        <v>2023</v>
      </c>
      <c r="D442" s="65" t="s">
        <v>322</v>
      </c>
      <c r="E442" s="65" t="s">
        <v>294</v>
      </c>
      <c r="F442" s="65" t="s">
        <v>40</v>
      </c>
      <c r="G442" s="65"/>
      <c r="H442" s="65"/>
      <c r="I442" s="66">
        <v>5185.8257199999998</v>
      </c>
    </row>
    <row r="443" spans="1:9" hidden="1">
      <c r="A443" s="67" t="s">
        <v>295</v>
      </c>
      <c r="B443" s="68">
        <v>2023</v>
      </c>
      <c r="C443" s="68">
        <v>2023</v>
      </c>
      <c r="D443" s="68" t="s">
        <v>322</v>
      </c>
      <c r="E443" s="68" t="s">
        <v>301</v>
      </c>
      <c r="F443" s="68" t="s">
        <v>297</v>
      </c>
      <c r="G443" s="68"/>
      <c r="H443" s="68"/>
      <c r="I443" s="69">
        <v>1502.48226</v>
      </c>
    </row>
    <row r="444" spans="1:9" hidden="1">
      <c r="A444" s="64" t="s">
        <v>295</v>
      </c>
      <c r="B444" s="65">
        <v>2023</v>
      </c>
      <c r="C444" s="65">
        <v>2023</v>
      </c>
      <c r="D444" s="65" t="s">
        <v>322</v>
      </c>
      <c r="E444" s="65" t="s">
        <v>301</v>
      </c>
      <c r="F444" s="65" t="s">
        <v>298</v>
      </c>
      <c r="G444" s="65"/>
      <c r="H444" s="65"/>
      <c r="I444" s="66">
        <v>3794.1125400000001</v>
      </c>
    </row>
    <row r="445" spans="1:9" hidden="1">
      <c r="A445" s="67" t="s">
        <v>295</v>
      </c>
      <c r="B445" s="68">
        <v>2023</v>
      </c>
      <c r="C445" s="68">
        <v>2023</v>
      </c>
      <c r="D445" s="68" t="s">
        <v>322</v>
      </c>
      <c r="E445" s="68" t="s">
        <v>301</v>
      </c>
      <c r="F445" s="68" t="s">
        <v>40</v>
      </c>
      <c r="G445" s="68"/>
      <c r="H445" s="68"/>
      <c r="I445" s="69">
        <v>5296.4947899999997</v>
      </c>
    </row>
    <row r="446" spans="1:9" hidden="1">
      <c r="A446" s="64" t="s">
        <v>295</v>
      </c>
      <c r="B446" s="65">
        <v>2023</v>
      </c>
      <c r="C446" s="65">
        <v>2023</v>
      </c>
      <c r="D446" s="65" t="s">
        <v>322</v>
      </c>
      <c r="E446" s="65" t="s">
        <v>305</v>
      </c>
      <c r="F446" s="65" t="s">
        <v>297</v>
      </c>
      <c r="G446" s="65"/>
      <c r="H446" s="65"/>
      <c r="I446" s="66">
        <v>7.2</v>
      </c>
    </row>
    <row r="447" spans="1:9" hidden="1">
      <c r="A447" s="67" t="s">
        <v>295</v>
      </c>
      <c r="B447" s="68">
        <v>2023</v>
      </c>
      <c r="C447" s="68">
        <v>2023</v>
      </c>
      <c r="D447" s="68" t="s">
        <v>322</v>
      </c>
      <c r="E447" s="68" t="s">
        <v>305</v>
      </c>
      <c r="F447" s="68" t="s">
        <v>40</v>
      </c>
      <c r="G447" s="68"/>
      <c r="H447" s="68"/>
      <c r="I447" s="69">
        <v>198.2</v>
      </c>
    </row>
    <row r="448" spans="1:9" hidden="1">
      <c r="A448" s="64" t="s">
        <v>295</v>
      </c>
      <c r="B448" s="65">
        <v>2023</v>
      </c>
      <c r="C448" s="65">
        <v>2023</v>
      </c>
      <c r="D448" s="65" t="s">
        <v>323</v>
      </c>
      <c r="E448" s="65" t="s">
        <v>294</v>
      </c>
      <c r="F448" s="65" t="s">
        <v>297</v>
      </c>
      <c r="G448" s="65"/>
      <c r="H448" s="65"/>
      <c r="I448" s="66">
        <v>477962.80339999998</v>
      </c>
    </row>
    <row r="449" spans="1:9" hidden="1">
      <c r="A449" s="67" t="s">
        <v>295</v>
      </c>
      <c r="B449" s="68">
        <v>2023</v>
      </c>
      <c r="C449" s="68">
        <v>2023</v>
      </c>
      <c r="D449" s="68" t="s">
        <v>323</v>
      </c>
      <c r="E449" s="68" t="s">
        <v>294</v>
      </c>
      <c r="F449" s="68" t="s">
        <v>298</v>
      </c>
      <c r="G449" s="68"/>
      <c r="H449" s="68"/>
      <c r="I449" s="69">
        <v>2039.7449099999999</v>
      </c>
    </row>
    <row r="450" spans="1:9" hidden="1">
      <c r="A450" s="64" t="s">
        <v>295</v>
      </c>
      <c r="B450" s="65">
        <v>2023</v>
      </c>
      <c r="C450" s="65">
        <v>2023</v>
      </c>
      <c r="D450" s="65" t="s">
        <v>323</v>
      </c>
      <c r="E450" s="65" t="s">
        <v>294</v>
      </c>
      <c r="F450" s="65" t="s">
        <v>40</v>
      </c>
      <c r="G450" s="65"/>
      <c r="H450" s="65"/>
      <c r="I450" s="66">
        <v>480032.09831999999</v>
      </c>
    </row>
    <row r="451" spans="1:9" hidden="1">
      <c r="A451" s="67" t="s">
        <v>295</v>
      </c>
      <c r="B451" s="68">
        <v>2023</v>
      </c>
      <c r="C451" s="68">
        <v>2023</v>
      </c>
      <c r="D451" s="68" t="s">
        <v>323</v>
      </c>
      <c r="E451" s="68" t="s">
        <v>301</v>
      </c>
      <c r="F451" s="68" t="s">
        <v>297</v>
      </c>
      <c r="G451" s="68"/>
      <c r="H451" s="68"/>
      <c r="I451" s="69">
        <v>492722.80294000002</v>
      </c>
    </row>
    <row r="452" spans="1:9" hidden="1">
      <c r="A452" s="64" t="s">
        <v>295</v>
      </c>
      <c r="B452" s="65">
        <v>2023</v>
      </c>
      <c r="C452" s="65">
        <v>2023</v>
      </c>
      <c r="D452" s="65" t="s">
        <v>323</v>
      </c>
      <c r="E452" s="65" t="s">
        <v>301</v>
      </c>
      <c r="F452" s="65" t="s">
        <v>298</v>
      </c>
      <c r="G452" s="65"/>
      <c r="H452" s="65"/>
      <c r="I452" s="66">
        <v>2072.24199</v>
      </c>
    </row>
    <row r="453" spans="1:9" hidden="1">
      <c r="A453" s="67" t="s">
        <v>295</v>
      </c>
      <c r="B453" s="68">
        <v>2023</v>
      </c>
      <c r="C453" s="68">
        <v>2023</v>
      </c>
      <c r="D453" s="68" t="s">
        <v>323</v>
      </c>
      <c r="E453" s="68" t="s">
        <v>301</v>
      </c>
      <c r="F453" s="68" t="s">
        <v>40</v>
      </c>
      <c r="G453" s="68"/>
      <c r="H453" s="68"/>
      <c r="I453" s="69">
        <v>494824.59493999998</v>
      </c>
    </row>
    <row r="454" spans="1:9" hidden="1">
      <c r="A454" s="64" t="s">
        <v>295</v>
      </c>
      <c r="B454" s="65">
        <v>2023</v>
      </c>
      <c r="C454" s="65">
        <v>2023</v>
      </c>
      <c r="D454" s="65" t="s">
        <v>323</v>
      </c>
      <c r="E454" s="65" t="s">
        <v>305</v>
      </c>
      <c r="F454" s="65" t="s">
        <v>297</v>
      </c>
      <c r="G454" s="65"/>
      <c r="H454" s="65"/>
      <c r="I454" s="66">
        <v>1601.12159</v>
      </c>
    </row>
    <row r="455" spans="1:9" hidden="1">
      <c r="A455" s="67" t="s">
        <v>295</v>
      </c>
      <c r="B455" s="68">
        <v>2023</v>
      </c>
      <c r="C455" s="68">
        <v>2023</v>
      </c>
      <c r="D455" s="68" t="s">
        <v>323</v>
      </c>
      <c r="E455" s="68" t="s">
        <v>305</v>
      </c>
      <c r="F455" s="68" t="s">
        <v>40</v>
      </c>
      <c r="G455" s="68"/>
      <c r="H455" s="68"/>
      <c r="I455" s="69">
        <v>16183.52159</v>
      </c>
    </row>
    <row r="456" spans="1:9" hidden="1">
      <c r="A456" s="64" t="s">
        <v>295</v>
      </c>
      <c r="B456" s="65">
        <v>2023</v>
      </c>
      <c r="C456" s="65">
        <v>2023</v>
      </c>
      <c r="D456" s="65" t="s">
        <v>324</v>
      </c>
      <c r="E456" s="65" t="s">
        <v>294</v>
      </c>
      <c r="F456" s="65" t="s">
        <v>297</v>
      </c>
      <c r="G456" s="65"/>
      <c r="H456" s="65"/>
      <c r="I456" s="66">
        <v>4288.6256100000001</v>
      </c>
    </row>
    <row r="457" spans="1:9" hidden="1">
      <c r="A457" s="67" t="s">
        <v>295</v>
      </c>
      <c r="B457" s="68">
        <v>2023</v>
      </c>
      <c r="C457" s="68">
        <v>2023</v>
      </c>
      <c r="D457" s="68" t="s">
        <v>324</v>
      </c>
      <c r="E457" s="68" t="s">
        <v>294</v>
      </c>
      <c r="F457" s="68" t="s">
        <v>298</v>
      </c>
      <c r="G457" s="68"/>
      <c r="H457" s="68"/>
      <c r="I457" s="69">
        <v>0</v>
      </c>
    </row>
    <row r="458" spans="1:9" hidden="1">
      <c r="A458" s="64" t="s">
        <v>295</v>
      </c>
      <c r="B458" s="65">
        <v>2023</v>
      </c>
      <c r="C458" s="65">
        <v>2023</v>
      </c>
      <c r="D458" s="65" t="s">
        <v>324</v>
      </c>
      <c r="E458" s="65" t="s">
        <v>294</v>
      </c>
      <c r="F458" s="65" t="s">
        <v>40</v>
      </c>
      <c r="G458" s="65"/>
      <c r="H458" s="65"/>
      <c r="I458" s="66">
        <v>4288.6256100000001</v>
      </c>
    </row>
    <row r="459" spans="1:9" hidden="1">
      <c r="A459" s="67" t="s">
        <v>295</v>
      </c>
      <c r="B459" s="68">
        <v>2023</v>
      </c>
      <c r="C459" s="68">
        <v>2023</v>
      </c>
      <c r="D459" s="68" t="s">
        <v>324</v>
      </c>
      <c r="E459" s="68" t="s">
        <v>301</v>
      </c>
      <c r="F459" s="68" t="s">
        <v>297</v>
      </c>
      <c r="G459" s="68"/>
      <c r="H459" s="68"/>
      <c r="I459" s="69">
        <v>4288.6220400000002</v>
      </c>
    </row>
    <row r="460" spans="1:9" hidden="1">
      <c r="A460" s="64" t="s">
        <v>295</v>
      </c>
      <c r="B460" s="65">
        <v>2023</v>
      </c>
      <c r="C460" s="65">
        <v>2023</v>
      </c>
      <c r="D460" s="65" t="s">
        <v>324</v>
      </c>
      <c r="E460" s="65" t="s">
        <v>301</v>
      </c>
      <c r="F460" s="65" t="s">
        <v>298</v>
      </c>
      <c r="G460" s="65"/>
      <c r="H460" s="65"/>
      <c r="I460" s="66">
        <v>0</v>
      </c>
    </row>
    <row r="461" spans="1:9" hidden="1">
      <c r="A461" s="67" t="s">
        <v>295</v>
      </c>
      <c r="B461" s="68">
        <v>2023</v>
      </c>
      <c r="C461" s="68">
        <v>2023</v>
      </c>
      <c r="D461" s="68" t="s">
        <v>324</v>
      </c>
      <c r="E461" s="68" t="s">
        <v>301</v>
      </c>
      <c r="F461" s="68" t="s">
        <v>40</v>
      </c>
      <c r="G461" s="68"/>
      <c r="H461" s="68"/>
      <c r="I461" s="69">
        <v>4288.6220400000002</v>
      </c>
    </row>
    <row r="462" spans="1:9" hidden="1">
      <c r="A462" s="64" t="s">
        <v>295</v>
      </c>
      <c r="B462" s="65">
        <v>2023</v>
      </c>
      <c r="C462" s="65">
        <v>2023</v>
      </c>
      <c r="D462" s="65" t="s">
        <v>324</v>
      </c>
      <c r="E462" s="65" t="s">
        <v>305</v>
      </c>
      <c r="F462" s="65" t="s">
        <v>297</v>
      </c>
      <c r="G462" s="65"/>
      <c r="H462" s="65"/>
      <c r="I462" s="66">
        <v>4.0999999999999996</v>
      </c>
    </row>
    <row r="463" spans="1:9" hidden="1">
      <c r="A463" s="67" t="s">
        <v>295</v>
      </c>
      <c r="B463" s="68">
        <v>2023</v>
      </c>
      <c r="C463" s="68">
        <v>2023</v>
      </c>
      <c r="D463" s="68" t="s">
        <v>324</v>
      </c>
      <c r="E463" s="68" t="s">
        <v>305</v>
      </c>
      <c r="F463" s="68" t="s">
        <v>40</v>
      </c>
      <c r="G463" s="68"/>
      <c r="H463" s="68"/>
      <c r="I463" s="69">
        <v>1246.2</v>
      </c>
    </row>
    <row r="464" spans="1:9" hidden="1">
      <c r="A464" s="64" t="s">
        <v>295</v>
      </c>
      <c r="B464" s="65">
        <v>2023</v>
      </c>
      <c r="C464" s="65">
        <v>2023</v>
      </c>
      <c r="D464" s="65" t="s">
        <v>325</v>
      </c>
      <c r="E464" s="65" t="s">
        <v>294</v>
      </c>
      <c r="F464" s="65" t="s">
        <v>297</v>
      </c>
      <c r="G464" s="65"/>
      <c r="H464" s="65"/>
      <c r="I464" s="66">
        <v>55103.694869999999</v>
      </c>
    </row>
    <row r="465" spans="1:9" hidden="1">
      <c r="A465" s="67" t="s">
        <v>295</v>
      </c>
      <c r="B465" s="68">
        <v>2023</v>
      </c>
      <c r="C465" s="68">
        <v>2023</v>
      </c>
      <c r="D465" s="68" t="s">
        <v>325</v>
      </c>
      <c r="E465" s="68" t="s">
        <v>294</v>
      </c>
      <c r="F465" s="68" t="s">
        <v>298</v>
      </c>
      <c r="G465" s="68"/>
      <c r="H465" s="68"/>
      <c r="I465" s="69">
        <v>13469.37232</v>
      </c>
    </row>
    <row r="466" spans="1:9" hidden="1">
      <c r="A466" s="64" t="s">
        <v>295</v>
      </c>
      <c r="B466" s="65">
        <v>2023</v>
      </c>
      <c r="C466" s="65">
        <v>2023</v>
      </c>
      <c r="D466" s="65" t="s">
        <v>325</v>
      </c>
      <c r="E466" s="65" t="s">
        <v>294</v>
      </c>
      <c r="F466" s="65" t="s">
        <v>40</v>
      </c>
      <c r="G466" s="65"/>
      <c r="H466" s="65"/>
      <c r="I466" s="66">
        <v>68573.017170000006</v>
      </c>
    </row>
    <row r="467" spans="1:9" hidden="1">
      <c r="A467" s="67" t="s">
        <v>295</v>
      </c>
      <c r="B467" s="68">
        <v>2023</v>
      </c>
      <c r="C467" s="68">
        <v>2023</v>
      </c>
      <c r="D467" s="68" t="s">
        <v>325</v>
      </c>
      <c r="E467" s="68" t="s">
        <v>301</v>
      </c>
      <c r="F467" s="68" t="s">
        <v>297</v>
      </c>
      <c r="G467" s="68"/>
      <c r="H467" s="68"/>
      <c r="I467" s="69">
        <v>55790.985189999999</v>
      </c>
    </row>
    <row r="468" spans="1:9" hidden="1">
      <c r="A468" s="64" t="s">
        <v>295</v>
      </c>
      <c r="B468" s="65">
        <v>2023</v>
      </c>
      <c r="C468" s="65">
        <v>2023</v>
      </c>
      <c r="D468" s="65" t="s">
        <v>325</v>
      </c>
      <c r="E468" s="65" t="s">
        <v>301</v>
      </c>
      <c r="F468" s="65" t="s">
        <v>298</v>
      </c>
      <c r="G468" s="65"/>
      <c r="H468" s="65"/>
      <c r="I468" s="66">
        <v>13732.50786</v>
      </c>
    </row>
    <row r="469" spans="1:9" hidden="1">
      <c r="A469" s="67" t="s">
        <v>295</v>
      </c>
      <c r="B469" s="68">
        <v>2023</v>
      </c>
      <c r="C469" s="68">
        <v>2023</v>
      </c>
      <c r="D469" s="68" t="s">
        <v>325</v>
      </c>
      <c r="E469" s="68" t="s">
        <v>301</v>
      </c>
      <c r="F469" s="68" t="s">
        <v>40</v>
      </c>
      <c r="G469" s="68"/>
      <c r="H469" s="68"/>
      <c r="I469" s="69">
        <v>69523.443039999998</v>
      </c>
    </row>
    <row r="470" spans="1:9" hidden="1">
      <c r="A470" s="64" t="s">
        <v>295</v>
      </c>
      <c r="B470" s="65">
        <v>2023</v>
      </c>
      <c r="C470" s="65">
        <v>2023</v>
      </c>
      <c r="D470" s="65" t="s">
        <v>325</v>
      </c>
      <c r="E470" s="65" t="s">
        <v>305</v>
      </c>
      <c r="F470" s="65" t="s">
        <v>297</v>
      </c>
      <c r="G470" s="65"/>
      <c r="H470" s="65"/>
      <c r="I470" s="66">
        <v>427.8</v>
      </c>
    </row>
    <row r="471" spans="1:9" hidden="1">
      <c r="A471" s="67" t="s">
        <v>295</v>
      </c>
      <c r="B471" s="68">
        <v>2023</v>
      </c>
      <c r="C471" s="68">
        <v>2023</v>
      </c>
      <c r="D471" s="68" t="s">
        <v>325</v>
      </c>
      <c r="E471" s="68" t="s">
        <v>305</v>
      </c>
      <c r="F471" s="68" t="s">
        <v>298</v>
      </c>
      <c r="G471" s="68"/>
      <c r="H471" s="68"/>
      <c r="I471" s="69">
        <v>69.900000000000006</v>
      </c>
    </row>
    <row r="472" spans="1:9" hidden="1">
      <c r="A472" s="64" t="s">
        <v>295</v>
      </c>
      <c r="B472" s="65">
        <v>2023</v>
      </c>
      <c r="C472" s="65">
        <v>2023</v>
      </c>
      <c r="D472" s="65" t="s">
        <v>325</v>
      </c>
      <c r="E472" s="65" t="s">
        <v>305</v>
      </c>
      <c r="F472" s="65" t="s">
        <v>40</v>
      </c>
      <c r="G472" s="65"/>
      <c r="H472" s="65"/>
      <c r="I472" s="66">
        <v>18673.8</v>
      </c>
    </row>
    <row r="473" spans="1:9" hidden="1">
      <c r="A473" s="67" t="s">
        <v>295</v>
      </c>
      <c r="B473" s="68">
        <v>2023</v>
      </c>
      <c r="C473" s="68">
        <v>2023</v>
      </c>
      <c r="D473" s="68" t="s">
        <v>326</v>
      </c>
      <c r="E473" s="68" t="s">
        <v>294</v>
      </c>
      <c r="F473" s="68" t="s">
        <v>297</v>
      </c>
      <c r="G473" s="68"/>
      <c r="H473" s="68"/>
      <c r="I473" s="69">
        <v>0</v>
      </c>
    </row>
    <row r="474" spans="1:9" hidden="1">
      <c r="A474" s="64" t="s">
        <v>295</v>
      </c>
      <c r="B474" s="65">
        <v>2023</v>
      </c>
      <c r="C474" s="65">
        <v>2023</v>
      </c>
      <c r="D474" s="65" t="s">
        <v>326</v>
      </c>
      <c r="E474" s="65" t="s">
        <v>294</v>
      </c>
      <c r="F474" s="65" t="s">
        <v>298</v>
      </c>
      <c r="G474" s="65"/>
      <c r="H474" s="65"/>
      <c r="I474" s="66">
        <v>0</v>
      </c>
    </row>
    <row r="475" spans="1:9" hidden="1">
      <c r="A475" s="67" t="s">
        <v>295</v>
      </c>
      <c r="B475" s="68">
        <v>2023</v>
      </c>
      <c r="C475" s="68">
        <v>2023</v>
      </c>
      <c r="D475" s="68" t="s">
        <v>326</v>
      </c>
      <c r="E475" s="68" t="s">
        <v>294</v>
      </c>
      <c r="F475" s="68" t="s">
        <v>40</v>
      </c>
      <c r="G475" s="68"/>
      <c r="H475" s="68"/>
      <c r="I475" s="69">
        <v>0</v>
      </c>
    </row>
    <row r="476" spans="1:9" hidden="1">
      <c r="A476" s="64" t="s">
        <v>295</v>
      </c>
      <c r="B476" s="65">
        <v>2023</v>
      </c>
      <c r="C476" s="65">
        <v>2023</v>
      </c>
      <c r="D476" s="65" t="s">
        <v>326</v>
      </c>
      <c r="E476" s="65" t="s">
        <v>301</v>
      </c>
      <c r="F476" s="65" t="s">
        <v>297</v>
      </c>
      <c r="G476" s="65"/>
      <c r="H476" s="65"/>
      <c r="I476" s="66">
        <v>0</v>
      </c>
    </row>
    <row r="477" spans="1:9" hidden="1">
      <c r="A477" s="67" t="s">
        <v>295</v>
      </c>
      <c r="B477" s="68">
        <v>2023</v>
      </c>
      <c r="C477" s="68">
        <v>2023</v>
      </c>
      <c r="D477" s="68" t="s">
        <v>326</v>
      </c>
      <c r="E477" s="68" t="s">
        <v>301</v>
      </c>
      <c r="F477" s="68" t="s">
        <v>298</v>
      </c>
      <c r="G477" s="68"/>
      <c r="H477" s="68"/>
      <c r="I477" s="69">
        <v>0</v>
      </c>
    </row>
    <row r="478" spans="1:9" hidden="1">
      <c r="A478" s="64" t="s">
        <v>295</v>
      </c>
      <c r="B478" s="65">
        <v>2023</v>
      </c>
      <c r="C478" s="65">
        <v>2023</v>
      </c>
      <c r="D478" s="65" t="s">
        <v>326</v>
      </c>
      <c r="E478" s="65" t="s">
        <v>301</v>
      </c>
      <c r="F478" s="65" t="s">
        <v>40</v>
      </c>
      <c r="G478" s="65"/>
      <c r="H478" s="65"/>
      <c r="I478" s="66">
        <v>0</v>
      </c>
    </row>
    <row r="479" spans="1:9" hidden="1">
      <c r="A479" s="67" t="s">
        <v>295</v>
      </c>
      <c r="B479" s="68">
        <v>2023</v>
      </c>
      <c r="C479" s="68">
        <v>2023</v>
      </c>
      <c r="D479" s="68" t="s">
        <v>304</v>
      </c>
      <c r="E479" s="68" t="s">
        <v>294</v>
      </c>
      <c r="F479" s="68" t="s">
        <v>297</v>
      </c>
      <c r="G479" s="68"/>
      <c r="H479" s="68"/>
      <c r="I479" s="69">
        <v>90128.646240000002</v>
      </c>
    </row>
    <row r="480" spans="1:9" hidden="1">
      <c r="A480" s="64" t="s">
        <v>295</v>
      </c>
      <c r="B480" s="65">
        <v>2023</v>
      </c>
      <c r="C480" s="65">
        <v>2023</v>
      </c>
      <c r="D480" s="65" t="s">
        <v>304</v>
      </c>
      <c r="E480" s="65" t="s">
        <v>294</v>
      </c>
      <c r="F480" s="65" t="s">
        <v>298</v>
      </c>
      <c r="G480" s="65"/>
      <c r="H480" s="65"/>
      <c r="I480" s="66">
        <v>220260.00576</v>
      </c>
    </row>
    <row r="481" spans="1:9" hidden="1">
      <c r="A481" s="67" t="s">
        <v>295</v>
      </c>
      <c r="B481" s="68">
        <v>2023</v>
      </c>
      <c r="C481" s="68">
        <v>2023</v>
      </c>
      <c r="D481" s="68" t="s">
        <v>304</v>
      </c>
      <c r="E481" s="68" t="s">
        <v>294</v>
      </c>
      <c r="F481" s="68" t="s">
        <v>40</v>
      </c>
      <c r="G481" s="68"/>
      <c r="H481" s="68"/>
      <c r="I481" s="69">
        <v>310109.73200000002</v>
      </c>
    </row>
    <row r="482" spans="1:9" hidden="1">
      <c r="A482" s="64" t="s">
        <v>295</v>
      </c>
      <c r="B482" s="65">
        <v>2023</v>
      </c>
      <c r="C482" s="65">
        <v>2023</v>
      </c>
      <c r="D482" s="65" t="s">
        <v>304</v>
      </c>
      <c r="E482" s="65" t="s">
        <v>301</v>
      </c>
      <c r="F482" s="65" t="s">
        <v>297</v>
      </c>
      <c r="G482" s="65"/>
      <c r="H482" s="65"/>
      <c r="I482" s="66">
        <v>90527.87563000001</v>
      </c>
    </row>
    <row r="483" spans="1:9" hidden="1">
      <c r="A483" s="67" t="s">
        <v>295</v>
      </c>
      <c r="B483" s="68">
        <v>2023</v>
      </c>
      <c r="C483" s="68">
        <v>2023</v>
      </c>
      <c r="D483" s="68" t="s">
        <v>304</v>
      </c>
      <c r="E483" s="68" t="s">
        <v>301</v>
      </c>
      <c r="F483" s="68" t="s">
        <v>298</v>
      </c>
      <c r="G483" s="68"/>
      <c r="H483" s="68"/>
      <c r="I483" s="69">
        <v>221750.15497</v>
      </c>
    </row>
    <row r="484" spans="1:9" hidden="1">
      <c r="A484" s="64" t="s">
        <v>295</v>
      </c>
      <c r="B484" s="65">
        <v>2023</v>
      </c>
      <c r="C484" s="65">
        <v>2023</v>
      </c>
      <c r="D484" s="65" t="s">
        <v>304</v>
      </c>
      <c r="E484" s="65" t="s">
        <v>301</v>
      </c>
      <c r="F484" s="65" t="s">
        <v>40</v>
      </c>
      <c r="G484" s="65"/>
      <c r="H484" s="65"/>
      <c r="I484" s="66">
        <v>311999.31059000001</v>
      </c>
    </row>
    <row r="485" spans="1:9" hidden="1">
      <c r="A485" s="67" t="s">
        <v>295</v>
      </c>
      <c r="B485" s="68">
        <v>2023</v>
      </c>
      <c r="C485" s="68">
        <v>2023</v>
      </c>
      <c r="D485" s="68" t="s">
        <v>304</v>
      </c>
      <c r="E485" s="68" t="s">
        <v>305</v>
      </c>
      <c r="F485" s="68" t="s">
        <v>297</v>
      </c>
      <c r="G485" s="68"/>
      <c r="H485" s="68"/>
      <c r="I485" s="69">
        <v>967.67692000000011</v>
      </c>
    </row>
    <row r="486" spans="1:9" hidden="1">
      <c r="A486" s="64" t="s">
        <v>295</v>
      </c>
      <c r="B486" s="65">
        <v>2023</v>
      </c>
      <c r="C486" s="65">
        <v>2023</v>
      </c>
      <c r="D486" s="65" t="s">
        <v>304</v>
      </c>
      <c r="E486" s="65" t="s">
        <v>305</v>
      </c>
      <c r="F486" s="65" t="s">
        <v>298</v>
      </c>
      <c r="G486" s="65"/>
      <c r="H486" s="65"/>
      <c r="I486" s="66">
        <v>715.6</v>
      </c>
    </row>
    <row r="487" spans="1:9" hidden="1">
      <c r="A487" s="67" t="s">
        <v>295</v>
      </c>
      <c r="B487" s="68">
        <v>2023</v>
      </c>
      <c r="C487" s="68">
        <v>2023</v>
      </c>
      <c r="D487" s="68" t="s">
        <v>304</v>
      </c>
      <c r="E487" s="68" t="s">
        <v>305</v>
      </c>
      <c r="F487" s="68" t="s">
        <v>40</v>
      </c>
      <c r="G487" s="68"/>
      <c r="H487" s="68"/>
      <c r="I487" s="69">
        <v>16914.376919999999</v>
      </c>
    </row>
    <row r="488" spans="1:9" hidden="1">
      <c r="A488" s="64" t="s">
        <v>295</v>
      </c>
      <c r="B488" s="65">
        <v>2023</v>
      </c>
      <c r="C488" s="65">
        <v>2023</v>
      </c>
      <c r="D488" s="65" t="s">
        <v>306</v>
      </c>
      <c r="E488" s="65" t="s">
        <v>294</v>
      </c>
      <c r="F488" s="65" t="s">
        <v>297</v>
      </c>
      <c r="G488" s="65"/>
      <c r="H488" s="65"/>
      <c r="I488" s="66">
        <v>377029.04518000002</v>
      </c>
    </row>
    <row r="489" spans="1:9" hidden="1">
      <c r="A489" s="67" t="s">
        <v>295</v>
      </c>
      <c r="B489" s="68">
        <v>2023</v>
      </c>
      <c r="C489" s="68">
        <v>2023</v>
      </c>
      <c r="D489" s="68" t="s">
        <v>306</v>
      </c>
      <c r="E489" s="68" t="s">
        <v>294</v>
      </c>
      <c r="F489" s="68" t="s">
        <v>40</v>
      </c>
      <c r="G489" s="68"/>
      <c r="H489" s="68"/>
      <c r="I489" s="69">
        <v>377029.04518000002</v>
      </c>
    </row>
    <row r="490" spans="1:9" hidden="1">
      <c r="A490" s="64" t="s">
        <v>295</v>
      </c>
      <c r="B490" s="65">
        <v>2023</v>
      </c>
      <c r="C490" s="65">
        <v>2023</v>
      </c>
      <c r="D490" s="65" t="s">
        <v>306</v>
      </c>
      <c r="E490" s="65" t="s">
        <v>301</v>
      </c>
      <c r="F490" s="65" t="s">
        <v>297</v>
      </c>
      <c r="G490" s="65"/>
      <c r="H490" s="65"/>
      <c r="I490" s="66">
        <v>380489.87248000002</v>
      </c>
    </row>
    <row r="491" spans="1:9" hidden="1">
      <c r="A491" s="67" t="s">
        <v>295</v>
      </c>
      <c r="B491" s="68">
        <v>2023</v>
      </c>
      <c r="C491" s="68">
        <v>2023</v>
      </c>
      <c r="D491" s="68" t="s">
        <v>306</v>
      </c>
      <c r="E491" s="68" t="s">
        <v>301</v>
      </c>
      <c r="F491" s="68" t="s">
        <v>40</v>
      </c>
      <c r="G491" s="68"/>
      <c r="H491" s="68"/>
      <c r="I491" s="69">
        <v>380489.87248000002</v>
      </c>
    </row>
    <row r="492" spans="1:9" hidden="1">
      <c r="A492" s="64" t="s">
        <v>295</v>
      </c>
      <c r="B492" s="65">
        <v>2023</v>
      </c>
      <c r="C492" s="65">
        <v>2023</v>
      </c>
      <c r="D492" s="65" t="s">
        <v>306</v>
      </c>
      <c r="E492" s="65" t="s">
        <v>305</v>
      </c>
      <c r="F492" s="65" t="s">
        <v>297</v>
      </c>
      <c r="G492" s="65"/>
      <c r="H492" s="65"/>
      <c r="I492" s="66">
        <v>2005.96063</v>
      </c>
    </row>
    <row r="493" spans="1:9" hidden="1">
      <c r="A493" s="67" t="s">
        <v>295</v>
      </c>
      <c r="B493" s="68">
        <v>2023</v>
      </c>
      <c r="C493" s="68">
        <v>2023</v>
      </c>
      <c r="D493" s="68" t="s">
        <v>306</v>
      </c>
      <c r="E493" s="68" t="s">
        <v>305</v>
      </c>
      <c r="F493" s="68" t="s">
        <v>40</v>
      </c>
      <c r="G493" s="68"/>
      <c r="H493" s="68"/>
      <c r="I493" s="69">
        <v>27577.06063</v>
      </c>
    </row>
    <row r="494" spans="1:9" hidden="1">
      <c r="A494" s="64" t="s">
        <v>295</v>
      </c>
      <c r="B494" s="65">
        <v>2023</v>
      </c>
      <c r="C494" s="65">
        <v>2023</v>
      </c>
      <c r="D494" s="65" t="s">
        <v>307</v>
      </c>
      <c r="E494" s="65" t="s">
        <v>294</v>
      </c>
      <c r="F494" s="65" t="s">
        <v>40</v>
      </c>
      <c r="G494" s="65"/>
      <c r="H494" s="65"/>
      <c r="I494" s="66">
        <v>-248859.61984</v>
      </c>
    </row>
    <row r="495" spans="1:9" hidden="1">
      <c r="A495" s="67" t="s">
        <v>295</v>
      </c>
      <c r="B495" s="68">
        <v>2023</v>
      </c>
      <c r="C495" s="68">
        <v>2023</v>
      </c>
      <c r="D495" s="68" t="s">
        <v>307</v>
      </c>
      <c r="E495" s="68" t="s">
        <v>301</v>
      </c>
      <c r="F495" s="68" t="s">
        <v>40</v>
      </c>
      <c r="G495" s="68"/>
      <c r="H495" s="68"/>
      <c r="I495" s="69">
        <v>-239809.73461000001</v>
      </c>
    </row>
    <row r="496" spans="1:9" hidden="1">
      <c r="A496" s="64" t="s">
        <v>295</v>
      </c>
      <c r="B496" s="65">
        <v>2023</v>
      </c>
      <c r="C496" s="65">
        <v>2023</v>
      </c>
      <c r="D496" s="65" t="s">
        <v>307</v>
      </c>
      <c r="E496" s="65" t="s">
        <v>305</v>
      </c>
      <c r="F496" s="65" t="s">
        <v>40</v>
      </c>
      <c r="G496" s="65"/>
      <c r="H496" s="65"/>
      <c r="I496" s="66">
        <v>-23086.448400000001</v>
      </c>
    </row>
    <row r="497" spans="1:9" hidden="1">
      <c r="A497" s="67" t="s">
        <v>295</v>
      </c>
      <c r="B497" s="68">
        <v>2023</v>
      </c>
      <c r="C497" s="68">
        <v>2023</v>
      </c>
      <c r="D497" s="68" t="s">
        <v>327</v>
      </c>
      <c r="E497" s="68" t="s">
        <v>294</v>
      </c>
      <c r="F497" s="68" t="s">
        <v>40</v>
      </c>
      <c r="G497" s="68"/>
      <c r="H497" s="68"/>
      <c r="I497" s="69">
        <v>-326720.89643999998</v>
      </c>
    </row>
    <row r="498" spans="1:9" hidden="1">
      <c r="A498" s="64" t="s">
        <v>295</v>
      </c>
      <c r="B498" s="65">
        <v>2023</v>
      </c>
      <c r="C498" s="65">
        <v>2023</v>
      </c>
      <c r="D498" s="65" t="s">
        <v>327</v>
      </c>
      <c r="E498" s="65" t="s">
        <v>301</v>
      </c>
      <c r="F498" s="65" t="s">
        <v>40</v>
      </c>
      <c r="G498" s="65"/>
      <c r="H498" s="65"/>
      <c r="I498" s="66">
        <v>-320941.12229000003</v>
      </c>
    </row>
    <row r="499" spans="1:9" hidden="1">
      <c r="A499" s="67" t="s">
        <v>295</v>
      </c>
      <c r="B499" s="68">
        <v>2023</v>
      </c>
      <c r="C499" s="68">
        <v>2023</v>
      </c>
      <c r="D499" s="68" t="s">
        <v>327</v>
      </c>
      <c r="E499" s="68" t="s">
        <v>305</v>
      </c>
      <c r="F499" s="68" t="s">
        <v>40</v>
      </c>
      <c r="G499" s="68"/>
      <c r="H499" s="68"/>
      <c r="I499" s="69">
        <v>-22275.450280000001</v>
      </c>
    </row>
    <row r="500" spans="1:9" hidden="1">
      <c r="A500" s="64" t="s">
        <v>295</v>
      </c>
      <c r="B500" s="65">
        <v>2023</v>
      </c>
      <c r="C500" s="65">
        <v>2023</v>
      </c>
      <c r="D500" s="65" t="s">
        <v>328</v>
      </c>
      <c r="E500" s="65" t="s">
        <v>294</v>
      </c>
      <c r="F500" s="65" t="s">
        <v>40</v>
      </c>
      <c r="G500" s="65"/>
      <c r="H500" s="65"/>
      <c r="I500" s="66">
        <v>39728.389900000002</v>
      </c>
    </row>
    <row r="501" spans="1:9" hidden="1">
      <c r="A501" s="67" t="s">
        <v>295</v>
      </c>
      <c r="B501" s="68">
        <v>2023</v>
      </c>
      <c r="C501" s="68">
        <v>2023</v>
      </c>
      <c r="D501" s="68" t="s">
        <v>328</v>
      </c>
      <c r="E501" s="68" t="s">
        <v>301</v>
      </c>
      <c r="F501" s="68" t="s">
        <v>40</v>
      </c>
      <c r="G501" s="68"/>
      <c r="H501" s="68"/>
      <c r="I501" s="69">
        <v>42047.495799999997</v>
      </c>
    </row>
    <row r="502" spans="1:9" hidden="1">
      <c r="A502" s="64" t="s">
        <v>295</v>
      </c>
      <c r="B502" s="65">
        <v>2023</v>
      </c>
      <c r="C502" s="65">
        <v>2023</v>
      </c>
      <c r="D502" s="65" t="s">
        <v>328</v>
      </c>
      <c r="E502" s="65" t="s">
        <v>305</v>
      </c>
      <c r="F502" s="65" t="s">
        <v>40</v>
      </c>
      <c r="G502" s="65"/>
      <c r="H502" s="65"/>
      <c r="I502" s="66">
        <v>-2373.30951</v>
      </c>
    </row>
    <row r="503" spans="1:9" hidden="1">
      <c r="A503" s="67" t="s">
        <v>295</v>
      </c>
      <c r="B503" s="68">
        <v>2023</v>
      </c>
      <c r="C503" s="68">
        <v>2023</v>
      </c>
      <c r="D503" s="68" t="s">
        <v>329</v>
      </c>
      <c r="E503" s="68" t="s">
        <v>294</v>
      </c>
      <c r="F503" s="68" t="s">
        <v>40</v>
      </c>
      <c r="G503" s="68"/>
      <c r="H503" s="68"/>
      <c r="I503" s="69">
        <v>13249.22071</v>
      </c>
    </row>
    <row r="504" spans="1:9" hidden="1">
      <c r="A504" s="64" t="s">
        <v>295</v>
      </c>
      <c r="B504" s="65">
        <v>2023</v>
      </c>
      <c r="C504" s="65">
        <v>2023</v>
      </c>
      <c r="D504" s="65" t="s">
        <v>329</v>
      </c>
      <c r="E504" s="65" t="s">
        <v>301</v>
      </c>
      <c r="F504" s="65" t="s">
        <v>40</v>
      </c>
      <c r="G504" s="65"/>
      <c r="H504" s="65"/>
      <c r="I504" s="66">
        <v>13803.592140000001</v>
      </c>
    </row>
    <row r="505" spans="1:9" hidden="1">
      <c r="A505" s="67" t="s">
        <v>295</v>
      </c>
      <c r="B505" s="68">
        <v>2023</v>
      </c>
      <c r="C505" s="68">
        <v>2023</v>
      </c>
      <c r="D505" s="68" t="s">
        <v>329</v>
      </c>
      <c r="E505" s="68" t="s">
        <v>305</v>
      </c>
      <c r="F505" s="68" t="s">
        <v>40</v>
      </c>
      <c r="G505" s="68"/>
      <c r="H505" s="68"/>
      <c r="I505" s="69">
        <v>522.02228000000002</v>
      </c>
    </row>
    <row r="506" spans="1:9" hidden="1">
      <c r="A506" s="64" t="s">
        <v>295</v>
      </c>
      <c r="B506" s="65">
        <v>2023</v>
      </c>
      <c r="C506" s="65">
        <v>2023</v>
      </c>
      <c r="D506" s="65" t="s">
        <v>330</v>
      </c>
      <c r="E506" s="65" t="s">
        <v>294</v>
      </c>
      <c r="F506" s="65" t="s">
        <v>40</v>
      </c>
      <c r="G506" s="65"/>
      <c r="H506" s="65"/>
      <c r="I506" s="66">
        <v>15576.81473</v>
      </c>
    </row>
    <row r="507" spans="1:9" hidden="1">
      <c r="A507" s="67" t="s">
        <v>295</v>
      </c>
      <c r="B507" s="68">
        <v>2023</v>
      </c>
      <c r="C507" s="68">
        <v>2023</v>
      </c>
      <c r="D507" s="68" t="s">
        <v>330</v>
      </c>
      <c r="E507" s="68" t="s">
        <v>301</v>
      </c>
      <c r="F507" s="68" t="s">
        <v>40</v>
      </c>
      <c r="G507" s="68"/>
      <c r="H507" s="68"/>
      <c r="I507" s="69">
        <v>15441.318509999999</v>
      </c>
    </row>
    <row r="508" spans="1:9" hidden="1">
      <c r="A508" s="64" t="s">
        <v>295</v>
      </c>
      <c r="B508" s="65">
        <v>2023</v>
      </c>
      <c r="C508" s="65">
        <v>2023</v>
      </c>
      <c r="D508" s="65" t="s">
        <v>330</v>
      </c>
      <c r="E508" s="65" t="s">
        <v>305</v>
      </c>
      <c r="F508" s="65" t="s">
        <v>40</v>
      </c>
      <c r="G508" s="65"/>
      <c r="H508" s="65"/>
      <c r="I508" s="66">
        <v>772.28647999999998</v>
      </c>
    </row>
    <row r="509" spans="1:9" hidden="1">
      <c r="A509" s="67" t="s">
        <v>295</v>
      </c>
      <c r="B509" s="68">
        <v>2023</v>
      </c>
      <c r="C509" s="68">
        <v>2023</v>
      </c>
      <c r="D509" s="68" t="s">
        <v>331</v>
      </c>
      <c r="E509" s="68" t="s">
        <v>294</v>
      </c>
      <c r="F509" s="68" t="s">
        <v>40</v>
      </c>
      <c r="G509" s="68"/>
      <c r="H509" s="68"/>
      <c r="I509" s="69">
        <v>36346.04449</v>
      </c>
    </row>
    <row r="510" spans="1:9" hidden="1">
      <c r="A510" s="64" t="s">
        <v>295</v>
      </c>
      <c r="B510" s="65">
        <v>2023</v>
      </c>
      <c r="C510" s="65">
        <v>2023</v>
      </c>
      <c r="D510" s="65" t="s">
        <v>331</v>
      </c>
      <c r="E510" s="65" t="s">
        <v>301</v>
      </c>
      <c r="F510" s="65" t="s">
        <v>40</v>
      </c>
      <c r="G510" s="65"/>
      <c r="H510" s="65"/>
      <c r="I510" s="66">
        <v>37036.052790000002</v>
      </c>
    </row>
    <row r="511" spans="1:9" hidden="1">
      <c r="A511" s="67" t="s">
        <v>295</v>
      </c>
      <c r="B511" s="68">
        <v>2023</v>
      </c>
      <c r="C511" s="68">
        <v>2023</v>
      </c>
      <c r="D511" s="68" t="s">
        <v>331</v>
      </c>
      <c r="E511" s="68" t="s">
        <v>305</v>
      </c>
      <c r="F511" s="68" t="s">
        <v>40</v>
      </c>
      <c r="G511" s="68"/>
      <c r="H511" s="68"/>
      <c r="I511" s="69">
        <v>2672.81268</v>
      </c>
    </row>
    <row r="512" spans="1:9" hidden="1">
      <c r="A512" s="64" t="s">
        <v>295</v>
      </c>
      <c r="B512" s="65">
        <v>2023</v>
      </c>
      <c r="C512" s="65">
        <v>2023</v>
      </c>
      <c r="D512" s="65" t="s">
        <v>332</v>
      </c>
      <c r="E512" s="65" t="s">
        <v>294</v>
      </c>
      <c r="F512" s="65" t="s">
        <v>40</v>
      </c>
      <c r="G512" s="65"/>
      <c r="H512" s="65"/>
      <c r="I512" s="66">
        <v>722.14317999999992</v>
      </c>
    </row>
    <row r="513" spans="1:9" hidden="1">
      <c r="A513" s="67" t="s">
        <v>295</v>
      </c>
      <c r="B513" s="68">
        <v>2023</v>
      </c>
      <c r="C513" s="68">
        <v>2023</v>
      </c>
      <c r="D513" s="68" t="s">
        <v>332</v>
      </c>
      <c r="E513" s="68" t="s">
        <v>301</v>
      </c>
      <c r="F513" s="68" t="s">
        <v>40</v>
      </c>
      <c r="G513" s="68"/>
      <c r="H513" s="68"/>
      <c r="I513" s="69">
        <v>665.64103999999998</v>
      </c>
    </row>
    <row r="514" spans="1:9" hidden="1">
      <c r="A514" s="64" t="s">
        <v>295</v>
      </c>
      <c r="B514" s="65">
        <v>2023</v>
      </c>
      <c r="C514" s="65">
        <v>2023</v>
      </c>
      <c r="D514" s="65" t="s">
        <v>332</v>
      </c>
      <c r="E514" s="65" t="s">
        <v>305</v>
      </c>
      <c r="F514" s="65" t="s">
        <v>40</v>
      </c>
      <c r="G514" s="65"/>
      <c r="H514" s="65"/>
      <c r="I514" s="66">
        <v>212.13994</v>
      </c>
    </row>
    <row r="515" spans="1:9" hidden="1">
      <c r="A515" s="67" t="s">
        <v>295</v>
      </c>
      <c r="B515" s="68">
        <v>2023</v>
      </c>
      <c r="C515" s="68">
        <v>2023</v>
      </c>
      <c r="D515" s="68" t="s">
        <v>333</v>
      </c>
      <c r="E515" s="68" t="s">
        <v>294</v>
      </c>
      <c r="F515" s="68" t="s">
        <v>40</v>
      </c>
      <c r="G515" s="68"/>
      <c r="H515" s="68"/>
      <c r="I515" s="69">
        <v>-27711.362819999998</v>
      </c>
    </row>
    <row r="516" spans="1:9" hidden="1">
      <c r="A516" s="64" t="s">
        <v>295</v>
      </c>
      <c r="B516" s="65">
        <v>2023</v>
      </c>
      <c r="C516" s="65">
        <v>2023</v>
      </c>
      <c r="D516" s="65" t="s">
        <v>333</v>
      </c>
      <c r="E516" s="65" t="s">
        <v>301</v>
      </c>
      <c r="F516" s="65" t="s">
        <v>40</v>
      </c>
      <c r="G516" s="65"/>
      <c r="H516" s="65"/>
      <c r="I516" s="66">
        <v>-28119.78904</v>
      </c>
    </row>
    <row r="517" spans="1:9" hidden="1">
      <c r="A517" s="67" t="s">
        <v>295</v>
      </c>
      <c r="B517" s="68">
        <v>2023</v>
      </c>
      <c r="C517" s="68">
        <v>2023</v>
      </c>
      <c r="D517" s="68" t="s">
        <v>333</v>
      </c>
      <c r="E517" s="68" t="s">
        <v>305</v>
      </c>
      <c r="F517" s="68" t="s">
        <v>40</v>
      </c>
      <c r="G517" s="68"/>
      <c r="H517" s="68"/>
      <c r="I517" s="69">
        <v>-2616.9499999999998</v>
      </c>
    </row>
    <row r="518" spans="1:9" hidden="1">
      <c r="A518" s="64" t="s">
        <v>295</v>
      </c>
      <c r="B518" s="65">
        <v>2023</v>
      </c>
      <c r="C518" s="65">
        <v>2023</v>
      </c>
      <c r="D518" s="65" t="s">
        <v>334</v>
      </c>
      <c r="E518" s="65" t="s">
        <v>294</v>
      </c>
      <c r="F518" s="65" t="s">
        <v>40</v>
      </c>
      <c r="G518" s="65"/>
      <c r="H518" s="65"/>
      <c r="I518" s="66">
        <v>271.99833000000001</v>
      </c>
    </row>
    <row r="519" spans="1:9" hidden="1">
      <c r="A519" s="67" t="s">
        <v>295</v>
      </c>
      <c r="B519" s="68">
        <v>2023</v>
      </c>
      <c r="C519" s="68">
        <v>2023</v>
      </c>
      <c r="D519" s="68" t="s">
        <v>334</v>
      </c>
      <c r="E519" s="68" t="s">
        <v>301</v>
      </c>
      <c r="F519" s="68" t="s">
        <v>40</v>
      </c>
      <c r="G519" s="68"/>
      <c r="H519" s="68"/>
      <c r="I519" s="69">
        <v>271.99833000000001</v>
      </c>
    </row>
    <row r="520" spans="1:9" hidden="1">
      <c r="A520" s="64" t="s">
        <v>295</v>
      </c>
      <c r="B520" s="65">
        <v>2023</v>
      </c>
      <c r="C520" s="65">
        <v>2023</v>
      </c>
      <c r="D520" s="65" t="s">
        <v>308</v>
      </c>
      <c r="E520" s="65" t="s">
        <v>294</v>
      </c>
      <c r="F520" s="65" t="s">
        <v>297</v>
      </c>
      <c r="G520" s="65"/>
      <c r="H520" s="65"/>
      <c r="I520" s="66">
        <v>112748.5174</v>
      </c>
    </row>
    <row r="521" spans="1:9" hidden="1">
      <c r="A521" s="67" t="s">
        <v>295</v>
      </c>
      <c r="B521" s="68">
        <v>2023</v>
      </c>
      <c r="C521" s="68">
        <v>2023</v>
      </c>
      <c r="D521" s="68" t="s">
        <v>308</v>
      </c>
      <c r="E521" s="68" t="s">
        <v>294</v>
      </c>
      <c r="F521" s="68" t="s">
        <v>298</v>
      </c>
      <c r="G521" s="68"/>
      <c r="H521" s="68"/>
      <c r="I521" s="69">
        <v>246.50344999999999</v>
      </c>
    </row>
    <row r="522" spans="1:9" hidden="1">
      <c r="A522" s="64" t="s">
        <v>295</v>
      </c>
      <c r="B522" s="65">
        <v>2023</v>
      </c>
      <c r="C522" s="65">
        <v>2023</v>
      </c>
      <c r="D522" s="65" t="s">
        <v>308</v>
      </c>
      <c r="E522" s="65" t="s">
        <v>294</v>
      </c>
      <c r="F522" s="65" t="s">
        <v>40</v>
      </c>
      <c r="G522" s="65"/>
      <c r="H522" s="65"/>
      <c r="I522" s="66">
        <v>112995.02085</v>
      </c>
    </row>
    <row r="523" spans="1:9" hidden="1">
      <c r="A523" s="67" t="s">
        <v>295</v>
      </c>
      <c r="B523" s="68">
        <v>2023</v>
      </c>
      <c r="C523" s="68">
        <v>2023</v>
      </c>
      <c r="D523" s="68" t="s">
        <v>308</v>
      </c>
      <c r="E523" s="68" t="s">
        <v>301</v>
      </c>
      <c r="F523" s="68" t="s">
        <v>297</v>
      </c>
      <c r="G523" s="68"/>
      <c r="H523" s="68"/>
      <c r="I523" s="69">
        <v>113319.13497</v>
      </c>
    </row>
    <row r="524" spans="1:9" hidden="1">
      <c r="A524" s="64" t="s">
        <v>295</v>
      </c>
      <c r="B524" s="65">
        <v>2023</v>
      </c>
      <c r="C524" s="65">
        <v>2023</v>
      </c>
      <c r="D524" s="65" t="s">
        <v>308</v>
      </c>
      <c r="E524" s="65" t="s">
        <v>301</v>
      </c>
      <c r="F524" s="65" t="s">
        <v>298</v>
      </c>
      <c r="G524" s="65"/>
      <c r="H524" s="65"/>
      <c r="I524" s="66">
        <v>246.50344999999999</v>
      </c>
    </row>
    <row r="525" spans="1:9" hidden="1">
      <c r="A525" s="67" t="s">
        <v>295</v>
      </c>
      <c r="B525" s="68">
        <v>2023</v>
      </c>
      <c r="C525" s="68">
        <v>2023</v>
      </c>
      <c r="D525" s="68" t="s">
        <v>308</v>
      </c>
      <c r="E525" s="68" t="s">
        <v>301</v>
      </c>
      <c r="F525" s="68" t="s">
        <v>40</v>
      </c>
      <c r="G525" s="68"/>
      <c r="H525" s="68"/>
      <c r="I525" s="69">
        <v>113565.63842</v>
      </c>
    </row>
    <row r="526" spans="1:9" hidden="1">
      <c r="A526" s="64" t="s">
        <v>295</v>
      </c>
      <c r="B526" s="65">
        <v>2023</v>
      </c>
      <c r="C526" s="65">
        <v>2023</v>
      </c>
      <c r="D526" s="65" t="s">
        <v>308</v>
      </c>
      <c r="E526" s="65" t="s">
        <v>305</v>
      </c>
      <c r="F526" s="65" t="s">
        <v>297</v>
      </c>
      <c r="G526" s="65"/>
      <c r="H526" s="65"/>
      <c r="I526" s="66">
        <v>1492.3507500000001</v>
      </c>
    </row>
    <row r="527" spans="1:9" hidden="1">
      <c r="A527" s="67" t="s">
        <v>295</v>
      </c>
      <c r="B527" s="68">
        <v>2023</v>
      </c>
      <c r="C527" s="68">
        <v>2023</v>
      </c>
      <c r="D527" s="68" t="s">
        <v>308</v>
      </c>
      <c r="E527" s="68" t="s">
        <v>305</v>
      </c>
      <c r="F527" s="68" t="s">
        <v>40</v>
      </c>
      <c r="G527" s="68"/>
      <c r="H527" s="68"/>
      <c r="I527" s="69">
        <v>10688.85075</v>
      </c>
    </row>
    <row r="528" spans="1:9" hidden="1">
      <c r="A528" s="64" t="s">
        <v>295</v>
      </c>
      <c r="B528" s="65">
        <v>2023</v>
      </c>
      <c r="C528" s="65">
        <v>2023</v>
      </c>
      <c r="D528" s="65" t="s">
        <v>310</v>
      </c>
      <c r="E528" s="65" t="s">
        <v>294</v>
      </c>
      <c r="F528" s="65" t="s">
        <v>297</v>
      </c>
      <c r="G528" s="65"/>
      <c r="H528" s="65"/>
      <c r="I528" s="66">
        <v>112.1</v>
      </c>
    </row>
    <row r="529" spans="1:9" hidden="1">
      <c r="A529" s="67" t="s">
        <v>295</v>
      </c>
      <c r="B529" s="68">
        <v>2023</v>
      </c>
      <c r="C529" s="68">
        <v>2023</v>
      </c>
      <c r="D529" s="68" t="s">
        <v>310</v>
      </c>
      <c r="E529" s="68" t="s">
        <v>294</v>
      </c>
      <c r="F529" s="68" t="s">
        <v>40</v>
      </c>
      <c r="G529" s="68"/>
      <c r="H529" s="68"/>
      <c r="I529" s="69">
        <v>98540.026164746145</v>
      </c>
    </row>
    <row r="530" spans="1:9" hidden="1">
      <c r="A530" s="64" t="s">
        <v>295</v>
      </c>
      <c r="B530" s="65">
        <v>2023</v>
      </c>
      <c r="C530" s="65">
        <v>2023</v>
      </c>
      <c r="D530" s="65" t="s">
        <v>310</v>
      </c>
      <c r="E530" s="65" t="s">
        <v>301</v>
      </c>
      <c r="F530" s="65" t="s">
        <v>297</v>
      </c>
      <c r="G530" s="65"/>
      <c r="H530" s="65"/>
      <c r="I530" s="66">
        <v>112.1</v>
      </c>
    </row>
    <row r="531" spans="1:9" hidden="1">
      <c r="A531" s="67" t="s">
        <v>295</v>
      </c>
      <c r="B531" s="68">
        <v>2023</v>
      </c>
      <c r="C531" s="68">
        <v>2023</v>
      </c>
      <c r="D531" s="68" t="s">
        <v>310</v>
      </c>
      <c r="E531" s="68" t="s">
        <v>301</v>
      </c>
      <c r="F531" s="68" t="s">
        <v>40</v>
      </c>
      <c r="G531" s="68"/>
      <c r="H531" s="68"/>
      <c r="I531" s="69">
        <v>101101.1093447461</v>
      </c>
    </row>
    <row r="532" spans="1:9" hidden="1">
      <c r="A532" s="64" t="s">
        <v>295</v>
      </c>
      <c r="B532" s="65">
        <v>2023</v>
      </c>
      <c r="C532" s="65">
        <v>2023</v>
      </c>
      <c r="D532" s="65" t="s">
        <v>310</v>
      </c>
      <c r="E532" s="65" t="s">
        <v>305</v>
      </c>
      <c r="F532" s="65" t="s">
        <v>40</v>
      </c>
      <c r="G532" s="65"/>
      <c r="H532" s="65"/>
      <c r="I532" s="66">
        <v>944.71192000000008</v>
      </c>
    </row>
    <row r="533" spans="1:9" hidden="1">
      <c r="A533" s="67" t="s">
        <v>295</v>
      </c>
      <c r="B533" s="68">
        <v>2023</v>
      </c>
      <c r="C533" s="68">
        <v>2023</v>
      </c>
      <c r="D533" s="68" t="s">
        <v>311</v>
      </c>
      <c r="E533" s="68" t="s">
        <v>294</v>
      </c>
      <c r="F533" s="68" t="s">
        <v>297</v>
      </c>
      <c r="G533" s="68"/>
      <c r="H533" s="68"/>
      <c r="I533" s="69">
        <v>505.7</v>
      </c>
    </row>
    <row r="534" spans="1:9" hidden="1">
      <c r="A534" s="64" t="s">
        <v>295</v>
      </c>
      <c r="B534" s="65">
        <v>2023</v>
      </c>
      <c r="C534" s="65">
        <v>2023</v>
      </c>
      <c r="D534" s="65" t="s">
        <v>311</v>
      </c>
      <c r="E534" s="65" t="s">
        <v>294</v>
      </c>
      <c r="F534" s="65" t="s">
        <v>40</v>
      </c>
      <c r="G534" s="65"/>
      <c r="H534" s="65"/>
      <c r="I534" s="66">
        <v>135481.53481459821</v>
      </c>
    </row>
    <row r="535" spans="1:9" hidden="1">
      <c r="A535" s="67" t="s">
        <v>295</v>
      </c>
      <c r="B535" s="68">
        <v>2023</v>
      </c>
      <c r="C535" s="68">
        <v>2023</v>
      </c>
      <c r="D535" s="68" t="s">
        <v>311</v>
      </c>
      <c r="E535" s="68" t="s">
        <v>301</v>
      </c>
      <c r="F535" s="68" t="s">
        <v>297</v>
      </c>
      <c r="G535" s="68"/>
      <c r="H535" s="68"/>
      <c r="I535" s="69">
        <v>505.7</v>
      </c>
    </row>
    <row r="536" spans="1:9" hidden="1">
      <c r="A536" s="64" t="s">
        <v>295</v>
      </c>
      <c r="B536" s="65">
        <v>2023</v>
      </c>
      <c r="C536" s="65">
        <v>2023</v>
      </c>
      <c r="D536" s="65" t="s">
        <v>311</v>
      </c>
      <c r="E536" s="65" t="s">
        <v>301</v>
      </c>
      <c r="F536" s="65" t="s">
        <v>40</v>
      </c>
      <c r="G536" s="65"/>
      <c r="H536" s="65"/>
      <c r="I536" s="66">
        <v>135688.7315545982</v>
      </c>
    </row>
    <row r="537" spans="1:9" hidden="1">
      <c r="A537" s="67" t="s">
        <v>295</v>
      </c>
      <c r="B537" s="68">
        <v>2023</v>
      </c>
      <c r="C537" s="68">
        <v>2023</v>
      </c>
      <c r="D537" s="68" t="s">
        <v>311</v>
      </c>
      <c r="E537" s="68" t="s">
        <v>305</v>
      </c>
      <c r="F537" s="68" t="s">
        <v>40</v>
      </c>
      <c r="G537" s="68"/>
      <c r="H537" s="68"/>
      <c r="I537" s="69">
        <v>611</v>
      </c>
    </row>
    <row r="538" spans="1:9" hidden="1">
      <c r="A538" s="64" t="s">
        <v>295</v>
      </c>
      <c r="B538" s="65">
        <v>2023</v>
      </c>
      <c r="C538" s="65">
        <v>2023</v>
      </c>
      <c r="D538" s="65" t="s">
        <v>312</v>
      </c>
      <c r="E538" s="65" t="s">
        <v>294</v>
      </c>
      <c r="F538" s="65" t="s">
        <v>297</v>
      </c>
      <c r="G538" s="65"/>
      <c r="H538" s="65"/>
      <c r="I538" s="66">
        <v>755.22897999999998</v>
      </c>
    </row>
    <row r="539" spans="1:9" hidden="1">
      <c r="A539" s="67" t="s">
        <v>295</v>
      </c>
      <c r="B539" s="68">
        <v>2023</v>
      </c>
      <c r="C539" s="68">
        <v>2023</v>
      </c>
      <c r="D539" s="68" t="s">
        <v>312</v>
      </c>
      <c r="E539" s="68" t="s">
        <v>294</v>
      </c>
      <c r="F539" s="68" t="s">
        <v>40</v>
      </c>
      <c r="G539" s="68"/>
      <c r="H539" s="68"/>
      <c r="I539" s="69">
        <v>899.12897999999996</v>
      </c>
    </row>
    <row r="540" spans="1:9" hidden="1">
      <c r="A540" s="64" t="s">
        <v>295</v>
      </c>
      <c r="B540" s="65">
        <v>2023</v>
      </c>
      <c r="C540" s="65">
        <v>2023</v>
      </c>
      <c r="D540" s="65" t="s">
        <v>312</v>
      </c>
      <c r="E540" s="65" t="s">
        <v>301</v>
      </c>
      <c r="F540" s="65" t="s">
        <v>297</v>
      </c>
      <c r="G540" s="65"/>
      <c r="H540" s="65"/>
      <c r="I540" s="66">
        <v>755.22901000000002</v>
      </c>
    </row>
    <row r="541" spans="1:9" hidden="1">
      <c r="A541" s="67" t="s">
        <v>295</v>
      </c>
      <c r="B541" s="68">
        <v>2023</v>
      </c>
      <c r="C541" s="68">
        <v>2023</v>
      </c>
      <c r="D541" s="68" t="s">
        <v>312</v>
      </c>
      <c r="E541" s="68" t="s">
        <v>301</v>
      </c>
      <c r="F541" s="68" t="s">
        <v>40</v>
      </c>
      <c r="G541" s="68"/>
      <c r="H541" s="68"/>
      <c r="I541" s="69">
        <v>899.12900999999999</v>
      </c>
    </row>
    <row r="542" spans="1:9" hidden="1">
      <c r="A542" s="64" t="s">
        <v>295</v>
      </c>
      <c r="B542" s="65">
        <v>2023</v>
      </c>
      <c r="C542" s="65">
        <v>2023</v>
      </c>
      <c r="D542" s="65" t="s">
        <v>313</v>
      </c>
      <c r="E542" s="65" t="s">
        <v>294</v>
      </c>
      <c r="F542" s="65" t="s">
        <v>297</v>
      </c>
      <c r="G542" s="65"/>
      <c r="H542" s="65"/>
      <c r="I542" s="66">
        <v>2044189.7383699999</v>
      </c>
    </row>
    <row r="543" spans="1:9" hidden="1">
      <c r="A543" s="67" t="s">
        <v>295</v>
      </c>
      <c r="B543" s="68">
        <v>2023</v>
      </c>
      <c r="C543" s="68">
        <v>2023</v>
      </c>
      <c r="D543" s="68" t="s">
        <v>313</v>
      </c>
      <c r="E543" s="68" t="s">
        <v>294</v>
      </c>
      <c r="F543" s="68" t="s">
        <v>298</v>
      </c>
      <c r="G543" s="68"/>
      <c r="H543" s="68"/>
      <c r="I543" s="69">
        <v>1271665.7978300001</v>
      </c>
    </row>
    <row r="544" spans="1:9" hidden="1">
      <c r="A544" s="64" t="s">
        <v>295</v>
      </c>
      <c r="B544" s="65">
        <v>2023</v>
      </c>
      <c r="C544" s="65">
        <v>2023</v>
      </c>
      <c r="D544" s="65" t="s">
        <v>313</v>
      </c>
      <c r="E544" s="65" t="s">
        <v>294</v>
      </c>
      <c r="F544" s="65" t="s">
        <v>40</v>
      </c>
      <c r="G544" s="65"/>
      <c r="H544" s="65"/>
      <c r="I544" s="66">
        <v>3329321.6420700001</v>
      </c>
    </row>
    <row r="545" spans="1:9" hidden="1">
      <c r="A545" s="67" t="s">
        <v>295</v>
      </c>
      <c r="B545" s="68">
        <v>2023</v>
      </c>
      <c r="C545" s="68">
        <v>2023</v>
      </c>
      <c r="D545" s="68" t="s">
        <v>313</v>
      </c>
      <c r="E545" s="68" t="s">
        <v>301</v>
      </c>
      <c r="F545" s="68" t="s">
        <v>297</v>
      </c>
      <c r="G545" s="68"/>
      <c r="H545" s="68"/>
      <c r="I545" s="69">
        <v>2078836.0586099999</v>
      </c>
    </row>
    <row r="546" spans="1:9" hidden="1">
      <c r="A546" s="64" t="s">
        <v>295</v>
      </c>
      <c r="B546" s="65">
        <v>2023</v>
      </c>
      <c r="C546" s="65">
        <v>2023</v>
      </c>
      <c r="D546" s="65" t="s">
        <v>313</v>
      </c>
      <c r="E546" s="65" t="s">
        <v>301</v>
      </c>
      <c r="F546" s="65" t="s">
        <v>298</v>
      </c>
      <c r="G546" s="65"/>
      <c r="H546" s="65"/>
      <c r="I546" s="66">
        <v>1302880.00067</v>
      </c>
    </row>
    <row r="547" spans="1:9" hidden="1">
      <c r="A547" s="67" t="s">
        <v>295</v>
      </c>
      <c r="B547" s="68">
        <v>2023</v>
      </c>
      <c r="C547" s="68">
        <v>2023</v>
      </c>
      <c r="D547" s="68" t="s">
        <v>313</v>
      </c>
      <c r="E547" s="68" t="s">
        <v>301</v>
      </c>
      <c r="F547" s="68" t="s">
        <v>40</v>
      </c>
      <c r="G547" s="68"/>
      <c r="H547" s="68"/>
      <c r="I547" s="69">
        <v>3395714.1908800001</v>
      </c>
    </row>
    <row r="548" spans="1:9" hidden="1">
      <c r="A548" s="64" t="s">
        <v>295</v>
      </c>
      <c r="B548" s="65">
        <v>2023</v>
      </c>
      <c r="C548" s="65">
        <v>2023</v>
      </c>
      <c r="D548" s="65" t="s">
        <v>313</v>
      </c>
      <c r="E548" s="65" t="s">
        <v>305</v>
      </c>
      <c r="F548" s="65" t="s">
        <v>297</v>
      </c>
      <c r="G548" s="65"/>
      <c r="H548" s="65"/>
      <c r="I548" s="66">
        <v>14788.251190000001</v>
      </c>
    </row>
    <row r="549" spans="1:9" hidden="1">
      <c r="A549" s="67" t="s">
        <v>295</v>
      </c>
      <c r="B549" s="68">
        <v>2023</v>
      </c>
      <c r="C549" s="68">
        <v>2023</v>
      </c>
      <c r="D549" s="68" t="s">
        <v>313</v>
      </c>
      <c r="E549" s="68" t="s">
        <v>305</v>
      </c>
      <c r="F549" s="68" t="s">
        <v>298</v>
      </c>
      <c r="G549" s="68"/>
      <c r="H549" s="68"/>
      <c r="I549" s="69">
        <v>8971.5632000000005</v>
      </c>
    </row>
    <row r="550" spans="1:9" hidden="1">
      <c r="A550" s="64" t="s">
        <v>295</v>
      </c>
      <c r="B550" s="65">
        <v>2023</v>
      </c>
      <c r="C550" s="65">
        <v>2023</v>
      </c>
      <c r="D550" s="65" t="s">
        <v>313</v>
      </c>
      <c r="E550" s="65" t="s">
        <v>305</v>
      </c>
      <c r="F550" s="65" t="s">
        <v>40</v>
      </c>
      <c r="G550" s="65"/>
      <c r="H550" s="65"/>
      <c r="I550" s="66">
        <v>186789.86142999999</v>
      </c>
    </row>
    <row r="551" spans="1:9" hidden="1">
      <c r="A551" s="67" t="s">
        <v>295</v>
      </c>
      <c r="B551" s="68">
        <v>2023</v>
      </c>
      <c r="C551" s="68">
        <v>2023</v>
      </c>
      <c r="D551" s="68" t="s">
        <v>314</v>
      </c>
      <c r="E551" s="68" t="s">
        <v>294</v>
      </c>
      <c r="F551" s="68" t="s">
        <v>297</v>
      </c>
      <c r="G551" s="68"/>
      <c r="H551" s="68"/>
      <c r="I551" s="69">
        <v>2044199.4963700001</v>
      </c>
    </row>
    <row r="552" spans="1:9" hidden="1">
      <c r="A552" s="64" t="s">
        <v>295</v>
      </c>
      <c r="B552" s="65">
        <v>2023</v>
      </c>
      <c r="C552" s="65">
        <v>2023</v>
      </c>
      <c r="D552" s="65" t="s">
        <v>314</v>
      </c>
      <c r="E552" s="65" t="s">
        <v>294</v>
      </c>
      <c r="F552" s="65" t="s">
        <v>298</v>
      </c>
      <c r="G552" s="65"/>
      <c r="H552" s="65"/>
      <c r="I552" s="66">
        <v>1271665.7978300001</v>
      </c>
    </row>
    <row r="553" spans="1:9" hidden="1">
      <c r="A553" s="67" t="s">
        <v>295</v>
      </c>
      <c r="B553" s="68">
        <v>2023</v>
      </c>
      <c r="C553" s="68">
        <v>2023</v>
      </c>
      <c r="D553" s="68" t="s">
        <v>314</v>
      </c>
      <c r="E553" s="68" t="s">
        <v>294</v>
      </c>
      <c r="F553" s="68" t="s">
        <v>40</v>
      </c>
      <c r="G553" s="68"/>
      <c r="H553" s="68"/>
      <c r="I553" s="69">
        <v>3080471.7012200002</v>
      </c>
    </row>
    <row r="554" spans="1:9" hidden="1">
      <c r="A554" s="64" t="s">
        <v>295</v>
      </c>
      <c r="B554" s="65">
        <v>2023</v>
      </c>
      <c r="C554" s="65">
        <v>2023</v>
      </c>
      <c r="D554" s="65" t="s">
        <v>314</v>
      </c>
      <c r="E554" s="65" t="s">
        <v>301</v>
      </c>
      <c r="F554" s="65" t="s">
        <v>297</v>
      </c>
      <c r="G554" s="65"/>
      <c r="H554" s="65"/>
      <c r="I554" s="66">
        <v>2078845.8166100001</v>
      </c>
    </row>
    <row r="555" spans="1:9" hidden="1">
      <c r="A555" s="67" t="s">
        <v>295</v>
      </c>
      <c r="B555" s="68">
        <v>2023</v>
      </c>
      <c r="C555" s="68">
        <v>2023</v>
      </c>
      <c r="D555" s="68" t="s">
        <v>314</v>
      </c>
      <c r="E555" s="68" t="s">
        <v>301</v>
      </c>
      <c r="F555" s="68" t="s">
        <v>298</v>
      </c>
      <c r="G555" s="68"/>
      <c r="H555" s="68"/>
      <c r="I555" s="69">
        <v>1302880.00067</v>
      </c>
    </row>
    <row r="556" spans="1:9" hidden="1">
      <c r="A556" s="64" t="s">
        <v>295</v>
      </c>
      <c r="B556" s="65">
        <v>2023</v>
      </c>
      <c r="C556" s="65">
        <v>2023</v>
      </c>
      <c r="D556" s="65" t="s">
        <v>314</v>
      </c>
      <c r="E556" s="65" t="s">
        <v>301</v>
      </c>
      <c r="F556" s="65" t="s">
        <v>40</v>
      </c>
      <c r="G556" s="65"/>
      <c r="H556" s="65"/>
      <c r="I556" s="66">
        <v>3155909.4912800002</v>
      </c>
    </row>
    <row r="557" spans="1:9" hidden="1">
      <c r="A557" s="67" t="s">
        <v>295</v>
      </c>
      <c r="B557" s="68">
        <v>2023</v>
      </c>
      <c r="C557" s="68">
        <v>2023</v>
      </c>
      <c r="D557" s="68" t="s">
        <v>314</v>
      </c>
      <c r="E557" s="68" t="s">
        <v>305</v>
      </c>
      <c r="F557" s="68" t="s">
        <v>297</v>
      </c>
      <c r="G557" s="68"/>
      <c r="H557" s="68"/>
      <c r="I557" s="69">
        <v>14788.251190000001</v>
      </c>
    </row>
    <row r="558" spans="1:9" hidden="1">
      <c r="A558" s="64" t="s">
        <v>295</v>
      </c>
      <c r="B558" s="65">
        <v>2023</v>
      </c>
      <c r="C558" s="65">
        <v>2023</v>
      </c>
      <c r="D558" s="65" t="s">
        <v>314</v>
      </c>
      <c r="E558" s="65" t="s">
        <v>305</v>
      </c>
      <c r="F558" s="65" t="s">
        <v>298</v>
      </c>
      <c r="G558" s="65"/>
      <c r="H558" s="65"/>
      <c r="I558" s="66">
        <v>8971.5632000000005</v>
      </c>
    </row>
    <row r="559" spans="1:9" hidden="1">
      <c r="A559" s="67" t="s">
        <v>295</v>
      </c>
      <c r="B559" s="68">
        <v>2023</v>
      </c>
      <c r="C559" s="68">
        <v>2023</v>
      </c>
      <c r="D559" s="68" t="s">
        <v>314</v>
      </c>
      <c r="E559" s="68" t="s">
        <v>305</v>
      </c>
      <c r="F559" s="68" t="s">
        <v>40</v>
      </c>
      <c r="G559" s="68"/>
      <c r="H559" s="68"/>
      <c r="I559" s="69">
        <v>163970.91303</v>
      </c>
    </row>
    <row r="560" spans="1:9" hidden="1">
      <c r="A560" s="64" t="s">
        <v>295</v>
      </c>
      <c r="B560" s="65">
        <v>2024</v>
      </c>
      <c r="C560" s="65">
        <v>2023</v>
      </c>
      <c r="D560" s="65" t="s">
        <v>296</v>
      </c>
      <c r="E560" s="65" t="s">
        <v>294</v>
      </c>
      <c r="F560" s="65" t="s">
        <v>297</v>
      </c>
      <c r="G560" s="65"/>
      <c r="H560" s="65"/>
      <c r="I560" s="66">
        <v>1440631.51324</v>
      </c>
    </row>
    <row r="561" spans="1:9" hidden="1">
      <c r="A561" s="67" t="s">
        <v>295</v>
      </c>
      <c r="B561" s="68">
        <v>2024</v>
      </c>
      <c r="C561" s="68">
        <v>2023</v>
      </c>
      <c r="D561" s="68" t="s">
        <v>296</v>
      </c>
      <c r="E561" s="68" t="s">
        <v>294</v>
      </c>
      <c r="F561" s="68" t="s">
        <v>298</v>
      </c>
      <c r="G561" s="68"/>
      <c r="H561" s="68"/>
      <c r="I561" s="69">
        <v>974044.01335999998</v>
      </c>
    </row>
    <row r="562" spans="1:9" hidden="1">
      <c r="A562" s="64" t="s">
        <v>295</v>
      </c>
      <c r="B562" s="65">
        <v>2024</v>
      </c>
      <c r="C562" s="65">
        <v>2023</v>
      </c>
      <c r="D562" s="65" t="s">
        <v>296</v>
      </c>
      <c r="E562" s="65" t="s">
        <v>294</v>
      </c>
      <c r="F562" s="65" t="s">
        <v>40</v>
      </c>
      <c r="G562" s="65"/>
      <c r="H562" s="65"/>
      <c r="I562" s="66">
        <v>2429962.23153</v>
      </c>
    </row>
    <row r="563" spans="1:9" hidden="1">
      <c r="A563" s="67" t="s">
        <v>295</v>
      </c>
      <c r="B563" s="68">
        <v>2024</v>
      </c>
      <c r="C563" s="68">
        <v>2023</v>
      </c>
      <c r="D563" s="68" t="s">
        <v>296</v>
      </c>
      <c r="E563" s="68" t="s">
        <v>301</v>
      </c>
      <c r="F563" s="68" t="s">
        <v>297</v>
      </c>
      <c r="G563" s="68"/>
      <c r="H563" s="68"/>
      <c r="I563" s="69">
        <v>1480102.52856</v>
      </c>
    </row>
    <row r="564" spans="1:9" hidden="1">
      <c r="A564" s="64" t="s">
        <v>295</v>
      </c>
      <c r="B564" s="65">
        <v>2024</v>
      </c>
      <c r="C564" s="65">
        <v>2023</v>
      </c>
      <c r="D564" s="65" t="s">
        <v>296</v>
      </c>
      <c r="E564" s="65" t="s">
        <v>301</v>
      </c>
      <c r="F564" s="65" t="s">
        <v>298</v>
      </c>
      <c r="G564" s="65"/>
      <c r="H564" s="65"/>
      <c r="I564" s="66">
        <v>1017080.55268</v>
      </c>
    </row>
    <row r="565" spans="1:9" hidden="1">
      <c r="A565" s="67" t="s">
        <v>295</v>
      </c>
      <c r="B565" s="68">
        <v>2024</v>
      </c>
      <c r="C565" s="68">
        <v>2023</v>
      </c>
      <c r="D565" s="68" t="s">
        <v>296</v>
      </c>
      <c r="E565" s="68" t="s">
        <v>301</v>
      </c>
      <c r="F565" s="68" t="s">
        <v>40</v>
      </c>
      <c r="G565" s="68"/>
      <c r="H565" s="68"/>
      <c r="I565" s="69">
        <v>2513264.92191</v>
      </c>
    </row>
    <row r="566" spans="1:9" hidden="1">
      <c r="A566" s="64" t="s">
        <v>295</v>
      </c>
      <c r="B566" s="65">
        <v>2024</v>
      </c>
      <c r="C566" s="65">
        <v>2023</v>
      </c>
      <c r="D566" s="65" t="s">
        <v>296</v>
      </c>
      <c r="E566" s="65" t="s">
        <v>305</v>
      </c>
      <c r="F566" s="65" t="s">
        <v>297</v>
      </c>
      <c r="G566" s="65"/>
      <c r="H566" s="65"/>
      <c r="I566" s="66">
        <v>10421.69484</v>
      </c>
    </row>
    <row r="567" spans="1:9" hidden="1">
      <c r="A567" s="67" t="s">
        <v>295</v>
      </c>
      <c r="B567" s="68">
        <v>2024</v>
      </c>
      <c r="C567" s="68">
        <v>2023</v>
      </c>
      <c r="D567" s="68" t="s">
        <v>296</v>
      </c>
      <c r="E567" s="68" t="s">
        <v>305</v>
      </c>
      <c r="F567" s="68" t="s">
        <v>298</v>
      </c>
      <c r="G567" s="68"/>
      <c r="H567" s="68"/>
      <c r="I567" s="69">
        <v>8270.6671599999991</v>
      </c>
    </row>
    <row r="568" spans="1:9" hidden="1">
      <c r="A568" s="64" t="s">
        <v>295</v>
      </c>
      <c r="B568" s="65">
        <v>2024</v>
      </c>
      <c r="C568" s="65">
        <v>2023</v>
      </c>
      <c r="D568" s="65" t="s">
        <v>296</v>
      </c>
      <c r="E568" s="65" t="s">
        <v>305</v>
      </c>
      <c r="F568" s="65" t="s">
        <v>40</v>
      </c>
      <c r="G568" s="65"/>
      <c r="H568" s="65"/>
      <c r="I568" s="66">
        <v>132345.6464</v>
      </c>
    </row>
    <row r="569" spans="1:9" hidden="1">
      <c r="A569" s="67" t="s">
        <v>295</v>
      </c>
      <c r="B569" s="68">
        <v>2024</v>
      </c>
      <c r="C569" s="68">
        <v>2023</v>
      </c>
      <c r="D569" s="68" t="s">
        <v>309</v>
      </c>
      <c r="E569" s="68" t="s">
        <v>294</v>
      </c>
      <c r="F569" s="68" t="s">
        <v>297</v>
      </c>
      <c r="G569" s="68"/>
      <c r="H569" s="68"/>
      <c r="I569" s="69">
        <v>58135.732320000003</v>
      </c>
    </row>
    <row r="570" spans="1:9" hidden="1">
      <c r="A570" s="64" t="s">
        <v>295</v>
      </c>
      <c r="B570" s="65">
        <v>2024</v>
      </c>
      <c r="C570" s="65">
        <v>2023</v>
      </c>
      <c r="D570" s="65" t="s">
        <v>309</v>
      </c>
      <c r="E570" s="65" t="s">
        <v>294</v>
      </c>
      <c r="F570" s="65" t="s">
        <v>298</v>
      </c>
      <c r="G570" s="65"/>
      <c r="H570" s="65"/>
      <c r="I570" s="66">
        <v>669154.15691999998</v>
      </c>
    </row>
    <row r="571" spans="1:9" hidden="1">
      <c r="A571" s="67" t="s">
        <v>295</v>
      </c>
      <c r="B571" s="68">
        <v>2024</v>
      </c>
      <c r="C571" s="68">
        <v>2023</v>
      </c>
      <c r="D571" s="68" t="s">
        <v>309</v>
      </c>
      <c r="E571" s="68" t="s">
        <v>294</v>
      </c>
      <c r="F571" s="68" t="s">
        <v>40</v>
      </c>
      <c r="G571" s="68"/>
      <c r="H571" s="68"/>
      <c r="I571" s="69">
        <v>727289.78922999999</v>
      </c>
    </row>
    <row r="572" spans="1:9" hidden="1">
      <c r="A572" s="64" t="s">
        <v>295</v>
      </c>
      <c r="B572" s="65">
        <v>2024</v>
      </c>
      <c r="C572" s="65">
        <v>2023</v>
      </c>
      <c r="D572" s="65" t="s">
        <v>309</v>
      </c>
      <c r="E572" s="65" t="s">
        <v>301</v>
      </c>
      <c r="F572" s="65" t="s">
        <v>297</v>
      </c>
      <c r="G572" s="65"/>
      <c r="H572" s="65"/>
      <c r="I572" s="66">
        <v>62427.941059999997</v>
      </c>
    </row>
    <row r="573" spans="1:9" hidden="1">
      <c r="A573" s="67" t="s">
        <v>295</v>
      </c>
      <c r="B573" s="68">
        <v>2024</v>
      </c>
      <c r="C573" s="68">
        <v>2023</v>
      </c>
      <c r="D573" s="68" t="s">
        <v>309</v>
      </c>
      <c r="E573" s="68" t="s">
        <v>301</v>
      </c>
      <c r="F573" s="68" t="s">
        <v>298</v>
      </c>
      <c r="G573" s="68"/>
      <c r="H573" s="68"/>
      <c r="I573" s="69">
        <v>701849.91845</v>
      </c>
    </row>
    <row r="574" spans="1:9" hidden="1">
      <c r="A574" s="64" t="s">
        <v>295</v>
      </c>
      <c r="B574" s="65">
        <v>2024</v>
      </c>
      <c r="C574" s="65">
        <v>2023</v>
      </c>
      <c r="D574" s="65" t="s">
        <v>309</v>
      </c>
      <c r="E574" s="65" t="s">
        <v>301</v>
      </c>
      <c r="F574" s="65" t="s">
        <v>40</v>
      </c>
      <c r="G574" s="65"/>
      <c r="H574" s="65"/>
      <c r="I574" s="66">
        <v>764278.03951999999</v>
      </c>
    </row>
    <row r="575" spans="1:9" hidden="1">
      <c r="A575" s="67" t="s">
        <v>295</v>
      </c>
      <c r="B575" s="68">
        <v>2024</v>
      </c>
      <c r="C575" s="68">
        <v>2023</v>
      </c>
      <c r="D575" s="68" t="s">
        <v>309</v>
      </c>
      <c r="E575" s="68" t="s">
        <v>305</v>
      </c>
      <c r="F575" s="68" t="s">
        <v>297</v>
      </c>
      <c r="G575" s="68"/>
      <c r="H575" s="68"/>
      <c r="I575" s="69">
        <v>150.75362999999999</v>
      </c>
    </row>
    <row r="576" spans="1:9" hidden="1">
      <c r="A576" s="64" t="s">
        <v>295</v>
      </c>
      <c r="B576" s="65">
        <v>2024</v>
      </c>
      <c r="C576" s="65">
        <v>2023</v>
      </c>
      <c r="D576" s="65" t="s">
        <v>309</v>
      </c>
      <c r="E576" s="65" t="s">
        <v>305</v>
      </c>
      <c r="F576" s="65" t="s">
        <v>298</v>
      </c>
      <c r="G576" s="65"/>
      <c r="H576" s="65"/>
      <c r="I576" s="66">
        <v>6883.2671600000003</v>
      </c>
    </row>
    <row r="577" spans="1:9" hidden="1">
      <c r="A577" s="67" t="s">
        <v>295</v>
      </c>
      <c r="B577" s="68">
        <v>2024</v>
      </c>
      <c r="C577" s="68">
        <v>2023</v>
      </c>
      <c r="D577" s="68" t="s">
        <v>309</v>
      </c>
      <c r="E577" s="68" t="s">
        <v>305</v>
      </c>
      <c r="F577" s="68" t="s">
        <v>40</v>
      </c>
      <c r="G577" s="68"/>
      <c r="H577" s="68"/>
      <c r="I577" s="69">
        <v>48007.520790000002</v>
      </c>
    </row>
    <row r="578" spans="1:9" hidden="1">
      <c r="A578" s="64" t="s">
        <v>295</v>
      </c>
      <c r="B578" s="65">
        <v>2024</v>
      </c>
      <c r="C578" s="65">
        <v>2023</v>
      </c>
      <c r="D578" s="65" t="s">
        <v>315</v>
      </c>
      <c r="E578" s="65" t="s">
        <v>294</v>
      </c>
      <c r="F578" s="65" t="s">
        <v>297</v>
      </c>
      <c r="G578" s="65"/>
      <c r="H578" s="65"/>
      <c r="I578" s="66">
        <v>113253.26111000001</v>
      </c>
    </row>
    <row r="579" spans="1:9" hidden="1">
      <c r="A579" s="67" t="s">
        <v>295</v>
      </c>
      <c r="B579" s="68">
        <v>2024</v>
      </c>
      <c r="C579" s="68">
        <v>2023</v>
      </c>
      <c r="D579" s="68" t="s">
        <v>315</v>
      </c>
      <c r="E579" s="68" t="s">
        <v>294</v>
      </c>
      <c r="F579" s="68" t="s">
        <v>298</v>
      </c>
      <c r="G579" s="68"/>
      <c r="H579" s="68"/>
      <c r="I579" s="69">
        <v>284655.37365999998</v>
      </c>
    </row>
    <row r="580" spans="1:9" hidden="1">
      <c r="A580" s="64" t="s">
        <v>295</v>
      </c>
      <c r="B580" s="65">
        <v>2024</v>
      </c>
      <c r="C580" s="65">
        <v>2023</v>
      </c>
      <c r="D580" s="65" t="s">
        <v>315</v>
      </c>
      <c r="E580" s="65" t="s">
        <v>294</v>
      </c>
      <c r="F580" s="65" t="s">
        <v>40</v>
      </c>
      <c r="G580" s="65"/>
      <c r="H580" s="65"/>
      <c r="I580" s="66">
        <v>397908.93475999997</v>
      </c>
    </row>
    <row r="581" spans="1:9" hidden="1">
      <c r="A581" s="67" t="s">
        <v>295</v>
      </c>
      <c r="B581" s="68">
        <v>2024</v>
      </c>
      <c r="C581" s="68">
        <v>2023</v>
      </c>
      <c r="D581" s="68" t="s">
        <v>315</v>
      </c>
      <c r="E581" s="68" t="s">
        <v>301</v>
      </c>
      <c r="F581" s="68" t="s">
        <v>297</v>
      </c>
      <c r="G581" s="68"/>
      <c r="H581" s="68"/>
      <c r="I581" s="69">
        <v>115325.79282</v>
      </c>
    </row>
    <row r="582" spans="1:9" hidden="1">
      <c r="A582" s="64" t="s">
        <v>295</v>
      </c>
      <c r="B582" s="65">
        <v>2024</v>
      </c>
      <c r="C582" s="65">
        <v>2023</v>
      </c>
      <c r="D582" s="65" t="s">
        <v>315</v>
      </c>
      <c r="E582" s="65" t="s">
        <v>301</v>
      </c>
      <c r="F582" s="65" t="s">
        <v>298</v>
      </c>
      <c r="G582" s="65"/>
      <c r="H582" s="65"/>
      <c r="I582" s="66">
        <v>294519.11676</v>
      </c>
    </row>
    <row r="583" spans="1:9" hidden="1">
      <c r="A583" s="67" t="s">
        <v>295</v>
      </c>
      <c r="B583" s="68">
        <v>2024</v>
      </c>
      <c r="C583" s="68">
        <v>2023</v>
      </c>
      <c r="D583" s="68" t="s">
        <v>315</v>
      </c>
      <c r="E583" s="68" t="s">
        <v>301</v>
      </c>
      <c r="F583" s="68" t="s">
        <v>40</v>
      </c>
      <c r="G583" s="68"/>
      <c r="H583" s="68"/>
      <c r="I583" s="69">
        <v>409844.80956999998</v>
      </c>
    </row>
    <row r="584" spans="1:9" hidden="1">
      <c r="A584" s="64" t="s">
        <v>295</v>
      </c>
      <c r="B584" s="65">
        <v>2024</v>
      </c>
      <c r="C584" s="65">
        <v>2023</v>
      </c>
      <c r="D584" s="65" t="s">
        <v>315</v>
      </c>
      <c r="E584" s="65" t="s">
        <v>305</v>
      </c>
      <c r="F584" s="65" t="s">
        <v>297</v>
      </c>
      <c r="G584" s="65"/>
      <c r="H584" s="65"/>
      <c r="I584" s="66">
        <v>954.0802799999999</v>
      </c>
    </row>
    <row r="585" spans="1:9" hidden="1">
      <c r="A585" s="67" t="s">
        <v>295</v>
      </c>
      <c r="B585" s="68">
        <v>2024</v>
      </c>
      <c r="C585" s="68">
        <v>2023</v>
      </c>
      <c r="D585" s="68" t="s">
        <v>315</v>
      </c>
      <c r="E585" s="68" t="s">
        <v>305</v>
      </c>
      <c r="F585" s="68" t="s">
        <v>298</v>
      </c>
      <c r="G585" s="68"/>
      <c r="H585" s="68"/>
      <c r="I585" s="69">
        <v>1317.5</v>
      </c>
    </row>
    <row r="586" spans="1:9" hidden="1">
      <c r="A586" s="64" t="s">
        <v>295</v>
      </c>
      <c r="B586" s="65">
        <v>2024</v>
      </c>
      <c r="C586" s="65">
        <v>2023</v>
      </c>
      <c r="D586" s="65" t="s">
        <v>315</v>
      </c>
      <c r="E586" s="65" t="s">
        <v>305</v>
      </c>
      <c r="F586" s="65" t="s">
        <v>40</v>
      </c>
      <c r="G586" s="65"/>
      <c r="H586" s="65"/>
      <c r="I586" s="66">
        <v>18298.18028</v>
      </c>
    </row>
    <row r="587" spans="1:9" hidden="1">
      <c r="A587" s="67" t="s">
        <v>295</v>
      </c>
      <c r="B587" s="68">
        <v>2024</v>
      </c>
      <c r="C587" s="68">
        <v>2023</v>
      </c>
      <c r="D587" s="68" t="s">
        <v>316</v>
      </c>
      <c r="E587" s="68" t="s">
        <v>294</v>
      </c>
      <c r="F587" s="68" t="s">
        <v>297</v>
      </c>
      <c r="G587" s="68"/>
      <c r="H587" s="68"/>
      <c r="I587" s="69">
        <v>745190.99389000004</v>
      </c>
    </row>
    <row r="588" spans="1:9" hidden="1">
      <c r="A588" s="64" t="s">
        <v>295</v>
      </c>
      <c r="B588" s="65">
        <v>2024</v>
      </c>
      <c r="C588" s="65">
        <v>2023</v>
      </c>
      <c r="D588" s="65" t="s">
        <v>316</v>
      </c>
      <c r="E588" s="65" t="s">
        <v>294</v>
      </c>
      <c r="F588" s="65" t="s">
        <v>298</v>
      </c>
      <c r="G588" s="65"/>
      <c r="H588" s="65"/>
      <c r="I588" s="66">
        <v>3804.5299300000001</v>
      </c>
    </row>
    <row r="589" spans="1:9" hidden="1">
      <c r="A589" s="67" t="s">
        <v>295</v>
      </c>
      <c r="B589" s="68">
        <v>2024</v>
      </c>
      <c r="C589" s="68">
        <v>2023</v>
      </c>
      <c r="D589" s="68" t="s">
        <v>316</v>
      </c>
      <c r="E589" s="68" t="s">
        <v>294</v>
      </c>
      <c r="F589" s="68" t="s">
        <v>40</v>
      </c>
      <c r="G589" s="68"/>
      <c r="H589" s="68"/>
      <c r="I589" s="69">
        <v>764282.17371</v>
      </c>
    </row>
    <row r="590" spans="1:9" hidden="1">
      <c r="A590" s="64" t="s">
        <v>295</v>
      </c>
      <c r="B590" s="65">
        <v>2024</v>
      </c>
      <c r="C590" s="65">
        <v>2023</v>
      </c>
      <c r="D590" s="65" t="s">
        <v>316</v>
      </c>
      <c r="E590" s="65" t="s">
        <v>301</v>
      </c>
      <c r="F590" s="65" t="s">
        <v>297</v>
      </c>
      <c r="G590" s="65"/>
      <c r="H590" s="65"/>
      <c r="I590" s="66">
        <v>758319.06209999998</v>
      </c>
    </row>
    <row r="591" spans="1:9" hidden="1">
      <c r="A591" s="67" t="s">
        <v>295</v>
      </c>
      <c r="B591" s="68">
        <v>2024</v>
      </c>
      <c r="C591" s="68">
        <v>2023</v>
      </c>
      <c r="D591" s="68" t="s">
        <v>316</v>
      </c>
      <c r="E591" s="68" t="s">
        <v>301</v>
      </c>
      <c r="F591" s="68" t="s">
        <v>298</v>
      </c>
      <c r="G591" s="68"/>
      <c r="H591" s="68"/>
      <c r="I591" s="69">
        <v>3861.4827500000001</v>
      </c>
    </row>
    <row r="592" spans="1:9" hidden="1">
      <c r="A592" s="64" t="s">
        <v>295</v>
      </c>
      <c r="B592" s="65">
        <v>2024</v>
      </c>
      <c r="C592" s="65">
        <v>2023</v>
      </c>
      <c r="D592" s="65" t="s">
        <v>316</v>
      </c>
      <c r="E592" s="65" t="s">
        <v>301</v>
      </c>
      <c r="F592" s="65" t="s">
        <v>40</v>
      </c>
      <c r="G592" s="65"/>
      <c r="H592" s="65"/>
      <c r="I592" s="66">
        <v>778262.51049999997</v>
      </c>
    </row>
    <row r="593" spans="1:9" hidden="1">
      <c r="A593" s="67" t="s">
        <v>295</v>
      </c>
      <c r="B593" s="68">
        <v>2024</v>
      </c>
      <c r="C593" s="68">
        <v>2023</v>
      </c>
      <c r="D593" s="68" t="s">
        <v>316</v>
      </c>
      <c r="E593" s="68" t="s">
        <v>305</v>
      </c>
      <c r="F593" s="68" t="s">
        <v>297</v>
      </c>
      <c r="G593" s="68"/>
      <c r="H593" s="68"/>
      <c r="I593" s="69">
        <v>7303.0327700000007</v>
      </c>
    </row>
    <row r="594" spans="1:9" hidden="1">
      <c r="A594" s="64" t="s">
        <v>295</v>
      </c>
      <c r="B594" s="65">
        <v>2024</v>
      </c>
      <c r="C594" s="65">
        <v>2023</v>
      </c>
      <c r="D594" s="65" t="s">
        <v>316</v>
      </c>
      <c r="E594" s="65" t="s">
        <v>305</v>
      </c>
      <c r="F594" s="65" t="s">
        <v>298</v>
      </c>
      <c r="G594" s="65"/>
      <c r="H594" s="65"/>
      <c r="I594" s="66">
        <v>0</v>
      </c>
    </row>
    <row r="595" spans="1:9" hidden="1">
      <c r="A595" s="67" t="s">
        <v>295</v>
      </c>
      <c r="B595" s="68">
        <v>2024</v>
      </c>
      <c r="C595" s="68">
        <v>2023</v>
      </c>
      <c r="D595" s="68" t="s">
        <v>316</v>
      </c>
      <c r="E595" s="68" t="s">
        <v>305</v>
      </c>
      <c r="F595" s="68" t="s">
        <v>40</v>
      </c>
      <c r="G595" s="68"/>
      <c r="H595" s="68"/>
      <c r="I595" s="69">
        <v>29802.117170000001</v>
      </c>
    </row>
    <row r="596" spans="1:9" hidden="1">
      <c r="A596" s="64" t="s">
        <v>295</v>
      </c>
      <c r="B596" s="65">
        <v>2024</v>
      </c>
      <c r="C596" s="65">
        <v>2023</v>
      </c>
      <c r="D596" s="65" t="s">
        <v>317</v>
      </c>
      <c r="E596" s="65" t="s">
        <v>294</v>
      </c>
      <c r="F596" s="65" t="s">
        <v>297</v>
      </c>
      <c r="G596" s="65"/>
      <c r="H596" s="65"/>
      <c r="I596" s="66">
        <v>137.23894999999999</v>
      </c>
    </row>
    <row r="597" spans="1:9" hidden="1">
      <c r="A597" s="67" t="s">
        <v>295</v>
      </c>
      <c r="B597" s="68">
        <v>2024</v>
      </c>
      <c r="C597" s="68">
        <v>2023</v>
      </c>
      <c r="D597" s="68" t="s">
        <v>317</v>
      </c>
      <c r="E597" s="68" t="s">
        <v>294</v>
      </c>
      <c r="F597" s="68" t="s">
        <v>40</v>
      </c>
      <c r="G597" s="68"/>
      <c r="H597" s="68"/>
      <c r="I597" s="69">
        <v>15424.093279999999</v>
      </c>
    </row>
    <row r="598" spans="1:9" hidden="1">
      <c r="A598" s="64" t="s">
        <v>295</v>
      </c>
      <c r="B598" s="65">
        <v>2024</v>
      </c>
      <c r="C598" s="65">
        <v>2023</v>
      </c>
      <c r="D598" s="65" t="s">
        <v>317</v>
      </c>
      <c r="E598" s="65" t="s">
        <v>301</v>
      </c>
      <c r="F598" s="65" t="s">
        <v>297</v>
      </c>
      <c r="G598" s="65"/>
      <c r="H598" s="65"/>
      <c r="I598" s="66">
        <v>143.32302799999999</v>
      </c>
    </row>
    <row r="599" spans="1:9" hidden="1">
      <c r="A599" s="67" t="s">
        <v>295</v>
      </c>
      <c r="B599" s="68">
        <v>2024</v>
      </c>
      <c r="C599" s="68">
        <v>2023</v>
      </c>
      <c r="D599" s="68" t="s">
        <v>317</v>
      </c>
      <c r="E599" s="68" t="s">
        <v>301</v>
      </c>
      <c r="F599" s="68" t="s">
        <v>40</v>
      </c>
      <c r="G599" s="68"/>
      <c r="H599" s="68"/>
      <c r="I599" s="69">
        <v>16225.409149999999</v>
      </c>
    </row>
    <row r="600" spans="1:9" hidden="1">
      <c r="A600" s="64" t="s">
        <v>295</v>
      </c>
      <c r="B600" s="65">
        <v>2024</v>
      </c>
      <c r="C600" s="65">
        <v>2023</v>
      </c>
      <c r="D600" s="65" t="s">
        <v>317</v>
      </c>
      <c r="E600" s="65" t="s">
        <v>305</v>
      </c>
      <c r="F600" s="65" t="s">
        <v>297</v>
      </c>
      <c r="G600" s="65"/>
      <c r="H600" s="65"/>
      <c r="I600" s="66">
        <v>1.2290000000000001E-2</v>
      </c>
    </row>
    <row r="601" spans="1:9" hidden="1">
      <c r="A601" s="67" t="s">
        <v>295</v>
      </c>
      <c r="B601" s="68">
        <v>2024</v>
      </c>
      <c r="C601" s="68">
        <v>2023</v>
      </c>
      <c r="D601" s="68" t="s">
        <v>317</v>
      </c>
      <c r="E601" s="68" t="s">
        <v>305</v>
      </c>
      <c r="F601" s="68" t="s">
        <v>40</v>
      </c>
      <c r="G601" s="68"/>
      <c r="H601" s="68"/>
      <c r="I601" s="69">
        <v>333.89668999999998</v>
      </c>
    </row>
    <row r="602" spans="1:9" hidden="1">
      <c r="A602" s="64" t="s">
        <v>295</v>
      </c>
      <c r="B602" s="65">
        <v>2024</v>
      </c>
      <c r="C602" s="65">
        <v>2023</v>
      </c>
      <c r="D602" s="65" t="s">
        <v>318</v>
      </c>
      <c r="E602" s="65" t="s">
        <v>294</v>
      </c>
      <c r="F602" s="65" t="s">
        <v>297</v>
      </c>
      <c r="G602" s="65"/>
      <c r="H602" s="65"/>
      <c r="I602" s="66">
        <v>722097.59894000005</v>
      </c>
    </row>
    <row r="603" spans="1:9" hidden="1">
      <c r="A603" s="67" t="s">
        <v>295</v>
      </c>
      <c r="B603" s="68">
        <v>2024</v>
      </c>
      <c r="C603" s="68">
        <v>2023</v>
      </c>
      <c r="D603" s="68" t="s">
        <v>318</v>
      </c>
      <c r="E603" s="68" t="s">
        <v>294</v>
      </c>
      <c r="F603" s="68" t="s">
        <v>298</v>
      </c>
      <c r="G603" s="68"/>
      <c r="H603" s="68"/>
      <c r="I603" s="69">
        <v>0</v>
      </c>
    </row>
    <row r="604" spans="1:9" hidden="1">
      <c r="A604" s="64" t="s">
        <v>295</v>
      </c>
      <c r="B604" s="65">
        <v>2024</v>
      </c>
      <c r="C604" s="65">
        <v>2023</v>
      </c>
      <c r="D604" s="65" t="s">
        <v>318</v>
      </c>
      <c r="E604" s="65" t="s">
        <v>294</v>
      </c>
      <c r="F604" s="65" t="s">
        <v>40</v>
      </c>
      <c r="G604" s="65"/>
      <c r="H604" s="65"/>
      <c r="I604" s="66">
        <v>722097.59894000005</v>
      </c>
    </row>
    <row r="605" spans="1:9" hidden="1">
      <c r="A605" s="67" t="s">
        <v>295</v>
      </c>
      <c r="B605" s="68">
        <v>2024</v>
      </c>
      <c r="C605" s="68">
        <v>2023</v>
      </c>
      <c r="D605" s="68" t="s">
        <v>318</v>
      </c>
      <c r="E605" s="68" t="s">
        <v>301</v>
      </c>
      <c r="F605" s="68" t="s">
        <v>297</v>
      </c>
      <c r="G605" s="68"/>
      <c r="H605" s="68"/>
      <c r="I605" s="69">
        <v>735146.36116999993</v>
      </c>
    </row>
    <row r="606" spans="1:9" hidden="1">
      <c r="A606" s="64" t="s">
        <v>295</v>
      </c>
      <c r="B606" s="65">
        <v>2024</v>
      </c>
      <c r="C606" s="65">
        <v>2023</v>
      </c>
      <c r="D606" s="65" t="s">
        <v>318</v>
      </c>
      <c r="E606" s="65" t="s">
        <v>301</v>
      </c>
      <c r="F606" s="65" t="s">
        <v>298</v>
      </c>
      <c r="G606" s="65"/>
      <c r="H606" s="65"/>
      <c r="I606" s="66">
        <v>0</v>
      </c>
    </row>
    <row r="607" spans="1:9" hidden="1">
      <c r="A607" s="67" t="s">
        <v>295</v>
      </c>
      <c r="B607" s="68">
        <v>2024</v>
      </c>
      <c r="C607" s="68">
        <v>2023</v>
      </c>
      <c r="D607" s="68" t="s">
        <v>318</v>
      </c>
      <c r="E607" s="68" t="s">
        <v>301</v>
      </c>
      <c r="F607" s="68" t="s">
        <v>40</v>
      </c>
      <c r="G607" s="68"/>
      <c r="H607" s="68"/>
      <c r="I607" s="69">
        <v>735146.36116999993</v>
      </c>
    </row>
    <row r="608" spans="1:9" hidden="1">
      <c r="A608" s="64" t="s">
        <v>295</v>
      </c>
      <c r="B608" s="65">
        <v>2024</v>
      </c>
      <c r="C608" s="65">
        <v>2023</v>
      </c>
      <c r="D608" s="65" t="s">
        <v>318</v>
      </c>
      <c r="E608" s="65" t="s">
        <v>305</v>
      </c>
      <c r="F608" s="65" t="s">
        <v>297</v>
      </c>
      <c r="G608" s="65"/>
      <c r="H608" s="65"/>
      <c r="I608" s="66">
        <v>7215.0274799999997</v>
      </c>
    </row>
    <row r="609" spans="1:9" hidden="1">
      <c r="A609" s="67" t="s">
        <v>295</v>
      </c>
      <c r="B609" s="68">
        <v>2024</v>
      </c>
      <c r="C609" s="68">
        <v>2023</v>
      </c>
      <c r="D609" s="68" t="s">
        <v>318</v>
      </c>
      <c r="E609" s="68" t="s">
        <v>305</v>
      </c>
      <c r="F609" s="68" t="s">
        <v>40</v>
      </c>
      <c r="G609" s="68"/>
      <c r="H609" s="68"/>
      <c r="I609" s="69">
        <v>28323.32748</v>
      </c>
    </row>
    <row r="610" spans="1:9" hidden="1">
      <c r="A610" s="64" t="s">
        <v>295</v>
      </c>
      <c r="B610" s="65">
        <v>2024</v>
      </c>
      <c r="C610" s="65">
        <v>2023</v>
      </c>
      <c r="D610" s="65" t="s">
        <v>320</v>
      </c>
      <c r="E610" s="65" t="s">
        <v>294</v>
      </c>
      <c r="F610" s="65" t="s">
        <v>297</v>
      </c>
      <c r="G610" s="65"/>
      <c r="H610" s="65"/>
      <c r="I610" s="66">
        <v>3888.53253</v>
      </c>
    </row>
    <row r="611" spans="1:9" hidden="1">
      <c r="A611" s="67" t="s">
        <v>295</v>
      </c>
      <c r="B611" s="68">
        <v>2024</v>
      </c>
      <c r="C611" s="68">
        <v>2023</v>
      </c>
      <c r="D611" s="68" t="s">
        <v>320</v>
      </c>
      <c r="E611" s="68" t="s">
        <v>294</v>
      </c>
      <c r="F611" s="68" t="s">
        <v>298</v>
      </c>
      <c r="G611" s="68"/>
      <c r="H611" s="68"/>
      <c r="I611" s="69">
        <v>0</v>
      </c>
    </row>
    <row r="612" spans="1:9" hidden="1">
      <c r="A612" s="64" t="s">
        <v>295</v>
      </c>
      <c r="B612" s="65">
        <v>2024</v>
      </c>
      <c r="C612" s="65">
        <v>2023</v>
      </c>
      <c r="D612" s="65" t="s">
        <v>320</v>
      </c>
      <c r="E612" s="65" t="s">
        <v>294</v>
      </c>
      <c r="F612" s="65" t="s">
        <v>40</v>
      </c>
      <c r="G612" s="65"/>
      <c r="H612" s="65"/>
      <c r="I612" s="66">
        <v>3888.53253</v>
      </c>
    </row>
    <row r="613" spans="1:9" hidden="1">
      <c r="A613" s="67" t="s">
        <v>295</v>
      </c>
      <c r="B613" s="68">
        <v>2024</v>
      </c>
      <c r="C613" s="68">
        <v>2023</v>
      </c>
      <c r="D613" s="68" t="s">
        <v>320</v>
      </c>
      <c r="E613" s="68" t="s">
        <v>301</v>
      </c>
      <c r="F613" s="68" t="s">
        <v>297</v>
      </c>
      <c r="G613" s="68"/>
      <c r="H613" s="68"/>
      <c r="I613" s="69">
        <v>4072.7568200000001</v>
      </c>
    </row>
    <row r="614" spans="1:9" hidden="1">
      <c r="A614" s="64" t="s">
        <v>295</v>
      </c>
      <c r="B614" s="65">
        <v>2024</v>
      </c>
      <c r="C614" s="65">
        <v>2023</v>
      </c>
      <c r="D614" s="65" t="s">
        <v>320</v>
      </c>
      <c r="E614" s="65" t="s">
        <v>301</v>
      </c>
      <c r="F614" s="65" t="s">
        <v>298</v>
      </c>
      <c r="G614" s="65"/>
      <c r="H614" s="65"/>
      <c r="I614" s="66">
        <v>0</v>
      </c>
    </row>
    <row r="615" spans="1:9" hidden="1">
      <c r="A615" s="67" t="s">
        <v>295</v>
      </c>
      <c r="B615" s="68">
        <v>2024</v>
      </c>
      <c r="C615" s="68">
        <v>2023</v>
      </c>
      <c r="D615" s="68" t="s">
        <v>320</v>
      </c>
      <c r="E615" s="68" t="s">
        <v>301</v>
      </c>
      <c r="F615" s="68" t="s">
        <v>40</v>
      </c>
      <c r="G615" s="68"/>
      <c r="H615" s="68"/>
      <c r="I615" s="69">
        <v>4072.7568200000001</v>
      </c>
    </row>
    <row r="616" spans="1:9" hidden="1">
      <c r="A616" s="64" t="s">
        <v>295</v>
      </c>
      <c r="B616" s="65">
        <v>2024</v>
      </c>
      <c r="C616" s="65">
        <v>2023</v>
      </c>
      <c r="D616" s="65" t="s">
        <v>320</v>
      </c>
      <c r="E616" s="65" t="s">
        <v>305</v>
      </c>
      <c r="F616" s="65" t="s">
        <v>297</v>
      </c>
      <c r="G616" s="65"/>
      <c r="H616" s="65"/>
      <c r="I616" s="66">
        <v>33.9</v>
      </c>
    </row>
    <row r="617" spans="1:9" hidden="1">
      <c r="A617" s="67" t="s">
        <v>295</v>
      </c>
      <c r="B617" s="68">
        <v>2024</v>
      </c>
      <c r="C617" s="68">
        <v>2023</v>
      </c>
      <c r="D617" s="68" t="s">
        <v>320</v>
      </c>
      <c r="E617" s="68" t="s">
        <v>305</v>
      </c>
      <c r="F617" s="68" t="s">
        <v>40</v>
      </c>
      <c r="G617" s="68"/>
      <c r="H617" s="68"/>
      <c r="I617" s="69">
        <v>666.69999999999993</v>
      </c>
    </row>
    <row r="618" spans="1:9" hidden="1">
      <c r="A618" s="64" t="s">
        <v>295</v>
      </c>
      <c r="B618" s="65">
        <v>2024</v>
      </c>
      <c r="C618" s="65">
        <v>2023</v>
      </c>
      <c r="D618" s="65" t="s">
        <v>321</v>
      </c>
      <c r="E618" s="65" t="s">
        <v>294</v>
      </c>
      <c r="F618" s="65" t="s">
        <v>297</v>
      </c>
      <c r="G618" s="65"/>
      <c r="H618" s="65"/>
      <c r="I618" s="66">
        <v>17657.487539999998</v>
      </c>
    </row>
    <row r="619" spans="1:9" hidden="1">
      <c r="A619" s="67" t="s">
        <v>295</v>
      </c>
      <c r="B619" s="68">
        <v>2024</v>
      </c>
      <c r="C619" s="68">
        <v>2023</v>
      </c>
      <c r="D619" s="68" t="s">
        <v>321</v>
      </c>
      <c r="E619" s="68" t="s">
        <v>294</v>
      </c>
      <c r="F619" s="68" t="s">
        <v>298</v>
      </c>
      <c r="G619" s="68"/>
      <c r="H619" s="68"/>
      <c r="I619" s="69">
        <v>0</v>
      </c>
    </row>
    <row r="620" spans="1:9" hidden="1">
      <c r="A620" s="64" t="s">
        <v>295</v>
      </c>
      <c r="B620" s="65">
        <v>2024</v>
      </c>
      <c r="C620" s="65">
        <v>2023</v>
      </c>
      <c r="D620" s="65" t="s">
        <v>321</v>
      </c>
      <c r="E620" s="65" t="s">
        <v>294</v>
      </c>
      <c r="F620" s="65" t="s">
        <v>40</v>
      </c>
      <c r="G620" s="65"/>
      <c r="H620" s="65"/>
      <c r="I620" s="66">
        <v>17657.487379999999</v>
      </c>
    </row>
    <row r="621" spans="1:9" hidden="1">
      <c r="A621" s="67" t="s">
        <v>295</v>
      </c>
      <c r="B621" s="68">
        <v>2024</v>
      </c>
      <c r="C621" s="68">
        <v>2023</v>
      </c>
      <c r="D621" s="68" t="s">
        <v>321</v>
      </c>
      <c r="E621" s="68" t="s">
        <v>301</v>
      </c>
      <c r="F621" s="68" t="s">
        <v>297</v>
      </c>
      <c r="G621" s="68"/>
      <c r="H621" s="68"/>
      <c r="I621" s="69">
        <v>17458.055639999999</v>
      </c>
    </row>
    <row r="622" spans="1:9" hidden="1">
      <c r="A622" s="64" t="s">
        <v>295</v>
      </c>
      <c r="B622" s="65">
        <v>2024</v>
      </c>
      <c r="C622" s="65">
        <v>2023</v>
      </c>
      <c r="D622" s="65" t="s">
        <v>321</v>
      </c>
      <c r="E622" s="65" t="s">
        <v>301</v>
      </c>
      <c r="F622" s="65" t="s">
        <v>298</v>
      </c>
      <c r="G622" s="65"/>
      <c r="H622" s="65"/>
      <c r="I622" s="66">
        <v>0</v>
      </c>
    </row>
    <row r="623" spans="1:9" hidden="1">
      <c r="A623" s="67" t="s">
        <v>295</v>
      </c>
      <c r="B623" s="68">
        <v>2024</v>
      </c>
      <c r="C623" s="68">
        <v>2023</v>
      </c>
      <c r="D623" s="68" t="s">
        <v>321</v>
      </c>
      <c r="E623" s="68" t="s">
        <v>301</v>
      </c>
      <c r="F623" s="68" t="s">
        <v>40</v>
      </c>
      <c r="G623" s="68"/>
      <c r="H623" s="68"/>
      <c r="I623" s="69">
        <v>17458.055479999999</v>
      </c>
    </row>
    <row r="624" spans="1:9" hidden="1">
      <c r="A624" s="64" t="s">
        <v>295</v>
      </c>
      <c r="B624" s="65">
        <v>2024</v>
      </c>
      <c r="C624" s="65">
        <v>2023</v>
      </c>
      <c r="D624" s="65" t="s">
        <v>321</v>
      </c>
      <c r="E624" s="65" t="s">
        <v>305</v>
      </c>
      <c r="F624" s="65" t="s">
        <v>297</v>
      </c>
      <c r="G624" s="65"/>
      <c r="H624" s="65"/>
      <c r="I624" s="66">
        <v>46.792990000000003</v>
      </c>
    </row>
    <row r="625" spans="1:9" hidden="1">
      <c r="A625" s="67" t="s">
        <v>295</v>
      </c>
      <c r="B625" s="68">
        <v>2024</v>
      </c>
      <c r="C625" s="68">
        <v>2023</v>
      </c>
      <c r="D625" s="68" t="s">
        <v>321</v>
      </c>
      <c r="E625" s="68" t="s">
        <v>305</v>
      </c>
      <c r="F625" s="68" t="s">
        <v>40</v>
      </c>
      <c r="G625" s="68"/>
      <c r="H625" s="68"/>
      <c r="I625" s="69">
        <v>272.39299</v>
      </c>
    </row>
    <row r="626" spans="1:9" hidden="1">
      <c r="A626" s="64" t="s">
        <v>295</v>
      </c>
      <c r="B626" s="65">
        <v>2024</v>
      </c>
      <c r="C626" s="65">
        <v>2023</v>
      </c>
      <c r="D626" s="65" t="s">
        <v>322</v>
      </c>
      <c r="E626" s="65" t="s">
        <v>294</v>
      </c>
      <c r="F626" s="65" t="s">
        <v>297</v>
      </c>
      <c r="G626" s="65"/>
      <c r="H626" s="65"/>
      <c r="I626" s="66">
        <v>1392.24317</v>
      </c>
    </row>
    <row r="627" spans="1:9" hidden="1">
      <c r="A627" s="67" t="s">
        <v>295</v>
      </c>
      <c r="B627" s="68">
        <v>2024</v>
      </c>
      <c r="C627" s="68">
        <v>2023</v>
      </c>
      <c r="D627" s="68" t="s">
        <v>322</v>
      </c>
      <c r="E627" s="68" t="s">
        <v>294</v>
      </c>
      <c r="F627" s="68" t="s">
        <v>298</v>
      </c>
      <c r="G627" s="68"/>
      <c r="H627" s="68"/>
      <c r="I627" s="69">
        <v>3804.5299300000001</v>
      </c>
    </row>
    <row r="628" spans="1:9" hidden="1">
      <c r="A628" s="64" t="s">
        <v>295</v>
      </c>
      <c r="B628" s="65">
        <v>2024</v>
      </c>
      <c r="C628" s="65">
        <v>2023</v>
      </c>
      <c r="D628" s="65" t="s">
        <v>322</v>
      </c>
      <c r="E628" s="65" t="s">
        <v>294</v>
      </c>
      <c r="F628" s="65" t="s">
        <v>40</v>
      </c>
      <c r="G628" s="65"/>
      <c r="H628" s="65"/>
      <c r="I628" s="66">
        <v>5196.6731</v>
      </c>
    </row>
    <row r="629" spans="1:9" hidden="1">
      <c r="A629" s="67" t="s">
        <v>295</v>
      </c>
      <c r="B629" s="68">
        <v>2024</v>
      </c>
      <c r="C629" s="68">
        <v>2023</v>
      </c>
      <c r="D629" s="68" t="s">
        <v>322</v>
      </c>
      <c r="E629" s="68" t="s">
        <v>301</v>
      </c>
      <c r="F629" s="68" t="s">
        <v>297</v>
      </c>
      <c r="G629" s="68"/>
      <c r="H629" s="68"/>
      <c r="I629" s="69">
        <v>1480.75665</v>
      </c>
    </row>
    <row r="630" spans="1:9" hidden="1">
      <c r="A630" s="64" t="s">
        <v>295</v>
      </c>
      <c r="B630" s="65">
        <v>2024</v>
      </c>
      <c r="C630" s="65">
        <v>2023</v>
      </c>
      <c r="D630" s="65" t="s">
        <v>322</v>
      </c>
      <c r="E630" s="65" t="s">
        <v>301</v>
      </c>
      <c r="F630" s="65" t="s">
        <v>298</v>
      </c>
      <c r="G630" s="65"/>
      <c r="H630" s="65"/>
      <c r="I630" s="66">
        <v>3861.4827500000001</v>
      </c>
    </row>
    <row r="631" spans="1:9" hidden="1">
      <c r="A631" s="67" t="s">
        <v>295</v>
      </c>
      <c r="B631" s="68">
        <v>2024</v>
      </c>
      <c r="C631" s="68">
        <v>2023</v>
      </c>
      <c r="D631" s="68" t="s">
        <v>322</v>
      </c>
      <c r="E631" s="68" t="s">
        <v>301</v>
      </c>
      <c r="F631" s="68" t="s">
        <v>40</v>
      </c>
      <c r="G631" s="68"/>
      <c r="H631" s="68"/>
      <c r="I631" s="69">
        <v>5342.1394</v>
      </c>
    </row>
    <row r="632" spans="1:9" hidden="1">
      <c r="A632" s="64" t="s">
        <v>295</v>
      </c>
      <c r="B632" s="65">
        <v>2024</v>
      </c>
      <c r="C632" s="65">
        <v>2023</v>
      </c>
      <c r="D632" s="65" t="s">
        <v>322</v>
      </c>
      <c r="E632" s="65" t="s">
        <v>305</v>
      </c>
      <c r="F632" s="65" t="s">
        <v>297</v>
      </c>
      <c r="G632" s="65"/>
      <c r="H632" s="65"/>
      <c r="I632" s="66">
        <v>7.2</v>
      </c>
    </row>
    <row r="633" spans="1:9" hidden="1">
      <c r="A633" s="67" t="s">
        <v>295</v>
      </c>
      <c r="B633" s="68">
        <v>2024</v>
      </c>
      <c r="C633" s="68">
        <v>2023</v>
      </c>
      <c r="D633" s="68" t="s">
        <v>322</v>
      </c>
      <c r="E633" s="68" t="s">
        <v>305</v>
      </c>
      <c r="F633" s="68" t="s">
        <v>40</v>
      </c>
      <c r="G633" s="68"/>
      <c r="H633" s="68"/>
      <c r="I633" s="69">
        <v>205.8</v>
      </c>
    </row>
    <row r="634" spans="1:9" hidden="1">
      <c r="A634" s="64" t="s">
        <v>295</v>
      </c>
      <c r="B634" s="65">
        <v>2024</v>
      </c>
      <c r="C634" s="65">
        <v>2023</v>
      </c>
      <c r="D634" s="65" t="s">
        <v>323</v>
      </c>
      <c r="E634" s="65" t="s">
        <v>294</v>
      </c>
      <c r="F634" s="65" t="s">
        <v>297</v>
      </c>
      <c r="G634" s="65"/>
      <c r="H634" s="65"/>
      <c r="I634" s="66">
        <v>464357.70403000002</v>
      </c>
    </row>
    <row r="635" spans="1:9" hidden="1">
      <c r="A635" s="67" t="s">
        <v>295</v>
      </c>
      <c r="B635" s="68">
        <v>2024</v>
      </c>
      <c r="C635" s="68">
        <v>2023</v>
      </c>
      <c r="D635" s="68" t="s">
        <v>323</v>
      </c>
      <c r="E635" s="68" t="s">
        <v>294</v>
      </c>
      <c r="F635" s="68" t="s">
        <v>298</v>
      </c>
      <c r="G635" s="68"/>
      <c r="H635" s="68"/>
      <c r="I635" s="69">
        <v>1989.1851200000001</v>
      </c>
    </row>
    <row r="636" spans="1:9" hidden="1">
      <c r="A636" s="64" t="s">
        <v>295</v>
      </c>
      <c r="B636" s="65">
        <v>2024</v>
      </c>
      <c r="C636" s="65">
        <v>2023</v>
      </c>
      <c r="D636" s="65" t="s">
        <v>323</v>
      </c>
      <c r="E636" s="65" t="s">
        <v>294</v>
      </c>
      <c r="F636" s="65" t="s">
        <v>40</v>
      </c>
      <c r="G636" s="65"/>
      <c r="H636" s="65"/>
      <c r="I636" s="66">
        <v>466376.56416000001</v>
      </c>
    </row>
    <row r="637" spans="1:9" hidden="1">
      <c r="A637" s="67" t="s">
        <v>295</v>
      </c>
      <c r="B637" s="68">
        <v>2024</v>
      </c>
      <c r="C637" s="68">
        <v>2023</v>
      </c>
      <c r="D637" s="68" t="s">
        <v>323</v>
      </c>
      <c r="E637" s="68" t="s">
        <v>301</v>
      </c>
      <c r="F637" s="68" t="s">
        <v>297</v>
      </c>
      <c r="G637" s="68"/>
      <c r="H637" s="68"/>
      <c r="I637" s="69">
        <v>483410.63413000002</v>
      </c>
    </row>
    <row r="638" spans="1:9" hidden="1">
      <c r="A638" s="64" t="s">
        <v>295</v>
      </c>
      <c r="B638" s="65">
        <v>2024</v>
      </c>
      <c r="C638" s="65">
        <v>2023</v>
      </c>
      <c r="D638" s="65" t="s">
        <v>323</v>
      </c>
      <c r="E638" s="65" t="s">
        <v>301</v>
      </c>
      <c r="F638" s="65" t="s">
        <v>298</v>
      </c>
      <c r="G638" s="65"/>
      <c r="H638" s="65"/>
      <c r="I638" s="66">
        <v>2034.9144200000001</v>
      </c>
    </row>
    <row r="639" spans="1:9" hidden="1">
      <c r="A639" s="67" t="s">
        <v>295</v>
      </c>
      <c r="B639" s="68">
        <v>2024</v>
      </c>
      <c r="C639" s="68">
        <v>2023</v>
      </c>
      <c r="D639" s="68" t="s">
        <v>323</v>
      </c>
      <c r="E639" s="68" t="s">
        <v>301</v>
      </c>
      <c r="F639" s="68" t="s">
        <v>40</v>
      </c>
      <c r="G639" s="68"/>
      <c r="H639" s="68"/>
      <c r="I639" s="69">
        <v>485475.12357</v>
      </c>
    </row>
    <row r="640" spans="1:9" hidden="1">
      <c r="A640" s="64" t="s">
        <v>295</v>
      </c>
      <c r="B640" s="65">
        <v>2024</v>
      </c>
      <c r="C640" s="65">
        <v>2023</v>
      </c>
      <c r="D640" s="65" t="s">
        <v>323</v>
      </c>
      <c r="E640" s="65" t="s">
        <v>305</v>
      </c>
      <c r="F640" s="65" t="s">
        <v>297</v>
      </c>
      <c r="G640" s="65"/>
      <c r="H640" s="65"/>
      <c r="I640" s="66">
        <v>1581.7281599999999</v>
      </c>
    </row>
    <row r="641" spans="1:9" hidden="1">
      <c r="A641" s="67" t="s">
        <v>295</v>
      </c>
      <c r="B641" s="68">
        <v>2024</v>
      </c>
      <c r="C641" s="68">
        <v>2023</v>
      </c>
      <c r="D641" s="68" t="s">
        <v>323</v>
      </c>
      <c r="E641" s="68" t="s">
        <v>305</v>
      </c>
      <c r="F641" s="68" t="s">
        <v>40</v>
      </c>
      <c r="G641" s="68"/>
      <c r="H641" s="68"/>
      <c r="I641" s="69">
        <v>16317.728160000001</v>
      </c>
    </row>
    <row r="642" spans="1:9" hidden="1">
      <c r="A642" s="64" t="s">
        <v>295</v>
      </c>
      <c r="B642" s="65">
        <v>2024</v>
      </c>
      <c r="C642" s="65">
        <v>2023</v>
      </c>
      <c r="D642" s="65" t="s">
        <v>324</v>
      </c>
      <c r="E642" s="65" t="s">
        <v>294</v>
      </c>
      <c r="F642" s="65" t="s">
        <v>297</v>
      </c>
      <c r="G642" s="65"/>
      <c r="H642" s="65"/>
      <c r="I642" s="66">
        <v>4100.7488899999998</v>
      </c>
    </row>
    <row r="643" spans="1:9" hidden="1">
      <c r="A643" s="67" t="s">
        <v>295</v>
      </c>
      <c r="B643" s="68">
        <v>2024</v>
      </c>
      <c r="C643" s="68">
        <v>2023</v>
      </c>
      <c r="D643" s="68" t="s">
        <v>324</v>
      </c>
      <c r="E643" s="68" t="s">
        <v>294</v>
      </c>
      <c r="F643" s="68" t="s">
        <v>298</v>
      </c>
      <c r="G643" s="68"/>
      <c r="H643" s="68"/>
      <c r="I643" s="69">
        <v>0</v>
      </c>
    </row>
    <row r="644" spans="1:9" hidden="1">
      <c r="A644" s="64" t="s">
        <v>295</v>
      </c>
      <c r="B644" s="65">
        <v>2024</v>
      </c>
      <c r="C644" s="65">
        <v>2023</v>
      </c>
      <c r="D644" s="65" t="s">
        <v>324</v>
      </c>
      <c r="E644" s="65" t="s">
        <v>294</v>
      </c>
      <c r="F644" s="65" t="s">
        <v>40</v>
      </c>
      <c r="G644" s="65"/>
      <c r="H644" s="65"/>
      <c r="I644" s="66">
        <v>4100.7488899999998</v>
      </c>
    </row>
    <row r="645" spans="1:9" hidden="1">
      <c r="A645" s="67" t="s">
        <v>295</v>
      </c>
      <c r="B645" s="68">
        <v>2024</v>
      </c>
      <c r="C645" s="68">
        <v>2023</v>
      </c>
      <c r="D645" s="68" t="s">
        <v>324</v>
      </c>
      <c r="E645" s="68" t="s">
        <v>301</v>
      </c>
      <c r="F645" s="68" t="s">
        <v>297</v>
      </c>
      <c r="G645" s="68"/>
      <c r="H645" s="68"/>
      <c r="I645" s="69">
        <v>4100.74532</v>
      </c>
    </row>
    <row r="646" spans="1:9" hidden="1">
      <c r="A646" s="64" t="s">
        <v>295</v>
      </c>
      <c r="B646" s="65">
        <v>2024</v>
      </c>
      <c r="C646" s="65">
        <v>2023</v>
      </c>
      <c r="D646" s="65" t="s">
        <v>324</v>
      </c>
      <c r="E646" s="65" t="s">
        <v>301</v>
      </c>
      <c r="F646" s="65" t="s">
        <v>298</v>
      </c>
      <c r="G646" s="65"/>
      <c r="H646" s="65"/>
      <c r="I646" s="66">
        <v>0</v>
      </c>
    </row>
    <row r="647" spans="1:9" hidden="1">
      <c r="A647" s="67" t="s">
        <v>295</v>
      </c>
      <c r="B647" s="68">
        <v>2024</v>
      </c>
      <c r="C647" s="68">
        <v>2023</v>
      </c>
      <c r="D647" s="68" t="s">
        <v>324</v>
      </c>
      <c r="E647" s="68" t="s">
        <v>301</v>
      </c>
      <c r="F647" s="68" t="s">
        <v>40</v>
      </c>
      <c r="G647" s="68"/>
      <c r="H647" s="68"/>
      <c r="I647" s="69">
        <v>4100.74532</v>
      </c>
    </row>
    <row r="648" spans="1:9" hidden="1">
      <c r="A648" s="64" t="s">
        <v>295</v>
      </c>
      <c r="B648" s="65">
        <v>2024</v>
      </c>
      <c r="C648" s="65">
        <v>2023</v>
      </c>
      <c r="D648" s="65" t="s">
        <v>324</v>
      </c>
      <c r="E648" s="65" t="s">
        <v>305</v>
      </c>
      <c r="F648" s="65" t="s">
        <v>297</v>
      </c>
      <c r="G648" s="65"/>
      <c r="H648" s="65"/>
      <c r="I648" s="66">
        <v>4.0999999999999996</v>
      </c>
    </row>
    <row r="649" spans="1:9" hidden="1">
      <c r="A649" s="67" t="s">
        <v>295</v>
      </c>
      <c r="B649" s="68">
        <v>2024</v>
      </c>
      <c r="C649" s="68">
        <v>2023</v>
      </c>
      <c r="D649" s="68" t="s">
        <v>324</v>
      </c>
      <c r="E649" s="68" t="s">
        <v>305</v>
      </c>
      <c r="F649" s="68" t="s">
        <v>40</v>
      </c>
      <c r="G649" s="68"/>
      <c r="H649" s="68"/>
      <c r="I649" s="69">
        <v>1246.2</v>
      </c>
    </row>
    <row r="650" spans="1:9" hidden="1">
      <c r="A650" s="64" t="s">
        <v>295</v>
      </c>
      <c r="B650" s="65">
        <v>2024</v>
      </c>
      <c r="C650" s="65">
        <v>2023</v>
      </c>
      <c r="D650" s="65" t="s">
        <v>325</v>
      </c>
      <c r="E650" s="65" t="s">
        <v>294</v>
      </c>
      <c r="F650" s="65" t="s">
        <v>297</v>
      </c>
      <c r="G650" s="65"/>
      <c r="H650" s="65"/>
      <c r="I650" s="66">
        <v>55653.565009999998</v>
      </c>
    </row>
    <row r="651" spans="1:9" hidden="1">
      <c r="A651" s="67" t="s">
        <v>295</v>
      </c>
      <c r="B651" s="68">
        <v>2024</v>
      </c>
      <c r="C651" s="68">
        <v>2023</v>
      </c>
      <c r="D651" s="68" t="s">
        <v>325</v>
      </c>
      <c r="E651" s="68" t="s">
        <v>294</v>
      </c>
      <c r="F651" s="68" t="s">
        <v>298</v>
      </c>
      <c r="G651" s="68"/>
      <c r="H651" s="68"/>
      <c r="I651" s="69">
        <v>14411.082770000001</v>
      </c>
    </row>
    <row r="652" spans="1:9" hidden="1">
      <c r="A652" s="64" t="s">
        <v>295</v>
      </c>
      <c r="B652" s="65">
        <v>2024</v>
      </c>
      <c r="C652" s="65">
        <v>2023</v>
      </c>
      <c r="D652" s="65" t="s">
        <v>325</v>
      </c>
      <c r="E652" s="65" t="s">
        <v>294</v>
      </c>
      <c r="F652" s="65" t="s">
        <v>40</v>
      </c>
      <c r="G652" s="65"/>
      <c r="H652" s="65"/>
      <c r="I652" s="66">
        <v>70064.672779999994</v>
      </c>
    </row>
    <row r="653" spans="1:9" hidden="1">
      <c r="A653" s="67" t="s">
        <v>295</v>
      </c>
      <c r="B653" s="68">
        <v>2024</v>
      </c>
      <c r="C653" s="68">
        <v>2023</v>
      </c>
      <c r="D653" s="68" t="s">
        <v>325</v>
      </c>
      <c r="E653" s="68" t="s">
        <v>301</v>
      </c>
      <c r="F653" s="68" t="s">
        <v>297</v>
      </c>
      <c r="G653" s="68"/>
      <c r="H653" s="68"/>
      <c r="I653" s="69">
        <v>56579.12689</v>
      </c>
    </row>
    <row r="654" spans="1:9" hidden="1">
      <c r="A654" s="64" t="s">
        <v>295</v>
      </c>
      <c r="B654" s="65">
        <v>2024</v>
      </c>
      <c r="C654" s="65">
        <v>2023</v>
      </c>
      <c r="D654" s="65" t="s">
        <v>325</v>
      </c>
      <c r="E654" s="65" t="s">
        <v>301</v>
      </c>
      <c r="F654" s="65" t="s">
        <v>298</v>
      </c>
      <c r="G654" s="65"/>
      <c r="H654" s="65"/>
      <c r="I654" s="66">
        <v>14785.435289999999</v>
      </c>
    </row>
    <row r="655" spans="1:9" hidden="1">
      <c r="A655" s="67" t="s">
        <v>295</v>
      </c>
      <c r="B655" s="68">
        <v>2024</v>
      </c>
      <c r="C655" s="68">
        <v>2023</v>
      </c>
      <c r="D655" s="68" t="s">
        <v>325</v>
      </c>
      <c r="E655" s="68" t="s">
        <v>301</v>
      </c>
      <c r="F655" s="68" t="s">
        <v>40</v>
      </c>
      <c r="G655" s="68"/>
      <c r="H655" s="68"/>
      <c r="I655" s="69">
        <v>71364.587180000002</v>
      </c>
    </row>
    <row r="656" spans="1:9" hidden="1">
      <c r="A656" s="64" t="s">
        <v>295</v>
      </c>
      <c r="B656" s="65">
        <v>2024</v>
      </c>
      <c r="C656" s="65">
        <v>2023</v>
      </c>
      <c r="D656" s="65" t="s">
        <v>325</v>
      </c>
      <c r="E656" s="65" t="s">
        <v>305</v>
      </c>
      <c r="F656" s="65" t="s">
        <v>297</v>
      </c>
      <c r="G656" s="65"/>
      <c r="H656" s="65"/>
      <c r="I656" s="66">
        <v>428</v>
      </c>
    </row>
    <row r="657" spans="1:9" hidden="1">
      <c r="A657" s="67" t="s">
        <v>295</v>
      </c>
      <c r="B657" s="68">
        <v>2024</v>
      </c>
      <c r="C657" s="68">
        <v>2023</v>
      </c>
      <c r="D657" s="68" t="s">
        <v>325</v>
      </c>
      <c r="E657" s="68" t="s">
        <v>305</v>
      </c>
      <c r="F657" s="68" t="s">
        <v>298</v>
      </c>
      <c r="G657" s="68"/>
      <c r="H657" s="68"/>
      <c r="I657" s="69">
        <v>69.900000000000006</v>
      </c>
    </row>
    <row r="658" spans="1:9" hidden="1">
      <c r="A658" s="64" t="s">
        <v>295</v>
      </c>
      <c r="B658" s="65">
        <v>2024</v>
      </c>
      <c r="C658" s="65">
        <v>2023</v>
      </c>
      <c r="D658" s="65" t="s">
        <v>325</v>
      </c>
      <c r="E658" s="65" t="s">
        <v>305</v>
      </c>
      <c r="F658" s="65" t="s">
        <v>40</v>
      </c>
      <c r="G658" s="65"/>
      <c r="H658" s="65"/>
      <c r="I658" s="66">
        <v>18673.900000000001</v>
      </c>
    </row>
    <row r="659" spans="1:9" hidden="1">
      <c r="A659" s="67" t="s">
        <v>295</v>
      </c>
      <c r="B659" s="68">
        <v>2024</v>
      </c>
      <c r="C659" s="68">
        <v>2023</v>
      </c>
      <c r="D659" s="68" t="s">
        <v>326</v>
      </c>
      <c r="E659" s="68" t="s">
        <v>294</v>
      </c>
      <c r="F659" s="68" t="s">
        <v>297</v>
      </c>
      <c r="G659" s="68"/>
      <c r="H659" s="68"/>
      <c r="I659" s="69">
        <v>0</v>
      </c>
    </row>
    <row r="660" spans="1:9" hidden="1">
      <c r="A660" s="64" t="s">
        <v>295</v>
      </c>
      <c r="B660" s="65">
        <v>2024</v>
      </c>
      <c r="C660" s="65">
        <v>2023</v>
      </c>
      <c r="D660" s="65" t="s">
        <v>326</v>
      </c>
      <c r="E660" s="65" t="s">
        <v>294</v>
      </c>
      <c r="F660" s="65" t="s">
        <v>298</v>
      </c>
      <c r="G660" s="65"/>
      <c r="H660" s="65"/>
      <c r="I660" s="66">
        <v>0</v>
      </c>
    </row>
    <row r="661" spans="1:9" hidden="1">
      <c r="A661" s="67" t="s">
        <v>295</v>
      </c>
      <c r="B661" s="68">
        <v>2024</v>
      </c>
      <c r="C661" s="68">
        <v>2023</v>
      </c>
      <c r="D661" s="68" t="s">
        <v>326</v>
      </c>
      <c r="E661" s="68" t="s">
        <v>294</v>
      </c>
      <c r="F661" s="68" t="s">
        <v>40</v>
      </c>
      <c r="G661" s="68"/>
      <c r="H661" s="68"/>
      <c r="I661" s="69">
        <v>0</v>
      </c>
    </row>
    <row r="662" spans="1:9" hidden="1">
      <c r="A662" s="64" t="s">
        <v>295</v>
      </c>
      <c r="B662" s="65">
        <v>2024</v>
      </c>
      <c r="C662" s="65">
        <v>2023</v>
      </c>
      <c r="D662" s="65" t="s">
        <v>326</v>
      </c>
      <c r="E662" s="65" t="s">
        <v>301</v>
      </c>
      <c r="F662" s="65" t="s">
        <v>297</v>
      </c>
      <c r="G662" s="65"/>
      <c r="H662" s="65"/>
      <c r="I662" s="66">
        <v>0</v>
      </c>
    </row>
    <row r="663" spans="1:9" hidden="1">
      <c r="A663" s="67" t="s">
        <v>295</v>
      </c>
      <c r="B663" s="68">
        <v>2024</v>
      </c>
      <c r="C663" s="68">
        <v>2023</v>
      </c>
      <c r="D663" s="68" t="s">
        <v>326</v>
      </c>
      <c r="E663" s="68" t="s">
        <v>301</v>
      </c>
      <c r="F663" s="68" t="s">
        <v>298</v>
      </c>
      <c r="G663" s="68"/>
      <c r="H663" s="68"/>
      <c r="I663" s="69">
        <v>0</v>
      </c>
    </row>
    <row r="664" spans="1:9" hidden="1">
      <c r="A664" s="64" t="s">
        <v>295</v>
      </c>
      <c r="B664" s="65">
        <v>2024</v>
      </c>
      <c r="C664" s="65">
        <v>2023</v>
      </c>
      <c r="D664" s="65" t="s">
        <v>326</v>
      </c>
      <c r="E664" s="65" t="s">
        <v>301</v>
      </c>
      <c r="F664" s="65" t="s">
        <v>40</v>
      </c>
      <c r="G664" s="65"/>
      <c r="H664" s="65"/>
      <c r="I664" s="66">
        <v>0</v>
      </c>
    </row>
    <row r="665" spans="1:9" hidden="1">
      <c r="A665" s="67" t="s">
        <v>295</v>
      </c>
      <c r="B665" s="68">
        <v>2024</v>
      </c>
      <c r="C665" s="68">
        <v>2023</v>
      </c>
      <c r="D665" s="68" t="s">
        <v>304</v>
      </c>
      <c r="E665" s="68" t="s">
        <v>294</v>
      </c>
      <c r="F665" s="68" t="s">
        <v>297</v>
      </c>
      <c r="G665" s="68"/>
      <c r="H665" s="68"/>
      <c r="I665" s="69">
        <v>85173.531080000001</v>
      </c>
    </row>
    <row r="666" spans="1:9" hidden="1">
      <c r="A666" s="64" t="s">
        <v>295</v>
      </c>
      <c r="B666" s="65">
        <v>2024</v>
      </c>
      <c r="C666" s="65">
        <v>2023</v>
      </c>
      <c r="D666" s="65" t="s">
        <v>304</v>
      </c>
      <c r="E666" s="65" t="s">
        <v>294</v>
      </c>
      <c r="F666" s="65" t="s">
        <v>298</v>
      </c>
      <c r="G666" s="65"/>
      <c r="H666" s="65"/>
      <c r="I666" s="66">
        <v>223032.81307999999</v>
      </c>
    </row>
    <row r="667" spans="1:9" hidden="1">
      <c r="A667" s="67" t="s">
        <v>295</v>
      </c>
      <c r="B667" s="68">
        <v>2024</v>
      </c>
      <c r="C667" s="68">
        <v>2023</v>
      </c>
      <c r="D667" s="68" t="s">
        <v>304</v>
      </c>
      <c r="E667" s="68" t="s">
        <v>294</v>
      </c>
      <c r="F667" s="68" t="s">
        <v>40</v>
      </c>
      <c r="G667" s="68"/>
      <c r="H667" s="68"/>
      <c r="I667" s="69">
        <v>307927.24414999998</v>
      </c>
    </row>
    <row r="668" spans="1:9" hidden="1">
      <c r="A668" s="64" t="s">
        <v>295</v>
      </c>
      <c r="B668" s="65">
        <v>2024</v>
      </c>
      <c r="C668" s="65">
        <v>2023</v>
      </c>
      <c r="D668" s="65" t="s">
        <v>304</v>
      </c>
      <c r="E668" s="65" t="s">
        <v>301</v>
      </c>
      <c r="F668" s="65" t="s">
        <v>297</v>
      </c>
      <c r="G668" s="65"/>
      <c r="H668" s="65"/>
      <c r="I668" s="66">
        <v>85774.035040000002</v>
      </c>
    </row>
    <row r="669" spans="1:9" hidden="1">
      <c r="A669" s="67" t="s">
        <v>295</v>
      </c>
      <c r="B669" s="68">
        <v>2024</v>
      </c>
      <c r="C669" s="68">
        <v>2023</v>
      </c>
      <c r="D669" s="68" t="s">
        <v>304</v>
      </c>
      <c r="E669" s="68" t="s">
        <v>301</v>
      </c>
      <c r="F669" s="68" t="s">
        <v>298</v>
      </c>
      <c r="G669" s="68"/>
      <c r="H669" s="68"/>
      <c r="I669" s="69">
        <v>225179.41621</v>
      </c>
    </row>
    <row r="670" spans="1:9" hidden="1">
      <c r="A670" s="64" t="s">
        <v>295</v>
      </c>
      <c r="B670" s="65">
        <v>2024</v>
      </c>
      <c r="C670" s="65">
        <v>2023</v>
      </c>
      <c r="D670" s="65" t="s">
        <v>304</v>
      </c>
      <c r="E670" s="65" t="s">
        <v>301</v>
      </c>
      <c r="F670" s="65" t="s">
        <v>40</v>
      </c>
      <c r="G670" s="65"/>
      <c r="H670" s="65"/>
      <c r="I670" s="66">
        <v>310674.75127000001</v>
      </c>
    </row>
    <row r="671" spans="1:9" hidden="1">
      <c r="A671" s="67" t="s">
        <v>295</v>
      </c>
      <c r="B671" s="68">
        <v>2024</v>
      </c>
      <c r="C671" s="68">
        <v>2023</v>
      </c>
      <c r="D671" s="68" t="s">
        <v>304</v>
      </c>
      <c r="E671" s="68" t="s">
        <v>305</v>
      </c>
      <c r="F671" s="68" t="s">
        <v>297</v>
      </c>
      <c r="G671" s="68"/>
      <c r="H671" s="68"/>
      <c r="I671" s="69">
        <v>1010.6378999999999</v>
      </c>
    </row>
    <row r="672" spans="1:9" hidden="1">
      <c r="A672" s="64" t="s">
        <v>295</v>
      </c>
      <c r="B672" s="65">
        <v>2024</v>
      </c>
      <c r="C672" s="65">
        <v>2023</v>
      </c>
      <c r="D672" s="65" t="s">
        <v>304</v>
      </c>
      <c r="E672" s="65" t="s">
        <v>305</v>
      </c>
      <c r="F672" s="65" t="s">
        <v>298</v>
      </c>
      <c r="G672" s="65"/>
      <c r="H672" s="65"/>
      <c r="I672" s="66">
        <v>718.9</v>
      </c>
    </row>
    <row r="673" spans="1:9" hidden="1">
      <c r="A673" s="67" t="s">
        <v>295</v>
      </c>
      <c r="B673" s="68">
        <v>2024</v>
      </c>
      <c r="C673" s="68">
        <v>2023</v>
      </c>
      <c r="D673" s="68" t="s">
        <v>304</v>
      </c>
      <c r="E673" s="68" t="s">
        <v>305</v>
      </c>
      <c r="F673" s="68" t="s">
        <v>40</v>
      </c>
      <c r="G673" s="68"/>
      <c r="H673" s="68"/>
      <c r="I673" s="69">
        <v>16652.037899999999</v>
      </c>
    </row>
    <row r="674" spans="1:9" hidden="1">
      <c r="A674" s="64" t="s">
        <v>295</v>
      </c>
      <c r="B674" s="65">
        <v>2024</v>
      </c>
      <c r="C674" s="65">
        <v>2023</v>
      </c>
      <c r="D674" s="65" t="s">
        <v>306</v>
      </c>
      <c r="E674" s="65" t="s">
        <v>294</v>
      </c>
      <c r="F674" s="65" t="s">
        <v>297</v>
      </c>
      <c r="G674" s="65"/>
      <c r="H674" s="65"/>
      <c r="I674" s="66">
        <v>374394.56930999999</v>
      </c>
    </row>
    <row r="675" spans="1:9" hidden="1">
      <c r="A675" s="67" t="s">
        <v>295</v>
      </c>
      <c r="B675" s="68">
        <v>2024</v>
      </c>
      <c r="C675" s="68">
        <v>2023</v>
      </c>
      <c r="D675" s="68" t="s">
        <v>306</v>
      </c>
      <c r="E675" s="68" t="s">
        <v>294</v>
      </c>
      <c r="F675" s="68" t="s">
        <v>40</v>
      </c>
      <c r="G675" s="68"/>
      <c r="H675" s="68"/>
      <c r="I675" s="69">
        <v>374394.56930999999</v>
      </c>
    </row>
    <row r="676" spans="1:9" hidden="1">
      <c r="A676" s="64" t="s">
        <v>295</v>
      </c>
      <c r="B676" s="65">
        <v>2024</v>
      </c>
      <c r="C676" s="65">
        <v>2023</v>
      </c>
      <c r="D676" s="65" t="s">
        <v>306</v>
      </c>
      <c r="E676" s="65" t="s">
        <v>301</v>
      </c>
      <c r="F676" s="65" t="s">
        <v>297</v>
      </c>
      <c r="G676" s="65"/>
      <c r="H676" s="65"/>
      <c r="I676" s="66">
        <v>379410.72016000003</v>
      </c>
    </row>
    <row r="677" spans="1:9" hidden="1">
      <c r="A677" s="67" t="s">
        <v>295</v>
      </c>
      <c r="B677" s="68">
        <v>2024</v>
      </c>
      <c r="C677" s="68">
        <v>2023</v>
      </c>
      <c r="D677" s="68" t="s">
        <v>306</v>
      </c>
      <c r="E677" s="68" t="s">
        <v>301</v>
      </c>
      <c r="F677" s="68" t="s">
        <v>40</v>
      </c>
      <c r="G677" s="68"/>
      <c r="H677" s="68"/>
      <c r="I677" s="69">
        <v>379410.72016000003</v>
      </c>
    </row>
    <row r="678" spans="1:9" hidden="1">
      <c r="A678" s="64" t="s">
        <v>295</v>
      </c>
      <c r="B678" s="65">
        <v>2024</v>
      </c>
      <c r="C678" s="65">
        <v>2023</v>
      </c>
      <c r="D678" s="65" t="s">
        <v>306</v>
      </c>
      <c r="E678" s="65" t="s">
        <v>305</v>
      </c>
      <c r="F678" s="65" t="s">
        <v>297</v>
      </c>
      <c r="G678" s="65"/>
      <c r="H678" s="65"/>
      <c r="I678" s="66">
        <v>2010.9282599999999</v>
      </c>
    </row>
    <row r="679" spans="1:9" hidden="1">
      <c r="A679" s="67" t="s">
        <v>295</v>
      </c>
      <c r="B679" s="68">
        <v>2024</v>
      </c>
      <c r="C679" s="68">
        <v>2023</v>
      </c>
      <c r="D679" s="68" t="s">
        <v>306</v>
      </c>
      <c r="E679" s="68" t="s">
        <v>305</v>
      </c>
      <c r="F679" s="68" t="s">
        <v>40</v>
      </c>
      <c r="G679" s="68"/>
      <c r="H679" s="68"/>
      <c r="I679" s="69">
        <v>28024.22826</v>
      </c>
    </row>
    <row r="680" spans="1:9" hidden="1">
      <c r="A680" s="64" t="s">
        <v>295</v>
      </c>
      <c r="B680" s="65">
        <v>2024</v>
      </c>
      <c r="C680" s="65">
        <v>2023</v>
      </c>
      <c r="D680" s="65" t="s">
        <v>307</v>
      </c>
      <c r="E680" s="65" t="s">
        <v>294</v>
      </c>
      <c r="F680" s="65" t="s">
        <v>40</v>
      </c>
      <c r="G680" s="65"/>
      <c r="H680" s="65"/>
      <c r="I680" s="66">
        <v>-252808.11147</v>
      </c>
    </row>
    <row r="681" spans="1:9" hidden="1">
      <c r="A681" s="67" t="s">
        <v>295</v>
      </c>
      <c r="B681" s="68">
        <v>2024</v>
      </c>
      <c r="C681" s="68">
        <v>2023</v>
      </c>
      <c r="D681" s="68" t="s">
        <v>307</v>
      </c>
      <c r="E681" s="68" t="s">
        <v>301</v>
      </c>
      <c r="F681" s="68" t="s">
        <v>40</v>
      </c>
      <c r="G681" s="68"/>
      <c r="H681" s="68"/>
      <c r="I681" s="69">
        <v>-239673.3541</v>
      </c>
    </row>
    <row r="682" spans="1:9" hidden="1">
      <c r="A682" s="64" t="s">
        <v>295</v>
      </c>
      <c r="B682" s="65">
        <v>2024</v>
      </c>
      <c r="C682" s="65">
        <v>2023</v>
      </c>
      <c r="D682" s="65" t="s">
        <v>307</v>
      </c>
      <c r="E682" s="65" t="s">
        <v>305</v>
      </c>
      <c r="F682" s="65" t="s">
        <v>40</v>
      </c>
      <c r="G682" s="65"/>
      <c r="H682" s="65"/>
      <c r="I682" s="66">
        <v>-22504.863850000002</v>
      </c>
    </row>
    <row r="683" spans="1:9" hidden="1">
      <c r="A683" s="67" t="s">
        <v>295</v>
      </c>
      <c r="B683" s="68">
        <v>2024</v>
      </c>
      <c r="C683" s="68">
        <v>2023</v>
      </c>
      <c r="D683" s="68" t="s">
        <v>327</v>
      </c>
      <c r="E683" s="68" t="s">
        <v>294</v>
      </c>
      <c r="F683" s="68" t="s">
        <v>40</v>
      </c>
      <c r="G683" s="68"/>
      <c r="H683" s="68"/>
      <c r="I683" s="69">
        <v>-328335.25983</v>
      </c>
    </row>
    <row r="684" spans="1:9" hidden="1">
      <c r="A684" s="64" t="s">
        <v>295</v>
      </c>
      <c r="B684" s="65">
        <v>2024</v>
      </c>
      <c r="C684" s="65">
        <v>2023</v>
      </c>
      <c r="D684" s="65" t="s">
        <v>327</v>
      </c>
      <c r="E684" s="65" t="s">
        <v>301</v>
      </c>
      <c r="F684" s="65" t="s">
        <v>40</v>
      </c>
      <c r="G684" s="65"/>
      <c r="H684" s="65"/>
      <c r="I684" s="66">
        <v>-318969.31715999998</v>
      </c>
    </row>
    <row r="685" spans="1:9" hidden="1">
      <c r="A685" s="67" t="s">
        <v>295</v>
      </c>
      <c r="B685" s="68">
        <v>2024</v>
      </c>
      <c r="C685" s="68">
        <v>2023</v>
      </c>
      <c r="D685" s="68" t="s">
        <v>327</v>
      </c>
      <c r="E685" s="68" t="s">
        <v>305</v>
      </c>
      <c r="F685" s="68" t="s">
        <v>40</v>
      </c>
      <c r="G685" s="68"/>
      <c r="H685" s="68"/>
      <c r="I685" s="69">
        <v>-21963.495279999999</v>
      </c>
    </row>
    <row r="686" spans="1:9" hidden="1">
      <c r="A686" s="64" t="s">
        <v>295</v>
      </c>
      <c r="B686" s="65">
        <v>2024</v>
      </c>
      <c r="C686" s="65">
        <v>2023</v>
      </c>
      <c r="D686" s="65" t="s">
        <v>328</v>
      </c>
      <c r="E686" s="65" t="s">
        <v>294</v>
      </c>
      <c r="F686" s="65" t="s">
        <v>40</v>
      </c>
      <c r="G686" s="65"/>
      <c r="H686" s="65"/>
      <c r="I686" s="66">
        <v>39587.16719</v>
      </c>
    </row>
    <row r="687" spans="1:9" hidden="1">
      <c r="A687" s="67" t="s">
        <v>295</v>
      </c>
      <c r="B687" s="68">
        <v>2024</v>
      </c>
      <c r="C687" s="68">
        <v>2023</v>
      </c>
      <c r="D687" s="68" t="s">
        <v>328</v>
      </c>
      <c r="E687" s="68" t="s">
        <v>301</v>
      </c>
      <c r="F687" s="68" t="s">
        <v>40</v>
      </c>
      <c r="G687" s="68"/>
      <c r="H687" s="68"/>
      <c r="I687" s="69">
        <v>42293.315430000002</v>
      </c>
    </row>
    <row r="688" spans="1:9" hidden="1">
      <c r="A688" s="64" t="s">
        <v>295</v>
      </c>
      <c r="B688" s="65">
        <v>2024</v>
      </c>
      <c r="C688" s="65">
        <v>2023</v>
      </c>
      <c r="D688" s="65" t="s">
        <v>328</v>
      </c>
      <c r="E688" s="65" t="s">
        <v>305</v>
      </c>
      <c r="F688" s="65" t="s">
        <v>40</v>
      </c>
      <c r="G688" s="65"/>
      <c r="H688" s="65"/>
      <c r="I688" s="66">
        <v>-2368.2565800000002</v>
      </c>
    </row>
    <row r="689" spans="1:9" hidden="1">
      <c r="A689" s="67" t="s">
        <v>295</v>
      </c>
      <c r="B689" s="68">
        <v>2024</v>
      </c>
      <c r="C689" s="68">
        <v>2023</v>
      </c>
      <c r="D689" s="68" t="s">
        <v>329</v>
      </c>
      <c r="E689" s="68" t="s">
        <v>294</v>
      </c>
      <c r="F689" s="68" t="s">
        <v>40</v>
      </c>
      <c r="G689" s="68"/>
      <c r="H689" s="68"/>
      <c r="I689" s="69">
        <v>12743.396570000001</v>
      </c>
    </row>
    <row r="690" spans="1:9" hidden="1">
      <c r="A690" s="64" t="s">
        <v>295</v>
      </c>
      <c r="B690" s="65">
        <v>2024</v>
      </c>
      <c r="C690" s="65">
        <v>2023</v>
      </c>
      <c r="D690" s="65" t="s">
        <v>329</v>
      </c>
      <c r="E690" s="65" t="s">
        <v>301</v>
      </c>
      <c r="F690" s="65" t="s">
        <v>40</v>
      </c>
      <c r="G690" s="65"/>
      <c r="H690" s="65"/>
      <c r="I690" s="66">
        <v>13296.53305</v>
      </c>
    </row>
    <row r="691" spans="1:9" hidden="1">
      <c r="A691" s="67" t="s">
        <v>295</v>
      </c>
      <c r="B691" s="68">
        <v>2024</v>
      </c>
      <c r="C691" s="68">
        <v>2023</v>
      </c>
      <c r="D691" s="68" t="s">
        <v>329</v>
      </c>
      <c r="E691" s="68" t="s">
        <v>305</v>
      </c>
      <c r="F691" s="68" t="s">
        <v>40</v>
      </c>
      <c r="G691" s="68"/>
      <c r="H691" s="68"/>
      <c r="I691" s="69">
        <v>702.76</v>
      </c>
    </row>
    <row r="692" spans="1:9" hidden="1">
      <c r="A692" s="64" t="s">
        <v>295</v>
      </c>
      <c r="B692" s="65">
        <v>2024</v>
      </c>
      <c r="C692" s="65">
        <v>2023</v>
      </c>
      <c r="D692" s="65" t="s">
        <v>330</v>
      </c>
      <c r="E692" s="65" t="s">
        <v>294</v>
      </c>
      <c r="F692" s="65" t="s">
        <v>40</v>
      </c>
      <c r="G692" s="65"/>
      <c r="H692" s="65"/>
      <c r="I692" s="66">
        <v>15359.181200000001</v>
      </c>
    </row>
    <row r="693" spans="1:9" hidden="1">
      <c r="A693" s="67" t="s">
        <v>295</v>
      </c>
      <c r="B693" s="68">
        <v>2024</v>
      </c>
      <c r="C693" s="68">
        <v>2023</v>
      </c>
      <c r="D693" s="68" t="s">
        <v>330</v>
      </c>
      <c r="E693" s="68" t="s">
        <v>301</v>
      </c>
      <c r="F693" s="68" t="s">
        <v>40</v>
      </c>
      <c r="G693" s="68"/>
      <c r="H693" s="68"/>
      <c r="I693" s="69">
        <v>15206.01585</v>
      </c>
    </row>
    <row r="694" spans="1:9" hidden="1">
      <c r="A694" s="64" t="s">
        <v>295</v>
      </c>
      <c r="B694" s="65">
        <v>2024</v>
      </c>
      <c r="C694" s="65">
        <v>2023</v>
      </c>
      <c r="D694" s="65" t="s">
        <v>330</v>
      </c>
      <c r="E694" s="65" t="s">
        <v>305</v>
      </c>
      <c r="F694" s="65" t="s">
        <v>40</v>
      </c>
      <c r="G694" s="65"/>
      <c r="H694" s="65"/>
      <c r="I694" s="66">
        <v>771.28647999999998</v>
      </c>
    </row>
    <row r="695" spans="1:9" hidden="1">
      <c r="A695" s="67" t="s">
        <v>295</v>
      </c>
      <c r="B695" s="68">
        <v>2024</v>
      </c>
      <c r="C695" s="68">
        <v>2023</v>
      </c>
      <c r="D695" s="68" t="s">
        <v>331</v>
      </c>
      <c r="E695" s="68" t="s">
        <v>294</v>
      </c>
      <c r="F695" s="68" t="s">
        <v>40</v>
      </c>
      <c r="G695" s="68"/>
      <c r="H695" s="68"/>
      <c r="I695" s="69">
        <v>36474.477169999998</v>
      </c>
    </row>
    <row r="696" spans="1:9" hidden="1">
      <c r="A696" s="64" t="s">
        <v>295</v>
      </c>
      <c r="B696" s="65">
        <v>2024</v>
      </c>
      <c r="C696" s="65">
        <v>2023</v>
      </c>
      <c r="D696" s="65" t="s">
        <v>331</v>
      </c>
      <c r="E696" s="65" t="s">
        <v>301</v>
      </c>
      <c r="F696" s="65" t="s">
        <v>40</v>
      </c>
      <c r="G696" s="65"/>
      <c r="H696" s="65"/>
      <c r="I696" s="66">
        <v>37147.30171</v>
      </c>
    </row>
    <row r="697" spans="1:9" hidden="1">
      <c r="A697" s="67" t="s">
        <v>295</v>
      </c>
      <c r="B697" s="68">
        <v>2024</v>
      </c>
      <c r="C697" s="68">
        <v>2023</v>
      </c>
      <c r="D697" s="68" t="s">
        <v>331</v>
      </c>
      <c r="E697" s="68" t="s">
        <v>305</v>
      </c>
      <c r="F697" s="68" t="s">
        <v>40</v>
      </c>
      <c r="G697" s="68"/>
      <c r="H697" s="68"/>
      <c r="I697" s="69">
        <v>2700.1593200000002</v>
      </c>
    </row>
    <row r="698" spans="1:9" hidden="1">
      <c r="A698" s="64" t="s">
        <v>295</v>
      </c>
      <c r="B698" s="65">
        <v>2024</v>
      </c>
      <c r="C698" s="65">
        <v>2023</v>
      </c>
      <c r="D698" s="65" t="s">
        <v>332</v>
      </c>
      <c r="E698" s="65" t="s">
        <v>294</v>
      </c>
      <c r="F698" s="65" t="s">
        <v>40</v>
      </c>
      <c r="G698" s="65"/>
      <c r="H698" s="65"/>
      <c r="I698" s="66">
        <v>702.12560000000008</v>
      </c>
    </row>
    <row r="699" spans="1:9" hidden="1">
      <c r="A699" s="67" t="s">
        <v>295</v>
      </c>
      <c r="B699" s="68">
        <v>2024</v>
      </c>
      <c r="C699" s="68">
        <v>2023</v>
      </c>
      <c r="D699" s="68" t="s">
        <v>332</v>
      </c>
      <c r="E699" s="68" t="s">
        <v>301</v>
      </c>
      <c r="F699" s="68" t="s">
        <v>40</v>
      </c>
      <c r="G699" s="68"/>
      <c r="H699" s="68"/>
      <c r="I699" s="69">
        <v>640.12275</v>
      </c>
    </row>
    <row r="700" spans="1:9" hidden="1">
      <c r="A700" s="64" t="s">
        <v>295</v>
      </c>
      <c r="B700" s="65">
        <v>2024</v>
      </c>
      <c r="C700" s="65">
        <v>2023</v>
      </c>
      <c r="D700" s="65" t="s">
        <v>332</v>
      </c>
      <c r="E700" s="65" t="s">
        <v>305</v>
      </c>
      <c r="F700" s="65" t="s">
        <v>40</v>
      </c>
      <c r="G700" s="65"/>
      <c r="H700" s="65"/>
      <c r="I700" s="66">
        <v>215.15720999999999</v>
      </c>
    </row>
    <row r="701" spans="1:9" hidden="1">
      <c r="A701" s="67" t="s">
        <v>295</v>
      </c>
      <c r="B701" s="68">
        <v>2024</v>
      </c>
      <c r="C701" s="68">
        <v>2023</v>
      </c>
      <c r="D701" s="68" t="s">
        <v>333</v>
      </c>
      <c r="E701" s="68" t="s">
        <v>294</v>
      </c>
      <c r="F701" s="68" t="s">
        <v>40</v>
      </c>
      <c r="G701" s="68"/>
      <c r="H701" s="68"/>
      <c r="I701" s="69">
        <v>-29261.355019999999</v>
      </c>
    </row>
    <row r="702" spans="1:9" hidden="1">
      <c r="A702" s="64" t="s">
        <v>295</v>
      </c>
      <c r="B702" s="65">
        <v>2024</v>
      </c>
      <c r="C702" s="65">
        <v>2023</v>
      </c>
      <c r="D702" s="65" t="s">
        <v>333</v>
      </c>
      <c r="E702" s="65" t="s">
        <v>301</v>
      </c>
      <c r="F702" s="65" t="s">
        <v>40</v>
      </c>
      <c r="G702" s="65"/>
      <c r="H702" s="65"/>
      <c r="I702" s="66">
        <v>-29547.806380000002</v>
      </c>
    </row>
    <row r="703" spans="1:9" hidden="1">
      <c r="A703" s="67" t="s">
        <v>295</v>
      </c>
      <c r="B703" s="68">
        <v>2024</v>
      </c>
      <c r="C703" s="68">
        <v>2023</v>
      </c>
      <c r="D703" s="68" t="s">
        <v>333</v>
      </c>
      <c r="E703" s="68" t="s">
        <v>305</v>
      </c>
      <c r="F703" s="68" t="s">
        <v>40</v>
      </c>
      <c r="G703" s="68"/>
      <c r="H703" s="68"/>
      <c r="I703" s="69">
        <v>-2562.4749999999999</v>
      </c>
    </row>
    <row r="704" spans="1:9" hidden="1">
      <c r="A704" s="64" t="s">
        <v>295</v>
      </c>
      <c r="B704" s="65">
        <v>2024</v>
      </c>
      <c r="C704" s="65">
        <v>2023</v>
      </c>
      <c r="D704" s="65" t="s">
        <v>334</v>
      </c>
      <c r="E704" s="65" t="s">
        <v>294</v>
      </c>
      <c r="F704" s="65" t="s">
        <v>40</v>
      </c>
      <c r="G704" s="65"/>
      <c r="H704" s="65"/>
      <c r="I704" s="66">
        <v>267.94099999999997</v>
      </c>
    </row>
    <row r="705" spans="1:9" hidden="1">
      <c r="A705" s="67" t="s">
        <v>295</v>
      </c>
      <c r="B705" s="68">
        <v>2024</v>
      </c>
      <c r="C705" s="68">
        <v>2023</v>
      </c>
      <c r="D705" s="68" t="s">
        <v>334</v>
      </c>
      <c r="E705" s="68" t="s">
        <v>301</v>
      </c>
      <c r="F705" s="68" t="s">
        <v>40</v>
      </c>
      <c r="G705" s="68"/>
      <c r="H705" s="68"/>
      <c r="I705" s="69">
        <v>267.94099999999997</v>
      </c>
    </row>
    <row r="706" spans="1:9" hidden="1">
      <c r="A706" s="64" t="s">
        <v>295</v>
      </c>
      <c r="B706" s="65">
        <v>2024</v>
      </c>
      <c r="C706" s="65">
        <v>2023</v>
      </c>
      <c r="D706" s="65" t="s">
        <v>308</v>
      </c>
      <c r="E706" s="65" t="s">
        <v>294</v>
      </c>
      <c r="F706" s="65" t="s">
        <v>297</v>
      </c>
      <c r="G706" s="65"/>
      <c r="H706" s="65"/>
      <c r="I706" s="66">
        <v>108849.73426</v>
      </c>
    </row>
    <row r="707" spans="1:9" hidden="1">
      <c r="A707" s="67" t="s">
        <v>295</v>
      </c>
      <c r="B707" s="68">
        <v>2024</v>
      </c>
      <c r="C707" s="68">
        <v>2023</v>
      </c>
      <c r="D707" s="68" t="s">
        <v>308</v>
      </c>
      <c r="E707" s="68" t="s">
        <v>294</v>
      </c>
      <c r="F707" s="68" t="s">
        <v>298</v>
      </c>
      <c r="G707" s="68"/>
      <c r="H707" s="68"/>
      <c r="I707" s="69">
        <v>253.87549999999999</v>
      </c>
    </row>
    <row r="708" spans="1:9" hidden="1">
      <c r="A708" s="64" t="s">
        <v>295</v>
      </c>
      <c r="B708" s="65">
        <v>2024</v>
      </c>
      <c r="C708" s="65">
        <v>2023</v>
      </c>
      <c r="D708" s="65" t="s">
        <v>308</v>
      </c>
      <c r="E708" s="65" t="s">
        <v>294</v>
      </c>
      <c r="F708" s="65" t="s">
        <v>40</v>
      </c>
      <c r="G708" s="65"/>
      <c r="H708" s="65"/>
      <c r="I708" s="66">
        <v>109103.60976000001</v>
      </c>
    </row>
    <row r="709" spans="1:9" hidden="1">
      <c r="A709" s="67" t="s">
        <v>295</v>
      </c>
      <c r="B709" s="68">
        <v>2024</v>
      </c>
      <c r="C709" s="68">
        <v>2023</v>
      </c>
      <c r="D709" s="68" t="s">
        <v>308</v>
      </c>
      <c r="E709" s="68" t="s">
        <v>301</v>
      </c>
      <c r="F709" s="68" t="s">
        <v>297</v>
      </c>
      <c r="G709" s="68"/>
      <c r="H709" s="68"/>
      <c r="I709" s="69">
        <v>109506.22079000001</v>
      </c>
    </row>
    <row r="710" spans="1:9" hidden="1">
      <c r="A710" s="64" t="s">
        <v>295</v>
      </c>
      <c r="B710" s="65">
        <v>2024</v>
      </c>
      <c r="C710" s="65">
        <v>2023</v>
      </c>
      <c r="D710" s="65" t="s">
        <v>308</v>
      </c>
      <c r="E710" s="65" t="s">
        <v>301</v>
      </c>
      <c r="F710" s="65" t="s">
        <v>298</v>
      </c>
      <c r="G710" s="65"/>
      <c r="H710" s="65"/>
      <c r="I710" s="66">
        <v>253.87549999999999</v>
      </c>
    </row>
    <row r="711" spans="1:9" hidden="1">
      <c r="A711" s="67" t="s">
        <v>295</v>
      </c>
      <c r="B711" s="68">
        <v>2024</v>
      </c>
      <c r="C711" s="68">
        <v>2023</v>
      </c>
      <c r="D711" s="68" t="s">
        <v>308</v>
      </c>
      <c r="E711" s="68" t="s">
        <v>301</v>
      </c>
      <c r="F711" s="68" t="s">
        <v>40</v>
      </c>
      <c r="G711" s="68"/>
      <c r="H711" s="68"/>
      <c r="I711" s="69">
        <v>109760.09629</v>
      </c>
    </row>
    <row r="712" spans="1:9" hidden="1">
      <c r="A712" s="64" t="s">
        <v>295</v>
      </c>
      <c r="B712" s="65">
        <v>2024</v>
      </c>
      <c r="C712" s="65">
        <v>2023</v>
      </c>
      <c r="D712" s="65" t="s">
        <v>308</v>
      </c>
      <c r="E712" s="65" t="s">
        <v>305</v>
      </c>
      <c r="F712" s="65" t="s">
        <v>297</v>
      </c>
      <c r="G712" s="65"/>
      <c r="H712" s="65"/>
      <c r="I712" s="66">
        <v>1517.0544299999999</v>
      </c>
    </row>
    <row r="713" spans="1:9" hidden="1">
      <c r="A713" s="67" t="s">
        <v>295</v>
      </c>
      <c r="B713" s="68">
        <v>2024</v>
      </c>
      <c r="C713" s="68">
        <v>2023</v>
      </c>
      <c r="D713" s="68" t="s">
        <v>308</v>
      </c>
      <c r="E713" s="68" t="s">
        <v>305</v>
      </c>
      <c r="F713" s="68" t="s">
        <v>40</v>
      </c>
      <c r="G713" s="68"/>
      <c r="H713" s="68"/>
      <c r="I713" s="69">
        <v>10673.754430000001</v>
      </c>
    </row>
    <row r="714" spans="1:9" hidden="1">
      <c r="A714" s="64" t="s">
        <v>295</v>
      </c>
      <c r="B714" s="65">
        <v>2024</v>
      </c>
      <c r="C714" s="65">
        <v>2023</v>
      </c>
      <c r="D714" s="65" t="s">
        <v>310</v>
      </c>
      <c r="E714" s="65" t="s">
        <v>294</v>
      </c>
      <c r="F714" s="65" t="s">
        <v>297</v>
      </c>
      <c r="G714" s="65"/>
      <c r="H714" s="65"/>
      <c r="I714" s="66">
        <v>115.1</v>
      </c>
    </row>
    <row r="715" spans="1:9" hidden="1">
      <c r="A715" s="67" t="s">
        <v>295</v>
      </c>
      <c r="B715" s="68">
        <v>2024</v>
      </c>
      <c r="C715" s="68">
        <v>2023</v>
      </c>
      <c r="D715" s="68" t="s">
        <v>310</v>
      </c>
      <c r="E715" s="68" t="s">
        <v>294</v>
      </c>
      <c r="F715" s="68" t="s">
        <v>40</v>
      </c>
      <c r="G715" s="68"/>
      <c r="H715" s="68"/>
      <c r="I715" s="69">
        <v>105907.9536721003</v>
      </c>
    </row>
    <row r="716" spans="1:9" hidden="1">
      <c r="A716" s="64" t="s">
        <v>295</v>
      </c>
      <c r="B716" s="65">
        <v>2024</v>
      </c>
      <c r="C716" s="65">
        <v>2023</v>
      </c>
      <c r="D716" s="65" t="s">
        <v>310</v>
      </c>
      <c r="E716" s="65" t="s">
        <v>301</v>
      </c>
      <c r="F716" s="65" t="s">
        <v>297</v>
      </c>
      <c r="G716" s="65"/>
      <c r="H716" s="65"/>
      <c r="I716" s="66">
        <v>115.1</v>
      </c>
    </row>
    <row r="717" spans="1:9" hidden="1">
      <c r="A717" s="67" t="s">
        <v>295</v>
      </c>
      <c r="B717" s="68">
        <v>2024</v>
      </c>
      <c r="C717" s="68">
        <v>2023</v>
      </c>
      <c r="D717" s="68" t="s">
        <v>310</v>
      </c>
      <c r="E717" s="68" t="s">
        <v>301</v>
      </c>
      <c r="F717" s="68" t="s">
        <v>40</v>
      </c>
      <c r="G717" s="68"/>
      <c r="H717" s="68"/>
      <c r="I717" s="69">
        <v>109689.9656721003</v>
      </c>
    </row>
    <row r="718" spans="1:9" hidden="1">
      <c r="A718" s="64" t="s">
        <v>295</v>
      </c>
      <c r="B718" s="65">
        <v>2024</v>
      </c>
      <c r="C718" s="65">
        <v>2023</v>
      </c>
      <c r="D718" s="65" t="s">
        <v>310</v>
      </c>
      <c r="E718" s="65" t="s">
        <v>305</v>
      </c>
      <c r="F718" s="65" t="s">
        <v>40</v>
      </c>
      <c r="G718" s="65"/>
      <c r="H718" s="65"/>
      <c r="I718" s="66">
        <v>958.31667000000004</v>
      </c>
    </row>
    <row r="719" spans="1:9" hidden="1">
      <c r="A719" s="67" t="s">
        <v>295</v>
      </c>
      <c r="B719" s="68">
        <v>2024</v>
      </c>
      <c r="C719" s="68">
        <v>2023</v>
      </c>
      <c r="D719" s="68" t="s">
        <v>311</v>
      </c>
      <c r="E719" s="68" t="s">
        <v>294</v>
      </c>
      <c r="F719" s="68" t="s">
        <v>297</v>
      </c>
      <c r="G719" s="68"/>
      <c r="H719" s="68"/>
      <c r="I719" s="69">
        <v>528.4</v>
      </c>
    </row>
    <row r="720" spans="1:9" hidden="1">
      <c r="A720" s="64" t="s">
        <v>295</v>
      </c>
      <c r="B720" s="65">
        <v>2024</v>
      </c>
      <c r="C720" s="65">
        <v>2023</v>
      </c>
      <c r="D720" s="65" t="s">
        <v>311</v>
      </c>
      <c r="E720" s="65" t="s">
        <v>294</v>
      </c>
      <c r="F720" s="65" t="s">
        <v>40</v>
      </c>
      <c r="G720" s="65"/>
      <c r="H720" s="65"/>
      <c r="I720" s="66">
        <v>137301.06935551739</v>
      </c>
    </row>
    <row r="721" spans="1:9" hidden="1">
      <c r="A721" s="67" t="s">
        <v>295</v>
      </c>
      <c r="B721" s="68">
        <v>2024</v>
      </c>
      <c r="C721" s="68">
        <v>2023</v>
      </c>
      <c r="D721" s="68" t="s">
        <v>311</v>
      </c>
      <c r="E721" s="68" t="s">
        <v>301</v>
      </c>
      <c r="F721" s="68" t="s">
        <v>297</v>
      </c>
      <c r="G721" s="68"/>
      <c r="H721" s="68"/>
      <c r="I721" s="69">
        <v>528.4</v>
      </c>
    </row>
    <row r="722" spans="1:9" hidden="1">
      <c r="A722" s="64" t="s">
        <v>295</v>
      </c>
      <c r="B722" s="65">
        <v>2024</v>
      </c>
      <c r="C722" s="65">
        <v>2023</v>
      </c>
      <c r="D722" s="65" t="s">
        <v>311</v>
      </c>
      <c r="E722" s="65" t="s">
        <v>301</v>
      </c>
      <c r="F722" s="65" t="s">
        <v>40</v>
      </c>
      <c r="G722" s="65"/>
      <c r="H722" s="65"/>
      <c r="I722" s="66">
        <v>137614.16365551739</v>
      </c>
    </row>
    <row r="723" spans="1:9" hidden="1">
      <c r="A723" s="67" t="s">
        <v>295</v>
      </c>
      <c r="B723" s="68">
        <v>2024</v>
      </c>
      <c r="C723" s="68">
        <v>2023</v>
      </c>
      <c r="D723" s="68" t="s">
        <v>311</v>
      </c>
      <c r="E723" s="68" t="s">
        <v>305</v>
      </c>
      <c r="F723" s="68" t="s">
        <v>40</v>
      </c>
      <c r="G723" s="68"/>
      <c r="H723" s="68"/>
      <c r="I723" s="69">
        <v>633.69999999999993</v>
      </c>
    </row>
    <row r="724" spans="1:9" hidden="1">
      <c r="A724" s="64" t="s">
        <v>295</v>
      </c>
      <c r="B724" s="65">
        <v>2024</v>
      </c>
      <c r="C724" s="65">
        <v>2023</v>
      </c>
      <c r="D724" s="65" t="s">
        <v>312</v>
      </c>
      <c r="E724" s="65" t="s">
        <v>294</v>
      </c>
      <c r="F724" s="65" t="s">
        <v>297</v>
      </c>
      <c r="G724" s="65"/>
      <c r="H724" s="65"/>
      <c r="I724" s="66">
        <v>753.56927000000007</v>
      </c>
    </row>
    <row r="725" spans="1:9" hidden="1">
      <c r="A725" s="67" t="s">
        <v>295</v>
      </c>
      <c r="B725" s="68">
        <v>2024</v>
      </c>
      <c r="C725" s="68">
        <v>2023</v>
      </c>
      <c r="D725" s="68" t="s">
        <v>312</v>
      </c>
      <c r="E725" s="68" t="s">
        <v>294</v>
      </c>
      <c r="F725" s="68" t="s">
        <v>40</v>
      </c>
      <c r="G725" s="68"/>
      <c r="H725" s="68"/>
      <c r="I725" s="69">
        <v>897.46927000000005</v>
      </c>
    </row>
    <row r="726" spans="1:9" hidden="1">
      <c r="A726" s="64" t="s">
        <v>295</v>
      </c>
      <c r="B726" s="65">
        <v>2024</v>
      </c>
      <c r="C726" s="65">
        <v>2023</v>
      </c>
      <c r="D726" s="65" t="s">
        <v>312</v>
      </c>
      <c r="E726" s="65" t="s">
        <v>301</v>
      </c>
      <c r="F726" s="65" t="s">
        <v>297</v>
      </c>
      <c r="G726" s="65"/>
      <c r="H726" s="65"/>
      <c r="I726" s="66">
        <v>753.96930999999995</v>
      </c>
    </row>
    <row r="727" spans="1:9" hidden="1">
      <c r="A727" s="67" t="s">
        <v>295</v>
      </c>
      <c r="B727" s="68">
        <v>2024</v>
      </c>
      <c r="C727" s="68">
        <v>2023</v>
      </c>
      <c r="D727" s="68" t="s">
        <v>312</v>
      </c>
      <c r="E727" s="68" t="s">
        <v>301</v>
      </c>
      <c r="F727" s="68" t="s">
        <v>40</v>
      </c>
      <c r="G727" s="68"/>
      <c r="H727" s="68"/>
      <c r="I727" s="69">
        <v>897.86931000000004</v>
      </c>
    </row>
    <row r="728" spans="1:9" hidden="1">
      <c r="A728" s="64" t="s">
        <v>295</v>
      </c>
      <c r="B728" s="65">
        <v>2024</v>
      </c>
      <c r="C728" s="65">
        <v>2023</v>
      </c>
      <c r="D728" s="65" t="s">
        <v>313</v>
      </c>
      <c r="E728" s="65" t="s">
        <v>294</v>
      </c>
      <c r="F728" s="65" t="s">
        <v>297</v>
      </c>
      <c r="G728" s="65"/>
      <c r="H728" s="65"/>
      <c r="I728" s="66">
        <v>2010085.0576599999</v>
      </c>
    </row>
    <row r="729" spans="1:9" hidden="1">
      <c r="A729" s="67" t="s">
        <v>295</v>
      </c>
      <c r="B729" s="68">
        <v>2024</v>
      </c>
      <c r="C729" s="68">
        <v>2023</v>
      </c>
      <c r="D729" s="68" t="s">
        <v>313</v>
      </c>
      <c r="E729" s="68" t="s">
        <v>294</v>
      </c>
      <c r="F729" s="68" t="s">
        <v>298</v>
      </c>
      <c r="G729" s="68"/>
      <c r="H729" s="68"/>
      <c r="I729" s="69">
        <v>1197330.5889099999</v>
      </c>
    </row>
    <row r="730" spans="1:9" hidden="1">
      <c r="A730" s="64" t="s">
        <v>295</v>
      </c>
      <c r="B730" s="65">
        <v>2024</v>
      </c>
      <c r="C730" s="65">
        <v>2023</v>
      </c>
      <c r="D730" s="65" t="s">
        <v>313</v>
      </c>
      <c r="E730" s="65" t="s">
        <v>294</v>
      </c>
      <c r="F730" s="65" t="s">
        <v>40</v>
      </c>
      <c r="G730" s="65"/>
      <c r="H730" s="65"/>
      <c r="I730" s="66">
        <v>3222423.7964699999</v>
      </c>
    </row>
    <row r="731" spans="1:9" hidden="1">
      <c r="A731" s="67" t="s">
        <v>295</v>
      </c>
      <c r="B731" s="68">
        <v>2024</v>
      </c>
      <c r="C731" s="68">
        <v>2023</v>
      </c>
      <c r="D731" s="68" t="s">
        <v>313</v>
      </c>
      <c r="E731" s="68" t="s">
        <v>301</v>
      </c>
      <c r="F731" s="68" t="s">
        <v>297</v>
      </c>
      <c r="G731" s="68"/>
      <c r="H731" s="68"/>
      <c r="I731" s="69">
        <v>2055547.2619099999</v>
      </c>
    </row>
    <row r="732" spans="1:9" hidden="1">
      <c r="A732" s="64" t="s">
        <v>295</v>
      </c>
      <c r="B732" s="65">
        <v>2024</v>
      </c>
      <c r="C732" s="65">
        <v>2023</v>
      </c>
      <c r="D732" s="65" t="s">
        <v>313</v>
      </c>
      <c r="E732" s="65" t="s">
        <v>301</v>
      </c>
      <c r="F732" s="65" t="s">
        <v>298</v>
      </c>
      <c r="G732" s="65"/>
      <c r="H732" s="65"/>
      <c r="I732" s="66">
        <v>1242513.7513600001</v>
      </c>
    </row>
    <row r="733" spans="1:9" hidden="1">
      <c r="A733" s="67" t="s">
        <v>295</v>
      </c>
      <c r="B733" s="68">
        <v>2024</v>
      </c>
      <c r="C733" s="68">
        <v>2023</v>
      </c>
      <c r="D733" s="68" t="s">
        <v>313</v>
      </c>
      <c r="E733" s="68" t="s">
        <v>301</v>
      </c>
      <c r="F733" s="68" t="s">
        <v>40</v>
      </c>
      <c r="G733" s="68"/>
      <c r="H733" s="68"/>
      <c r="I733" s="69">
        <v>3313864.6797400001</v>
      </c>
    </row>
    <row r="734" spans="1:9" hidden="1">
      <c r="A734" s="64" t="s">
        <v>295</v>
      </c>
      <c r="B734" s="65">
        <v>2024</v>
      </c>
      <c r="C734" s="65">
        <v>2023</v>
      </c>
      <c r="D734" s="65" t="s">
        <v>313</v>
      </c>
      <c r="E734" s="65" t="s">
        <v>305</v>
      </c>
      <c r="F734" s="65" t="s">
        <v>297</v>
      </c>
      <c r="G734" s="65"/>
      <c r="H734" s="65"/>
      <c r="I734" s="66">
        <v>14960.415429999999</v>
      </c>
    </row>
    <row r="735" spans="1:9" hidden="1">
      <c r="A735" s="67" t="s">
        <v>295</v>
      </c>
      <c r="B735" s="68">
        <v>2024</v>
      </c>
      <c r="C735" s="68">
        <v>2023</v>
      </c>
      <c r="D735" s="68" t="s">
        <v>313</v>
      </c>
      <c r="E735" s="68" t="s">
        <v>305</v>
      </c>
      <c r="F735" s="68" t="s">
        <v>298</v>
      </c>
      <c r="G735" s="68"/>
      <c r="H735" s="68"/>
      <c r="I735" s="69">
        <v>8989.5671600000005</v>
      </c>
    </row>
    <row r="736" spans="1:9" hidden="1">
      <c r="A736" s="64" t="s">
        <v>295</v>
      </c>
      <c r="B736" s="65">
        <v>2024</v>
      </c>
      <c r="C736" s="65">
        <v>2023</v>
      </c>
      <c r="D736" s="65" t="s">
        <v>313</v>
      </c>
      <c r="E736" s="65" t="s">
        <v>305</v>
      </c>
      <c r="F736" s="65" t="s">
        <v>40</v>
      </c>
      <c r="G736" s="65"/>
      <c r="H736" s="65"/>
      <c r="I736" s="66">
        <v>187695.867</v>
      </c>
    </row>
    <row r="737" spans="1:9" hidden="1">
      <c r="A737" s="67" t="s">
        <v>295</v>
      </c>
      <c r="B737" s="68">
        <v>2024</v>
      </c>
      <c r="C737" s="68">
        <v>2023</v>
      </c>
      <c r="D737" s="68" t="s">
        <v>314</v>
      </c>
      <c r="E737" s="68" t="s">
        <v>294</v>
      </c>
      <c r="F737" s="68" t="s">
        <v>297</v>
      </c>
      <c r="G737" s="68"/>
      <c r="H737" s="68"/>
      <c r="I737" s="69">
        <v>2010089.88665</v>
      </c>
    </row>
    <row r="738" spans="1:9" hidden="1">
      <c r="A738" s="64" t="s">
        <v>295</v>
      </c>
      <c r="B738" s="65">
        <v>2024</v>
      </c>
      <c r="C738" s="65">
        <v>2023</v>
      </c>
      <c r="D738" s="65" t="s">
        <v>314</v>
      </c>
      <c r="E738" s="65" t="s">
        <v>294</v>
      </c>
      <c r="F738" s="65" t="s">
        <v>298</v>
      </c>
      <c r="G738" s="65"/>
      <c r="H738" s="65"/>
      <c r="I738" s="66">
        <v>1197330.5889099999</v>
      </c>
    </row>
    <row r="739" spans="1:9" hidden="1">
      <c r="A739" s="67" t="s">
        <v>295</v>
      </c>
      <c r="B739" s="68">
        <v>2024</v>
      </c>
      <c r="C739" s="68">
        <v>2023</v>
      </c>
      <c r="D739" s="68" t="s">
        <v>314</v>
      </c>
      <c r="E739" s="68" t="s">
        <v>294</v>
      </c>
      <c r="F739" s="68" t="s">
        <v>40</v>
      </c>
      <c r="G739" s="68"/>
      <c r="H739" s="68"/>
      <c r="I739" s="69">
        <v>2969620.4745100001</v>
      </c>
    </row>
    <row r="740" spans="1:9" hidden="1">
      <c r="A740" s="64" t="s">
        <v>295</v>
      </c>
      <c r="B740" s="65">
        <v>2024</v>
      </c>
      <c r="C740" s="65">
        <v>2023</v>
      </c>
      <c r="D740" s="65" t="s">
        <v>314</v>
      </c>
      <c r="E740" s="65" t="s">
        <v>301</v>
      </c>
      <c r="F740" s="65" t="s">
        <v>297</v>
      </c>
      <c r="G740" s="65"/>
      <c r="H740" s="65"/>
      <c r="I740" s="66">
        <v>2055552.09091</v>
      </c>
    </row>
    <row r="741" spans="1:9" hidden="1">
      <c r="A741" s="67" t="s">
        <v>295</v>
      </c>
      <c r="B741" s="68">
        <v>2024</v>
      </c>
      <c r="C741" s="68">
        <v>2023</v>
      </c>
      <c r="D741" s="68" t="s">
        <v>314</v>
      </c>
      <c r="E741" s="68" t="s">
        <v>301</v>
      </c>
      <c r="F741" s="68" t="s">
        <v>298</v>
      </c>
      <c r="G741" s="68"/>
      <c r="H741" s="68"/>
      <c r="I741" s="69">
        <v>1242513.7513600001</v>
      </c>
    </row>
    <row r="742" spans="1:9" hidden="1">
      <c r="A742" s="64" t="s">
        <v>295</v>
      </c>
      <c r="B742" s="65">
        <v>2024</v>
      </c>
      <c r="C742" s="65">
        <v>2023</v>
      </c>
      <c r="D742" s="65" t="s">
        <v>314</v>
      </c>
      <c r="E742" s="65" t="s">
        <v>301</v>
      </c>
      <c r="F742" s="65" t="s">
        <v>40</v>
      </c>
      <c r="G742" s="65"/>
      <c r="H742" s="65"/>
      <c r="I742" s="66">
        <v>3074189.5233999998</v>
      </c>
    </row>
    <row r="743" spans="1:9" hidden="1">
      <c r="A743" s="67" t="s">
        <v>295</v>
      </c>
      <c r="B743" s="68">
        <v>2024</v>
      </c>
      <c r="C743" s="68">
        <v>2023</v>
      </c>
      <c r="D743" s="68" t="s">
        <v>314</v>
      </c>
      <c r="E743" s="68" t="s">
        <v>305</v>
      </c>
      <c r="F743" s="68" t="s">
        <v>297</v>
      </c>
      <c r="G743" s="68"/>
      <c r="H743" s="68"/>
      <c r="I743" s="69">
        <v>14960.415429999999</v>
      </c>
    </row>
    <row r="744" spans="1:9" hidden="1">
      <c r="A744" s="64" t="s">
        <v>295</v>
      </c>
      <c r="B744" s="65">
        <v>2024</v>
      </c>
      <c r="C744" s="65">
        <v>2023</v>
      </c>
      <c r="D744" s="65" t="s">
        <v>314</v>
      </c>
      <c r="E744" s="65" t="s">
        <v>305</v>
      </c>
      <c r="F744" s="65" t="s">
        <v>298</v>
      </c>
      <c r="G744" s="65"/>
      <c r="H744" s="65"/>
      <c r="I744" s="66">
        <v>8989.5671600000005</v>
      </c>
    </row>
    <row r="745" spans="1:9" hidden="1">
      <c r="A745" s="67" t="s">
        <v>295</v>
      </c>
      <c r="B745" s="68">
        <v>2024</v>
      </c>
      <c r="C745" s="68">
        <v>2023</v>
      </c>
      <c r="D745" s="68" t="s">
        <v>314</v>
      </c>
      <c r="E745" s="68" t="s">
        <v>305</v>
      </c>
      <c r="F745" s="68" t="s">
        <v>40</v>
      </c>
      <c r="G745" s="68"/>
      <c r="H745" s="68"/>
      <c r="I745" s="69">
        <v>165474.60315000001</v>
      </c>
    </row>
    <row r="746" spans="1:9" hidden="1">
      <c r="A746" s="64" t="s">
        <v>295</v>
      </c>
      <c r="B746" s="65">
        <v>2025</v>
      </c>
      <c r="C746" s="65">
        <v>2023</v>
      </c>
      <c r="D746" s="65" t="s">
        <v>296</v>
      </c>
      <c r="E746" s="65" t="s">
        <v>294</v>
      </c>
      <c r="F746" s="65" t="s">
        <v>297</v>
      </c>
      <c r="G746" s="65"/>
      <c r="H746" s="65"/>
      <c r="I746" s="66">
        <v>1411416.83125</v>
      </c>
    </row>
    <row r="747" spans="1:9" hidden="1">
      <c r="A747" s="67" t="s">
        <v>295</v>
      </c>
      <c r="B747" s="68">
        <v>2025</v>
      </c>
      <c r="C747" s="68">
        <v>2023</v>
      </c>
      <c r="D747" s="68" t="s">
        <v>296</v>
      </c>
      <c r="E747" s="68" t="s">
        <v>294</v>
      </c>
      <c r="F747" s="68" t="s">
        <v>298</v>
      </c>
      <c r="G747" s="68"/>
      <c r="H747" s="68"/>
      <c r="I747" s="69">
        <v>918976.38103000005</v>
      </c>
    </row>
    <row r="748" spans="1:9" hidden="1">
      <c r="A748" s="64" t="s">
        <v>295</v>
      </c>
      <c r="B748" s="65">
        <v>2025</v>
      </c>
      <c r="C748" s="65">
        <v>2023</v>
      </c>
      <c r="D748" s="65" t="s">
        <v>296</v>
      </c>
      <c r="E748" s="65" t="s">
        <v>294</v>
      </c>
      <c r="F748" s="65" t="s">
        <v>40</v>
      </c>
      <c r="G748" s="65"/>
      <c r="H748" s="65"/>
      <c r="I748" s="66">
        <v>2347068.2849699999</v>
      </c>
    </row>
    <row r="749" spans="1:9" hidden="1">
      <c r="A749" s="67" t="s">
        <v>295</v>
      </c>
      <c r="B749" s="68">
        <v>2025</v>
      </c>
      <c r="C749" s="68">
        <v>2023</v>
      </c>
      <c r="D749" s="68" t="s">
        <v>296</v>
      </c>
      <c r="E749" s="68" t="s">
        <v>301</v>
      </c>
      <c r="F749" s="68" t="s">
        <v>297</v>
      </c>
      <c r="G749" s="68"/>
      <c r="H749" s="68"/>
      <c r="I749" s="69">
        <v>1459864.5400400001</v>
      </c>
    </row>
    <row r="750" spans="1:9" hidden="1">
      <c r="A750" s="64" t="s">
        <v>295</v>
      </c>
      <c r="B750" s="65">
        <v>2025</v>
      </c>
      <c r="C750" s="65">
        <v>2023</v>
      </c>
      <c r="D750" s="65" t="s">
        <v>296</v>
      </c>
      <c r="E750" s="65" t="s">
        <v>301</v>
      </c>
      <c r="F750" s="65" t="s">
        <v>298</v>
      </c>
      <c r="G750" s="65"/>
      <c r="H750" s="65"/>
      <c r="I750" s="66">
        <v>974288.81488000008</v>
      </c>
    </row>
    <row r="751" spans="1:9" hidden="1">
      <c r="A751" s="67" t="s">
        <v>295</v>
      </c>
      <c r="B751" s="68">
        <v>2025</v>
      </c>
      <c r="C751" s="68">
        <v>2023</v>
      </c>
      <c r="D751" s="68" t="s">
        <v>296</v>
      </c>
      <c r="E751" s="68" t="s">
        <v>301</v>
      </c>
      <c r="F751" s="68" t="s">
        <v>40</v>
      </c>
      <c r="G751" s="68"/>
      <c r="H751" s="68"/>
      <c r="I751" s="69">
        <v>2451886.4487299998</v>
      </c>
    </row>
    <row r="752" spans="1:9" hidden="1">
      <c r="A752" s="64" t="s">
        <v>295</v>
      </c>
      <c r="B752" s="65">
        <v>2025</v>
      </c>
      <c r="C752" s="65">
        <v>2023</v>
      </c>
      <c r="D752" s="65" t="s">
        <v>296</v>
      </c>
      <c r="E752" s="65" t="s">
        <v>305</v>
      </c>
      <c r="F752" s="65" t="s">
        <v>297</v>
      </c>
      <c r="G752" s="65"/>
      <c r="H752" s="65"/>
      <c r="I752" s="66">
        <v>10519.96499</v>
      </c>
    </row>
    <row r="753" spans="1:9" hidden="1">
      <c r="A753" s="67" t="s">
        <v>295</v>
      </c>
      <c r="B753" s="68">
        <v>2025</v>
      </c>
      <c r="C753" s="68">
        <v>2023</v>
      </c>
      <c r="D753" s="68" t="s">
        <v>296</v>
      </c>
      <c r="E753" s="68" t="s">
        <v>305</v>
      </c>
      <c r="F753" s="68" t="s">
        <v>298</v>
      </c>
      <c r="G753" s="68"/>
      <c r="H753" s="68"/>
      <c r="I753" s="69">
        <v>8432.2891</v>
      </c>
    </row>
    <row r="754" spans="1:9" hidden="1">
      <c r="A754" s="64" t="s">
        <v>295</v>
      </c>
      <c r="B754" s="65">
        <v>2025</v>
      </c>
      <c r="C754" s="65">
        <v>2023</v>
      </c>
      <c r="D754" s="65" t="s">
        <v>296</v>
      </c>
      <c r="E754" s="65" t="s">
        <v>305</v>
      </c>
      <c r="F754" s="65" t="s">
        <v>40</v>
      </c>
      <c r="G754" s="65"/>
      <c r="H754" s="65"/>
      <c r="I754" s="66">
        <v>133227.26186999999</v>
      </c>
    </row>
    <row r="755" spans="1:9" hidden="1">
      <c r="A755" s="67" t="s">
        <v>295</v>
      </c>
      <c r="B755" s="68">
        <v>2025</v>
      </c>
      <c r="C755" s="68">
        <v>2023</v>
      </c>
      <c r="D755" s="68" t="s">
        <v>309</v>
      </c>
      <c r="E755" s="68" t="s">
        <v>294</v>
      </c>
      <c r="F755" s="68" t="s">
        <v>297</v>
      </c>
      <c r="G755" s="68"/>
      <c r="H755" s="68"/>
      <c r="I755" s="69">
        <v>56641.915029999996</v>
      </c>
    </row>
    <row r="756" spans="1:9" hidden="1">
      <c r="A756" s="64" t="s">
        <v>295</v>
      </c>
      <c r="B756" s="65">
        <v>2025</v>
      </c>
      <c r="C756" s="65">
        <v>2023</v>
      </c>
      <c r="D756" s="65" t="s">
        <v>309</v>
      </c>
      <c r="E756" s="65" t="s">
        <v>294</v>
      </c>
      <c r="F756" s="65" t="s">
        <v>298</v>
      </c>
      <c r="G756" s="65"/>
      <c r="H756" s="65"/>
      <c r="I756" s="66">
        <v>621826.27986000001</v>
      </c>
    </row>
    <row r="757" spans="1:9" hidden="1">
      <c r="A757" s="67" t="s">
        <v>295</v>
      </c>
      <c r="B757" s="68">
        <v>2025</v>
      </c>
      <c r="C757" s="68">
        <v>2023</v>
      </c>
      <c r="D757" s="68" t="s">
        <v>309</v>
      </c>
      <c r="E757" s="68" t="s">
        <v>294</v>
      </c>
      <c r="F757" s="68" t="s">
        <v>40</v>
      </c>
      <c r="G757" s="68"/>
      <c r="H757" s="68"/>
      <c r="I757" s="69">
        <v>678468.09490000003</v>
      </c>
    </row>
    <row r="758" spans="1:9" hidden="1">
      <c r="A758" s="64" t="s">
        <v>295</v>
      </c>
      <c r="B758" s="65">
        <v>2025</v>
      </c>
      <c r="C758" s="65">
        <v>2023</v>
      </c>
      <c r="D758" s="65" t="s">
        <v>309</v>
      </c>
      <c r="E758" s="65" t="s">
        <v>301</v>
      </c>
      <c r="F758" s="65" t="s">
        <v>297</v>
      </c>
      <c r="G758" s="65"/>
      <c r="H758" s="65"/>
      <c r="I758" s="66">
        <v>60585.808810000002</v>
      </c>
    </row>
    <row r="759" spans="1:9" hidden="1">
      <c r="A759" s="67" t="s">
        <v>295</v>
      </c>
      <c r="B759" s="68">
        <v>2025</v>
      </c>
      <c r="C759" s="68">
        <v>2023</v>
      </c>
      <c r="D759" s="68" t="s">
        <v>309</v>
      </c>
      <c r="E759" s="68" t="s">
        <v>301</v>
      </c>
      <c r="F759" s="68" t="s">
        <v>298</v>
      </c>
      <c r="G759" s="68"/>
      <c r="H759" s="68"/>
      <c r="I759" s="69">
        <v>663354.71036000003</v>
      </c>
    </row>
    <row r="760" spans="1:9" hidden="1">
      <c r="A760" s="64" t="s">
        <v>295</v>
      </c>
      <c r="B760" s="65">
        <v>2025</v>
      </c>
      <c r="C760" s="65">
        <v>2023</v>
      </c>
      <c r="D760" s="65" t="s">
        <v>309</v>
      </c>
      <c r="E760" s="65" t="s">
        <v>301</v>
      </c>
      <c r="F760" s="65" t="s">
        <v>40</v>
      </c>
      <c r="G760" s="65"/>
      <c r="H760" s="65"/>
      <c r="I760" s="66">
        <v>723940.61918000004</v>
      </c>
    </row>
    <row r="761" spans="1:9" hidden="1">
      <c r="A761" s="67" t="s">
        <v>295</v>
      </c>
      <c r="B761" s="68">
        <v>2025</v>
      </c>
      <c r="C761" s="68">
        <v>2023</v>
      </c>
      <c r="D761" s="68" t="s">
        <v>309</v>
      </c>
      <c r="E761" s="68" t="s">
        <v>305</v>
      </c>
      <c r="F761" s="68" t="s">
        <v>297</v>
      </c>
      <c r="G761" s="68"/>
      <c r="H761" s="68"/>
      <c r="I761" s="69">
        <v>155.5213</v>
      </c>
    </row>
    <row r="762" spans="1:9" hidden="1">
      <c r="A762" s="64" t="s">
        <v>295</v>
      </c>
      <c r="B762" s="65">
        <v>2025</v>
      </c>
      <c r="C762" s="65">
        <v>2023</v>
      </c>
      <c r="D762" s="65" t="s">
        <v>309</v>
      </c>
      <c r="E762" s="65" t="s">
        <v>305</v>
      </c>
      <c r="F762" s="65" t="s">
        <v>298</v>
      </c>
      <c r="G762" s="65"/>
      <c r="H762" s="65"/>
      <c r="I762" s="66">
        <v>7034.1890999999996</v>
      </c>
    </row>
    <row r="763" spans="1:9" hidden="1">
      <c r="A763" s="67" t="s">
        <v>295</v>
      </c>
      <c r="B763" s="68">
        <v>2025</v>
      </c>
      <c r="C763" s="68">
        <v>2023</v>
      </c>
      <c r="D763" s="68" t="s">
        <v>309</v>
      </c>
      <c r="E763" s="68" t="s">
        <v>305</v>
      </c>
      <c r="F763" s="68" t="s">
        <v>40</v>
      </c>
      <c r="G763" s="68"/>
      <c r="H763" s="68"/>
      <c r="I763" s="69">
        <v>48163.21041</v>
      </c>
    </row>
    <row r="764" spans="1:9" hidden="1">
      <c r="A764" s="64" t="s">
        <v>295</v>
      </c>
      <c r="B764" s="65">
        <v>2025</v>
      </c>
      <c r="C764" s="65">
        <v>2023</v>
      </c>
      <c r="D764" s="65" t="s">
        <v>315</v>
      </c>
      <c r="E764" s="65" t="s">
        <v>294</v>
      </c>
      <c r="F764" s="65" t="s">
        <v>297</v>
      </c>
      <c r="G764" s="65"/>
      <c r="H764" s="65"/>
      <c r="I764" s="66">
        <v>109914.37585</v>
      </c>
    </row>
    <row r="765" spans="1:9" hidden="1">
      <c r="A765" s="67" t="s">
        <v>295</v>
      </c>
      <c r="B765" s="68">
        <v>2025</v>
      </c>
      <c r="C765" s="68">
        <v>2023</v>
      </c>
      <c r="D765" s="68" t="s">
        <v>315</v>
      </c>
      <c r="E765" s="68" t="s">
        <v>294</v>
      </c>
      <c r="F765" s="68" t="s">
        <v>298</v>
      </c>
      <c r="G765" s="68"/>
      <c r="H765" s="68"/>
      <c r="I765" s="69">
        <v>275949.8259</v>
      </c>
    </row>
    <row r="766" spans="1:9" hidden="1">
      <c r="A766" s="64" t="s">
        <v>295</v>
      </c>
      <c r="B766" s="65">
        <v>2025</v>
      </c>
      <c r="C766" s="65">
        <v>2023</v>
      </c>
      <c r="D766" s="65" t="s">
        <v>315</v>
      </c>
      <c r="E766" s="65" t="s">
        <v>294</v>
      </c>
      <c r="F766" s="65" t="s">
        <v>40</v>
      </c>
      <c r="G766" s="65"/>
      <c r="H766" s="65"/>
      <c r="I766" s="66">
        <v>385863.80176</v>
      </c>
    </row>
    <row r="767" spans="1:9" hidden="1">
      <c r="A767" s="67" t="s">
        <v>295</v>
      </c>
      <c r="B767" s="68">
        <v>2025</v>
      </c>
      <c r="C767" s="68">
        <v>2023</v>
      </c>
      <c r="D767" s="68" t="s">
        <v>315</v>
      </c>
      <c r="E767" s="68" t="s">
        <v>301</v>
      </c>
      <c r="F767" s="68" t="s">
        <v>297</v>
      </c>
      <c r="G767" s="68"/>
      <c r="H767" s="68"/>
      <c r="I767" s="69">
        <v>112795.11271</v>
      </c>
    </row>
    <row r="768" spans="1:9" hidden="1">
      <c r="A768" s="64" t="s">
        <v>295</v>
      </c>
      <c r="B768" s="65">
        <v>2025</v>
      </c>
      <c r="C768" s="65">
        <v>2023</v>
      </c>
      <c r="D768" s="65" t="s">
        <v>315</v>
      </c>
      <c r="E768" s="65" t="s">
        <v>301</v>
      </c>
      <c r="F768" s="65" t="s">
        <v>298</v>
      </c>
      <c r="G768" s="65"/>
      <c r="H768" s="65"/>
      <c r="I768" s="66">
        <v>289120.64250000002</v>
      </c>
    </row>
    <row r="769" spans="1:9" hidden="1">
      <c r="A769" s="67" t="s">
        <v>295</v>
      </c>
      <c r="B769" s="68">
        <v>2025</v>
      </c>
      <c r="C769" s="68">
        <v>2023</v>
      </c>
      <c r="D769" s="68" t="s">
        <v>315</v>
      </c>
      <c r="E769" s="68" t="s">
        <v>301</v>
      </c>
      <c r="F769" s="68" t="s">
        <v>40</v>
      </c>
      <c r="G769" s="68"/>
      <c r="H769" s="68"/>
      <c r="I769" s="69">
        <v>401915.5552</v>
      </c>
    </row>
    <row r="770" spans="1:9" hidden="1">
      <c r="A770" s="64" t="s">
        <v>295</v>
      </c>
      <c r="B770" s="65">
        <v>2025</v>
      </c>
      <c r="C770" s="65">
        <v>2023</v>
      </c>
      <c r="D770" s="65" t="s">
        <v>315</v>
      </c>
      <c r="E770" s="65" t="s">
        <v>305</v>
      </c>
      <c r="F770" s="65" t="s">
        <v>297</v>
      </c>
      <c r="G770" s="65"/>
      <c r="H770" s="65"/>
      <c r="I770" s="66">
        <v>963.02772000000004</v>
      </c>
    </row>
    <row r="771" spans="1:9" hidden="1">
      <c r="A771" s="67" t="s">
        <v>295</v>
      </c>
      <c r="B771" s="68">
        <v>2025</v>
      </c>
      <c r="C771" s="68">
        <v>2023</v>
      </c>
      <c r="D771" s="68" t="s">
        <v>315</v>
      </c>
      <c r="E771" s="68" t="s">
        <v>305</v>
      </c>
      <c r="F771" s="68" t="s">
        <v>298</v>
      </c>
      <c r="G771" s="68"/>
      <c r="H771" s="68"/>
      <c r="I771" s="69">
        <v>1328.2</v>
      </c>
    </row>
    <row r="772" spans="1:9" hidden="1">
      <c r="A772" s="64" t="s">
        <v>295</v>
      </c>
      <c r="B772" s="65">
        <v>2025</v>
      </c>
      <c r="C772" s="65">
        <v>2023</v>
      </c>
      <c r="D772" s="65" t="s">
        <v>315</v>
      </c>
      <c r="E772" s="65" t="s">
        <v>305</v>
      </c>
      <c r="F772" s="65" t="s">
        <v>40</v>
      </c>
      <c r="G772" s="65"/>
      <c r="H772" s="65"/>
      <c r="I772" s="66">
        <v>18317.727719999999</v>
      </c>
    </row>
    <row r="773" spans="1:9" hidden="1">
      <c r="A773" s="67" t="s">
        <v>295</v>
      </c>
      <c r="B773" s="68">
        <v>2025</v>
      </c>
      <c r="C773" s="68">
        <v>2023</v>
      </c>
      <c r="D773" s="68" t="s">
        <v>316</v>
      </c>
      <c r="E773" s="68" t="s">
        <v>294</v>
      </c>
      <c r="F773" s="68" t="s">
        <v>297</v>
      </c>
      <c r="G773" s="68"/>
      <c r="H773" s="68"/>
      <c r="I773" s="69">
        <v>735075.87289</v>
      </c>
    </row>
    <row r="774" spans="1:9" hidden="1">
      <c r="A774" s="64" t="s">
        <v>295</v>
      </c>
      <c r="B774" s="65">
        <v>2025</v>
      </c>
      <c r="C774" s="65">
        <v>2023</v>
      </c>
      <c r="D774" s="65" t="s">
        <v>316</v>
      </c>
      <c r="E774" s="65" t="s">
        <v>294</v>
      </c>
      <c r="F774" s="65" t="s">
        <v>298</v>
      </c>
      <c r="G774" s="65"/>
      <c r="H774" s="65"/>
      <c r="I774" s="66">
        <v>3832.2702800000002</v>
      </c>
    </row>
    <row r="775" spans="1:9" hidden="1">
      <c r="A775" s="67" t="s">
        <v>295</v>
      </c>
      <c r="B775" s="68">
        <v>2025</v>
      </c>
      <c r="C775" s="68">
        <v>2023</v>
      </c>
      <c r="D775" s="68" t="s">
        <v>316</v>
      </c>
      <c r="E775" s="68" t="s">
        <v>294</v>
      </c>
      <c r="F775" s="68" t="s">
        <v>40</v>
      </c>
      <c r="G775" s="68"/>
      <c r="H775" s="68"/>
      <c r="I775" s="69">
        <v>755582.91586000007</v>
      </c>
    </row>
    <row r="776" spans="1:9" hidden="1">
      <c r="A776" s="64" t="s">
        <v>295</v>
      </c>
      <c r="B776" s="65">
        <v>2025</v>
      </c>
      <c r="C776" s="65">
        <v>2023</v>
      </c>
      <c r="D776" s="65" t="s">
        <v>316</v>
      </c>
      <c r="E776" s="65" t="s">
        <v>301</v>
      </c>
      <c r="F776" s="65" t="s">
        <v>297</v>
      </c>
      <c r="G776" s="65"/>
      <c r="H776" s="65"/>
      <c r="I776" s="66">
        <v>752344.92622999998</v>
      </c>
    </row>
    <row r="777" spans="1:9" hidden="1">
      <c r="A777" s="67" t="s">
        <v>295</v>
      </c>
      <c r="B777" s="68">
        <v>2025</v>
      </c>
      <c r="C777" s="68">
        <v>2023</v>
      </c>
      <c r="D777" s="68" t="s">
        <v>316</v>
      </c>
      <c r="E777" s="68" t="s">
        <v>301</v>
      </c>
      <c r="F777" s="68" t="s">
        <v>298</v>
      </c>
      <c r="G777" s="68"/>
      <c r="H777" s="68"/>
      <c r="I777" s="69">
        <v>3897.3445999999999</v>
      </c>
    </row>
    <row r="778" spans="1:9" hidden="1">
      <c r="A778" s="64" t="s">
        <v>295</v>
      </c>
      <c r="B778" s="65">
        <v>2025</v>
      </c>
      <c r="C778" s="65">
        <v>2023</v>
      </c>
      <c r="D778" s="65" t="s">
        <v>316</v>
      </c>
      <c r="E778" s="65" t="s">
        <v>301</v>
      </c>
      <c r="F778" s="65" t="s">
        <v>40</v>
      </c>
      <c r="G778" s="65"/>
      <c r="H778" s="65"/>
      <c r="I778" s="66">
        <v>773975.36462999997</v>
      </c>
    </row>
    <row r="779" spans="1:9" hidden="1">
      <c r="A779" s="67" t="s">
        <v>295</v>
      </c>
      <c r="B779" s="68">
        <v>2025</v>
      </c>
      <c r="C779" s="68">
        <v>2023</v>
      </c>
      <c r="D779" s="68" t="s">
        <v>316</v>
      </c>
      <c r="E779" s="68" t="s">
        <v>305</v>
      </c>
      <c r="F779" s="68" t="s">
        <v>297</v>
      </c>
      <c r="G779" s="68"/>
      <c r="H779" s="68"/>
      <c r="I779" s="69">
        <v>7407.9449199999999</v>
      </c>
    </row>
    <row r="780" spans="1:9" hidden="1">
      <c r="A780" s="64" t="s">
        <v>295</v>
      </c>
      <c r="B780" s="65">
        <v>2025</v>
      </c>
      <c r="C780" s="65">
        <v>2023</v>
      </c>
      <c r="D780" s="65" t="s">
        <v>316</v>
      </c>
      <c r="E780" s="65" t="s">
        <v>305</v>
      </c>
      <c r="F780" s="65" t="s">
        <v>298</v>
      </c>
      <c r="G780" s="65"/>
      <c r="H780" s="65"/>
      <c r="I780" s="66">
        <v>0</v>
      </c>
    </row>
    <row r="781" spans="1:9" hidden="1">
      <c r="A781" s="67" t="s">
        <v>295</v>
      </c>
      <c r="B781" s="68">
        <v>2025</v>
      </c>
      <c r="C781" s="68">
        <v>2023</v>
      </c>
      <c r="D781" s="68" t="s">
        <v>316</v>
      </c>
      <c r="E781" s="68" t="s">
        <v>305</v>
      </c>
      <c r="F781" s="68" t="s">
        <v>40</v>
      </c>
      <c r="G781" s="68"/>
      <c r="H781" s="68"/>
      <c r="I781" s="69">
        <v>30375.352699999999</v>
      </c>
    </row>
    <row r="782" spans="1:9" hidden="1">
      <c r="A782" s="64" t="s">
        <v>295</v>
      </c>
      <c r="B782" s="65">
        <v>2025</v>
      </c>
      <c r="C782" s="65">
        <v>2023</v>
      </c>
      <c r="D782" s="65" t="s">
        <v>317</v>
      </c>
      <c r="E782" s="65" t="s">
        <v>294</v>
      </c>
      <c r="F782" s="65" t="s">
        <v>297</v>
      </c>
      <c r="G782" s="65"/>
      <c r="H782" s="65"/>
      <c r="I782" s="66">
        <v>148.90869000000001</v>
      </c>
    </row>
    <row r="783" spans="1:9" hidden="1">
      <c r="A783" s="67" t="s">
        <v>295</v>
      </c>
      <c r="B783" s="68">
        <v>2025</v>
      </c>
      <c r="C783" s="68">
        <v>2023</v>
      </c>
      <c r="D783" s="68" t="s">
        <v>317</v>
      </c>
      <c r="E783" s="68" t="s">
        <v>294</v>
      </c>
      <c r="F783" s="68" t="s">
        <v>40</v>
      </c>
      <c r="G783" s="68"/>
      <c r="H783" s="68"/>
      <c r="I783" s="69">
        <v>16823.58584</v>
      </c>
    </row>
    <row r="784" spans="1:9" hidden="1">
      <c r="A784" s="64" t="s">
        <v>295</v>
      </c>
      <c r="B784" s="65">
        <v>2025</v>
      </c>
      <c r="C784" s="65">
        <v>2023</v>
      </c>
      <c r="D784" s="65" t="s">
        <v>317</v>
      </c>
      <c r="E784" s="65" t="s">
        <v>301</v>
      </c>
      <c r="F784" s="65" t="s">
        <v>297</v>
      </c>
      <c r="G784" s="65"/>
      <c r="H784" s="65"/>
      <c r="I784" s="66">
        <v>156.88981000000001</v>
      </c>
    </row>
    <row r="785" spans="1:9" hidden="1">
      <c r="A785" s="67" t="s">
        <v>295</v>
      </c>
      <c r="B785" s="68">
        <v>2025</v>
      </c>
      <c r="C785" s="68">
        <v>2023</v>
      </c>
      <c r="D785" s="68" t="s">
        <v>317</v>
      </c>
      <c r="E785" s="68" t="s">
        <v>301</v>
      </c>
      <c r="F785" s="68" t="s">
        <v>40</v>
      </c>
      <c r="G785" s="68"/>
      <c r="H785" s="68"/>
      <c r="I785" s="69">
        <v>17889.90711</v>
      </c>
    </row>
    <row r="786" spans="1:9" hidden="1">
      <c r="A786" s="64" t="s">
        <v>295</v>
      </c>
      <c r="B786" s="65">
        <v>2025</v>
      </c>
      <c r="C786" s="65">
        <v>2023</v>
      </c>
      <c r="D786" s="65" t="s">
        <v>317</v>
      </c>
      <c r="E786" s="65" t="s">
        <v>305</v>
      </c>
      <c r="F786" s="65" t="s">
        <v>297</v>
      </c>
      <c r="G786" s="65"/>
      <c r="H786" s="65"/>
      <c r="I786" s="66">
        <v>1.243E-2</v>
      </c>
    </row>
    <row r="787" spans="1:9" hidden="1">
      <c r="A787" s="67" t="s">
        <v>295</v>
      </c>
      <c r="B787" s="68">
        <v>2025</v>
      </c>
      <c r="C787" s="68">
        <v>2023</v>
      </c>
      <c r="D787" s="68" t="s">
        <v>317</v>
      </c>
      <c r="E787" s="68" t="s">
        <v>305</v>
      </c>
      <c r="F787" s="68" t="s">
        <v>40</v>
      </c>
      <c r="G787" s="68"/>
      <c r="H787" s="68"/>
      <c r="I787" s="69">
        <v>346.62020999999999</v>
      </c>
    </row>
    <row r="788" spans="1:9" hidden="1">
      <c r="A788" s="64" t="s">
        <v>295</v>
      </c>
      <c r="B788" s="65">
        <v>2025</v>
      </c>
      <c r="C788" s="65">
        <v>2023</v>
      </c>
      <c r="D788" s="65" t="s">
        <v>318</v>
      </c>
      <c r="E788" s="65" t="s">
        <v>294</v>
      </c>
      <c r="F788" s="65" t="s">
        <v>297</v>
      </c>
      <c r="G788" s="65"/>
      <c r="H788" s="65"/>
      <c r="I788" s="66">
        <v>711519.64318999997</v>
      </c>
    </row>
    <row r="789" spans="1:9" hidden="1">
      <c r="A789" s="67" t="s">
        <v>295</v>
      </c>
      <c r="B789" s="68">
        <v>2025</v>
      </c>
      <c r="C789" s="68">
        <v>2023</v>
      </c>
      <c r="D789" s="68" t="s">
        <v>318</v>
      </c>
      <c r="E789" s="68" t="s">
        <v>294</v>
      </c>
      <c r="F789" s="68" t="s">
        <v>298</v>
      </c>
      <c r="G789" s="68"/>
      <c r="H789" s="68"/>
      <c r="I789" s="69">
        <v>0</v>
      </c>
    </row>
    <row r="790" spans="1:9" hidden="1">
      <c r="A790" s="64" t="s">
        <v>295</v>
      </c>
      <c r="B790" s="65">
        <v>2025</v>
      </c>
      <c r="C790" s="65">
        <v>2023</v>
      </c>
      <c r="D790" s="65" t="s">
        <v>318</v>
      </c>
      <c r="E790" s="65" t="s">
        <v>294</v>
      </c>
      <c r="F790" s="65" t="s">
        <v>40</v>
      </c>
      <c r="G790" s="65"/>
      <c r="H790" s="65"/>
      <c r="I790" s="66">
        <v>711519.64318999997</v>
      </c>
    </row>
    <row r="791" spans="1:9" hidden="1">
      <c r="A791" s="67" t="s">
        <v>295</v>
      </c>
      <c r="B791" s="68">
        <v>2025</v>
      </c>
      <c r="C791" s="68">
        <v>2023</v>
      </c>
      <c r="D791" s="68" t="s">
        <v>318</v>
      </c>
      <c r="E791" s="68" t="s">
        <v>301</v>
      </c>
      <c r="F791" s="68" t="s">
        <v>297</v>
      </c>
      <c r="G791" s="68"/>
      <c r="H791" s="68"/>
      <c r="I791" s="69">
        <v>728662.64581000002</v>
      </c>
    </row>
    <row r="792" spans="1:9" hidden="1">
      <c r="A792" s="64" t="s">
        <v>295</v>
      </c>
      <c r="B792" s="65">
        <v>2025</v>
      </c>
      <c r="C792" s="65">
        <v>2023</v>
      </c>
      <c r="D792" s="65" t="s">
        <v>318</v>
      </c>
      <c r="E792" s="65" t="s">
        <v>301</v>
      </c>
      <c r="F792" s="65" t="s">
        <v>298</v>
      </c>
      <c r="G792" s="65"/>
      <c r="H792" s="65"/>
      <c r="I792" s="66">
        <v>0</v>
      </c>
    </row>
    <row r="793" spans="1:9" hidden="1">
      <c r="A793" s="67" t="s">
        <v>295</v>
      </c>
      <c r="B793" s="68">
        <v>2025</v>
      </c>
      <c r="C793" s="68">
        <v>2023</v>
      </c>
      <c r="D793" s="68" t="s">
        <v>318</v>
      </c>
      <c r="E793" s="68" t="s">
        <v>301</v>
      </c>
      <c r="F793" s="68" t="s">
        <v>40</v>
      </c>
      <c r="G793" s="68"/>
      <c r="H793" s="68"/>
      <c r="I793" s="69">
        <v>728662.64581000002</v>
      </c>
    </row>
    <row r="794" spans="1:9" hidden="1">
      <c r="A794" s="64" t="s">
        <v>295</v>
      </c>
      <c r="B794" s="65">
        <v>2025</v>
      </c>
      <c r="C794" s="65">
        <v>2023</v>
      </c>
      <c r="D794" s="65" t="s">
        <v>318</v>
      </c>
      <c r="E794" s="65" t="s">
        <v>305</v>
      </c>
      <c r="F794" s="65" t="s">
        <v>297</v>
      </c>
      <c r="G794" s="65"/>
      <c r="H794" s="65"/>
      <c r="I794" s="66">
        <v>7319.0794299999998</v>
      </c>
    </row>
    <row r="795" spans="1:9" hidden="1">
      <c r="A795" s="67" t="s">
        <v>295</v>
      </c>
      <c r="B795" s="68">
        <v>2025</v>
      </c>
      <c r="C795" s="68">
        <v>2023</v>
      </c>
      <c r="D795" s="68" t="s">
        <v>318</v>
      </c>
      <c r="E795" s="68" t="s">
        <v>305</v>
      </c>
      <c r="F795" s="68" t="s">
        <v>40</v>
      </c>
      <c r="G795" s="68"/>
      <c r="H795" s="68"/>
      <c r="I795" s="69">
        <v>28807.279429999999</v>
      </c>
    </row>
    <row r="796" spans="1:9" hidden="1">
      <c r="A796" s="64" t="s">
        <v>295</v>
      </c>
      <c r="B796" s="65">
        <v>2025</v>
      </c>
      <c r="C796" s="65">
        <v>2023</v>
      </c>
      <c r="D796" s="65" t="s">
        <v>320</v>
      </c>
      <c r="E796" s="65" t="s">
        <v>294</v>
      </c>
      <c r="F796" s="65" t="s">
        <v>297</v>
      </c>
      <c r="G796" s="65"/>
      <c r="H796" s="65"/>
      <c r="I796" s="66">
        <v>3903.3724200000001</v>
      </c>
    </row>
    <row r="797" spans="1:9" hidden="1">
      <c r="A797" s="67" t="s">
        <v>295</v>
      </c>
      <c r="B797" s="68">
        <v>2025</v>
      </c>
      <c r="C797" s="68">
        <v>2023</v>
      </c>
      <c r="D797" s="68" t="s">
        <v>320</v>
      </c>
      <c r="E797" s="68" t="s">
        <v>294</v>
      </c>
      <c r="F797" s="68" t="s">
        <v>298</v>
      </c>
      <c r="G797" s="68"/>
      <c r="H797" s="68"/>
      <c r="I797" s="69">
        <v>0</v>
      </c>
    </row>
    <row r="798" spans="1:9" hidden="1">
      <c r="A798" s="64" t="s">
        <v>295</v>
      </c>
      <c r="B798" s="65">
        <v>2025</v>
      </c>
      <c r="C798" s="65">
        <v>2023</v>
      </c>
      <c r="D798" s="65" t="s">
        <v>320</v>
      </c>
      <c r="E798" s="65" t="s">
        <v>294</v>
      </c>
      <c r="F798" s="65" t="s">
        <v>40</v>
      </c>
      <c r="G798" s="65"/>
      <c r="H798" s="65"/>
      <c r="I798" s="66">
        <v>3903.3724200000001</v>
      </c>
    </row>
    <row r="799" spans="1:9" hidden="1">
      <c r="A799" s="67" t="s">
        <v>295</v>
      </c>
      <c r="B799" s="68">
        <v>2025</v>
      </c>
      <c r="C799" s="68">
        <v>2023</v>
      </c>
      <c r="D799" s="68" t="s">
        <v>320</v>
      </c>
      <c r="E799" s="68" t="s">
        <v>301</v>
      </c>
      <c r="F799" s="68" t="s">
        <v>297</v>
      </c>
      <c r="G799" s="68"/>
      <c r="H799" s="68"/>
      <c r="I799" s="69">
        <v>4174.9614899999997</v>
      </c>
    </row>
    <row r="800" spans="1:9" hidden="1">
      <c r="A800" s="64" t="s">
        <v>295</v>
      </c>
      <c r="B800" s="65">
        <v>2025</v>
      </c>
      <c r="C800" s="65">
        <v>2023</v>
      </c>
      <c r="D800" s="65" t="s">
        <v>320</v>
      </c>
      <c r="E800" s="65" t="s">
        <v>301</v>
      </c>
      <c r="F800" s="65" t="s">
        <v>298</v>
      </c>
      <c r="G800" s="65"/>
      <c r="H800" s="65"/>
      <c r="I800" s="66">
        <v>0</v>
      </c>
    </row>
    <row r="801" spans="1:9" hidden="1">
      <c r="A801" s="67" t="s">
        <v>295</v>
      </c>
      <c r="B801" s="68">
        <v>2025</v>
      </c>
      <c r="C801" s="68">
        <v>2023</v>
      </c>
      <c r="D801" s="68" t="s">
        <v>320</v>
      </c>
      <c r="E801" s="68" t="s">
        <v>301</v>
      </c>
      <c r="F801" s="68" t="s">
        <v>40</v>
      </c>
      <c r="G801" s="68"/>
      <c r="H801" s="68"/>
      <c r="I801" s="69">
        <v>4174.9614899999997</v>
      </c>
    </row>
    <row r="802" spans="1:9" hidden="1">
      <c r="A802" s="64" t="s">
        <v>295</v>
      </c>
      <c r="B802" s="65">
        <v>2025</v>
      </c>
      <c r="C802" s="65">
        <v>2023</v>
      </c>
      <c r="D802" s="65" t="s">
        <v>320</v>
      </c>
      <c r="E802" s="65" t="s">
        <v>305</v>
      </c>
      <c r="F802" s="65" t="s">
        <v>297</v>
      </c>
      <c r="G802" s="65"/>
      <c r="H802" s="65"/>
      <c r="I802" s="66">
        <v>34.299999999999997</v>
      </c>
    </row>
    <row r="803" spans="1:9" hidden="1">
      <c r="A803" s="67" t="s">
        <v>295</v>
      </c>
      <c r="B803" s="68">
        <v>2025</v>
      </c>
      <c r="C803" s="68">
        <v>2023</v>
      </c>
      <c r="D803" s="68" t="s">
        <v>320</v>
      </c>
      <c r="E803" s="68" t="s">
        <v>305</v>
      </c>
      <c r="F803" s="68" t="s">
        <v>40</v>
      </c>
      <c r="G803" s="68"/>
      <c r="H803" s="68"/>
      <c r="I803" s="69">
        <v>726.5</v>
      </c>
    </row>
    <row r="804" spans="1:9" hidden="1">
      <c r="A804" s="64" t="s">
        <v>295</v>
      </c>
      <c r="B804" s="65">
        <v>2025</v>
      </c>
      <c r="C804" s="65">
        <v>2023</v>
      </c>
      <c r="D804" s="65" t="s">
        <v>321</v>
      </c>
      <c r="E804" s="65" t="s">
        <v>294</v>
      </c>
      <c r="F804" s="65" t="s">
        <v>297</v>
      </c>
      <c r="G804" s="65"/>
      <c r="H804" s="65"/>
      <c r="I804" s="66">
        <v>18161.773229999999</v>
      </c>
    </row>
    <row r="805" spans="1:9" hidden="1">
      <c r="A805" s="67" t="s">
        <v>295</v>
      </c>
      <c r="B805" s="68">
        <v>2025</v>
      </c>
      <c r="C805" s="68">
        <v>2023</v>
      </c>
      <c r="D805" s="68" t="s">
        <v>321</v>
      </c>
      <c r="E805" s="68" t="s">
        <v>294</v>
      </c>
      <c r="F805" s="68" t="s">
        <v>298</v>
      </c>
      <c r="G805" s="68"/>
      <c r="H805" s="68"/>
      <c r="I805" s="69">
        <v>0</v>
      </c>
    </row>
    <row r="806" spans="1:9" hidden="1">
      <c r="A806" s="64" t="s">
        <v>295</v>
      </c>
      <c r="B806" s="65">
        <v>2025</v>
      </c>
      <c r="C806" s="65">
        <v>2023</v>
      </c>
      <c r="D806" s="65" t="s">
        <v>321</v>
      </c>
      <c r="E806" s="65" t="s">
        <v>294</v>
      </c>
      <c r="F806" s="65" t="s">
        <v>40</v>
      </c>
      <c r="G806" s="65"/>
      <c r="H806" s="65"/>
      <c r="I806" s="66">
        <v>18161.773229999999</v>
      </c>
    </row>
    <row r="807" spans="1:9" hidden="1">
      <c r="A807" s="67" t="s">
        <v>295</v>
      </c>
      <c r="B807" s="68">
        <v>2025</v>
      </c>
      <c r="C807" s="68">
        <v>2023</v>
      </c>
      <c r="D807" s="68" t="s">
        <v>321</v>
      </c>
      <c r="E807" s="68" t="s">
        <v>301</v>
      </c>
      <c r="F807" s="68" t="s">
        <v>297</v>
      </c>
      <c r="G807" s="68"/>
      <c r="H807" s="68"/>
      <c r="I807" s="69">
        <v>17894.633040000001</v>
      </c>
    </row>
    <row r="808" spans="1:9" hidden="1">
      <c r="A808" s="64" t="s">
        <v>295</v>
      </c>
      <c r="B808" s="65">
        <v>2025</v>
      </c>
      <c r="C808" s="65">
        <v>2023</v>
      </c>
      <c r="D808" s="65" t="s">
        <v>321</v>
      </c>
      <c r="E808" s="65" t="s">
        <v>301</v>
      </c>
      <c r="F808" s="65" t="s">
        <v>298</v>
      </c>
      <c r="G808" s="65"/>
      <c r="H808" s="65"/>
      <c r="I808" s="66">
        <v>0</v>
      </c>
    </row>
    <row r="809" spans="1:9" hidden="1">
      <c r="A809" s="67" t="s">
        <v>295</v>
      </c>
      <c r="B809" s="68">
        <v>2025</v>
      </c>
      <c r="C809" s="68">
        <v>2023</v>
      </c>
      <c r="D809" s="68" t="s">
        <v>321</v>
      </c>
      <c r="E809" s="68" t="s">
        <v>301</v>
      </c>
      <c r="F809" s="68" t="s">
        <v>40</v>
      </c>
      <c r="G809" s="68"/>
      <c r="H809" s="68"/>
      <c r="I809" s="69">
        <v>17894.633040000001</v>
      </c>
    </row>
    <row r="810" spans="1:9" hidden="1">
      <c r="A810" s="64" t="s">
        <v>295</v>
      </c>
      <c r="B810" s="65">
        <v>2025</v>
      </c>
      <c r="C810" s="65">
        <v>2023</v>
      </c>
      <c r="D810" s="65" t="s">
        <v>321</v>
      </c>
      <c r="E810" s="65" t="s">
        <v>305</v>
      </c>
      <c r="F810" s="65" t="s">
        <v>297</v>
      </c>
      <c r="G810" s="65"/>
      <c r="H810" s="65"/>
      <c r="I810" s="66">
        <v>47.353059999999999</v>
      </c>
    </row>
    <row r="811" spans="1:9" hidden="1">
      <c r="A811" s="67" t="s">
        <v>295</v>
      </c>
      <c r="B811" s="68">
        <v>2025</v>
      </c>
      <c r="C811" s="68">
        <v>2023</v>
      </c>
      <c r="D811" s="68" t="s">
        <v>321</v>
      </c>
      <c r="E811" s="68" t="s">
        <v>305</v>
      </c>
      <c r="F811" s="68" t="s">
        <v>40</v>
      </c>
      <c r="G811" s="68"/>
      <c r="H811" s="68"/>
      <c r="I811" s="69">
        <v>281.55306000000002</v>
      </c>
    </row>
    <row r="812" spans="1:9" hidden="1">
      <c r="A812" s="64" t="s">
        <v>295</v>
      </c>
      <c r="B812" s="65">
        <v>2025</v>
      </c>
      <c r="C812" s="65">
        <v>2023</v>
      </c>
      <c r="D812" s="65" t="s">
        <v>322</v>
      </c>
      <c r="E812" s="65" t="s">
        <v>294</v>
      </c>
      <c r="F812" s="65" t="s">
        <v>297</v>
      </c>
      <c r="G812" s="65"/>
      <c r="H812" s="65"/>
      <c r="I812" s="66">
        <v>1342.1708799999999</v>
      </c>
    </row>
    <row r="813" spans="1:9" hidden="1">
      <c r="A813" s="67" t="s">
        <v>295</v>
      </c>
      <c r="B813" s="68">
        <v>2025</v>
      </c>
      <c r="C813" s="68">
        <v>2023</v>
      </c>
      <c r="D813" s="68" t="s">
        <v>322</v>
      </c>
      <c r="E813" s="68" t="s">
        <v>294</v>
      </c>
      <c r="F813" s="68" t="s">
        <v>298</v>
      </c>
      <c r="G813" s="68"/>
      <c r="H813" s="68"/>
      <c r="I813" s="69">
        <v>3832.2702800000002</v>
      </c>
    </row>
    <row r="814" spans="1:9" hidden="1">
      <c r="A814" s="64" t="s">
        <v>295</v>
      </c>
      <c r="B814" s="65">
        <v>2025</v>
      </c>
      <c r="C814" s="65">
        <v>2023</v>
      </c>
      <c r="D814" s="65" t="s">
        <v>322</v>
      </c>
      <c r="E814" s="65" t="s">
        <v>294</v>
      </c>
      <c r="F814" s="65" t="s">
        <v>40</v>
      </c>
      <c r="G814" s="65"/>
      <c r="H814" s="65"/>
      <c r="I814" s="66">
        <v>5174.4411499999997</v>
      </c>
    </row>
    <row r="815" spans="1:9" hidden="1">
      <c r="A815" s="67" t="s">
        <v>295</v>
      </c>
      <c r="B815" s="68">
        <v>2025</v>
      </c>
      <c r="C815" s="68">
        <v>2023</v>
      </c>
      <c r="D815" s="68" t="s">
        <v>322</v>
      </c>
      <c r="E815" s="68" t="s">
        <v>301</v>
      </c>
      <c r="F815" s="68" t="s">
        <v>297</v>
      </c>
      <c r="G815" s="68"/>
      <c r="H815" s="68"/>
      <c r="I815" s="69">
        <v>1455.9725800000001</v>
      </c>
    </row>
    <row r="816" spans="1:9" hidden="1">
      <c r="A816" s="64" t="s">
        <v>295</v>
      </c>
      <c r="B816" s="65">
        <v>2025</v>
      </c>
      <c r="C816" s="65">
        <v>2023</v>
      </c>
      <c r="D816" s="65" t="s">
        <v>322</v>
      </c>
      <c r="E816" s="65" t="s">
        <v>301</v>
      </c>
      <c r="F816" s="65" t="s">
        <v>298</v>
      </c>
      <c r="G816" s="65"/>
      <c r="H816" s="65"/>
      <c r="I816" s="66">
        <v>3897.3445999999999</v>
      </c>
    </row>
    <row r="817" spans="1:9" hidden="1">
      <c r="A817" s="67" t="s">
        <v>295</v>
      </c>
      <c r="B817" s="68">
        <v>2025</v>
      </c>
      <c r="C817" s="68">
        <v>2023</v>
      </c>
      <c r="D817" s="68" t="s">
        <v>322</v>
      </c>
      <c r="E817" s="68" t="s">
        <v>301</v>
      </c>
      <c r="F817" s="68" t="s">
        <v>40</v>
      </c>
      <c r="G817" s="68"/>
      <c r="H817" s="68"/>
      <c r="I817" s="69">
        <v>5353.31718</v>
      </c>
    </row>
    <row r="818" spans="1:9" hidden="1">
      <c r="A818" s="64" t="s">
        <v>295</v>
      </c>
      <c r="B818" s="65">
        <v>2025</v>
      </c>
      <c r="C818" s="65">
        <v>2023</v>
      </c>
      <c r="D818" s="65" t="s">
        <v>322</v>
      </c>
      <c r="E818" s="65" t="s">
        <v>305</v>
      </c>
      <c r="F818" s="65" t="s">
        <v>297</v>
      </c>
      <c r="G818" s="65"/>
      <c r="H818" s="65"/>
      <c r="I818" s="66">
        <v>7.2</v>
      </c>
    </row>
    <row r="819" spans="1:9" hidden="1">
      <c r="A819" s="67" t="s">
        <v>295</v>
      </c>
      <c r="B819" s="68">
        <v>2025</v>
      </c>
      <c r="C819" s="68">
        <v>2023</v>
      </c>
      <c r="D819" s="68" t="s">
        <v>322</v>
      </c>
      <c r="E819" s="68" t="s">
        <v>305</v>
      </c>
      <c r="F819" s="68" t="s">
        <v>40</v>
      </c>
      <c r="G819" s="68"/>
      <c r="H819" s="68"/>
      <c r="I819" s="69">
        <v>213.5</v>
      </c>
    </row>
    <row r="820" spans="1:9" hidden="1">
      <c r="A820" s="64" t="s">
        <v>295</v>
      </c>
      <c r="B820" s="65">
        <v>2025</v>
      </c>
      <c r="C820" s="65">
        <v>2023</v>
      </c>
      <c r="D820" s="65" t="s">
        <v>323</v>
      </c>
      <c r="E820" s="65" t="s">
        <v>294</v>
      </c>
      <c r="F820" s="65" t="s">
        <v>297</v>
      </c>
      <c r="G820" s="65"/>
      <c r="H820" s="65"/>
      <c r="I820" s="66">
        <v>449867.24151000002</v>
      </c>
    </row>
    <row r="821" spans="1:9" hidden="1">
      <c r="A821" s="67" t="s">
        <v>295</v>
      </c>
      <c r="B821" s="68">
        <v>2025</v>
      </c>
      <c r="C821" s="68">
        <v>2023</v>
      </c>
      <c r="D821" s="68" t="s">
        <v>323</v>
      </c>
      <c r="E821" s="68" t="s">
        <v>294</v>
      </c>
      <c r="F821" s="68" t="s">
        <v>298</v>
      </c>
      <c r="G821" s="68"/>
      <c r="H821" s="68"/>
      <c r="I821" s="69">
        <v>1966.3021699999999</v>
      </c>
    </row>
    <row r="822" spans="1:9" hidden="1">
      <c r="A822" s="64" t="s">
        <v>295</v>
      </c>
      <c r="B822" s="65">
        <v>2025</v>
      </c>
      <c r="C822" s="65">
        <v>2023</v>
      </c>
      <c r="D822" s="65" t="s">
        <v>323</v>
      </c>
      <c r="E822" s="65" t="s">
        <v>294</v>
      </c>
      <c r="F822" s="65" t="s">
        <v>40</v>
      </c>
      <c r="G822" s="65"/>
      <c r="H822" s="65"/>
      <c r="I822" s="66">
        <v>451833.84369000001</v>
      </c>
    </row>
    <row r="823" spans="1:9" hidden="1">
      <c r="A823" s="67" t="s">
        <v>295</v>
      </c>
      <c r="B823" s="68">
        <v>2025</v>
      </c>
      <c r="C823" s="68">
        <v>2023</v>
      </c>
      <c r="D823" s="68" t="s">
        <v>323</v>
      </c>
      <c r="E823" s="68" t="s">
        <v>301</v>
      </c>
      <c r="F823" s="68" t="s">
        <v>297</v>
      </c>
      <c r="G823" s="68"/>
      <c r="H823" s="68"/>
      <c r="I823" s="69">
        <v>473020.11283</v>
      </c>
    </row>
    <row r="824" spans="1:9" hidden="1">
      <c r="A824" s="64" t="s">
        <v>295</v>
      </c>
      <c r="B824" s="65">
        <v>2025</v>
      </c>
      <c r="C824" s="65">
        <v>2023</v>
      </c>
      <c r="D824" s="65" t="s">
        <v>323</v>
      </c>
      <c r="E824" s="65" t="s">
        <v>301</v>
      </c>
      <c r="F824" s="65" t="s">
        <v>298</v>
      </c>
      <c r="G824" s="65"/>
      <c r="H824" s="65"/>
      <c r="I824" s="66">
        <v>2028.9003499999999</v>
      </c>
    </row>
    <row r="825" spans="1:9" hidden="1">
      <c r="A825" s="67" t="s">
        <v>295</v>
      </c>
      <c r="B825" s="68">
        <v>2025</v>
      </c>
      <c r="C825" s="68">
        <v>2023</v>
      </c>
      <c r="D825" s="68" t="s">
        <v>323</v>
      </c>
      <c r="E825" s="68" t="s">
        <v>301</v>
      </c>
      <c r="F825" s="68" t="s">
        <v>40</v>
      </c>
      <c r="G825" s="68"/>
      <c r="H825" s="68"/>
      <c r="I825" s="69">
        <v>475049.21317</v>
      </c>
    </row>
    <row r="826" spans="1:9" hidden="1">
      <c r="A826" s="64" t="s">
        <v>295</v>
      </c>
      <c r="B826" s="65">
        <v>2025</v>
      </c>
      <c r="C826" s="65">
        <v>2023</v>
      </c>
      <c r="D826" s="65" t="s">
        <v>323</v>
      </c>
      <c r="E826" s="65" t="s">
        <v>305</v>
      </c>
      <c r="F826" s="65" t="s">
        <v>297</v>
      </c>
      <c r="G826" s="65"/>
      <c r="H826" s="65"/>
      <c r="I826" s="66">
        <v>1561.07104</v>
      </c>
    </row>
    <row r="827" spans="1:9" hidden="1">
      <c r="A827" s="67" t="s">
        <v>295</v>
      </c>
      <c r="B827" s="68">
        <v>2025</v>
      </c>
      <c r="C827" s="68">
        <v>2023</v>
      </c>
      <c r="D827" s="68" t="s">
        <v>323</v>
      </c>
      <c r="E827" s="68" t="s">
        <v>305</v>
      </c>
      <c r="F827" s="68" t="s">
        <v>40</v>
      </c>
      <c r="G827" s="68"/>
      <c r="H827" s="68"/>
      <c r="I827" s="69">
        <v>16450.671040000001</v>
      </c>
    </row>
    <row r="828" spans="1:9" hidden="1">
      <c r="A828" s="64" t="s">
        <v>295</v>
      </c>
      <c r="B828" s="65">
        <v>2025</v>
      </c>
      <c r="C828" s="65">
        <v>2023</v>
      </c>
      <c r="D828" s="65" t="s">
        <v>324</v>
      </c>
      <c r="E828" s="65" t="s">
        <v>294</v>
      </c>
      <c r="F828" s="65" t="s">
        <v>297</v>
      </c>
      <c r="G828" s="65"/>
      <c r="H828" s="65"/>
      <c r="I828" s="66">
        <v>3916.19767</v>
      </c>
    </row>
    <row r="829" spans="1:9" hidden="1">
      <c r="A829" s="67" t="s">
        <v>295</v>
      </c>
      <c r="B829" s="68">
        <v>2025</v>
      </c>
      <c r="C829" s="68">
        <v>2023</v>
      </c>
      <c r="D829" s="68" t="s">
        <v>324</v>
      </c>
      <c r="E829" s="68" t="s">
        <v>294</v>
      </c>
      <c r="F829" s="68" t="s">
        <v>298</v>
      </c>
      <c r="G829" s="68"/>
      <c r="H829" s="68"/>
      <c r="I829" s="69">
        <v>0</v>
      </c>
    </row>
    <row r="830" spans="1:9" hidden="1">
      <c r="A830" s="64" t="s">
        <v>295</v>
      </c>
      <c r="B830" s="65">
        <v>2025</v>
      </c>
      <c r="C830" s="65">
        <v>2023</v>
      </c>
      <c r="D830" s="65" t="s">
        <v>324</v>
      </c>
      <c r="E830" s="65" t="s">
        <v>294</v>
      </c>
      <c r="F830" s="65" t="s">
        <v>40</v>
      </c>
      <c r="G830" s="65"/>
      <c r="H830" s="65"/>
      <c r="I830" s="66">
        <v>3916.19767</v>
      </c>
    </row>
    <row r="831" spans="1:9" hidden="1">
      <c r="A831" s="67" t="s">
        <v>295</v>
      </c>
      <c r="B831" s="68">
        <v>2025</v>
      </c>
      <c r="C831" s="68">
        <v>2023</v>
      </c>
      <c r="D831" s="68" t="s">
        <v>324</v>
      </c>
      <c r="E831" s="68" t="s">
        <v>301</v>
      </c>
      <c r="F831" s="68" t="s">
        <v>297</v>
      </c>
      <c r="G831" s="68"/>
      <c r="H831" s="68"/>
      <c r="I831" s="69">
        <v>3916.1941000000002</v>
      </c>
    </row>
    <row r="832" spans="1:9" hidden="1">
      <c r="A832" s="64" t="s">
        <v>295</v>
      </c>
      <c r="B832" s="65">
        <v>2025</v>
      </c>
      <c r="C832" s="65">
        <v>2023</v>
      </c>
      <c r="D832" s="65" t="s">
        <v>324</v>
      </c>
      <c r="E832" s="65" t="s">
        <v>301</v>
      </c>
      <c r="F832" s="65" t="s">
        <v>298</v>
      </c>
      <c r="G832" s="65"/>
      <c r="H832" s="65"/>
      <c r="I832" s="66">
        <v>0</v>
      </c>
    </row>
    <row r="833" spans="1:9" hidden="1">
      <c r="A833" s="67" t="s">
        <v>295</v>
      </c>
      <c r="B833" s="68">
        <v>2025</v>
      </c>
      <c r="C833" s="68">
        <v>2023</v>
      </c>
      <c r="D833" s="68" t="s">
        <v>324</v>
      </c>
      <c r="E833" s="68" t="s">
        <v>301</v>
      </c>
      <c r="F833" s="68" t="s">
        <v>40</v>
      </c>
      <c r="G833" s="68"/>
      <c r="H833" s="68"/>
      <c r="I833" s="69">
        <v>3916.1941000000002</v>
      </c>
    </row>
    <row r="834" spans="1:9" hidden="1">
      <c r="A834" s="64" t="s">
        <v>295</v>
      </c>
      <c r="B834" s="65">
        <v>2025</v>
      </c>
      <c r="C834" s="65">
        <v>2023</v>
      </c>
      <c r="D834" s="65" t="s">
        <v>324</v>
      </c>
      <c r="E834" s="65" t="s">
        <v>305</v>
      </c>
      <c r="F834" s="65" t="s">
        <v>297</v>
      </c>
      <c r="G834" s="65"/>
      <c r="H834" s="65"/>
      <c r="I834" s="66">
        <v>4.0999999999999996</v>
      </c>
    </row>
    <row r="835" spans="1:9" hidden="1">
      <c r="A835" s="67" t="s">
        <v>295</v>
      </c>
      <c r="B835" s="68">
        <v>2025</v>
      </c>
      <c r="C835" s="68">
        <v>2023</v>
      </c>
      <c r="D835" s="68" t="s">
        <v>324</v>
      </c>
      <c r="E835" s="68" t="s">
        <v>305</v>
      </c>
      <c r="F835" s="68" t="s">
        <v>40</v>
      </c>
      <c r="G835" s="68"/>
      <c r="H835" s="68"/>
      <c r="I835" s="69">
        <v>1246.2</v>
      </c>
    </row>
    <row r="836" spans="1:9" hidden="1">
      <c r="A836" s="64" t="s">
        <v>295</v>
      </c>
      <c r="B836" s="65">
        <v>2025</v>
      </c>
      <c r="C836" s="65">
        <v>2023</v>
      </c>
      <c r="D836" s="65" t="s">
        <v>325</v>
      </c>
      <c r="E836" s="65" t="s">
        <v>294</v>
      </c>
      <c r="F836" s="65" t="s">
        <v>297</v>
      </c>
      <c r="G836" s="65"/>
      <c r="H836" s="65"/>
      <c r="I836" s="66">
        <v>56062.528270000003</v>
      </c>
    </row>
    <row r="837" spans="1:9" hidden="1">
      <c r="A837" s="67" t="s">
        <v>295</v>
      </c>
      <c r="B837" s="68">
        <v>2025</v>
      </c>
      <c r="C837" s="68">
        <v>2023</v>
      </c>
      <c r="D837" s="68" t="s">
        <v>325</v>
      </c>
      <c r="E837" s="68" t="s">
        <v>294</v>
      </c>
      <c r="F837" s="68" t="s">
        <v>298</v>
      </c>
      <c r="G837" s="68"/>
      <c r="H837" s="68"/>
      <c r="I837" s="69">
        <v>15401.70282</v>
      </c>
    </row>
    <row r="838" spans="1:9" hidden="1">
      <c r="A838" s="64" t="s">
        <v>295</v>
      </c>
      <c r="B838" s="65">
        <v>2025</v>
      </c>
      <c r="C838" s="65">
        <v>2023</v>
      </c>
      <c r="D838" s="65" t="s">
        <v>325</v>
      </c>
      <c r="E838" s="65" t="s">
        <v>294</v>
      </c>
      <c r="F838" s="65" t="s">
        <v>40</v>
      </c>
      <c r="G838" s="65"/>
      <c r="H838" s="65"/>
      <c r="I838" s="66">
        <v>71464.231100000005</v>
      </c>
    </row>
    <row r="839" spans="1:9" hidden="1">
      <c r="A839" s="67" t="s">
        <v>295</v>
      </c>
      <c r="B839" s="68">
        <v>2025</v>
      </c>
      <c r="C839" s="68">
        <v>2023</v>
      </c>
      <c r="D839" s="68" t="s">
        <v>325</v>
      </c>
      <c r="E839" s="68" t="s">
        <v>301</v>
      </c>
      <c r="F839" s="68" t="s">
        <v>297</v>
      </c>
      <c r="G839" s="68"/>
      <c r="H839" s="68"/>
      <c r="I839" s="69">
        <v>57263.285359999987</v>
      </c>
    </row>
    <row r="840" spans="1:9" hidden="1">
      <c r="A840" s="64" t="s">
        <v>295</v>
      </c>
      <c r="B840" s="65">
        <v>2025</v>
      </c>
      <c r="C840" s="65">
        <v>2023</v>
      </c>
      <c r="D840" s="65" t="s">
        <v>325</v>
      </c>
      <c r="E840" s="65" t="s">
        <v>301</v>
      </c>
      <c r="F840" s="65" t="s">
        <v>298</v>
      </c>
      <c r="G840" s="65"/>
      <c r="H840" s="65"/>
      <c r="I840" s="66">
        <v>15887.2171</v>
      </c>
    </row>
    <row r="841" spans="1:9" hidden="1">
      <c r="A841" s="67" t="s">
        <v>295</v>
      </c>
      <c r="B841" s="68">
        <v>2025</v>
      </c>
      <c r="C841" s="68">
        <v>2023</v>
      </c>
      <c r="D841" s="68" t="s">
        <v>325</v>
      </c>
      <c r="E841" s="68" t="s">
        <v>301</v>
      </c>
      <c r="F841" s="68" t="s">
        <v>40</v>
      </c>
      <c r="G841" s="68"/>
      <c r="H841" s="68"/>
      <c r="I841" s="69">
        <v>73150.602459999995</v>
      </c>
    </row>
    <row r="842" spans="1:9" hidden="1">
      <c r="A842" s="64" t="s">
        <v>295</v>
      </c>
      <c r="B842" s="65">
        <v>2025</v>
      </c>
      <c r="C842" s="65">
        <v>2023</v>
      </c>
      <c r="D842" s="65" t="s">
        <v>325</v>
      </c>
      <c r="E842" s="65" t="s">
        <v>305</v>
      </c>
      <c r="F842" s="65" t="s">
        <v>297</v>
      </c>
      <c r="G842" s="65"/>
      <c r="H842" s="65"/>
      <c r="I842" s="66">
        <v>428.3</v>
      </c>
    </row>
    <row r="843" spans="1:9" hidden="1">
      <c r="A843" s="67" t="s">
        <v>295</v>
      </c>
      <c r="B843" s="68">
        <v>2025</v>
      </c>
      <c r="C843" s="68">
        <v>2023</v>
      </c>
      <c r="D843" s="68" t="s">
        <v>325</v>
      </c>
      <c r="E843" s="68" t="s">
        <v>305</v>
      </c>
      <c r="F843" s="68" t="s">
        <v>298</v>
      </c>
      <c r="G843" s="68"/>
      <c r="H843" s="68"/>
      <c r="I843" s="69">
        <v>69.900000000000006</v>
      </c>
    </row>
    <row r="844" spans="1:9" hidden="1">
      <c r="A844" s="64" t="s">
        <v>295</v>
      </c>
      <c r="B844" s="65">
        <v>2025</v>
      </c>
      <c r="C844" s="65">
        <v>2023</v>
      </c>
      <c r="D844" s="65" t="s">
        <v>325</v>
      </c>
      <c r="E844" s="65" t="s">
        <v>305</v>
      </c>
      <c r="F844" s="65" t="s">
        <v>40</v>
      </c>
      <c r="G844" s="65"/>
      <c r="H844" s="65"/>
      <c r="I844" s="66">
        <v>18674</v>
      </c>
    </row>
    <row r="845" spans="1:9" hidden="1">
      <c r="A845" s="67" t="s">
        <v>295</v>
      </c>
      <c r="B845" s="68">
        <v>2025</v>
      </c>
      <c r="C845" s="68">
        <v>2023</v>
      </c>
      <c r="D845" s="68" t="s">
        <v>326</v>
      </c>
      <c r="E845" s="68" t="s">
        <v>294</v>
      </c>
      <c r="F845" s="68" t="s">
        <v>297</v>
      </c>
      <c r="G845" s="68"/>
      <c r="H845" s="68"/>
      <c r="I845" s="69">
        <v>0</v>
      </c>
    </row>
    <row r="846" spans="1:9" hidden="1">
      <c r="A846" s="64" t="s">
        <v>295</v>
      </c>
      <c r="B846" s="65">
        <v>2025</v>
      </c>
      <c r="C846" s="65">
        <v>2023</v>
      </c>
      <c r="D846" s="65" t="s">
        <v>326</v>
      </c>
      <c r="E846" s="65" t="s">
        <v>294</v>
      </c>
      <c r="F846" s="65" t="s">
        <v>298</v>
      </c>
      <c r="G846" s="65"/>
      <c r="H846" s="65"/>
      <c r="I846" s="66">
        <v>0</v>
      </c>
    </row>
    <row r="847" spans="1:9" hidden="1">
      <c r="A847" s="67" t="s">
        <v>295</v>
      </c>
      <c r="B847" s="68">
        <v>2025</v>
      </c>
      <c r="C847" s="68">
        <v>2023</v>
      </c>
      <c r="D847" s="68" t="s">
        <v>326</v>
      </c>
      <c r="E847" s="68" t="s">
        <v>294</v>
      </c>
      <c r="F847" s="68" t="s">
        <v>40</v>
      </c>
      <c r="G847" s="68"/>
      <c r="H847" s="68"/>
      <c r="I847" s="69">
        <v>0</v>
      </c>
    </row>
    <row r="848" spans="1:9" hidden="1">
      <c r="A848" s="64" t="s">
        <v>295</v>
      </c>
      <c r="B848" s="65">
        <v>2025</v>
      </c>
      <c r="C848" s="65">
        <v>2023</v>
      </c>
      <c r="D848" s="65" t="s">
        <v>326</v>
      </c>
      <c r="E848" s="65" t="s">
        <v>301</v>
      </c>
      <c r="F848" s="65" t="s">
        <v>297</v>
      </c>
      <c r="G848" s="65"/>
      <c r="H848" s="65"/>
      <c r="I848" s="66">
        <v>0</v>
      </c>
    </row>
    <row r="849" spans="1:9" hidden="1">
      <c r="A849" s="67" t="s">
        <v>295</v>
      </c>
      <c r="B849" s="68">
        <v>2025</v>
      </c>
      <c r="C849" s="68">
        <v>2023</v>
      </c>
      <c r="D849" s="68" t="s">
        <v>326</v>
      </c>
      <c r="E849" s="68" t="s">
        <v>301</v>
      </c>
      <c r="F849" s="68" t="s">
        <v>298</v>
      </c>
      <c r="G849" s="68"/>
      <c r="H849" s="68"/>
      <c r="I849" s="69">
        <v>0</v>
      </c>
    </row>
    <row r="850" spans="1:9" hidden="1">
      <c r="A850" s="64" t="s">
        <v>295</v>
      </c>
      <c r="B850" s="65">
        <v>2025</v>
      </c>
      <c r="C850" s="65">
        <v>2023</v>
      </c>
      <c r="D850" s="65" t="s">
        <v>326</v>
      </c>
      <c r="E850" s="65" t="s">
        <v>301</v>
      </c>
      <c r="F850" s="65" t="s">
        <v>40</v>
      </c>
      <c r="G850" s="65"/>
      <c r="H850" s="65"/>
      <c r="I850" s="66">
        <v>0</v>
      </c>
    </row>
    <row r="851" spans="1:9" hidden="1">
      <c r="A851" s="67" t="s">
        <v>295</v>
      </c>
      <c r="B851" s="68">
        <v>2025</v>
      </c>
      <c r="C851" s="68">
        <v>2023</v>
      </c>
      <c r="D851" s="68" t="s">
        <v>304</v>
      </c>
      <c r="E851" s="68" t="s">
        <v>294</v>
      </c>
      <c r="F851" s="68" t="s">
        <v>297</v>
      </c>
      <c r="G851" s="68"/>
      <c r="H851" s="68"/>
      <c r="I851" s="69">
        <v>79864.277709999995</v>
      </c>
    </row>
    <row r="852" spans="1:9" hidden="1">
      <c r="A852" s="64" t="s">
        <v>295</v>
      </c>
      <c r="B852" s="65">
        <v>2025</v>
      </c>
      <c r="C852" s="65">
        <v>2023</v>
      </c>
      <c r="D852" s="65" t="s">
        <v>304</v>
      </c>
      <c r="E852" s="65" t="s">
        <v>294</v>
      </c>
      <c r="F852" s="65" t="s">
        <v>298</v>
      </c>
      <c r="G852" s="65"/>
      <c r="H852" s="65"/>
      <c r="I852" s="66">
        <v>225450.07373</v>
      </c>
    </row>
    <row r="853" spans="1:9" hidden="1">
      <c r="A853" s="67" t="s">
        <v>295</v>
      </c>
      <c r="B853" s="68">
        <v>2025</v>
      </c>
      <c r="C853" s="68">
        <v>2023</v>
      </c>
      <c r="D853" s="68" t="s">
        <v>304</v>
      </c>
      <c r="E853" s="68" t="s">
        <v>294</v>
      </c>
      <c r="F853" s="68" t="s">
        <v>40</v>
      </c>
      <c r="G853" s="68"/>
      <c r="H853" s="68"/>
      <c r="I853" s="69">
        <v>305035.57146000001</v>
      </c>
    </row>
    <row r="854" spans="1:9" hidden="1">
      <c r="A854" s="64" t="s">
        <v>295</v>
      </c>
      <c r="B854" s="65">
        <v>2025</v>
      </c>
      <c r="C854" s="65">
        <v>2023</v>
      </c>
      <c r="D854" s="65" t="s">
        <v>304</v>
      </c>
      <c r="E854" s="65" t="s">
        <v>301</v>
      </c>
      <c r="F854" s="65" t="s">
        <v>297</v>
      </c>
      <c r="G854" s="65"/>
      <c r="H854" s="65"/>
      <c r="I854" s="66">
        <v>80702.285579999996</v>
      </c>
    </row>
    <row r="855" spans="1:9" hidden="1">
      <c r="A855" s="67" t="s">
        <v>295</v>
      </c>
      <c r="B855" s="68">
        <v>2025</v>
      </c>
      <c r="C855" s="68">
        <v>2023</v>
      </c>
      <c r="D855" s="68" t="s">
        <v>304</v>
      </c>
      <c r="E855" s="68" t="s">
        <v>301</v>
      </c>
      <c r="F855" s="68" t="s">
        <v>298</v>
      </c>
      <c r="G855" s="68"/>
      <c r="H855" s="68"/>
      <c r="I855" s="69">
        <v>228304.01180000001</v>
      </c>
    </row>
    <row r="856" spans="1:9" hidden="1">
      <c r="A856" s="64" t="s">
        <v>295</v>
      </c>
      <c r="B856" s="65">
        <v>2025</v>
      </c>
      <c r="C856" s="65">
        <v>2023</v>
      </c>
      <c r="D856" s="65" t="s">
        <v>304</v>
      </c>
      <c r="E856" s="65" t="s">
        <v>301</v>
      </c>
      <c r="F856" s="65" t="s">
        <v>40</v>
      </c>
      <c r="G856" s="65"/>
      <c r="H856" s="65"/>
      <c r="I856" s="66">
        <v>308727.71739000001</v>
      </c>
    </row>
    <row r="857" spans="1:9" hidden="1">
      <c r="A857" s="67" t="s">
        <v>295</v>
      </c>
      <c r="B857" s="68">
        <v>2025</v>
      </c>
      <c r="C857" s="68">
        <v>2023</v>
      </c>
      <c r="D857" s="68" t="s">
        <v>304</v>
      </c>
      <c r="E857" s="68" t="s">
        <v>305</v>
      </c>
      <c r="F857" s="68" t="s">
        <v>297</v>
      </c>
      <c r="G857" s="68"/>
      <c r="H857" s="68"/>
      <c r="I857" s="69">
        <v>1019.1164199999999</v>
      </c>
    </row>
    <row r="858" spans="1:9" hidden="1">
      <c r="A858" s="64" t="s">
        <v>295</v>
      </c>
      <c r="B858" s="65">
        <v>2025</v>
      </c>
      <c r="C858" s="65">
        <v>2023</v>
      </c>
      <c r="D858" s="65" t="s">
        <v>304</v>
      </c>
      <c r="E858" s="65" t="s">
        <v>305</v>
      </c>
      <c r="F858" s="65" t="s">
        <v>298</v>
      </c>
      <c r="G858" s="65"/>
      <c r="H858" s="65"/>
      <c r="I858" s="66">
        <v>722.2</v>
      </c>
    </row>
    <row r="859" spans="1:9" hidden="1">
      <c r="A859" s="67" t="s">
        <v>295</v>
      </c>
      <c r="B859" s="68">
        <v>2025</v>
      </c>
      <c r="C859" s="68">
        <v>2023</v>
      </c>
      <c r="D859" s="68" t="s">
        <v>304</v>
      </c>
      <c r="E859" s="68" t="s">
        <v>305</v>
      </c>
      <c r="F859" s="68" t="s">
        <v>40</v>
      </c>
      <c r="G859" s="68"/>
      <c r="H859" s="68"/>
      <c r="I859" s="69">
        <v>16355.41642</v>
      </c>
    </row>
    <row r="860" spans="1:9" hidden="1">
      <c r="A860" s="64" t="s">
        <v>295</v>
      </c>
      <c r="B860" s="65">
        <v>2025</v>
      </c>
      <c r="C860" s="65">
        <v>2023</v>
      </c>
      <c r="D860" s="65" t="s">
        <v>306</v>
      </c>
      <c r="E860" s="65" t="s">
        <v>294</v>
      </c>
      <c r="F860" s="65" t="s">
        <v>297</v>
      </c>
      <c r="G860" s="65"/>
      <c r="H860" s="65"/>
      <c r="I860" s="66">
        <v>371471.60576000001</v>
      </c>
    </row>
    <row r="861" spans="1:9" hidden="1">
      <c r="A861" s="67" t="s">
        <v>295</v>
      </c>
      <c r="B861" s="68">
        <v>2025</v>
      </c>
      <c r="C861" s="68">
        <v>2023</v>
      </c>
      <c r="D861" s="68" t="s">
        <v>306</v>
      </c>
      <c r="E861" s="68" t="s">
        <v>294</v>
      </c>
      <c r="F861" s="68" t="s">
        <v>40</v>
      </c>
      <c r="G861" s="68"/>
      <c r="H861" s="68"/>
      <c r="I861" s="69">
        <v>371471.60576000001</v>
      </c>
    </row>
    <row r="862" spans="1:9" hidden="1">
      <c r="A862" s="64" t="s">
        <v>295</v>
      </c>
      <c r="B862" s="65">
        <v>2025</v>
      </c>
      <c r="C862" s="65">
        <v>2023</v>
      </c>
      <c r="D862" s="65" t="s">
        <v>306</v>
      </c>
      <c r="E862" s="65" t="s">
        <v>301</v>
      </c>
      <c r="F862" s="65" t="s">
        <v>297</v>
      </c>
      <c r="G862" s="65"/>
      <c r="H862" s="65"/>
      <c r="I862" s="66">
        <v>378414.40270999999</v>
      </c>
    </row>
    <row r="863" spans="1:9" hidden="1">
      <c r="A863" s="67" t="s">
        <v>295</v>
      </c>
      <c r="B863" s="68">
        <v>2025</v>
      </c>
      <c r="C863" s="68">
        <v>2023</v>
      </c>
      <c r="D863" s="68" t="s">
        <v>306</v>
      </c>
      <c r="E863" s="68" t="s">
        <v>301</v>
      </c>
      <c r="F863" s="68" t="s">
        <v>40</v>
      </c>
      <c r="G863" s="68"/>
      <c r="H863" s="68"/>
      <c r="I863" s="69">
        <v>378414.40270999999</v>
      </c>
    </row>
    <row r="864" spans="1:9" hidden="1">
      <c r="A864" s="64" t="s">
        <v>295</v>
      </c>
      <c r="B864" s="65">
        <v>2025</v>
      </c>
      <c r="C864" s="65">
        <v>2023</v>
      </c>
      <c r="D864" s="65" t="s">
        <v>306</v>
      </c>
      <c r="E864" s="65" t="s">
        <v>305</v>
      </c>
      <c r="F864" s="65" t="s">
        <v>297</v>
      </c>
      <c r="G864" s="65"/>
      <c r="H864" s="65"/>
      <c r="I864" s="66">
        <v>2015.5708199999999</v>
      </c>
    </row>
    <row r="865" spans="1:9" hidden="1">
      <c r="A865" s="67" t="s">
        <v>295</v>
      </c>
      <c r="B865" s="68">
        <v>2025</v>
      </c>
      <c r="C865" s="68">
        <v>2023</v>
      </c>
      <c r="D865" s="68" t="s">
        <v>306</v>
      </c>
      <c r="E865" s="68" t="s">
        <v>305</v>
      </c>
      <c r="F865" s="68" t="s">
        <v>40</v>
      </c>
      <c r="G865" s="68"/>
      <c r="H865" s="68"/>
      <c r="I865" s="69">
        <v>28471.070820000001</v>
      </c>
    </row>
    <row r="866" spans="1:9" hidden="1">
      <c r="A866" s="64" t="s">
        <v>295</v>
      </c>
      <c r="B866" s="65">
        <v>2025</v>
      </c>
      <c r="C866" s="65">
        <v>2023</v>
      </c>
      <c r="D866" s="65" t="s">
        <v>307</v>
      </c>
      <c r="E866" s="65" t="s">
        <v>294</v>
      </c>
      <c r="F866" s="65" t="s">
        <v>40</v>
      </c>
      <c r="G866" s="65"/>
      <c r="H866" s="65"/>
      <c r="I866" s="66">
        <v>-255099.62414</v>
      </c>
    </row>
    <row r="867" spans="1:9" hidden="1">
      <c r="A867" s="67" t="s">
        <v>295</v>
      </c>
      <c r="B867" s="68">
        <v>2025</v>
      </c>
      <c r="C867" s="68">
        <v>2023</v>
      </c>
      <c r="D867" s="68" t="s">
        <v>307</v>
      </c>
      <c r="E867" s="68" t="s">
        <v>301</v>
      </c>
      <c r="F867" s="68" t="s">
        <v>40</v>
      </c>
      <c r="G867" s="68"/>
      <c r="H867" s="68"/>
      <c r="I867" s="69">
        <v>-240662.30142</v>
      </c>
    </row>
    <row r="868" spans="1:9" hidden="1">
      <c r="A868" s="64" t="s">
        <v>295</v>
      </c>
      <c r="B868" s="65">
        <v>2025</v>
      </c>
      <c r="C868" s="65">
        <v>2023</v>
      </c>
      <c r="D868" s="65" t="s">
        <v>307</v>
      </c>
      <c r="E868" s="65" t="s">
        <v>305</v>
      </c>
      <c r="F868" s="65" t="s">
        <v>40</v>
      </c>
      <c r="G868" s="65"/>
      <c r="H868" s="65"/>
      <c r="I868" s="66">
        <v>-21900.753980000001</v>
      </c>
    </row>
    <row r="869" spans="1:9" hidden="1">
      <c r="A869" s="67" t="s">
        <v>295</v>
      </c>
      <c r="B869" s="68">
        <v>2025</v>
      </c>
      <c r="C869" s="68">
        <v>2023</v>
      </c>
      <c r="D869" s="68" t="s">
        <v>327</v>
      </c>
      <c r="E869" s="68" t="s">
        <v>294</v>
      </c>
      <c r="F869" s="68" t="s">
        <v>40</v>
      </c>
      <c r="G869" s="68"/>
      <c r="H869" s="68"/>
      <c r="I869" s="69">
        <v>-332105.74271000002</v>
      </c>
    </row>
    <row r="870" spans="1:9" hidden="1">
      <c r="A870" s="64" t="s">
        <v>295</v>
      </c>
      <c r="B870" s="65">
        <v>2025</v>
      </c>
      <c r="C870" s="65">
        <v>2023</v>
      </c>
      <c r="D870" s="65" t="s">
        <v>327</v>
      </c>
      <c r="E870" s="65" t="s">
        <v>301</v>
      </c>
      <c r="F870" s="65" t="s">
        <v>40</v>
      </c>
      <c r="G870" s="65"/>
      <c r="H870" s="65"/>
      <c r="I870" s="66">
        <v>-322088.48869000003</v>
      </c>
    </row>
    <row r="871" spans="1:9" hidden="1">
      <c r="A871" s="67" t="s">
        <v>295</v>
      </c>
      <c r="B871" s="68">
        <v>2025</v>
      </c>
      <c r="C871" s="68">
        <v>2023</v>
      </c>
      <c r="D871" s="68" t="s">
        <v>327</v>
      </c>
      <c r="E871" s="68" t="s">
        <v>305</v>
      </c>
      <c r="F871" s="68" t="s">
        <v>40</v>
      </c>
      <c r="G871" s="68"/>
      <c r="H871" s="68"/>
      <c r="I871" s="69">
        <v>-21665.136569999999</v>
      </c>
    </row>
    <row r="872" spans="1:9" hidden="1">
      <c r="A872" s="64" t="s">
        <v>295</v>
      </c>
      <c r="B872" s="65">
        <v>2025</v>
      </c>
      <c r="C872" s="65">
        <v>2023</v>
      </c>
      <c r="D872" s="65" t="s">
        <v>328</v>
      </c>
      <c r="E872" s="65" t="s">
        <v>294</v>
      </c>
      <c r="F872" s="65" t="s">
        <v>40</v>
      </c>
      <c r="G872" s="65"/>
      <c r="H872" s="65"/>
      <c r="I872" s="66">
        <v>39134.84979</v>
      </c>
    </row>
    <row r="873" spans="1:9" hidden="1">
      <c r="A873" s="67" t="s">
        <v>295</v>
      </c>
      <c r="B873" s="68">
        <v>2025</v>
      </c>
      <c r="C873" s="68">
        <v>2023</v>
      </c>
      <c r="D873" s="68" t="s">
        <v>328</v>
      </c>
      <c r="E873" s="68" t="s">
        <v>301</v>
      </c>
      <c r="F873" s="68" t="s">
        <v>40</v>
      </c>
      <c r="G873" s="68"/>
      <c r="H873" s="68"/>
      <c r="I873" s="69">
        <v>42229.996299999999</v>
      </c>
    </row>
    <row r="874" spans="1:9" hidden="1">
      <c r="A874" s="64" t="s">
        <v>295</v>
      </c>
      <c r="B874" s="65">
        <v>2025</v>
      </c>
      <c r="C874" s="65">
        <v>2023</v>
      </c>
      <c r="D874" s="65" t="s">
        <v>328</v>
      </c>
      <c r="E874" s="65" t="s">
        <v>305</v>
      </c>
      <c r="F874" s="65" t="s">
        <v>40</v>
      </c>
      <c r="G874" s="65"/>
      <c r="H874" s="65"/>
      <c r="I874" s="66">
        <v>-2363.5059900000001</v>
      </c>
    </row>
    <row r="875" spans="1:9" hidden="1">
      <c r="A875" s="67" t="s">
        <v>295</v>
      </c>
      <c r="B875" s="68">
        <v>2025</v>
      </c>
      <c r="C875" s="68">
        <v>2023</v>
      </c>
      <c r="D875" s="68" t="s">
        <v>329</v>
      </c>
      <c r="E875" s="68" t="s">
        <v>294</v>
      </c>
      <c r="F875" s="68" t="s">
        <v>40</v>
      </c>
      <c r="G875" s="68"/>
      <c r="H875" s="68"/>
      <c r="I875" s="69">
        <v>15091.823249999999</v>
      </c>
    </row>
    <row r="876" spans="1:9" hidden="1">
      <c r="A876" s="64" t="s">
        <v>295</v>
      </c>
      <c r="B876" s="65">
        <v>2025</v>
      </c>
      <c r="C876" s="65">
        <v>2023</v>
      </c>
      <c r="D876" s="65" t="s">
        <v>329</v>
      </c>
      <c r="E876" s="65" t="s">
        <v>301</v>
      </c>
      <c r="F876" s="65" t="s">
        <v>40</v>
      </c>
      <c r="G876" s="65"/>
      <c r="H876" s="65"/>
      <c r="I876" s="66">
        <v>15646.112069999999</v>
      </c>
    </row>
    <row r="877" spans="1:9" hidden="1">
      <c r="A877" s="67" t="s">
        <v>295</v>
      </c>
      <c r="B877" s="68">
        <v>2025</v>
      </c>
      <c r="C877" s="68">
        <v>2023</v>
      </c>
      <c r="D877" s="68" t="s">
        <v>329</v>
      </c>
      <c r="E877" s="68" t="s">
        <v>305</v>
      </c>
      <c r="F877" s="68" t="s">
        <v>40</v>
      </c>
      <c r="G877" s="68"/>
      <c r="H877" s="68"/>
      <c r="I877" s="69">
        <v>888.53336000000002</v>
      </c>
    </row>
    <row r="878" spans="1:9" hidden="1">
      <c r="A878" s="64" t="s">
        <v>295</v>
      </c>
      <c r="B878" s="65">
        <v>2025</v>
      </c>
      <c r="C878" s="65">
        <v>2023</v>
      </c>
      <c r="D878" s="65" t="s">
        <v>330</v>
      </c>
      <c r="E878" s="65" t="s">
        <v>294</v>
      </c>
      <c r="F878" s="65" t="s">
        <v>40</v>
      </c>
      <c r="G878" s="65"/>
      <c r="H878" s="65"/>
      <c r="I878" s="66">
        <v>15105.568649999999</v>
      </c>
    </row>
    <row r="879" spans="1:9" hidden="1">
      <c r="A879" s="67" t="s">
        <v>295</v>
      </c>
      <c r="B879" s="68">
        <v>2025</v>
      </c>
      <c r="C879" s="68">
        <v>2023</v>
      </c>
      <c r="D879" s="68" t="s">
        <v>330</v>
      </c>
      <c r="E879" s="68" t="s">
        <v>301</v>
      </c>
      <c r="F879" s="68" t="s">
        <v>40</v>
      </c>
      <c r="G879" s="68"/>
      <c r="H879" s="68"/>
      <c r="I879" s="69">
        <v>14946.07776</v>
      </c>
    </row>
    <row r="880" spans="1:9" hidden="1">
      <c r="A880" s="64" t="s">
        <v>295</v>
      </c>
      <c r="B880" s="65">
        <v>2025</v>
      </c>
      <c r="C880" s="65">
        <v>2023</v>
      </c>
      <c r="D880" s="65" t="s">
        <v>330</v>
      </c>
      <c r="E880" s="65" t="s">
        <v>305</v>
      </c>
      <c r="F880" s="65" t="s">
        <v>40</v>
      </c>
      <c r="G880" s="65"/>
      <c r="H880" s="65"/>
      <c r="I880" s="66">
        <v>770.38648000000001</v>
      </c>
    </row>
    <row r="881" spans="1:9" hidden="1">
      <c r="A881" s="67" t="s">
        <v>295</v>
      </c>
      <c r="B881" s="68">
        <v>2025</v>
      </c>
      <c r="C881" s="68">
        <v>2023</v>
      </c>
      <c r="D881" s="68" t="s">
        <v>331</v>
      </c>
      <c r="E881" s="68" t="s">
        <v>294</v>
      </c>
      <c r="F881" s="68" t="s">
        <v>40</v>
      </c>
      <c r="G881" s="68"/>
      <c r="H881" s="68"/>
      <c r="I881" s="69">
        <v>36528.23717</v>
      </c>
    </row>
    <row r="882" spans="1:9" hidden="1">
      <c r="A882" s="64" t="s">
        <v>295</v>
      </c>
      <c r="B882" s="65">
        <v>2025</v>
      </c>
      <c r="C882" s="65">
        <v>2023</v>
      </c>
      <c r="D882" s="65" t="s">
        <v>331</v>
      </c>
      <c r="E882" s="65" t="s">
        <v>301</v>
      </c>
      <c r="F882" s="65" t="s">
        <v>40</v>
      </c>
      <c r="G882" s="65"/>
      <c r="H882" s="65"/>
      <c r="I882" s="66">
        <v>37179.462440000003</v>
      </c>
    </row>
    <row r="883" spans="1:9" hidden="1">
      <c r="A883" s="67" t="s">
        <v>295</v>
      </c>
      <c r="B883" s="68">
        <v>2025</v>
      </c>
      <c r="C883" s="68">
        <v>2023</v>
      </c>
      <c r="D883" s="68" t="s">
        <v>331</v>
      </c>
      <c r="E883" s="68" t="s">
        <v>305</v>
      </c>
      <c r="F883" s="68" t="s">
        <v>40</v>
      </c>
      <c r="G883" s="68"/>
      <c r="H883" s="68"/>
      <c r="I883" s="69">
        <v>2726.5002399999998</v>
      </c>
    </row>
    <row r="884" spans="1:9" hidden="1">
      <c r="A884" s="64" t="s">
        <v>295</v>
      </c>
      <c r="B884" s="65">
        <v>2025</v>
      </c>
      <c r="C884" s="65">
        <v>2023</v>
      </c>
      <c r="D884" s="65" t="s">
        <v>332</v>
      </c>
      <c r="E884" s="65" t="s">
        <v>294</v>
      </c>
      <c r="F884" s="65" t="s">
        <v>40</v>
      </c>
      <c r="G884" s="65"/>
      <c r="H884" s="65"/>
      <c r="I884" s="66">
        <v>678.24563000000001</v>
      </c>
    </row>
    <row r="885" spans="1:9" hidden="1">
      <c r="A885" s="67" t="s">
        <v>295</v>
      </c>
      <c r="B885" s="68">
        <v>2025</v>
      </c>
      <c r="C885" s="68">
        <v>2023</v>
      </c>
      <c r="D885" s="68" t="s">
        <v>332</v>
      </c>
      <c r="E885" s="68" t="s">
        <v>301</v>
      </c>
      <c r="F885" s="68" t="s">
        <v>40</v>
      </c>
      <c r="G885" s="68"/>
      <c r="H885" s="68"/>
      <c r="I885" s="69">
        <v>611.34207000000004</v>
      </c>
    </row>
    <row r="886" spans="1:9" hidden="1">
      <c r="A886" s="64" t="s">
        <v>295</v>
      </c>
      <c r="B886" s="65">
        <v>2025</v>
      </c>
      <c r="C886" s="65">
        <v>2023</v>
      </c>
      <c r="D886" s="65" t="s">
        <v>332</v>
      </c>
      <c r="E886" s="65" t="s">
        <v>305</v>
      </c>
      <c r="F886" s="65" t="s">
        <v>40</v>
      </c>
      <c r="G886" s="65"/>
      <c r="H886" s="65"/>
      <c r="I886" s="66">
        <v>250.0685</v>
      </c>
    </row>
    <row r="887" spans="1:9" hidden="1">
      <c r="A887" s="67" t="s">
        <v>295</v>
      </c>
      <c r="B887" s="68">
        <v>2025</v>
      </c>
      <c r="C887" s="68">
        <v>2023</v>
      </c>
      <c r="D887" s="68" t="s">
        <v>333</v>
      </c>
      <c r="E887" s="68" t="s">
        <v>294</v>
      </c>
      <c r="F887" s="68" t="s">
        <v>40</v>
      </c>
      <c r="G887" s="68"/>
      <c r="H887" s="68"/>
      <c r="I887" s="69">
        <v>-29426.989600000001</v>
      </c>
    </row>
    <row r="888" spans="1:9" hidden="1">
      <c r="A888" s="64" t="s">
        <v>295</v>
      </c>
      <c r="B888" s="65">
        <v>2025</v>
      </c>
      <c r="C888" s="65">
        <v>2023</v>
      </c>
      <c r="D888" s="65" t="s">
        <v>333</v>
      </c>
      <c r="E888" s="65" t="s">
        <v>301</v>
      </c>
      <c r="F888" s="65" t="s">
        <v>40</v>
      </c>
      <c r="G888" s="65"/>
      <c r="H888" s="65"/>
      <c r="I888" s="66">
        <v>-29450.687040000001</v>
      </c>
    </row>
    <row r="889" spans="1:9" hidden="1">
      <c r="A889" s="67" t="s">
        <v>295</v>
      </c>
      <c r="B889" s="68">
        <v>2025</v>
      </c>
      <c r="C889" s="68">
        <v>2023</v>
      </c>
      <c r="D889" s="68" t="s">
        <v>333</v>
      </c>
      <c r="E889" s="68" t="s">
        <v>305</v>
      </c>
      <c r="F889" s="68" t="s">
        <v>40</v>
      </c>
      <c r="G889" s="68"/>
      <c r="H889" s="68"/>
      <c r="I889" s="69">
        <v>-2507.6</v>
      </c>
    </row>
    <row r="890" spans="1:9" hidden="1">
      <c r="A890" s="64" t="s">
        <v>295</v>
      </c>
      <c r="B890" s="65">
        <v>2025</v>
      </c>
      <c r="C890" s="65">
        <v>2023</v>
      </c>
      <c r="D890" s="65" t="s">
        <v>334</v>
      </c>
      <c r="E890" s="65" t="s">
        <v>294</v>
      </c>
      <c r="F890" s="65" t="s">
        <v>40</v>
      </c>
      <c r="G890" s="65"/>
      <c r="H890" s="65"/>
      <c r="I890" s="66">
        <v>263.88367</v>
      </c>
    </row>
    <row r="891" spans="1:9" hidden="1">
      <c r="A891" s="67" t="s">
        <v>295</v>
      </c>
      <c r="B891" s="68">
        <v>2025</v>
      </c>
      <c r="C891" s="68">
        <v>2023</v>
      </c>
      <c r="D891" s="68" t="s">
        <v>334</v>
      </c>
      <c r="E891" s="68" t="s">
        <v>301</v>
      </c>
      <c r="F891" s="68" t="s">
        <v>40</v>
      </c>
      <c r="G891" s="68"/>
      <c r="H891" s="68"/>
      <c r="I891" s="69">
        <v>263.88367</v>
      </c>
    </row>
    <row r="892" spans="1:9" hidden="1">
      <c r="A892" s="64" t="s">
        <v>295</v>
      </c>
      <c r="B892" s="65">
        <v>2025</v>
      </c>
      <c r="C892" s="65">
        <v>2023</v>
      </c>
      <c r="D892" s="65" t="s">
        <v>308</v>
      </c>
      <c r="E892" s="65" t="s">
        <v>294</v>
      </c>
      <c r="F892" s="65" t="s">
        <v>297</v>
      </c>
      <c r="G892" s="65"/>
      <c r="H892" s="65"/>
      <c r="I892" s="66">
        <v>105404.7936</v>
      </c>
    </row>
    <row r="893" spans="1:9" hidden="1">
      <c r="A893" s="67" t="s">
        <v>295</v>
      </c>
      <c r="B893" s="68">
        <v>2025</v>
      </c>
      <c r="C893" s="68">
        <v>2023</v>
      </c>
      <c r="D893" s="68" t="s">
        <v>308</v>
      </c>
      <c r="E893" s="68" t="s">
        <v>294</v>
      </c>
      <c r="F893" s="68" t="s">
        <v>298</v>
      </c>
      <c r="G893" s="68"/>
      <c r="H893" s="68"/>
      <c r="I893" s="69">
        <v>261.24754000000001</v>
      </c>
    </row>
    <row r="894" spans="1:9" hidden="1">
      <c r="A894" s="64" t="s">
        <v>295</v>
      </c>
      <c r="B894" s="65">
        <v>2025</v>
      </c>
      <c r="C894" s="65">
        <v>2023</v>
      </c>
      <c r="D894" s="65" t="s">
        <v>308</v>
      </c>
      <c r="E894" s="65" t="s">
        <v>294</v>
      </c>
      <c r="F894" s="65" t="s">
        <v>40</v>
      </c>
      <c r="G894" s="65"/>
      <c r="H894" s="65"/>
      <c r="I894" s="66">
        <v>105666.04114</v>
      </c>
    </row>
    <row r="895" spans="1:9" hidden="1">
      <c r="A895" s="67" t="s">
        <v>295</v>
      </c>
      <c r="B895" s="68">
        <v>2025</v>
      </c>
      <c r="C895" s="68">
        <v>2023</v>
      </c>
      <c r="D895" s="68" t="s">
        <v>308</v>
      </c>
      <c r="E895" s="68" t="s">
        <v>301</v>
      </c>
      <c r="F895" s="68" t="s">
        <v>297</v>
      </c>
      <c r="G895" s="68"/>
      <c r="H895" s="68"/>
      <c r="I895" s="69">
        <v>106148.44615</v>
      </c>
    </row>
    <row r="896" spans="1:9" hidden="1">
      <c r="A896" s="64" t="s">
        <v>295</v>
      </c>
      <c r="B896" s="65">
        <v>2025</v>
      </c>
      <c r="C896" s="65">
        <v>2023</v>
      </c>
      <c r="D896" s="65" t="s">
        <v>308</v>
      </c>
      <c r="E896" s="65" t="s">
        <v>301</v>
      </c>
      <c r="F896" s="65" t="s">
        <v>298</v>
      </c>
      <c r="G896" s="65"/>
      <c r="H896" s="65"/>
      <c r="I896" s="66">
        <v>261.24754000000001</v>
      </c>
    </row>
    <row r="897" spans="1:9" hidden="1">
      <c r="A897" s="67" t="s">
        <v>295</v>
      </c>
      <c r="B897" s="68">
        <v>2025</v>
      </c>
      <c r="C897" s="68">
        <v>2023</v>
      </c>
      <c r="D897" s="68" t="s">
        <v>308</v>
      </c>
      <c r="E897" s="68" t="s">
        <v>301</v>
      </c>
      <c r="F897" s="68" t="s">
        <v>40</v>
      </c>
      <c r="G897" s="68"/>
      <c r="H897" s="68"/>
      <c r="I897" s="69">
        <v>106409.69369</v>
      </c>
    </row>
    <row r="898" spans="1:9" hidden="1">
      <c r="A898" s="64" t="s">
        <v>295</v>
      </c>
      <c r="B898" s="65">
        <v>2025</v>
      </c>
      <c r="C898" s="65">
        <v>2023</v>
      </c>
      <c r="D898" s="65" t="s">
        <v>308</v>
      </c>
      <c r="E898" s="65" t="s">
        <v>305</v>
      </c>
      <c r="F898" s="65" t="s">
        <v>297</v>
      </c>
      <c r="G898" s="65"/>
      <c r="H898" s="65"/>
      <c r="I898" s="66">
        <v>1539.01935</v>
      </c>
    </row>
    <row r="899" spans="1:9" hidden="1">
      <c r="A899" s="67" t="s">
        <v>295</v>
      </c>
      <c r="B899" s="68">
        <v>2025</v>
      </c>
      <c r="C899" s="68">
        <v>2023</v>
      </c>
      <c r="D899" s="68" t="s">
        <v>308</v>
      </c>
      <c r="E899" s="68" t="s">
        <v>305</v>
      </c>
      <c r="F899" s="68" t="s">
        <v>40</v>
      </c>
      <c r="G899" s="68"/>
      <c r="H899" s="68"/>
      <c r="I899" s="69">
        <v>10656.01935</v>
      </c>
    </row>
    <row r="900" spans="1:9" hidden="1">
      <c r="A900" s="64" t="s">
        <v>295</v>
      </c>
      <c r="B900" s="65">
        <v>2025</v>
      </c>
      <c r="C900" s="65">
        <v>2023</v>
      </c>
      <c r="D900" s="65" t="s">
        <v>310</v>
      </c>
      <c r="E900" s="65" t="s">
        <v>294</v>
      </c>
      <c r="F900" s="65" t="s">
        <v>297</v>
      </c>
      <c r="G900" s="65"/>
      <c r="H900" s="65"/>
      <c r="I900" s="66">
        <v>118.2</v>
      </c>
    </row>
    <row r="901" spans="1:9" hidden="1">
      <c r="A901" s="67" t="s">
        <v>295</v>
      </c>
      <c r="B901" s="68">
        <v>2025</v>
      </c>
      <c r="C901" s="68">
        <v>2023</v>
      </c>
      <c r="D901" s="68" t="s">
        <v>310</v>
      </c>
      <c r="E901" s="68" t="s">
        <v>294</v>
      </c>
      <c r="F901" s="68" t="s">
        <v>40</v>
      </c>
      <c r="G901" s="68"/>
      <c r="H901" s="68"/>
      <c r="I901" s="69">
        <v>111692.2223994544</v>
      </c>
    </row>
    <row r="902" spans="1:9" hidden="1">
      <c r="A902" s="64" t="s">
        <v>295</v>
      </c>
      <c r="B902" s="65">
        <v>2025</v>
      </c>
      <c r="C902" s="65">
        <v>2023</v>
      </c>
      <c r="D902" s="65" t="s">
        <v>310</v>
      </c>
      <c r="E902" s="65" t="s">
        <v>301</v>
      </c>
      <c r="F902" s="65" t="s">
        <v>297</v>
      </c>
      <c r="G902" s="65"/>
      <c r="H902" s="65"/>
      <c r="I902" s="66">
        <v>118.2</v>
      </c>
    </row>
    <row r="903" spans="1:9" hidden="1">
      <c r="A903" s="67" t="s">
        <v>295</v>
      </c>
      <c r="B903" s="68">
        <v>2025</v>
      </c>
      <c r="C903" s="68">
        <v>2023</v>
      </c>
      <c r="D903" s="68" t="s">
        <v>310</v>
      </c>
      <c r="E903" s="68" t="s">
        <v>301</v>
      </c>
      <c r="F903" s="68" t="s">
        <v>40</v>
      </c>
      <c r="G903" s="68"/>
      <c r="H903" s="68"/>
      <c r="I903" s="69">
        <v>116737.6497994544</v>
      </c>
    </row>
    <row r="904" spans="1:9" hidden="1">
      <c r="A904" s="64" t="s">
        <v>295</v>
      </c>
      <c r="B904" s="65">
        <v>2025</v>
      </c>
      <c r="C904" s="65">
        <v>2023</v>
      </c>
      <c r="D904" s="65" t="s">
        <v>310</v>
      </c>
      <c r="E904" s="65" t="s">
        <v>305</v>
      </c>
      <c r="F904" s="65" t="s">
        <v>40</v>
      </c>
      <c r="G904" s="65"/>
      <c r="H904" s="65"/>
      <c r="I904" s="66">
        <v>968.05308000000002</v>
      </c>
    </row>
    <row r="905" spans="1:9" hidden="1">
      <c r="A905" s="67" t="s">
        <v>295</v>
      </c>
      <c r="B905" s="68">
        <v>2025</v>
      </c>
      <c r="C905" s="68">
        <v>2023</v>
      </c>
      <c r="D905" s="68" t="s">
        <v>311</v>
      </c>
      <c r="E905" s="68" t="s">
        <v>294</v>
      </c>
      <c r="F905" s="68" t="s">
        <v>297</v>
      </c>
      <c r="G905" s="68"/>
      <c r="H905" s="68"/>
      <c r="I905" s="69">
        <v>551.1</v>
      </c>
    </row>
    <row r="906" spans="1:9" hidden="1">
      <c r="A906" s="64" t="s">
        <v>295</v>
      </c>
      <c r="B906" s="65">
        <v>2025</v>
      </c>
      <c r="C906" s="65">
        <v>2023</v>
      </c>
      <c r="D906" s="65" t="s">
        <v>311</v>
      </c>
      <c r="E906" s="65" t="s">
        <v>294</v>
      </c>
      <c r="F906" s="65" t="s">
        <v>40</v>
      </c>
      <c r="G906" s="65"/>
      <c r="H906" s="65"/>
      <c r="I906" s="66">
        <v>139092.37179643661</v>
      </c>
    </row>
    <row r="907" spans="1:9" hidden="1">
      <c r="A907" s="67" t="s">
        <v>295</v>
      </c>
      <c r="B907" s="68">
        <v>2025</v>
      </c>
      <c r="C907" s="68">
        <v>2023</v>
      </c>
      <c r="D907" s="68" t="s">
        <v>311</v>
      </c>
      <c r="E907" s="68" t="s">
        <v>301</v>
      </c>
      <c r="F907" s="68" t="s">
        <v>297</v>
      </c>
      <c r="G907" s="68"/>
      <c r="H907" s="68"/>
      <c r="I907" s="69">
        <v>551.1</v>
      </c>
    </row>
    <row r="908" spans="1:9" hidden="1">
      <c r="A908" s="64" t="s">
        <v>295</v>
      </c>
      <c r="B908" s="65">
        <v>2025</v>
      </c>
      <c r="C908" s="65">
        <v>2023</v>
      </c>
      <c r="D908" s="65" t="s">
        <v>311</v>
      </c>
      <c r="E908" s="65" t="s">
        <v>301</v>
      </c>
      <c r="F908" s="65" t="s">
        <v>40</v>
      </c>
      <c r="G908" s="65"/>
      <c r="H908" s="65"/>
      <c r="I908" s="66">
        <v>139511.3636464366</v>
      </c>
    </row>
    <row r="909" spans="1:9" hidden="1">
      <c r="A909" s="67" t="s">
        <v>295</v>
      </c>
      <c r="B909" s="68">
        <v>2025</v>
      </c>
      <c r="C909" s="68">
        <v>2023</v>
      </c>
      <c r="D909" s="68" t="s">
        <v>311</v>
      </c>
      <c r="E909" s="68" t="s">
        <v>305</v>
      </c>
      <c r="F909" s="68" t="s">
        <v>40</v>
      </c>
      <c r="G909" s="68"/>
      <c r="H909" s="68"/>
      <c r="I909" s="69">
        <v>656.4</v>
      </c>
    </row>
    <row r="910" spans="1:9" hidden="1">
      <c r="A910" s="64" t="s">
        <v>295</v>
      </c>
      <c r="B910" s="65">
        <v>2025</v>
      </c>
      <c r="C910" s="65">
        <v>2023</v>
      </c>
      <c r="D910" s="65" t="s">
        <v>312</v>
      </c>
      <c r="E910" s="65" t="s">
        <v>294</v>
      </c>
      <c r="F910" s="65" t="s">
        <v>297</v>
      </c>
      <c r="G910" s="65"/>
      <c r="H910" s="65"/>
      <c r="I910" s="66">
        <v>746.38060000000007</v>
      </c>
    </row>
    <row r="911" spans="1:9" hidden="1">
      <c r="A911" s="67" t="s">
        <v>295</v>
      </c>
      <c r="B911" s="68">
        <v>2025</v>
      </c>
      <c r="C911" s="68">
        <v>2023</v>
      </c>
      <c r="D911" s="68" t="s">
        <v>312</v>
      </c>
      <c r="E911" s="68" t="s">
        <v>294</v>
      </c>
      <c r="F911" s="68" t="s">
        <v>40</v>
      </c>
      <c r="G911" s="68"/>
      <c r="H911" s="68"/>
      <c r="I911" s="69">
        <v>890.28060000000005</v>
      </c>
    </row>
    <row r="912" spans="1:9" hidden="1">
      <c r="A912" s="64" t="s">
        <v>295</v>
      </c>
      <c r="B912" s="65">
        <v>2025</v>
      </c>
      <c r="C912" s="65">
        <v>2023</v>
      </c>
      <c r="D912" s="65" t="s">
        <v>312</v>
      </c>
      <c r="E912" s="65" t="s">
        <v>301</v>
      </c>
      <c r="F912" s="65" t="s">
        <v>297</v>
      </c>
      <c r="G912" s="65"/>
      <c r="H912" s="65"/>
      <c r="I912" s="66">
        <v>746.98064999999997</v>
      </c>
    </row>
    <row r="913" spans="1:9" hidden="1">
      <c r="A913" s="67" t="s">
        <v>295</v>
      </c>
      <c r="B913" s="68">
        <v>2025</v>
      </c>
      <c r="C913" s="68">
        <v>2023</v>
      </c>
      <c r="D913" s="68" t="s">
        <v>312</v>
      </c>
      <c r="E913" s="68" t="s">
        <v>301</v>
      </c>
      <c r="F913" s="68" t="s">
        <v>40</v>
      </c>
      <c r="G913" s="68"/>
      <c r="H913" s="68"/>
      <c r="I913" s="69">
        <v>890.88065000000006</v>
      </c>
    </row>
    <row r="914" spans="1:9" hidden="1">
      <c r="A914" s="64" t="s">
        <v>295</v>
      </c>
      <c r="B914" s="65">
        <v>2025</v>
      </c>
      <c r="C914" s="65">
        <v>2023</v>
      </c>
      <c r="D914" s="65" t="s">
        <v>313</v>
      </c>
      <c r="E914" s="65" t="s">
        <v>294</v>
      </c>
      <c r="F914" s="65" t="s">
        <v>297</v>
      </c>
      <c r="G914" s="65"/>
      <c r="H914" s="65"/>
      <c r="I914" s="66">
        <v>1969178.9040999999</v>
      </c>
    </row>
    <row r="915" spans="1:9" hidden="1">
      <c r="A915" s="67" t="s">
        <v>295</v>
      </c>
      <c r="B915" s="68">
        <v>2025</v>
      </c>
      <c r="C915" s="68">
        <v>2023</v>
      </c>
      <c r="D915" s="68" t="s">
        <v>313</v>
      </c>
      <c r="E915" s="68" t="s">
        <v>294</v>
      </c>
      <c r="F915" s="68" t="s">
        <v>298</v>
      </c>
      <c r="G915" s="68"/>
      <c r="H915" s="68"/>
      <c r="I915" s="69">
        <v>1144687.8023000001</v>
      </c>
    </row>
    <row r="916" spans="1:9" hidden="1">
      <c r="A916" s="64" t="s">
        <v>295</v>
      </c>
      <c r="B916" s="65">
        <v>2025</v>
      </c>
      <c r="C916" s="65">
        <v>2023</v>
      </c>
      <c r="D916" s="65" t="s">
        <v>313</v>
      </c>
      <c r="E916" s="65" t="s">
        <v>294</v>
      </c>
      <c r="F916" s="65" t="s">
        <v>40</v>
      </c>
      <c r="G916" s="65"/>
      <c r="H916" s="65"/>
      <c r="I916" s="66">
        <v>3130262.79911</v>
      </c>
    </row>
    <row r="917" spans="1:9" hidden="1">
      <c r="A917" s="67" t="s">
        <v>295</v>
      </c>
      <c r="B917" s="68">
        <v>2025</v>
      </c>
      <c r="C917" s="68">
        <v>2023</v>
      </c>
      <c r="D917" s="68" t="s">
        <v>313</v>
      </c>
      <c r="E917" s="68" t="s">
        <v>301</v>
      </c>
      <c r="F917" s="68" t="s">
        <v>297</v>
      </c>
      <c r="G917" s="68"/>
      <c r="H917" s="68"/>
      <c r="I917" s="69">
        <v>2025877.15512</v>
      </c>
    </row>
    <row r="918" spans="1:9" hidden="1">
      <c r="A918" s="64" t="s">
        <v>295</v>
      </c>
      <c r="B918" s="65">
        <v>2025</v>
      </c>
      <c r="C918" s="65">
        <v>2023</v>
      </c>
      <c r="D918" s="65" t="s">
        <v>313</v>
      </c>
      <c r="E918" s="65" t="s">
        <v>301</v>
      </c>
      <c r="F918" s="65" t="s">
        <v>298</v>
      </c>
      <c r="G918" s="65"/>
      <c r="H918" s="65"/>
      <c r="I918" s="66">
        <v>1202854.1742400001</v>
      </c>
    </row>
    <row r="919" spans="1:9" hidden="1">
      <c r="A919" s="67" t="s">
        <v>295</v>
      </c>
      <c r="B919" s="68">
        <v>2025</v>
      </c>
      <c r="C919" s="68">
        <v>2023</v>
      </c>
      <c r="D919" s="68" t="s">
        <v>313</v>
      </c>
      <c r="E919" s="68" t="s">
        <v>301</v>
      </c>
      <c r="F919" s="68" t="s">
        <v>40</v>
      </c>
      <c r="G919" s="68"/>
      <c r="H919" s="68"/>
      <c r="I919" s="69">
        <v>3246185.7111300002</v>
      </c>
    </row>
    <row r="920" spans="1:9" hidden="1">
      <c r="A920" s="64" t="s">
        <v>295</v>
      </c>
      <c r="B920" s="65">
        <v>2025</v>
      </c>
      <c r="C920" s="65">
        <v>2023</v>
      </c>
      <c r="D920" s="65" t="s">
        <v>313</v>
      </c>
      <c r="E920" s="65" t="s">
        <v>305</v>
      </c>
      <c r="F920" s="65" t="s">
        <v>297</v>
      </c>
      <c r="G920" s="65"/>
      <c r="H920" s="65"/>
      <c r="I920" s="66">
        <v>15093.67157</v>
      </c>
    </row>
    <row r="921" spans="1:9" hidden="1">
      <c r="A921" s="67" t="s">
        <v>295</v>
      </c>
      <c r="B921" s="68">
        <v>2025</v>
      </c>
      <c r="C921" s="68">
        <v>2023</v>
      </c>
      <c r="D921" s="68" t="s">
        <v>313</v>
      </c>
      <c r="E921" s="68" t="s">
        <v>305</v>
      </c>
      <c r="F921" s="68" t="s">
        <v>298</v>
      </c>
      <c r="G921" s="68"/>
      <c r="H921" s="68"/>
      <c r="I921" s="69">
        <v>9154.4890999999989</v>
      </c>
    </row>
    <row r="922" spans="1:9" hidden="1">
      <c r="A922" s="64" t="s">
        <v>295</v>
      </c>
      <c r="B922" s="65">
        <v>2025</v>
      </c>
      <c r="C922" s="65">
        <v>2023</v>
      </c>
      <c r="D922" s="65" t="s">
        <v>313</v>
      </c>
      <c r="E922" s="65" t="s">
        <v>305</v>
      </c>
      <c r="F922" s="65" t="s">
        <v>40</v>
      </c>
      <c r="G922" s="65"/>
      <c r="H922" s="65"/>
      <c r="I922" s="66">
        <v>188709.76845999999</v>
      </c>
    </row>
    <row r="923" spans="1:9" hidden="1">
      <c r="A923" s="67" t="s">
        <v>295</v>
      </c>
      <c r="B923" s="68">
        <v>2025</v>
      </c>
      <c r="C923" s="68">
        <v>2023</v>
      </c>
      <c r="D923" s="68" t="s">
        <v>314</v>
      </c>
      <c r="E923" s="68" t="s">
        <v>294</v>
      </c>
      <c r="F923" s="68" t="s">
        <v>297</v>
      </c>
      <c r="G923" s="68"/>
      <c r="H923" s="68"/>
      <c r="I923" s="69">
        <v>1969178.9040999999</v>
      </c>
    </row>
    <row r="924" spans="1:9" hidden="1">
      <c r="A924" s="64" t="s">
        <v>295</v>
      </c>
      <c r="B924" s="65">
        <v>2025</v>
      </c>
      <c r="C924" s="65">
        <v>2023</v>
      </c>
      <c r="D924" s="65" t="s">
        <v>314</v>
      </c>
      <c r="E924" s="65" t="s">
        <v>294</v>
      </c>
      <c r="F924" s="65" t="s">
        <v>298</v>
      </c>
      <c r="G924" s="65"/>
      <c r="H924" s="65"/>
      <c r="I924" s="66">
        <v>1144687.7023</v>
      </c>
    </row>
    <row r="925" spans="1:9" hidden="1">
      <c r="A925" s="67" t="s">
        <v>295</v>
      </c>
      <c r="B925" s="68">
        <v>2025</v>
      </c>
      <c r="C925" s="68">
        <v>2023</v>
      </c>
      <c r="D925" s="68" t="s">
        <v>314</v>
      </c>
      <c r="E925" s="68" t="s">
        <v>294</v>
      </c>
      <c r="F925" s="68" t="s">
        <v>40</v>
      </c>
      <c r="G925" s="68"/>
      <c r="H925" s="68"/>
      <c r="I925" s="69">
        <v>2875163.1749700001</v>
      </c>
    </row>
    <row r="926" spans="1:9" hidden="1">
      <c r="A926" s="64" t="s">
        <v>295</v>
      </c>
      <c r="B926" s="65">
        <v>2025</v>
      </c>
      <c r="C926" s="65">
        <v>2023</v>
      </c>
      <c r="D926" s="65" t="s">
        <v>314</v>
      </c>
      <c r="E926" s="65" t="s">
        <v>301</v>
      </c>
      <c r="F926" s="65" t="s">
        <v>297</v>
      </c>
      <c r="G926" s="65"/>
      <c r="H926" s="65"/>
      <c r="I926" s="66">
        <v>2025877.15512</v>
      </c>
    </row>
    <row r="927" spans="1:9" hidden="1">
      <c r="A927" s="67" t="s">
        <v>295</v>
      </c>
      <c r="B927" s="68">
        <v>2025</v>
      </c>
      <c r="C927" s="68">
        <v>2023</v>
      </c>
      <c r="D927" s="68" t="s">
        <v>314</v>
      </c>
      <c r="E927" s="68" t="s">
        <v>301</v>
      </c>
      <c r="F927" s="68" t="s">
        <v>298</v>
      </c>
      <c r="G927" s="68"/>
      <c r="H927" s="68"/>
      <c r="I927" s="69">
        <v>1202854.07424</v>
      </c>
    </row>
    <row r="928" spans="1:9" hidden="1">
      <c r="A928" s="64" t="s">
        <v>295</v>
      </c>
      <c r="B928" s="65">
        <v>2025</v>
      </c>
      <c r="C928" s="65">
        <v>2023</v>
      </c>
      <c r="D928" s="65" t="s">
        <v>314</v>
      </c>
      <c r="E928" s="65" t="s">
        <v>301</v>
      </c>
      <c r="F928" s="65" t="s">
        <v>40</v>
      </c>
      <c r="G928" s="65"/>
      <c r="H928" s="65"/>
      <c r="I928" s="66">
        <v>3005515.5780699998</v>
      </c>
    </row>
    <row r="929" spans="1:9" hidden="1">
      <c r="A929" s="67" t="s">
        <v>295</v>
      </c>
      <c r="B929" s="68">
        <v>2025</v>
      </c>
      <c r="C929" s="68">
        <v>2023</v>
      </c>
      <c r="D929" s="68" t="s">
        <v>314</v>
      </c>
      <c r="E929" s="68" t="s">
        <v>305</v>
      </c>
      <c r="F929" s="68" t="s">
        <v>297</v>
      </c>
      <c r="G929" s="68"/>
      <c r="H929" s="68"/>
      <c r="I929" s="69">
        <v>15093.67157</v>
      </c>
    </row>
    <row r="930" spans="1:9" hidden="1">
      <c r="A930" s="64" t="s">
        <v>295</v>
      </c>
      <c r="B930" s="65">
        <v>2025</v>
      </c>
      <c r="C930" s="65">
        <v>2023</v>
      </c>
      <c r="D930" s="65" t="s">
        <v>314</v>
      </c>
      <c r="E930" s="65" t="s">
        <v>305</v>
      </c>
      <c r="F930" s="65" t="s">
        <v>298</v>
      </c>
      <c r="G930" s="65"/>
      <c r="H930" s="65"/>
      <c r="I930" s="66">
        <v>9154.4890999999989</v>
      </c>
    </row>
    <row r="931" spans="1:9" hidden="1">
      <c r="A931" s="67" t="s">
        <v>295</v>
      </c>
      <c r="B931" s="68">
        <v>2025</v>
      </c>
      <c r="C931" s="68">
        <v>2023</v>
      </c>
      <c r="D931" s="68" t="s">
        <v>314</v>
      </c>
      <c r="E931" s="68" t="s">
        <v>305</v>
      </c>
      <c r="F931" s="68" t="s">
        <v>40</v>
      </c>
      <c r="G931" s="68"/>
      <c r="H931" s="68"/>
      <c r="I931" s="69">
        <v>167108.71448</v>
      </c>
    </row>
    <row r="932" spans="1:9" hidden="1">
      <c r="A932" s="64" t="s">
        <v>295</v>
      </c>
      <c r="B932" s="65">
        <v>2026</v>
      </c>
      <c r="C932" s="65">
        <v>2023</v>
      </c>
      <c r="D932" s="65" t="s">
        <v>296</v>
      </c>
      <c r="E932" s="65" t="s">
        <v>294</v>
      </c>
      <c r="F932" s="65" t="s">
        <v>297</v>
      </c>
      <c r="G932" s="65"/>
      <c r="H932" s="65"/>
      <c r="I932" s="66">
        <v>1375248.45181</v>
      </c>
    </row>
    <row r="933" spans="1:9" hidden="1">
      <c r="A933" s="67" t="s">
        <v>295</v>
      </c>
      <c r="B933" s="68">
        <v>2026</v>
      </c>
      <c r="C933" s="68">
        <v>2023</v>
      </c>
      <c r="D933" s="68" t="s">
        <v>296</v>
      </c>
      <c r="E933" s="68" t="s">
        <v>294</v>
      </c>
      <c r="F933" s="68" t="s">
        <v>298</v>
      </c>
      <c r="G933" s="68"/>
      <c r="H933" s="68"/>
      <c r="I933" s="69">
        <v>849521.53425999999</v>
      </c>
    </row>
    <row r="934" spans="1:9" hidden="1">
      <c r="A934" s="64" t="s">
        <v>295</v>
      </c>
      <c r="B934" s="65">
        <v>2026</v>
      </c>
      <c r="C934" s="65">
        <v>2023</v>
      </c>
      <c r="D934" s="65" t="s">
        <v>296</v>
      </c>
      <c r="E934" s="65" t="s">
        <v>294</v>
      </c>
      <c r="F934" s="65" t="s">
        <v>40</v>
      </c>
      <c r="G934" s="65"/>
      <c r="H934" s="65"/>
      <c r="I934" s="66">
        <v>2241519.6005699998</v>
      </c>
    </row>
    <row r="935" spans="1:9" hidden="1">
      <c r="A935" s="67" t="s">
        <v>295</v>
      </c>
      <c r="B935" s="68">
        <v>2026</v>
      </c>
      <c r="C935" s="68">
        <v>2023</v>
      </c>
      <c r="D935" s="68" t="s">
        <v>296</v>
      </c>
      <c r="E935" s="68" t="s">
        <v>301</v>
      </c>
      <c r="F935" s="68" t="s">
        <v>297</v>
      </c>
      <c r="G935" s="68"/>
      <c r="H935" s="68"/>
      <c r="I935" s="69">
        <v>1435692.24709</v>
      </c>
    </row>
    <row r="936" spans="1:9" hidden="1">
      <c r="A936" s="64" t="s">
        <v>295</v>
      </c>
      <c r="B936" s="65">
        <v>2026</v>
      </c>
      <c r="C936" s="65">
        <v>2023</v>
      </c>
      <c r="D936" s="65" t="s">
        <v>296</v>
      </c>
      <c r="E936" s="65" t="s">
        <v>301</v>
      </c>
      <c r="F936" s="65" t="s">
        <v>298</v>
      </c>
      <c r="G936" s="65"/>
      <c r="H936" s="65"/>
      <c r="I936" s="66">
        <v>909491.43024000002</v>
      </c>
    </row>
    <row r="937" spans="1:9" hidden="1">
      <c r="A937" s="67" t="s">
        <v>295</v>
      </c>
      <c r="B937" s="68">
        <v>2026</v>
      </c>
      <c r="C937" s="68">
        <v>2023</v>
      </c>
      <c r="D937" s="68" t="s">
        <v>296</v>
      </c>
      <c r="E937" s="68" t="s">
        <v>301</v>
      </c>
      <c r="F937" s="68" t="s">
        <v>40</v>
      </c>
      <c r="G937" s="68"/>
      <c r="H937" s="68"/>
      <c r="I937" s="69">
        <v>2363050.0793599999</v>
      </c>
    </row>
    <row r="938" spans="1:9" hidden="1">
      <c r="A938" s="64" t="s">
        <v>295</v>
      </c>
      <c r="B938" s="65">
        <v>2026</v>
      </c>
      <c r="C938" s="65">
        <v>2023</v>
      </c>
      <c r="D938" s="65" t="s">
        <v>296</v>
      </c>
      <c r="E938" s="65" t="s">
        <v>305</v>
      </c>
      <c r="F938" s="65" t="s">
        <v>297</v>
      </c>
      <c r="G938" s="65"/>
      <c r="H938" s="65"/>
      <c r="I938" s="66">
        <v>10633.109710000001</v>
      </c>
    </row>
    <row r="939" spans="1:9" hidden="1">
      <c r="A939" s="67" t="s">
        <v>295</v>
      </c>
      <c r="B939" s="68">
        <v>2026</v>
      </c>
      <c r="C939" s="68">
        <v>2023</v>
      </c>
      <c r="D939" s="68" t="s">
        <v>296</v>
      </c>
      <c r="E939" s="68" t="s">
        <v>305</v>
      </c>
      <c r="F939" s="68" t="s">
        <v>298</v>
      </c>
      <c r="G939" s="68"/>
      <c r="H939" s="68"/>
      <c r="I939" s="69">
        <v>8451.4343700000009</v>
      </c>
    </row>
    <row r="940" spans="1:9" hidden="1">
      <c r="A940" s="64" t="s">
        <v>295</v>
      </c>
      <c r="B940" s="65">
        <v>2026</v>
      </c>
      <c r="C940" s="65">
        <v>2023</v>
      </c>
      <c r="D940" s="65" t="s">
        <v>296</v>
      </c>
      <c r="E940" s="65" t="s">
        <v>305</v>
      </c>
      <c r="F940" s="65" t="s">
        <v>40</v>
      </c>
      <c r="G940" s="65"/>
      <c r="H940" s="65"/>
      <c r="I940" s="66">
        <v>134467.17519000001</v>
      </c>
    </row>
    <row r="941" spans="1:9" hidden="1">
      <c r="A941" s="67" t="s">
        <v>295</v>
      </c>
      <c r="B941" s="68">
        <v>2026</v>
      </c>
      <c r="C941" s="68">
        <v>2023</v>
      </c>
      <c r="D941" s="68" t="s">
        <v>309</v>
      </c>
      <c r="E941" s="68" t="s">
        <v>294</v>
      </c>
      <c r="F941" s="68" t="s">
        <v>297</v>
      </c>
      <c r="G941" s="68"/>
      <c r="H941" s="68"/>
      <c r="I941" s="69">
        <v>56633.543559999998</v>
      </c>
    </row>
    <row r="942" spans="1:9" hidden="1">
      <c r="A942" s="64" t="s">
        <v>295</v>
      </c>
      <c r="B942" s="65">
        <v>2026</v>
      </c>
      <c r="C942" s="65">
        <v>2023</v>
      </c>
      <c r="D942" s="65" t="s">
        <v>309</v>
      </c>
      <c r="E942" s="65" t="s">
        <v>294</v>
      </c>
      <c r="F942" s="65" t="s">
        <v>298</v>
      </c>
      <c r="G942" s="65"/>
      <c r="H942" s="65"/>
      <c r="I942" s="66">
        <v>562386.29151999997</v>
      </c>
    </row>
    <row r="943" spans="1:9" hidden="1">
      <c r="A943" s="67" t="s">
        <v>295</v>
      </c>
      <c r="B943" s="68">
        <v>2026</v>
      </c>
      <c r="C943" s="68">
        <v>2023</v>
      </c>
      <c r="D943" s="68" t="s">
        <v>309</v>
      </c>
      <c r="E943" s="68" t="s">
        <v>294</v>
      </c>
      <c r="F943" s="68" t="s">
        <v>40</v>
      </c>
      <c r="G943" s="68"/>
      <c r="H943" s="68"/>
      <c r="I943" s="69">
        <v>619019.51509</v>
      </c>
    </row>
    <row r="944" spans="1:9" hidden="1">
      <c r="A944" s="64" t="s">
        <v>295</v>
      </c>
      <c r="B944" s="65">
        <v>2026</v>
      </c>
      <c r="C944" s="65">
        <v>2023</v>
      </c>
      <c r="D944" s="65" t="s">
        <v>309</v>
      </c>
      <c r="E944" s="65" t="s">
        <v>301</v>
      </c>
      <c r="F944" s="65" t="s">
        <v>297</v>
      </c>
      <c r="G944" s="65"/>
      <c r="H944" s="65"/>
      <c r="I944" s="66">
        <v>61443.275079999999</v>
      </c>
    </row>
    <row r="945" spans="1:9" hidden="1">
      <c r="A945" s="67" t="s">
        <v>295</v>
      </c>
      <c r="B945" s="68">
        <v>2026</v>
      </c>
      <c r="C945" s="68">
        <v>2023</v>
      </c>
      <c r="D945" s="68" t="s">
        <v>309</v>
      </c>
      <c r="E945" s="68" t="s">
        <v>301</v>
      </c>
      <c r="F945" s="68" t="s">
        <v>298</v>
      </c>
      <c r="G945" s="68"/>
      <c r="H945" s="68"/>
      <c r="I945" s="69">
        <v>605936.82664999994</v>
      </c>
    </row>
    <row r="946" spans="1:9" hidden="1">
      <c r="A946" s="64" t="s">
        <v>295</v>
      </c>
      <c r="B946" s="65">
        <v>2026</v>
      </c>
      <c r="C946" s="65">
        <v>2023</v>
      </c>
      <c r="D946" s="65" t="s">
        <v>309</v>
      </c>
      <c r="E946" s="65" t="s">
        <v>301</v>
      </c>
      <c r="F946" s="65" t="s">
        <v>40</v>
      </c>
      <c r="G946" s="65"/>
      <c r="H946" s="65"/>
      <c r="I946" s="66">
        <v>667380.04171999998</v>
      </c>
    </row>
    <row r="947" spans="1:9" hidden="1">
      <c r="A947" s="67" t="s">
        <v>295</v>
      </c>
      <c r="B947" s="68">
        <v>2026</v>
      </c>
      <c r="C947" s="68">
        <v>2023</v>
      </c>
      <c r="D947" s="68" t="s">
        <v>309</v>
      </c>
      <c r="E947" s="68" t="s">
        <v>305</v>
      </c>
      <c r="F947" s="68" t="s">
        <v>297</v>
      </c>
      <c r="G947" s="68"/>
      <c r="H947" s="68"/>
      <c r="I947" s="69">
        <v>145.46396999999999</v>
      </c>
    </row>
    <row r="948" spans="1:9" hidden="1">
      <c r="A948" s="64" t="s">
        <v>295</v>
      </c>
      <c r="B948" s="65">
        <v>2026</v>
      </c>
      <c r="C948" s="65">
        <v>2023</v>
      </c>
      <c r="D948" s="65" t="s">
        <v>309</v>
      </c>
      <c r="E948" s="65" t="s">
        <v>305</v>
      </c>
      <c r="F948" s="65" t="s">
        <v>298</v>
      </c>
      <c r="G948" s="65"/>
      <c r="H948" s="65"/>
      <c r="I948" s="66">
        <v>7043.8343699999996</v>
      </c>
    </row>
    <row r="949" spans="1:9" hidden="1">
      <c r="A949" s="67" t="s">
        <v>295</v>
      </c>
      <c r="B949" s="68">
        <v>2026</v>
      </c>
      <c r="C949" s="68">
        <v>2023</v>
      </c>
      <c r="D949" s="68" t="s">
        <v>309</v>
      </c>
      <c r="E949" s="68" t="s">
        <v>305</v>
      </c>
      <c r="F949" s="68" t="s">
        <v>40</v>
      </c>
      <c r="G949" s="68"/>
      <c r="H949" s="68"/>
      <c r="I949" s="69">
        <v>48162.798349999997</v>
      </c>
    </row>
    <row r="950" spans="1:9" hidden="1">
      <c r="A950" s="64" t="s">
        <v>295</v>
      </c>
      <c r="B950" s="65">
        <v>2026</v>
      </c>
      <c r="C950" s="65">
        <v>2023</v>
      </c>
      <c r="D950" s="65" t="s">
        <v>315</v>
      </c>
      <c r="E950" s="65" t="s">
        <v>294</v>
      </c>
      <c r="F950" s="65" t="s">
        <v>297</v>
      </c>
      <c r="G950" s="65"/>
      <c r="H950" s="65"/>
      <c r="I950" s="66">
        <v>108470.86792999999</v>
      </c>
    </row>
    <row r="951" spans="1:9" hidden="1">
      <c r="A951" s="67" t="s">
        <v>295</v>
      </c>
      <c r="B951" s="68">
        <v>2026</v>
      </c>
      <c r="C951" s="68">
        <v>2023</v>
      </c>
      <c r="D951" s="68" t="s">
        <v>315</v>
      </c>
      <c r="E951" s="68" t="s">
        <v>294</v>
      </c>
      <c r="F951" s="68" t="s">
        <v>298</v>
      </c>
      <c r="G951" s="68"/>
      <c r="H951" s="68"/>
      <c r="I951" s="69">
        <v>266128.24929000001</v>
      </c>
    </row>
    <row r="952" spans="1:9" hidden="1">
      <c r="A952" s="64" t="s">
        <v>295</v>
      </c>
      <c r="B952" s="65">
        <v>2026</v>
      </c>
      <c r="C952" s="65">
        <v>2023</v>
      </c>
      <c r="D952" s="65" t="s">
        <v>315</v>
      </c>
      <c r="E952" s="65" t="s">
        <v>294</v>
      </c>
      <c r="F952" s="65" t="s">
        <v>40</v>
      </c>
      <c r="G952" s="65"/>
      <c r="H952" s="65"/>
      <c r="I952" s="66">
        <v>374599.01724999998</v>
      </c>
    </row>
    <row r="953" spans="1:9" hidden="1">
      <c r="A953" s="67" t="s">
        <v>295</v>
      </c>
      <c r="B953" s="68">
        <v>2026</v>
      </c>
      <c r="C953" s="68">
        <v>2023</v>
      </c>
      <c r="D953" s="68" t="s">
        <v>315</v>
      </c>
      <c r="E953" s="68" t="s">
        <v>301</v>
      </c>
      <c r="F953" s="68" t="s">
        <v>297</v>
      </c>
      <c r="G953" s="68"/>
      <c r="H953" s="68"/>
      <c r="I953" s="69">
        <v>111621.05142</v>
      </c>
    </row>
    <row r="954" spans="1:9" hidden="1">
      <c r="A954" s="64" t="s">
        <v>295</v>
      </c>
      <c r="B954" s="65">
        <v>2026</v>
      </c>
      <c r="C954" s="65">
        <v>2023</v>
      </c>
      <c r="D954" s="65" t="s">
        <v>315</v>
      </c>
      <c r="E954" s="65" t="s">
        <v>301</v>
      </c>
      <c r="F954" s="65" t="s">
        <v>298</v>
      </c>
      <c r="G954" s="65"/>
      <c r="H954" s="65"/>
      <c r="I954" s="66">
        <v>281808.39843</v>
      </c>
    </row>
    <row r="955" spans="1:9" hidden="1">
      <c r="A955" s="67" t="s">
        <v>295</v>
      </c>
      <c r="B955" s="68">
        <v>2026</v>
      </c>
      <c r="C955" s="68">
        <v>2023</v>
      </c>
      <c r="D955" s="68" t="s">
        <v>315</v>
      </c>
      <c r="E955" s="68" t="s">
        <v>301</v>
      </c>
      <c r="F955" s="68" t="s">
        <v>40</v>
      </c>
      <c r="G955" s="68"/>
      <c r="H955" s="68"/>
      <c r="I955" s="69">
        <v>393429.14986</v>
      </c>
    </row>
    <row r="956" spans="1:9" hidden="1">
      <c r="A956" s="64" t="s">
        <v>295</v>
      </c>
      <c r="B956" s="65">
        <v>2026</v>
      </c>
      <c r="C956" s="65">
        <v>2023</v>
      </c>
      <c r="D956" s="65" t="s">
        <v>315</v>
      </c>
      <c r="E956" s="65" t="s">
        <v>305</v>
      </c>
      <c r="F956" s="65" t="s">
        <v>297</v>
      </c>
      <c r="G956" s="65"/>
      <c r="H956" s="65"/>
      <c r="I956" s="66">
        <v>973.07911000000001</v>
      </c>
    </row>
    <row r="957" spans="1:9" hidden="1">
      <c r="A957" s="67" t="s">
        <v>295</v>
      </c>
      <c r="B957" s="68">
        <v>2026</v>
      </c>
      <c r="C957" s="68">
        <v>2023</v>
      </c>
      <c r="D957" s="68" t="s">
        <v>315</v>
      </c>
      <c r="E957" s="68" t="s">
        <v>305</v>
      </c>
      <c r="F957" s="68" t="s">
        <v>298</v>
      </c>
      <c r="G957" s="68"/>
      <c r="H957" s="68"/>
      <c r="I957" s="69">
        <v>1337.8</v>
      </c>
    </row>
    <row r="958" spans="1:9" hidden="1">
      <c r="A958" s="64" t="s">
        <v>295</v>
      </c>
      <c r="B958" s="65">
        <v>2026</v>
      </c>
      <c r="C958" s="65">
        <v>2023</v>
      </c>
      <c r="D958" s="65" t="s">
        <v>315</v>
      </c>
      <c r="E958" s="65" t="s">
        <v>305</v>
      </c>
      <c r="F958" s="65" t="s">
        <v>40</v>
      </c>
      <c r="G958" s="65"/>
      <c r="H958" s="65"/>
      <c r="I958" s="66">
        <v>18536.47911</v>
      </c>
    </row>
    <row r="959" spans="1:9" hidden="1">
      <c r="A959" s="67" t="s">
        <v>295</v>
      </c>
      <c r="B959" s="68">
        <v>2026</v>
      </c>
      <c r="C959" s="68">
        <v>2023</v>
      </c>
      <c r="D959" s="68" t="s">
        <v>316</v>
      </c>
      <c r="E959" s="68" t="s">
        <v>294</v>
      </c>
      <c r="F959" s="68" t="s">
        <v>297</v>
      </c>
      <c r="G959" s="68"/>
      <c r="H959" s="68"/>
      <c r="I959" s="69">
        <v>714510.75453000003</v>
      </c>
    </row>
    <row r="960" spans="1:9" hidden="1">
      <c r="A960" s="64" t="s">
        <v>295</v>
      </c>
      <c r="B960" s="65">
        <v>2026</v>
      </c>
      <c r="C960" s="65">
        <v>2023</v>
      </c>
      <c r="D960" s="65" t="s">
        <v>316</v>
      </c>
      <c r="E960" s="65" t="s">
        <v>294</v>
      </c>
      <c r="F960" s="65" t="s">
        <v>298</v>
      </c>
      <c r="G960" s="65"/>
      <c r="H960" s="65"/>
      <c r="I960" s="66">
        <v>3848.7478599999999</v>
      </c>
    </row>
    <row r="961" spans="1:9" hidden="1">
      <c r="A961" s="67" t="s">
        <v>295</v>
      </c>
      <c r="B961" s="68">
        <v>2026</v>
      </c>
      <c r="C961" s="68">
        <v>2023</v>
      </c>
      <c r="D961" s="68" t="s">
        <v>316</v>
      </c>
      <c r="E961" s="68" t="s">
        <v>294</v>
      </c>
      <c r="F961" s="68" t="s">
        <v>40</v>
      </c>
      <c r="G961" s="68"/>
      <c r="H961" s="68"/>
      <c r="I961" s="69">
        <v>735109.11687000003</v>
      </c>
    </row>
    <row r="962" spans="1:9" hidden="1">
      <c r="A962" s="64" t="s">
        <v>295</v>
      </c>
      <c r="B962" s="65">
        <v>2026</v>
      </c>
      <c r="C962" s="65">
        <v>2023</v>
      </c>
      <c r="D962" s="65" t="s">
        <v>316</v>
      </c>
      <c r="E962" s="65" t="s">
        <v>301</v>
      </c>
      <c r="F962" s="65" t="s">
        <v>297</v>
      </c>
      <c r="G962" s="65"/>
      <c r="H962" s="65"/>
      <c r="I962" s="66">
        <v>739208.57773000002</v>
      </c>
    </row>
    <row r="963" spans="1:9" hidden="1">
      <c r="A963" s="67" t="s">
        <v>295</v>
      </c>
      <c r="B963" s="68">
        <v>2026</v>
      </c>
      <c r="C963" s="68">
        <v>2023</v>
      </c>
      <c r="D963" s="68" t="s">
        <v>316</v>
      </c>
      <c r="E963" s="68" t="s">
        <v>301</v>
      </c>
      <c r="F963" s="68" t="s">
        <v>298</v>
      </c>
      <c r="G963" s="68"/>
      <c r="H963" s="68"/>
      <c r="I963" s="69">
        <v>3918.48801</v>
      </c>
    </row>
    <row r="964" spans="1:9" hidden="1">
      <c r="A964" s="64" t="s">
        <v>295</v>
      </c>
      <c r="B964" s="65">
        <v>2026</v>
      </c>
      <c r="C964" s="65">
        <v>2023</v>
      </c>
      <c r="D964" s="65" t="s">
        <v>316</v>
      </c>
      <c r="E964" s="65" t="s">
        <v>301</v>
      </c>
      <c r="F964" s="65" t="s">
        <v>40</v>
      </c>
      <c r="G964" s="65"/>
      <c r="H964" s="65"/>
      <c r="I964" s="66">
        <v>760993.52778999996</v>
      </c>
    </row>
    <row r="965" spans="1:9" hidden="1">
      <c r="A965" s="67" t="s">
        <v>295</v>
      </c>
      <c r="B965" s="68">
        <v>2026</v>
      </c>
      <c r="C965" s="68">
        <v>2023</v>
      </c>
      <c r="D965" s="68" t="s">
        <v>316</v>
      </c>
      <c r="E965" s="68" t="s">
        <v>305</v>
      </c>
      <c r="F965" s="68" t="s">
        <v>297</v>
      </c>
      <c r="G965" s="68"/>
      <c r="H965" s="68"/>
      <c r="I965" s="69">
        <v>7524.0391399999999</v>
      </c>
    </row>
    <row r="966" spans="1:9" hidden="1">
      <c r="A966" s="64" t="s">
        <v>295</v>
      </c>
      <c r="B966" s="65">
        <v>2026</v>
      </c>
      <c r="C966" s="65">
        <v>2023</v>
      </c>
      <c r="D966" s="65" t="s">
        <v>316</v>
      </c>
      <c r="E966" s="65" t="s">
        <v>305</v>
      </c>
      <c r="F966" s="65" t="s">
        <v>298</v>
      </c>
      <c r="G966" s="65"/>
      <c r="H966" s="65"/>
      <c r="I966" s="66">
        <v>0</v>
      </c>
    </row>
    <row r="967" spans="1:9" hidden="1">
      <c r="A967" s="67" t="s">
        <v>295</v>
      </c>
      <c r="B967" s="68">
        <v>2026</v>
      </c>
      <c r="C967" s="68">
        <v>2023</v>
      </c>
      <c r="D967" s="68" t="s">
        <v>316</v>
      </c>
      <c r="E967" s="68" t="s">
        <v>305</v>
      </c>
      <c r="F967" s="68" t="s">
        <v>40</v>
      </c>
      <c r="G967" s="68"/>
      <c r="H967" s="68"/>
      <c r="I967" s="69">
        <v>31210.170249999999</v>
      </c>
    </row>
    <row r="968" spans="1:9" hidden="1">
      <c r="A968" s="64" t="s">
        <v>295</v>
      </c>
      <c r="B968" s="65">
        <v>2026</v>
      </c>
      <c r="C968" s="65">
        <v>2023</v>
      </c>
      <c r="D968" s="65" t="s">
        <v>317</v>
      </c>
      <c r="E968" s="65" t="s">
        <v>294</v>
      </c>
      <c r="F968" s="65" t="s">
        <v>297</v>
      </c>
      <c r="G968" s="65"/>
      <c r="H968" s="65"/>
      <c r="I968" s="66">
        <v>149.68063000000001</v>
      </c>
    </row>
    <row r="969" spans="1:9" hidden="1">
      <c r="A969" s="67" t="s">
        <v>295</v>
      </c>
      <c r="B969" s="68">
        <v>2026</v>
      </c>
      <c r="C969" s="68">
        <v>2023</v>
      </c>
      <c r="D969" s="68" t="s">
        <v>317</v>
      </c>
      <c r="E969" s="68" t="s">
        <v>294</v>
      </c>
      <c r="F969" s="68" t="s">
        <v>40</v>
      </c>
      <c r="G969" s="68"/>
      <c r="H969" s="68"/>
      <c r="I969" s="69">
        <v>16899.17959</v>
      </c>
    </row>
    <row r="970" spans="1:9" hidden="1">
      <c r="A970" s="64" t="s">
        <v>295</v>
      </c>
      <c r="B970" s="65">
        <v>2026</v>
      </c>
      <c r="C970" s="65">
        <v>2023</v>
      </c>
      <c r="D970" s="65" t="s">
        <v>317</v>
      </c>
      <c r="E970" s="65" t="s">
        <v>301</v>
      </c>
      <c r="F970" s="65" t="s">
        <v>297</v>
      </c>
      <c r="G970" s="65"/>
      <c r="H970" s="65"/>
      <c r="I970" s="66">
        <v>157.85917599999999</v>
      </c>
    </row>
    <row r="971" spans="1:9" hidden="1">
      <c r="A971" s="67" t="s">
        <v>295</v>
      </c>
      <c r="B971" s="68">
        <v>2026</v>
      </c>
      <c r="C971" s="68">
        <v>2023</v>
      </c>
      <c r="D971" s="68" t="s">
        <v>317</v>
      </c>
      <c r="E971" s="68" t="s">
        <v>301</v>
      </c>
      <c r="F971" s="68" t="s">
        <v>40</v>
      </c>
      <c r="G971" s="68"/>
      <c r="H971" s="68"/>
      <c r="I971" s="69">
        <v>18024.00735</v>
      </c>
    </row>
    <row r="972" spans="1:9" hidden="1">
      <c r="A972" s="64" t="s">
        <v>295</v>
      </c>
      <c r="B972" s="65">
        <v>2026</v>
      </c>
      <c r="C972" s="65">
        <v>2023</v>
      </c>
      <c r="D972" s="65" t="s">
        <v>317</v>
      </c>
      <c r="E972" s="65" t="s">
        <v>305</v>
      </c>
      <c r="F972" s="65" t="s">
        <v>297</v>
      </c>
      <c r="G972" s="65"/>
      <c r="H972" s="65"/>
      <c r="I972" s="66">
        <v>1.257E-2</v>
      </c>
    </row>
    <row r="973" spans="1:9" hidden="1">
      <c r="A973" s="67" t="s">
        <v>295</v>
      </c>
      <c r="B973" s="68">
        <v>2026</v>
      </c>
      <c r="C973" s="68">
        <v>2023</v>
      </c>
      <c r="D973" s="68" t="s">
        <v>317</v>
      </c>
      <c r="E973" s="68" t="s">
        <v>305</v>
      </c>
      <c r="F973" s="68" t="s">
        <v>40</v>
      </c>
      <c r="G973" s="68"/>
      <c r="H973" s="68"/>
      <c r="I973" s="69">
        <v>356.94367999999997</v>
      </c>
    </row>
    <row r="974" spans="1:9" hidden="1">
      <c r="A974" s="64" t="s">
        <v>295</v>
      </c>
      <c r="B974" s="65">
        <v>2026</v>
      </c>
      <c r="C974" s="65">
        <v>2023</v>
      </c>
      <c r="D974" s="65" t="s">
        <v>318</v>
      </c>
      <c r="E974" s="65" t="s">
        <v>294</v>
      </c>
      <c r="F974" s="65" t="s">
        <v>297</v>
      </c>
      <c r="G974" s="65"/>
      <c r="H974" s="65"/>
      <c r="I974" s="66">
        <v>691111.20429000002</v>
      </c>
    </row>
    <row r="975" spans="1:9" hidden="1">
      <c r="A975" s="67" t="s">
        <v>295</v>
      </c>
      <c r="B975" s="68">
        <v>2026</v>
      </c>
      <c r="C975" s="68">
        <v>2023</v>
      </c>
      <c r="D975" s="68" t="s">
        <v>318</v>
      </c>
      <c r="E975" s="68" t="s">
        <v>294</v>
      </c>
      <c r="F975" s="68" t="s">
        <v>298</v>
      </c>
      <c r="G975" s="68"/>
      <c r="H975" s="68"/>
      <c r="I975" s="69">
        <v>0</v>
      </c>
    </row>
    <row r="976" spans="1:9" hidden="1">
      <c r="A976" s="64" t="s">
        <v>295</v>
      </c>
      <c r="B976" s="65">
        <v>2026</v>
      </c>
      <c r="C976" s="65">
        <v>2023</v>
      </c>
      <c r="D976" s="65" t="s">
        <v>318</v>
      </c>
      <c r="E976" s="65" t="s">
        <v>294</v>
      </c>
      <c r="F976" s="65" t="s">
        <v>40</v>
      </c>
      <c r="G976" s="65"/>
      <c r="H976" s="65"/>
      <c r="I976" s="66">
        <v>691111.20429000002</v>
      </c>
    </row>
    <row r="977" spans="1:9" hidden="1">
      <c r="A977" s="67" t="s">
        <v>295</v>
      </c>
      <c r="B977" s="68">
        <v>2026</v>
      </c>
      <c r="C977" s="68">
        <v>2023</v>
      </c>
      <c r="D977" s="68" t="s">
        <v>318</v>
      </c>
      <c r="E977" s="68" t="s">
        <v>301</v>
      </c>
      <c r="F977" s="68" t="s">
        <v>297</v>
      </c>
      <c r="G977" s="68"/>
      <c r="H977" s="68"/>
      <c r="I977" s="69">
        <v>715505.46581999992</v>
      </c>
    </row>
    <row r="978" spans="1:9" hidden="1">
      <c r="A978" s="64" t="s">
        <v>295</v>
      </c>
      <c r="B978" s="65">
        <v>2026</v>
      </c>
      <c r="C978" s="65">
        <v>2023</v>
      </c>
      <c r="D978" s="65" t="s">
        <v>318</v>
      </c>
      <c r="E978" s="65" t="s">
        <v>301</v>
      </c>
      <c r="F978" s="65" t="s">
        <v>298</v>
      </c>
      <c r="G978" s="65"/>
      <c r="H978" s="65"/>
      <c r="I978" s="66">
        <v>0</v>
      </c>
    </row>
    <row r="979" spans="1:9" hidden="1">
      <c r="A979" s="67" t="s">
        <v>295</v>
      </c>
      <c r="B979" s="68">
        <v>2026</v>
      </c>
      <c r="C979" s="68">
        <v>2023</v>
      </c>
      <c r="D979" s="68" t="s">
        <v>318</v>
      </c>
      <c r="E979" s="68" t="s">
        <v>301</v>
      </c>
      <c r="F979" s="68" t="s">
        <v>40</v>
      </c>
      <c r="G979" s="68"/>
      <c r="H979" s="68"/>
      <c r="I979" s="69">
        <v>715505.46581999992</v>
      </c>
    </row>
    <row r="980" spans="1:9" hidden="1">
      <c r="A980" s="64" t="s">
        <v>295</v>
      </c>
      <c r="B980" s="65">
        <v>2026</v>
      </c>
      <c r="C980" s="65">
        <v>2023</v>
      </c>
      <c r="D980" s="65" t="s">
        <v>318</v>
      </c>
      <c r="E980" s="65" t="s">
        <v>305</v>
      </c>
      <c r="F980" s="65" t="s">
        <v>297</v>
      </c>
      <c r="G980" s="65"/>
      <c r="H980" s="65"/>
      <c r="I980" s="66">
        <v>7434.2976500000004</v>
      </c>
    </row>
    <row r="981" spans="1:9" hidden="1">
      <c r="A981" s="67" t="s">
        <v>295</v>
      </c>
      <c r="B981" s="68">
        <v>2026</v>
      </c>
      <c r="C981" s="68">
        <v>2023</v>
      </c>
      <c r="D981" s="68" t="s">
        <v>318</v>
      </c>
      <c r="E981" s="68" t="s">
        <v>305</v>
      </c>
      <c r="F981" s="68" t="s">
        <v>40</v>
      </c>
      <c r="G981" s="68"/>
      <c r="H981" s="68"/>
      <c r="I981" s="69">
        <v>29567.197649999998</v>
      </c>
    </row>
    <row r="982" spans="1:9" hidden="1">
      <c r="A982" s="64" t="s">
        <v>295</v>
      </c>
      <c r="B982" s="65">
        <v>2026</v>
      </c>
      <c r="C982" s="65">
        <v>2023</v>
      </c>
      <c r="D982" s="65" t="s">
        <v>320</v>
      </c>
      <c r="E982" s="65" t="s">
        <v>294</v>
      </c>
      <c r="F982" s="65" t="s">
        <v>297</v>
      </c>
      <c r="G982" s="65"/>
      <c r="H982" s="65"/>
      <c r="I982" s="66">
        <v>3821.80485</v>
      </c>
    </row>
    <row r="983" spans="1:9" hidden="1">
      <c r="A983" s="67" t="s">
        <v>295</v>
      </c>
      <c r="B983" s="68">
        <v>2026</v>
      </c>
      <c r="C983" s="68">
        <v>2023</v>
      </c>
      <c r="D983" s="68" t="s">
        <v>320</v>
      </c>
      <c r="E983" s="68" t="s">
        <v>294</v>
      </c>
      <c r="F983" s="68" t="s">
        <v>298</v>
      </c>
      <c r="G983" s="68"/>
      <c r="H983" s="68"/>
      <c r="I983" s="69">
        <v>0</v>
      </c>
    </row>
    <row r="984" spans="1:9" hidden="1">
      <c r="A984" s="64" t="s">
        <v>295</v>
      </c>
      <c r="B984" s="65">
        <v>2026</v>
      </c>
      <c r="C984" s="65">
        <v>2023</v>
      </c>
      <c r="D984" s="65" t="s">
        <v>320</v>
      </c>
      <c r="E984" s="65" t="s">
        <v>294</v>
      </c>
      <c r="F984" s="65" t="s">
        <v>40</v>
      </c>
      <c r="G984" s="65"/>
      <c r="H984" s="65"/>
      <c r="I984" s="66">
        <v>3821.80485</v>
      </c>
    </row>
    <row r="985" spans="1:9" hidden="1">
      <c r="A985" s="67" t="s">
        <v>295</v>
      </c>
      <c r="B985" s="68">
        <v>2026</v>
      </c>
      <c r="C985" s="68">
        <v>2023</v>
      </c>
      <c r="D985" s="68" t="s">
        <v>320</v>
      </c>
      <c r="E985" s="68" t="s">
        <v>301</v>
      </c>
      <c r="F985" s="68" t="s">
        <v>297</v>
      </c>
      <c r="G985" s="68"/>
      <c r="H985" s="68"/>
      <c r="I985" s="69">
        <v>4155.1872700000004</v>
      </c>
    </row>
    <row r="986" spans="1:9" hidden="1">
      <c r="A986" s="64" t="s">
        <v>295</v>
      </c>
      <c r="B986" s="65">
        <v>2026</v>
      </c>
      <c r="C986" s="65">
        <v>2023</v>
      </c>
      <c r="D986" s="65" t="s">
        <v>320</v>
      </c>
      <c r="E986" s="65" t="s">
        <v>301</v>
      </c>
      <c r="F986" s="65" t="s">
        <v>298</v>
      </c>
      <c r="G986" s="65"/>
      <c r="H986" s="65"/>
      <c r="I986" s="66">
        <v>0</v>
      </c>
    </row>
    <row r="987" spans="1:9" hidden="1">
      <c r="A987" s="67" t="s">
        <v>295</v>
      </c>
      <c r="B987" s="68">
        <v>2026</v>
      </c>
      <c r="C987" s="68">
        <v>2023</v>
      </c>
      <c r="D987" s="68" t="s">
        <v>320</v>
      </c>
      <c r="E987" s="68" t="s">
        <v>301</v>
      </c>
      <c r="F987" s="68" t="s">
        <v>40</v>
      </c>
      <c r="G987" s="68"/>
      <c r="H987" s="68"/>
      <c r="I987" s="69">
        <v>4155.1872700000004</v>
      </c>
    </row>
    <row r="988" spans="1:9" hidden="1">
      <c r="A988" s="64" t="s">
        <v>295</v>
      </c>
      <c r="B988" s="65">
        <v>2026</v>
      </c>
      <c r="C988" s="65">
        <v>2023</v>
      </c>
      <c r="D988" s="65" t="s">
        <v>320</v>
      </c>
      <c r="E988" s="65" t="s">
        <v>305</v>
      </c>
      <c r="F988" s="65" t="s">
        <v>297</v>
      </c>
      <c r="G988" s="65"/>
      <c r="H988" s="65"/>
      <c r="I988" s="66">
        <v>34.6</v>
      </c>
    </row>
    <row r="989" spans="1:9" hidden="1">
      <c r="A989" s="67" t="s">
        <v>295</v>
      </c>
      <c r="B989" s="68">
        <v>2026</v>
      </c>
      <c r="C989" s="68">
        <v>2023</v>
      </c>
      <c r="D989" s="68" t="s">
        <v>320</v>
      </c>
      <c r="E989" s="68" t="s">
        <v>305</v>
      </c>
      <c r="F989" s="68" t="s">
        <v>40</v>
      </c>
      <c r="G989" s="68"/>
      <c r="H989" s="68"/>
      <c r="I989" s="69">
        <v>777.30000000000007</v>
      </c>
    </row>
    <row r="990" spans="1:9" hidden="1">
      <c r="A990" s="64" t="s">
        <v>295</v>
      </c>
      <c r="B990" s="65">
        <v>2026</v>
      </c>
      <c r="C990" s="65">
        <v>2023</v>
      </c>
      <c r="D990" s="65" t="s">
        <v>321</v>
      </c>
      <c r="E990" s="65" t="s">
        <v>294</v>
      </c>
      <c r="F990" s="65" t="s">
        <v>297</v>
      </c>
      <c r="G990" s="65"/>
      <c r="H990" s="65"/>
      <c r="I990" s="66">
        <v>18090.675859999999</v>
      </c>
    </row>
    <row r="991" spans="1:9" hidden="1">
      <c r="A991" s="67" t="s">
        <v>295</v>
      </c>
      <c r="B991" s="68">
        <v>2026</v>
      </c>
      <c r="C991" s="68">
        <v>2023</v>
      </c>
      <c r="D991" s="68" t="s">
        <v>321</v>
      </c>
      <c r="E991" s="68" t="s">
        <v>294</v>
      </c>
      <c r="F991" s="68" t="s">
        <v>298</v>
      </c>
      <c r="G991" s="68"/>
      <c r="H991" s="68"/>
      <c r="I991" s="69">
        <v>0</v>
      </c>
    </row>
    <row r="992" spans="1:9" hidden="1">
      <c r="A992" s="64" t="s">
        <v>295</v>
      </c>
      <c r="B992" s="65">
        <v>2026</v>
      </c>
      <c r="C992" s="65">
        <v>2023</v>
      </c>
      <c r="D992" s="65" t="s">
        <v>321</v>
      </c>
      <c r="E992" s="65" t="s">
        <v>294</v>
      </c>
      <c r="F992" s="65" t="s">
        <v>40</v>
      </c>
      <c r="G992" s="65"/>
      <c r="H992" s="65"/>
      <c r="I992" s="66">
        <v>18086.239699999998</v>
      </c>
    </row>
    <row r="993" spans="1:9" hidden="1">
      <c r="A993" s="67" t="s">
        <v>295</v>
      </c>
      <c r="B993" s="68">
        <v>2026</v>
      </c>
      <c r="C993" s="68">
        <v>2023</v>
      </c>
      <c r="D993" s="68" t="s">
        <v>321</v>
      </c>
      <c r="E993" s="68" t="s">
        <v>301</v>
      </c>
      <c r="F993" s="68" t="s">
        <v>297</v>
      </c>
      <c r="G993" s="68"/>
      <c r="H993" s="68"/>
      <c r="I993" s="69">
        <v>17929.79106</v>
      </c>
    </row>
    <row r="994" spans="1:9" hidden="1">
      <c r="A994" s="64" t="s">
        <v>295</v>
      </c>
      <c r="B994" s="65">
        <v>2026</v>
      </c>
      <c r="C994" s="65">
        <v>2023</v>
      </c>
      <c r="D994" s="65" t="s">
        <v>321</v>
      </c>
      <c r="E994" s="65" t="s">
        <v>301</v>
      </c>
      <c r="F994" s="65" t="s">
        <v>298</v>
      </c>
      <c r="G994" s="65"/>
      <c r="H994" s="65"/>
      <c r="I994" s="66">
        <v>0</v>
      </c>
    </row>
    <row r="995" spans="1:9" hidden="1">
      <c r="A995" s="67" t="s">
        <v>295</v>
      </c>
      <c r="B995" s="68">
        <v>2026</v>
      </c>
      <c r="C995" s="68">
        <v>2023</v>
      </c>
      <c r="D995" s="68" t="s">
        <v>321</v>
      </c>
      <c r="E995" s="68" t="s">
        <v>301</v>
      </c>
      <c r="F995" s="68" t="s">
        <v>40</v>
      </c>
      <c r="G995" s="68"/>
      <c r="H995" s="68"/>
      <c r="I995" s="69">
        <v>17929.7909</v>
      </c>
    </row>
    <row r="996" spans="1:9" hidden="1">
      <c r="A996" s="64" t="s">
        <v>295</v>
      </c>
      <c r="B996" s="65">
        <v>2026</v>
      </c>
      <c r="C996" s="65">
        <v>2023</v>
      </c>
      <c r="D996" s="65" t="s">
        <v>321</v>
      </c>
      <c r="E996" s="65" t="s">
        <v>305</v>
      </c>
      <c r="F996" s="65" t="s">
        <v>297</v>
      </c>
      <c r="G996" s="65"/>
      <c r="H996" s="65"/>
      <c r="I996" s="66">
        <v>47.828919999999997</v>
      </c>
    </row>
    <row r="997" spans="1:9" hidden="1">
      <c r="A997" s="67" t="s">
        <v>295</v>
      </c>
      <c r="B997" s="68">
        <v>2026</v>
      </c>
      <c r="C997" s="68">
        <v>2023</v>
      </c>
      <c r="D997" s="68" t="s">
        <v>321</v>
      </c>
      <c r="E997" s="68" t="s">
        <v>305</v>
      </c>
      <c r="F997" s="68" t="s">
        <v>40</v>
      </c>
      <c r="G997" s="68"/>
      <c r="H997" s="68"/>
      <c r="I997" s="69">
        <v>289.02892000000003</v>
      </c>
    </row>
    <row r="998" spans="1:9" hidden="1">
      <c r="A998" s="64" t="s">
        <v>295</v>
      </c>
      <c r="B998" s="65">
        <v>2026</v>
      </c>
      <c r="C998" s="65">
        <v>2023</v>
      </c>
      <c r="D998" s="65" t="s">
        <v>322</v>
      </c>
      <c r="E998" s="65" t="s">
        <v>294</v>
      </c>
      <c r="F998" s="65" t="s">
        <v>297</v>
      </c>
      <c r="G998" s="65"/>
      <c r="H998" s="65"/>
      <c r="I998" s="66">
        <v>1337.44442</v>
      </c>
    </row>
    <row r="999" spans="1:9" hidden="1">
      <c r="A999" s="67" t="s">
        <v>295</v>
      </c>
      <c r="B999" s="68">
        <v>2026</v>
      </c>
      <c r="C999" s="68">
        <v>2023</v>
      </c>
      <c r="D999" s="68" t="s">
        <v>322</v>
      </c>
      <c r="E999" s="68" t="s">
        <v>294</v>
      </c>
      <c r="F999" s="68" t="s">
        <v>298</v>
      </c>
      <c r="G999" s="68"/>
      <c r="H999" s="68"/>
      <c r="I999" s="69">
        <v>3848.7478599999999</v>
      </c>
    </row>
    <row r="1000" spans="1:9" hidden="1">
      <c r="A1000" s="64" t="s">
        <v>295</v>
      </c>
      <c r="B1000" s="65">
        <v>2026</v>
      </c>
      <c r="C1000" s="65">
        <v>2023</v>
      </c>
      <c r="D1000" s="65" t="s">
        <v>322</v>
      </c>
      <c r="E1000" s="65" t="s">
        <v>294</v>
      </c>
      <c r="F1000" s="65" t="s">
        <v>40</v>
      </c>
      <c r="G1000" s="65"/>
      <c r="H1000" s="65"/>
      <c r="I1000" s="66">
        <v>5186.1922800000002</v>
      </c>
    </row>
    <row r="1001" spans="1:9" hidden="1">
      <c r="A1001" s="67" t="s">
        <v>295</v>
      </c>
      <c r="B1001" s="68">
        <v>2026</v>
      </c>
      <c r="C1001" s="68">
        <v>2023</v>
      </c>
      <c r="D1001" s="68" t="s">
        <v>322</v>
      </c>
      <c r="E1001" s="68" t="s">
        <v>301</v>
      </c>
      <c r="F1001" s="68" t="s">
        <v>297</v>
      </c>
      <c r="G1001" s="68"/>
      <c r="H1001" s="68"/>
      <c r="I1001" s="69">
        <v>1460.54828</v>
      </c>
    </row>
    <row r="1002" spans="1:9" hidden="1">
      <c r="A1002" s="64" t="s">
        <v>295</v>
      </c>
      <c r="B1002" s="65">
        <v>2026</v>
      </c>
      <c r="C1002" s="65">
        <v>2023</v>
      </c>
      <c r="D1002" s="65" t="s">
        <v>322</v>
      </c>
      <c r="E1002" s="65" t="s">
        <v>301</v>
      </c>
      <c r="F1002" s="65" t="s">
        <v>298</v>
      </c>
      <c r="G1002" s="65"/>
      <c r="H1002" s="65"/>
      <c r="I1002" s="66">
        <v>3918.48801</v>
      </c>
    </row>
    <row r="1003" spans="1:9" hidden="1">
      <c r="A1003" s="67" t="s">
        <v>295</v>
      </c>
      <c r="B1003" s="68">
        <v>2026</v>
      </c>
      <c r="C1003" s="68">
        <v>2023</v>
      </c>
      <c r="D1003" s="68" t="s">
        <v>322</v>
      </c>
      <c r="E1003" s="68" t="s">
        <v>301</v>
      </c>
      <c r="F1003" s="68" t="s">
        <v>40</v>
      </c>
      <c r="G1003" s="68"/>
      <c r="H1003" s="68"/>
      <c r="I1003" s="69">
        <v>5379.0362800000003</v>
      </c>
    </row>
    <row r="1004" spans="1:9" hidden="1">
      <c r="A1004" s="64" t="s">
        <v>295</v>
      </c>
      <c r="B1004" s="65">
        <v>2026</v>
      </c>
      <c r="C1004" s="65">
        <v>2023</v>
      </c>
      <c r="D1004" s="65" t="s">
        <v>322</v>
      </c>
      <c r="E1004" s="65" t="s">
        <v>305</v>
      </c>
      <c r="F1004" s="65" t="s">
        <v>297</v>
      </c>
      <c r="G1004" s="65"/>
      <c r="H1004" s="65"/>
      <c r="I1004" s="66">
        <v>7.2</v>
      </c>
    </row>
    <row r="1005" spans="1:9" hidden="1">
      <c r="A1005" s="67" t="s">
        <v>295</v>
      </c>
      <c r="B1005" s="68">
        <v>2026</v>
      </c>
      <c r="C1005" s="68">
        <v>2023</v>
      </c>
      <c r="D1005" s="68" t="s">
        <v>322</v>
      </c>
      <c r="E1005" s="68" t="s">
        <v>305</v>
      </c>
      <c r="F1005" s="68" t="s">
        <v>40</v>
      </c>
      <c r="G1005" s="68"/>
      <c r="H1005" s="68"/>
      <c r="I1005" s="69">
        <v>219.7</v>
      </c>
    </row>
    <row r="1006" spans="1:9" hidden="1">
      <c r="A1006" s="64" t="s">
        <v>295</v>
      </c>
      <c r="B1006" s="65">
        <v>2026</v>
      </c>
      <c r="C1006" s="65">
        <v>2023</v>
      </c>
      <c r="D1006" s="65" t="s">
        <v>323</v>
      </c>
      <c r="E1006" s="65" t="s">
        <v>294</v>
      </c>
      <c r="F1006" s="65" t="s">
        <v>297</v>
      </c>
      <c r="G1006" s="65"/>
      <c r="H1006" s="65"/>
      <c r="I1006" s="66">
        <v>436252.42891999998</v>
      </c>
    </row>
    <row r="1007" spans="1:9" hidden="1">
      <c r="A1007" s="67" t="s">
        <v>295</v>
      </c>
      <c r="B1007" s="68">
        <v>2026</v>
      </c>
      <c r="C1007" s="68">
        <v>2023</v>
      </c>
      <c r="D1007" s="68" t="s">
        <v>323</v>
      </c>
      <c r="E1007" s="68" t="s">
        <v>294</v>
      </c>
      <c r="F1007" s="68" t="s">
        <v>298</v>
      </c>
      <c r="G1007" s="68"/>
      <c r="H1007" s="68"/>
      <c r="I1007" s="69">
        <v>1888.5220999999999</v>
      </c>
    </row>
    <row r="1008" spans="1:9" hidden="1">
      <c r="A1008" s="64" t="s">
        <v>295</v>
      </c>
      <c r="B1008" s="65">
        <v>2026</v>
      </c>
      <c r="C1008" s="65">
        <v>2023</v>
      </c>
      <c r="D1008" s="65" t="s">
        <v>323</v>
      </c>
      <c r="E1008" s="65" t="s">
        <v>294</v>
      </c>
      <c r="F1008" s="65" t="s">
        <v>40</v>
      </c>
      <c r="G1008" s="65"/>
      <c r="H1008" s="65"/>
      <c r="I1008" s="66">
        <v>438164.65103000001</v>
      </c>
    </row>
    <row r="1009" spans="1:9" hidden="1">
      <c r="A1009" s="67" t="s">
        <v>295</v>
      </c>
      <c r="B1009" s="68">
        <v>2026</v>
      </c>
      <c r="C1009" s="68">
        <v>2023</v>
      </c>
      <c r="D1009" s="68" t="s">
        <v>323</v>
      </c>
      <c r="E1009" s="68" t="s">
        <v>301</v>
      </c>
      <c r="F1009" s="68" t="s">
        <v>297</v>
      </c>
      <c r="G1009" s="68"/>
      <c r="H1009" s="68"/>
      <c r="I1009" s="69">
        <v>462713.08257999999</v>
      </c>
    </row>
    <row r="1010" spans="1:9" hidden="1">
      <c r="A1010" s="64" t="s">
        <v>295</v>
      </c>
      <c r="B1010" s="65">
        <v>2026</v>
      </c>
      <c r="C1010" s="65">
        <v>2023</v>
      </c>
      <c r="D1010" s="65" t="s">
        <v>323</v>
      </c>
      <c r="E1010" s="65" t="s">
        <v>301</v>
      </c>
      <c r="F1010" s="65" t="s">
        <v>298</v>
      </c>
      <c r="G1010" s="65"/>
      <c r="H1010" s="65"/>
      <c r="I1010" s="66">
        <v>1958.30645</v>
      </c>
    </row>
    <row r="1011" spans="1:9" hidden="1">
      <c r="A1011" s="67" t="s">
        <v>295</v>
      </c>
      <c r="B1011" s="68">
        <v>2026</v>
      </c>
      <c r="C1011" s="68">
        <v>2023</v>
      </c>
      <c r="D1011" s="68" t="s">
        <v>323</v>
      </c>
      <c r="E1011" s="68" t="s">
        <v>301</v>
      </c>
      <c r="F1011" s="68" t="s">
        <v>40</v>
      </c>
      <c r="G1011" s="68"/>
      <c r="H1011" s="68"/>
      <c r="I1011" s="69">
        <v>464695.06903999997</v>
      </c>
    </row>
    <row r="1012" spans="1:9" hidden="1">
      <c r="A1012" s="64" t="s">
        <v>295</v>
      </c>
      <c r="B1012" s="65">
        <v>2026</v>
      </c>
      <c r="C1012" s="65">
        <v>2023</v>
      </c>
      <c r="D1012" s="65" t="s">
        <v>323</v>
      </c>
      <c r="E1012" s="65" t="s">
        <v>305</v>
      </c>
      <c r="F1012" s="65" t="s">
        <v>297</v>
      </c>
      <c r="G1012" s="65"/>
      <c r="H1012" s="65"/>
      <c r="I1012" s="66">
        <v>1557.92749</v>
      </c>
    </row>
    <row r="1013" spans="1:9" hidden="1">
      <c r="A1013" s="67" t="s">
        <v>295</v>
      </c>
      <c r="B1013" s="68">
        <v>2026</v>
      </c>
      <c r="C1013" s="68">
        <v>2023</v>
      </c>
      <c r="D1013" s="68" t="s">
        <v>323</v>
      </c>
      <c r="E1013" s="68" t="s">
        <v>305</v>
      </c>
      <c r="F1013" s="68" t="s">
        <v>40</v>
      </c>
      <c r="G1013" s="68"/>
      <c r="H1013" s="68"/>
      <c r="I1013" s="69">
        <v>16637.427489999998</v>
      </c>
    </row>
    <row r="1014" spans="1:9" hidden="1">
      <c r="A1014" s="64" t="s">
        <v>295</v>
      </c>
      <c r="B1014" s="65">
        <v>2026</v>
      </c>
      <c r="C1014" s="65">
        <v>2023</v>
      </c>
      <c r="D1014" s="65" t="s">
        <v>324</v>
      </c>
      <c r="E1014" s="65" t="s">
        <v>294</v>
      </c>
      <c r="F1014" s="65" t="s">
        <v>297</v>
      </c>
      <c r="G1014" s="65"/>
      <c r="H1014" s="65"/>
      <c r="I1014" s="66">
        <v>3858.9795899999999</v>
      </c>
    </row>
    <row r="1015" spans="1:9" hidden="1">
      <c r="A1015" s="67" t="s">
        <v>295</v>
      </c>
      <c r="B1015" s="68">
        <v>2026</v>
      </c>
      <c r="C1015" s="68">
        <v>2023</v>
      </c>
      <c r="D1015" s="68" t="s">
        <v>324</v>
      </c>
      <c r="E1015" s="68" t="s">
        <v>294</v>
      </c>
      <c r="F1015" s="68" t="s">
        <v>298</v>
      </c>
      <c r="G1015" s="68"/>
      <c r="H1015" s="68"/>
      <c r="I1015" s="69">
        <v>0</v>
      </c>
    </row>
    <row r="1016" spans="1:9" hidden="1">
      <c r="A1016" s="64" t="s">
        <v>295</v>
      </c>
      <c r="B1016" s="65">
        <v>2026</v>
      </c>
      <c r="C1016" s="65">
        <v>2023</v>
      </c>
      <c r="D1016" s="65" t="s">
        <v>324</v>
      </c>
      <c r="E1016" s="65" t="s">
        <v>294</v>
      </c>
      <c r="F1016" s="65" t="s">
        <v>40</v>
      </c>
      <c r="G1016" s="65"/>
      <c r="H1016" s="65"/>
      <c r="I1016" s="66">
        <v>3858.9795899999999</v>
      </c>
    </row>
    <row r="1017" spans="1:9" hidden="1">
      <c r="A1017" s="67" t="s">
        <v>295</v>
      </c>
      <c r="B1017" s="68">
        <v>2026</v>
      </c>
      <c r="C1017" s="68">
        <v>2023</v>
      </c>
      <c r="D1017" s="68" t="s">
        <v>324</v>
      </c>
      <c r="E1017" s="68" t="s">
        <v>301</v>
      </c>
      <c r="F1017" s="68" t="s">
        <v>297</v>
      </c>
      <c r="G1017" s="68"/>
      <c r="H1017" s="68"/>
      <c r="I1017" s="69">
        <v>3858.9760200000001</v>
      </c>
    </row>
    <row r="1018" spans="1:9" hidden="1">
      <c r="A1018" s="64" t="s">
        <v>295</v>
      </c>
      <c r="B1018" s="65">
        <v>2026</v>
      </c>
      <c r="C1018" s="65">
        <v>2023</v>
      </c>
      <c r="D1018" s="65" t="s">
        <v>324</v>
      </c>
      <c r="E1018" s="65" t="s">
        <v>301</v>
      </c>
      <c r="F1018" s="65" t="s">
        <v>298</v>
      </c>
      <c r="G1018" s="65"/>
      <c r="H1018" s="65"/>
      <c r="I1018" s="66">
        <v>0</v>
      </c>
    </row>
    <row r="1019" spans="1:9" hidden="1">
      <c r="A1019" s="67" t="s">
        <v>295</v>
      </c>
      <c r="B1019" s="68">
        <v>2026</v>
      </c>
      <c r="C1019" s="68">
        <v>2023</v>
      </c>
      <c r="D1019" s="68" t="s">
        <v>324</v>
      </c>
      <c r="E1019" s="68" t="s">
        <v>301</v>
      </c>
      <c r="F1019" s="68" t="s">
        <v>40</v>
      </c>
      <c r="G1019" s="68"/>
      <c r="H1019" s="68"/>
      <c r="I1019" s="69">
        <v>3858.9760200000001</v>
      </c>
    </row>
    <row r="1020" spans="1:9" hidden="1">
      <c r="A1020" s="64" t="s">
        <v>295</v>
      </c>
      <c r="B1020" s="65">
        <v>2026</v>
      </c>
      <c r="C1020" s="65">
        <v>2023</v>
      </c>
      <c r="D1020" s="65" t="s">
        <v>324</v>
      </c>
      <c r="E1020" s="65" t="s">
        <v>305</v>
      </c>
      <c r="F1020" s="65" t="s">
        <v>297</v>
      </c>
      <c r="G1020" s="65"/>
      <c r="H1020" s="65"/>
      <c r="I1020" s="66">
        <v>4.0999999999999996</v>
      </c>
    </row>
    <row r="1021" spans="1:9" hidden="1">
      <c r="A1021" s="67" t="s">
        <v>295</v>
      </c>
      <c r="B1021" s="68">
        <v>2026</v>
      </c>
      <c r="C1021" s="68">
        <v>2023</v>
      </c>
      <c r="D1021" s="68" t="s">
        <v>324</v>
      </c>
      <c r="E1021" s="68" t="s">
        <v>305</v>
      </c>
      <c r="F1021" s="68" t="s">
        <v>40</v>
      </c>
      <c r="G1021" s="68"/>
      <c r="H1021" s="68"/>
      <c r="I1021" s="69">
        <v>1246.2</v>
      </c>
    </row>
    <row r="1022" spans="1:9" hidden="1">
      <c r="A1022" s="64" t="s">
        <v>295</v>
      </c>
      <c r="B1022" s="65">
        <v>2026</v>
      </c>
      <c r="C1022" s="65">
        <v>2023</v>
      </c>
      <c r="D1022" s="65" t="s">
        <v>325</v>
      </c>
      <c r="E1022" s="65" t="s">
        <v>294</v>
      </c>
      <c r="F1022" s="65" t="s">
        <v>297</v>
      </c>
      <c r="G1022" s="65"/>
      <c r="H1022" s="65"/>
      <c r="I1022" s="66">
        <v>55582.937270000002</v>
      </c>
    </row>
    <row r="1023" spans="1:9" hidden="1">
      <c r="A1023" s="67" t="s">
        <v>295</v>
      </c>
      <c r="B1023" s="68">
        <v>2026</v>
      </c>
      <c r="C1023" s="68">
        <v>2023</v>
      </c>
      <c r="D1023" s="68" t="s">
        <v>325</v>
      </c>
      <c r="E1023" s="68" t="s">
        <v>294</v>
      </c>
      <c r="F1023" s="68" t="s">
        <v>298</v>
      </c>
      <c r="G1023" s="68"/>
      <c r="H1023" s="68"/>
      <c r="I1023" s="69">
        <v>15246.343510000001</v>
      </c>
    </row>
    <row r="1024" spans="1:9" hidden="1">
      <c r="A1024" s="64" t="s">
        <v>295</v>
      </c>
      <c r="B1024" s="65">
        <v>2026</v>
      </c>
      <c r="C1024" s="65">
        <v>2023</v>
      </c>
      <c r="D1024" s="65" t="s">
        <v>325</v>
      </c>
      <c r="E1024" s="65" t="s">
        <v>294</v>
      </c>
      <c r="F1024" s="65" t="s">
        <v>40</v>
      </c>
      <c r="G1024" s="65"/>
      <c r="H1024" s="65"/>
      <c r="I1024" s="66">
        <v>70829.200760000007</v>
      </c>
    </row>
    <row r="1025" spans="1:9" hidden="1">
      <c r="A1025" s="67" t="s">
        <v>295</v>
      </c>
      <c r="B1025" s="68">
        <v>2026</v>
      </c>
      <c r="C1025" s="68">
        <v>2023</v>
      </c>
      <c r="D1025" s="68" t="s">
        <v>325</v>
      </c>
      <c r="E1025" s="68" t="s">
        <v>301</v>
      </c>
      <c r="F1025" s="68" t="s">
        <v>297</v>
      </c>
      <c r="G1025" s="68"/>
      <c r="H1025" s="68"/>
      <c r="I1025" s="69">
        <v>56908.644249999998</v>
      </c>
    </row>
    <row r="1026" spans="1:9" hidden="1">
      <c r="A1026" s="64" t="s">
        <v>295</v>
      </c>
      <c r="B1026" s="65">
        <v>2026</v>
      </c>
      <c r="C1026" s="65">
        <v>2023</v>
      </c>
      <c r="D1026" s="65" t="s">
        <v>325</v>
      </c>
      <c r="E1026" s="65" t="s">
        <v>301</v>
      </c>
      <c r="F1026" s="65" t="s">
        <v>298</v>
      </c>
      <c r="G1026" s="65"/>
      <c r="H1026" s="65"/>
      <c r="I1026" s="66">
        <v>15845.67073</v>
      </c>
    </row>
    <row r="1027" spans="1:9" hidden="1">
      <c r="A1027" s="67" t="s">
        <v>295</v>
      </c>
      <c r="B1027" s="68">
        <v>2026</v>
      </c>
      <c r="C1027" s="68">
        <v>2023</v>
      </c>
      <c r="D1027" s="68" t="s">
        <v>325</v>
      </c>
      <c r="E1027" s="68" t="s">
        <v>301</v>
      </c>
      <c r="F1027" s="68" t="s">
        <v>40</v>
      </c>
      <c r="G1027" s="68"/>
      <c r="H1027" s="68"/>
      <c r="I1027" s="69">
        <v>72754.214959999998</v>
      </c>
    </row>
    <row r="1028" spans="1:9" hidden="1">
      <c r="A1028" s="64" t="s">
        <v>295</v>
      </c>
      <c r="B1028" s="65">
        <v>2026</v>
      </c>
      <c r="C1028" s="65">
        <v>2023</v>
      </c>
      <c r="D1028" s="65" t="s">
        <v>325</v>
      </c>
      <c r="E1028" s="65" t="s">
        <v>305</v>
      </c>
      <c r="F1028" s="65" t="s">
        <v>297</v>
      </c>
      <c r="G1028" s="65"/>
      <c r="H1028" s="65"/>
      <c r="I1028" s="66">
        <v>428.4</v>
      </c>
    </row>
    <row r="1029" spans="1:9" hidden="1">
      <c r="A1029" s="67" t="s">
        <v>295</v>
      </c>
      <c r="B1029" s="68">
        <v>2026</v>
      </c>
      <c r="C1029" s="68">
        <v>2023</v>
      </c>
      <c r="D1029" s="68" t="s">
        <v>325</v>
      </c>
      <c r="E1029" s="68" t="s">
        <v>305</v>
      </c>
      <c r="F1029" s="68" t="s">
        <v>298</v>
      </c>
      <c r="G1029" s="68"/>
      <c r="H1029" s="68"/>
      <c r="I1029" s="69">
        <v>69.900000000000006</v>
      </c>
    </row>
    <row r="1030" spans="1:9" hidden="1">
      <c r="A1030" s="64" t="s">
        <v>295</v>
      </c>
      <c r="B1030" s="65">
        <v>2026</v>
      </c>
      <c r="C1030" s="65">
        <v>2023</v>
      </c>
      <c r="D1030" s="65" t="s">
        <v>325</v>
      </c>
      <c r="E1030" s="65" t="s">
        <v>305</v>
      </c>
      <c r="F1030" s="65" t="s">
        <v>40</v>
      </c>
      <c r="G1030" s="65"/>
      <c r="H1030" s="65"/>
      <c r="I1030" s="66">
        <v>18674.099999999999</v>
      </c>
    </row>
    <row r="1031" spans="1:9" hidden="1">
      <c r="A1031" s="67" t="s">
        <v>295</v>
      </c>
      <c r="B1031" s="68">
        <v>2026</v>
      </c>
      <c r="C1031" s="68">
        <v>2023</v>
      </c>
      <c r="D1031" s="68" t="s">
        <v>326</v>
      </c>
      <c r="E1031" s="68" t="s">
        <v>294</v>
      </c>
      <c r="F1031" s="68" t="s">
        <v>297</v>
      </c>
      <c r="G1031" s="68"/>
      <c r="H1031" s="68"/>
      <c r="I1031" s="69">
        <v>0</v>
      </c>
    </row>
    <row r="1032" spans="1:9" hidden="1">
      <c r="A1032" s="64" t="s">
        <v>295</v>
      </c>
      <c r="B1032" s="65">
        <v>2026</v>
      </c>
      <c r="C1032" s="65">
        <v>2023</v>
      </c>
      <c r="D1032" s="65" t="s">
        <v>326</v>
      </c>
      <c r="E1032" s="65" t="s">
        <v>294</v>
      </c>
      <c r="F1032" s="65" t="s">
        <v>298</v>
      </c>
      <c r="G1032" s="65"/>
      <c r="H1032" s="65"/>
      <c r="I1032" s="66">
        <v>0</v>
      </c>
    </row>
    <row r="1033" spans="1:9" hidden="1">
      <c r="A1033" s="67" t="s">
        <v>295</v>
      </c>
      <c r="B1033" s="68">
        <v>2026</v>
      </c>
      <c r="C1033" s="68">
        <v>2023</v>
      </c>
      <c r="D1033" s="68" t="s">
        <v>326</v>
      </c>
      <c r="E1033" s="68" t="s">
        <v>294</v>
      </c>
      <c r="F1033" s="68" t="s">
        <v>40</v>
      </c>
      <c r="G1033" s="68"/>
      <c r="H1033" s="68"/>
      <c r="I1033" s="69">
        <v>0</v>
      </c>
    </row>
    <row r="1034" spans="1:9" hidden="1">
      <c r="A1034" s="64" t="s">
        <v>295</v>
      </c>
      <c r="B1034" s="65">
        <v>2026</v>
      </c>
      <c r="C1034" s="65">
        <v>2023</v>
      </c>
      <c r="D1034" s="65" t="s">
        <v>326</v>
      </c>
      <c r="E1034" s="65" t="s">
        <v>301</v>
      </c>
      <c r="F1034" s="65" t="s">
        <v>297</v>
      </c>
      <c r="G1034" s="65"/>
      <c r="H1034" s="65"/>
      <c r="I1034" s="66">
        <v>0</v>
      </c>
    </row>
    <row r="1035" spans="1:9" hidden="1">
      <c r="A1035" s="67" t="s">
        <v>295</v>
      </c>
      <c r="B1035" s="68">
        <v>2026</v>
      </c>
      <c r="C1035" s="68">
        <v>2023</v>
      </c>
      <c r="D1035" s="68" t="s">
        <v>326</v>
      </c>
      <c r="E1035" s="68" t="s">
        <v>301</v>
      </c>
      <c r="F1035" s="68" t="s">
        <v>298</v>
      </c>
      <c r="G1035" s="68"/>
      <c r="H1035" s="68"/>
      <c r="I1035" s="69">
        <v>0</v>
      </c>
    </row>
    <row r="1036" spans="1:9" hidden="1">
      <c r="A1036" s="64" t="s">
        <v>295</v>
      </c>
      <c r="B1036" s="65">
        <v>2026</v>
      </c>
      <c r="C1036" s="65">
        <v>2023</v>
      </c>
      <c r="D1036" s="65" t="s">
        <v>326</v>
      </c>
      <c r="E1036" s="65" t="s">
        <v>301</v>
      </c>
      <c r="F1036" s="65" t="s">
        <v>40</v>
      </c>
      <c r="G1036" s="65"/>
      <c r="H1036" s="65"/>
      <c r="I1036" s="66">
        <v>0</v>
      </c>
    </row>
    <row r="1037" spans="1:9" hidden="1">
      <c r="A1037" s="67" t="s">
        <v>295</v>
      </c>
      <c r="B1037" s="68">
        <v>2026</v>
      </c>
      <c r="C1037" s="68">
        <v>2023</v>
      </c>
      <c r="D1037" s="68" t="s">
        <v>304</v>
      </c>
      <c r="E1037" s="68" t="s">
        <v>294</v>
      </c>
      <c r="F1037" s="68" t="s">
        <v>297</v>
      </c>
      <c r="G1037" s="68"/>
      <c r="H1037" s="68"/>
      <c r="I1037" s="69">
        <v>76323.765480000002</v>
      </c>
    </row>
    <row r="1038" spans="1:9" hidden="1">
      <c r="A1038" s="64" t="s">
        <v>295</v>
      </c>
      <c r="B1038" s="65">
        <v>2026</v>
      </c>
      <c r="C1038" s="65">
        <v>2023</v>
      </c>
      <c r="D1038" s="65" t="s">
        <v>304</v>
      </c>
      <c r="E1038" s="65" t="s">
        <v>294</v>
      </c>
      <c r="F1038" s="65" t="s">
        <v>298</v>
      </c>
      <c r="G1038" s="65"/>
      <c r="H1038" s="65"/>
      <c r="I1038" s="66">
        <v>220936.55974999999</v>
      </c>
    </row>
    <row r="1039" spans="1:9" hidden="1">
      <c r="A1039" s="67" t="s">
        <v>295</v>
      </c>
      <c r="B1039" s="68">
        <v>2026</v>
      </c>
      <c r="C1039" s="68">
        <v>2023</v>
      </c>
      <c r="D1039" s="68" t="s">
        <v>304</v>
      </c>
      <c r="E1039" s="68" t="s">
        <v>294</v>
      </c>
      <c r="F1039" s="68" t="s">
        <v>40</v>
      </c>
      <c r="G1039" s="68"/>
      <c r="H1039" s="68"/>
      <c r="I1039" s="69">
        <v>296981.70522</v>
      </c>
    </row>
    <row r="1040" spans="1:9" hidden="1">
      <c r="A1040" s="64" t="s">
        <v>295</v>
      </c>
      <c r="B1040" s="65">
        <v>2026</v>
      </c>
      <c r="C1040" s="65">
        <v>2023</v>
      </c>
      <c r="D1040" s="65" t="s">
        <v>304</v>
      </c>
      <c r="E1040" s="65" t="s">
        <v>301</v>
      </c>
      <c r="F1040" s="65" t="s">
        <v>297</v>
      </c>
      <c r="G1040" s="65"/>
      <c r="H1040" s="65"/>
      <c r="I1040" s="66">
        <v>77381.911349999995</v>
      </c>
    </row>
    <row r="1041" spans="1:9" hidden="1">
      <c r="A1041" s="67" t="s">
        <v>295</v>
      </c>
      <c r="B1041" s="68">
        <v>2026</v>
      </c>
      <c r="C1041" s="68">
        <v>2023</v>
      </c>
      <c r="D1041" s="68" t="s">
        <v>304</v>
      </c>
      <c r="E1041" s="68" t="s">
        <v>301</v>
      </c>
      <c r="F1041" s="68" t="s">
        <v>298</v>
      </c>
      <c r="G1041" s="68"/>
      <c r="H1041" s="68"/>
      <c r="I1041" s="69">
        <v>225247.31247</v>
      </c>
    </row>
    <row r="1042" spans="1:9" hidden="1">
      <c r="A1042" s="64" t="s">
        <v>295</v>
      </c>
      <c r="B1042" s="65">
        <v>2026</v>
      </c>
      <c r="C1042" s="65">
        <v>2023</v>
      </c>
      <c r="D1042" s="65" t="s">
        <v>304</v>
      </c>
      <c r="E1042" s="65" t="s">
        <v>301</v>
      </c>
      <c r="F1042" s="65" t="s">
        <v>40</v>
      </c>
      <c r="G1042" s="65"/>
      <c r="H1042" s="65"/>
      <c r="I1042" s="66">
        <v>302350.60382000002</v>
      </c>
    </row>
    <row r="1043" spans="1:9" hidden="1">
      <c r="A1043" s="67" t="s">
        <v>295</v>
      </c>
      <c r="B1043" s="68">
        <v>2026</v>
      </c>
      <c r="C1043" s="68">
        <v>2023</v>
      </c>
      <c r="D1043" s="68" t="s">
        <v>304</v>
      </c>
      <c r="E1043" s="68" t="s">
        <v>305</v>
      </c>
      <c r="F1043" s="68" t="s">
        <v>297</v>
      </c>
      <c r="G1043" s="68"/>
      <c r="H1043" s="68"/>
      <c r="I1043" s="69">
        <v>1026.82809</v>
      </c>
    </row>
    <row r="1044" spans="1:9" hidden="1">
      <c r="A1044" s="64" t="s">
        <v>295</v>
      </c>
      <c r="B1044" s="65">
        <v>2026</v>
      </c>
      <c r="C1044" s="65">
        <v>2023</v>
      </c>
      <c r="D1044" s="65" t="s">
        <v>304</v>
      </c>
      <c r="E1044" s="65" t="s">
        <v>305</v>
      </c>
      <c r="F1044" s="65" t="s">
        <v>298</v>
      </c>
      <c r="G1044" s="65"/>
      <c r="H1044" s="65"/>
      <c r="I1044" s="66">
        <v>724.9</v>
      </c>
    </row>
    <row r="1045" spans="1:9" hidden="1">
      <c r="A1045" s="67" t="s">
        <v>295</v>
      </c>
      <c r="B1045" s="68">
        <v>2026</v>
      </c>
      <c r="C1045" s="68">
        <v>2023</v>
      </c>
      <c r="D1045" s="68" t="s">
        <v>304</v>
      </c>
      <c r="E1045" s="68" t="s">
        <v>305</v>
      </c>
      <c r="F1045" s="68" t="s">
        <v>40</v>
      </c>
      <c r="G1045" s="68"/>
      <c r="H1045" s="68"/>
      <c r="I1045" s="69">
        <v>16285.62809</v>
      </c>
    </row>
    <row r="1046" spans="1:9" hidden="1">
      <c r="A1046" s="64" t="s">
        <v>295</v>
      </c>
      <c r="B1046" s="65">
        <v>2026</v>
      </c>
      <c r="C1046" s="65">
        <v>2023</v>
      </c>
      <c r="D1046" s="65" t="s">
        <v>306</v>
      </c>
      <c r="E1046" s="65" t="s">
        <v>294</v>
      </c>
      <c r="F1046" s="65" t="s">
        <v>297</v>
      </c>
      <c r="G1046" s="65"/>
      <c r="H1046" s="65"/>
      <c r="I1046" s="66">
        <v>368922.17524000001</v>
      </c>
    </row>
    <row r="1047" spans="1:9" hidden="1">
      <c r="A1047" s="67" t="s">
        <v>295</v>
      </c>
      <c r="B1047" s="68">
        <v>2026</v>
      </c>
      <c r="C1047" s="68">
        <v>2023</v>
      </c>
      <c r="D1047" s="68" t="s">
        <v>306</v>
      </c>
      <c r="E1047" s="68" t="s">
        <v>294</v>
      </c>
      <c r="F1047" s="68" t="s">
        <v>40</v>
      </c>
      <c r="G1047" s="68"/>
      <c r="H1047" s="68"/>
      <c r="I1047" s="69">
        <v>368922.17524000001</v>
      </c>
    </row>
    <row r="1048" spans="1:9" hidden="1">
      <c r="A1048" s="64" t="s">
        <v>295</v>
      </c>
      <c r="B1048" s="65">
        <v>2026</v>
      </c>
      <c r="C1048" s="65">
        <v>2023</v>
      </c>
      <c r="D1048" s="65" t="s">
        <v>306</v>
      </c>
      <c r="E1048" s="65" t="s">
        <v>301</v>
      </c>
      <c r="F1048" s="65" t="s">
        <v>297</v>
      </c>
      <c r="G1048" s="65"/>
      <c r="H1048" s="65"/>
      <c r="I1048" s="66">
        <v>377719.19059999997</v>
      </c>
    </row>
    <row r="1049" spans="1:9" hidden="1">
      <c r="A1049" s="67" t="s">
        <v>295</v>
      </c>
      <c r="B1049" s="68">
        <v>2026</v>
      </c>
      <c r="C1049" s="68">
        <v>2023</v>
      </c>
      <c r="D1049" s="68" t="s">
        <v>306</v>
      </c>
      <c r="E1049" s="68" t="s">
        <v>301</v>
      </c>
      <c r="F1049" s="68" t="s">
        <v>40</v>
      </c>
      <c r="G1049" s="68"/>
      <c r="H1049" s="68"/>
      <c r="I1049" s="69">
        <v>377719.19059999997</v>
      </c>
    </row>
    <row r="1050" spans="1:9" hidden="1">
      <c r="A1050" s="64" t="s">
        <v>295</v>
      </c>
      <c r="B1050" s="65">
        <v>2026</v>
      </c>
      <c r="C1050" s="65">
        <v>2023</v>
      </c>
      <c r="D1050" s="65" t="s">
        <v>306</v>
      </c>
      <c r="E1050" s="65" t="s">
        <v>305</v>
      </c>
      <c r="F1050" s="65" t="s">
        <v>297</v>
      </c>
      <c r="G1050" s="65"/>
      <c r="H1050" s="65"/>
      <c r="I1050" s="66">
        <v>2020.7103</v>
      </c>
    </row>
    <row r="1051" spans="1:9" hidden="1">
      <c r="A1051" s="67" t="s">
        <v>295</v>
      </c>
      <c r="B1051" s="68">
        <v>2026</v>
      </c>
      <c r="C1051" s="68">
        <v>2023</v>
      </c>
      <c r="D1051" s="68" t="s">
        <v>306</v>
      </c>
      <c r="E1051" s="68" t="s">
        <v>305</v>
      </c>
      <c r="F1051" s="68" t="s">
        <v>40</v>
      </c>
      <c r="G1051" s="68"/>
      <c r="H1051" s="68"/>
      <c r="I1051" s="69">
        <v>28866.310300000001</v>
      </c>
    </row>
    <row r="1052" spans="1:9" hidden="1">
      <c r="A1052" s="64" t="s">
        <v>295</v>
      </c>
      <c r="B1052" s="65">
        <v>2026</v>
      </c>
      <c r="C1052" s="65">
        <v>2023</v>
      </c>
      <c r="D1052" s="65" t="s">
        <v>307</v>
      </c>
      <c r="E1052" s="65" t="s">
        <v>294</v>
      </c>
      <c r="F1052" s="65" t="s">
        <v>40</v>
      </c>
      <c r="G1052" s="65"/>
      <c r="H1052" s="65"/>
      <c r="I1052" s="66">
        <v>-252720.54154000001</v>
      </c>
    </row>
    <row r="1053" spans="1:9" hidden="1">
      <c r="A1053" s="67" t="s">
        <v>295</v>
      </c>
      <c r="B1053" s="68">
        <v>2026</v>
      </c>
      <c r="C1053" s="68">
        <v>2023</v>
      </c>
      <c r="D1053" s="68" t="s">
        <v>307</v>
      </c>
      <c r="E1053" s="68" t="s">
        <v>301</v>
      </c>
      <c r="F1053" s="68" t="s">
        <v>40</v>
      </c>
      <c r="G1053" s="68"/>
      <c r="H1053" s="68"/>
      <c r="I1053" s="69">
        <v>-237416.77751000001</v>
      </c>
    </row>
    <row r="1054" spans="1:9" hidden="1">
      <c r="A1054" s="64" t="s">
        <v>295</v>
      </c>
      <c r="B1054" s="65">
        <v>2026</v>
      </c>
      <c r="C1054" s="65">
        <v>2023</v>
      </c>
      <c r="D1054" s="65" t="s">
        <v>307</v>
      </c>
      <c r="E1054" s="65" t="s">
        <v>305</v>
      </c>
      <c r="F1054" s="65" t="s">
        <v>40</v>
      </c>
      <c r="G1054" s="65"/>
      <c r="H1054" s="65"/>
      <c r="I1054" s="66">
        <v>-21349.374589999999</v>
      </c>
    </row>
    <row r="1055" spans="1:9" hidden="1">
      <c r="A1055" s="67" t="s">
        <v>295</v>
      </c>
      <c r="B1055" s="68">
        <v>2026</v>
      </c>
      <c r="C1055" s="68">
        <v>2023</v>
      </c>
      <c r="D1055" s="68" t="s">
        <v>327</v>
      </c>
      <c r="E1055" s="68" t="s">
        <v>294</v>
      </c>
      <c r="F1055" s="68" t="s">
        <v>40</v>
      </c>
      <c r="G1055" s="68"/>
      <c r="H1055" s="68"/>
      <c r="I1055" s="69">
        <v>-323532.92246999999</v>
      </c>
    </row>
    <row r="1056" spans="1:9" hidden="1">
      <c r="A1056" s="64" t="s">
        <v>295</v>
      </c>
      <c r="B1056" s="65">
        <v>2026</v>
      </c>
      <c r="C1056" s="65">
        <v>2023</v>
      </c>
      <c r="D1056" s="65" t="s">
        <v>327</v>
      </c>
      <c r="E1056" s="65" t="s">
        <v>301</v>
      </c>
      <c r="F1056" s="65" t="s">
        <v>40</v>
      </c>
      <c r="G1056" s="65"/>
      <c r="H1056" s="65"/>
      <c r="I1056" s="66">
        <v>-313497.97639000003</v>
      </c>
    </row>
    <row r="1057" spans="1:9" hidden="1">
      <c r="A1057" s="67" t="s">
        <v>295</v>
      </c>
      <c r="B1057" s="68">
        <v>2026</v>
      </c>
      <c r="C1057" s="68">
        <v>2023</v>
      </c>
      <c r="D1057" s="68" t="s">
        <v>327</v>
      </c>
      <c r="E1057" s="68" t="s">
        <v>305</v>
      </c>
      <c r="F1057" s="68" t="s">
        <v>40</v>
      </c>
      <c r="G1057" s="68"/>
      <c r="H1057" s="68"/>
      <c r="I1057" s="69">
        <v>-21347.326679999998</v>
      </c>
    </row>
    <row r="1058" spans="1:9" hidden="1">
      <c r="A1058" s="64" t="s">
        <v>295</v>
      </c>
      <c r="B1058" s="65">
        <v>2026</v>
      </c>
      <c r="C1058" s="65">
        <v>2023</v>
      </c>
      <c r="D1058" s="65" t="s">
        <v>328</v>
      </c>
      <c r="E1058" s="65" t="s">
        <v>294</v>
      </c>
      <c r="F1058" s="65" t="s">
        <v>40</v>
      </c>
      <c r="G1058" s="65"/>
      <c r="H1058" s="65"/>
      <c r="I1058" s="66">
        <v>36671.332600000002</v>
      </c>
    </row>
    <row r="1059" spans="1:9" hidden="1">
      <c r="A1059" s="67" t="s">
        <v>295</v>
      </c>
      <c r="B1059" s="68">
        <v>2026</v>
      </c>
      <c r="C1059" s="68">
        <v>2023</v>
      </c>
      <c r="D1059" s="68" t="s">
        <v>328</v>
      </c>
      <c r="E1059" s="68" t="s">
        <v>301</v>
      </c>
      <c r="F1059" s="68" t="s">
        <v>40</v>
      </c>
      <c r="G1059" s="68"/>
      <c r="H1059" s="68"/>
      <c r="I1059" s="69">
        <v>40116.2327</v>
      </c>
    </row>
    <row r="1060" spans="1:9" hidden="1">
      <c r="A1060" s="64" t="s">
        <v>295</v>
      </c>
      <c r="B1060" s="65">
        <v>2026</v>
      </c>
      <c r="C1060" s="65">
        <v>2023</v>
      </c>
      <c r="D1060" s="65" t="s">
        <v>328</v>
      </c>
      <c r="E1060" s="65" t="s">
        <v>305</v>
      </c>
      <c r="F1060" s="65" t="s">
        <v>40</v>
      </c>
      <c r="G1060" s="65"/>
      <c r="H1060" s="65"/>
      <c r="I1060" s="66">
        <v>-2358.0027500000001</v>
      </c>
    </row>
    <row r="1061" spans="1:9" hidden="1">
      <c r="A1061" s="67" t="s">
        <v>295</v>
      </c>
      <c r="B1061" s="68">
        <v>2026</v>
      </c>
      <c r="C1061" s="68">
        <v>2023</v>
      </c>
      <c r="D1061" s="68" t="s">
        <v>329</v>
      </c>
      <c r="E1061" s="68" t="s">
        <v>294</v>
      </c>
      <c r="F1061" s="68" t="s">
        <v>40</v>
      </c>
      <c r="G1061" s="68"/>
      <c r="H1061" s="68"/>
      <c r="I1061" s="69">
        <v>14213.43168</v>
      </c>
    </row>
    <row r="1062" spans="1:9" hidden="1">
      <c r="A1062" s="64" t="s">
        <v>295</v>
      </c>
      <c r="B1062" s="65">
        <v>2026</v>
      </c>
      <c r="C1062" s="65">
        <v>2023</v>
      </c>
      <c r="D1062" s="65" t="s">
        <v>329</v>
      </c>
      <c r="E1062" s="65" t="s">
        <v>301</v>
      </c>
      <c r="F1062" s="65" t="s">
        <v>40</v>
      </c>
      <c r="G1062" s="65"/>
      <c r="H1062" s="65"/>
      <c r="I1062" s="66">
        <v>14868.07453</v>
      </c>
    </row>
    <row r="1063" spans="1:9" hidden="1">
      <c r="A1063" s="67" t="s">
        <v>295</v>
      </c>
      <c r="B1063" s="68">
        <v>2026</v>
      </c>
      <c r="C1063" s="68">
        <v>2023</v>
      </c>
      <c r="D1063" s="68" t="s">
        <v>329</v>
      </c>
      <c r="E1063" s="68" t="s">
        <v>305</v>
      </c>
      <c r="F1063" s="68" t="s">
        <v>40</v>
      </c>
      <c r="G1063" s="68"/>
      <c r="H1063" s="68"/>
      <c r="I1063" s="69">
        <v>1077.9835599999999</v>
      </c>
    </row>
    <row r="1064" spans="1:9" hidden="1">
      <c r="A1064" s="64" t="s">
        <v>295</v>
      </c>
      <c r="B1064" s="65">
        <v>2026</v>
      </c>
      <c r="C1064" s="65">
        <v>2023</v>
      </c>
      <c r="D1064" s="65" t="s">
        <v>330</v>
      </c>
      <c r="E1064" s="65" t="s">
        <v>294</v>
      </c>
      <c r="F1064" s="65" t="s">
        <v>40</v>
      </c>
      <c r="G1064" s="65"/>
      <c r="H1064" s="65"/>
      <c r="I1064" s="66">
        <v>14784.032010000001</v>
      </c>
    </row>
    <row r="1065" spans="1:9" hidden="1">
      <c r="A1065" s="67" t="s">
        <v>295</v>
      </c>
      <c r="B1065" s="68">
        <v>2026</v>
      </c>
      <c r="C1065" s="68">
        <v>2023</v>
      </c>
      <c r="D1065" s="68" t="s">
        <v>330</v>
      </c>
      <c r="E1065" s="68" t="s">
        <v>301</v>
      </c>
      <c r="F1065" s="68" t="s">
        <v>40</v>
      </c>
      <c r="G1065" s="68"/>
      <c r="H1065" s="68"/>
      <c r="I1065" s="69">
        <v>14826.243850000001</v>
      </c>
    </row>
    <row r="1066" spans="1:9" hidden="1">
      <c r="A1066" s="64" t="s">
        <v>295</v>
      </c>
      <c r="B1066" s="65">
        <v>2026</v>
      </c>
      <c r="C1066" s="65">
        <v>2023</v>
      </c>
      <c r="D1066" s="65" t="s">
        <v>330</v>
      </c>
      <c r="E1066" s="65" t="s">
        <v>305</v>
      </c>
      <c r="F1066" s="65" t="s">
        <v>40</v>
      </c>
      <c r="G1066" s="65"/>
      <c r="H1066" s="65"/>
      <c r="I1066" s="66">
        <v>769.58648000000005</v>
      </c>
    </row>
    <row r="1067" spans="1:9" hidden="1">
      <c r="A1067" s="67" t="s">
        <v>295</v>
      </c>
      <c r="B1067" s="68">
        <v>2026</v>
      </c>
      <c r="C1067" s="68">
        <v>2023</v>
      </c>
      <c r="D1067" s="68" t="s">
        <v>331</v>
      </c>
      <c r="E1067" s="68" t="s">
        <v>294</v>
      </c>
      <c r="F1067" s="68" t="s">
        <v>40</v>
      </c>
      <c r="G1067" s="68"/>
      <c r="H1067" s="68"/>
      <c r="I1067" s="69">
        <v>35408.373670000001</v>
      </c>
    </row>
    <row r="1068" spans="1:9" hidden="1">
      <c r="A1068" s="64" t="s">
        <v>295</v>
      </c>
      <c r="B1068" s="65">
        <v>2026</v>
      </c>
      <c r="C1068" s="65">
        <v>2023</v>
      </c>
      <c r="D1068" s="65" t="s">
        <v>331</v>
      </c>
      <c r="E1068" s="65" t="s">
        <v>301</v>
      </c>
      <c r="F1068" s="65" t="s">
        <v>40</v>
      </c>
      <c r="G1068" s="65"/>
      <c r="H1068" s="65"/>
      <c r="I1068" s="66">
        <v>36185.921779999997</v>
      </c>
    </row>
    <row r="1069" spans="1:9" hidden="1">
      <c r="A1069" s="67" t="s">
        <v>295</v>
      </c>
      <c r="B1069" s="68">
        <v>2026</v>
      </c>
      <c r="C1069" s="68">
        <v>2023</v>
      </c>
      <c r="D1069" s="68" t="s">
        <v>331</v>
      </c>
      <c r="E1069" s="68" t="s">
        <v>305</v>
      </c>
      <c r="F1069" s="68" t="s">
        <v>40</v>
      </c>
      <c r="G1069" s="68"/>
      <c r="H1069" s="68"/>
      <c r="I1069" s="69">
        <v>2752.5977200000002</v>
      </c>
    </row>
    <row r="1070" spans="1:9" hidden="1">
      <c r="A1070" s="64" t="s">
        <v>295</v>
      </c>
      <c r="B1070" s="65">
        <v>2026</v>
      </c>
      <c r="C1070" s="65">
        <v>2023</v>
      </c>
      <c r="D1070" s="65" t="s">
        <v>332</v>
      </c>
      <c r="E1070" s="65" t="s">
        <v>294</v>
      </c>
      <c r="F1070" s="65" t="s">
        <v>40</v>
      </c>
      <c r="G1070" s="65"/>
      <c r="H1070" s="65"/>
      <c r="I1070" s="66">
        <v>662.16367000000002</v>
      </c>
    </row>
    <row r="1071" spans="1:9" hidden="1">
      <c r="A1071" s="67" t="s">
        <v>295</v>
      </c>
      <c r="B1071" s="68">
        <v>2026</v>
      </c>
      <c r="C1071" s="68">
        <v>2023</v>
      </c>
      <c r="D1071" s="68" t="s">
        <v>332</v>
      </c>
      <c r="E1071" s="68" t="s">
        <v>301</v>
      </c>
      <c r="F1071" s="68" t="s">
        <v>40</v>
      </c>
      <c r="G1071" s="68"/>
      <c r="H1071" s="68"/>
      <c r="I1071" s="69">
        <v>589.65894000000003</v>
      </c>
    </row>
    <row r="1072" spans="1:9" hidden="1">
      <c r="A1072" s="64" t="s">
        <v>295</v>
      </c>
      <c r="B1072" s="65">
        <v>2026</v>
      </c>
      <c r="C1072" s="65">
        <v>2023</v>
      </c>
      <c r="D1072" s="65" t="s">
        <v>332</v>
      </c>
      <c r="E1072" s="65" t="s">
        <v>305</v>
      </c>
      <c r="F1072" s="65" t="s">
        <v>40</v>
      </c>
      <c r="G1072" s="65"/>
      <c r="H1072" s="65"/>
      <c r="I1072" s="66">
        <v>208.92707999999999</v>
      </c>
    </row>
    <row r="1073" spans="1:9" hidden="1">
      <c r="A1073" s="67" t="s">
        <v>295</v>
      </c>
      <c r="B1073" s="68">
        <v>2026</v>
      </c>
      <c r="C1073" s="68">
        <v>2023</v>
      </c>
      <c r="D1073" s="68" t="s">
        <v>333</v>
      </c>
      <c r="E1073" s="68" t="s">
        <v>294</v>
      </c>
      <c r="F1073" s="68" t="s">
        <v>40</v>
      </c>
      <c r="G1073" s="68"/>
      <c r="H1073" s="68"/>
      <c r="I1073" s="69">
        <v>-30790.390950000001</v>
      </c>
    </row>
    <row r="1074" spans="1:9" hidden="1">
      <c r="A1074" s="64" t="s">
        <v>295</v>
      </c>
      <c r="B1074" s="65">
        <v>2026</v>
      </c>
      <c r="C1074" s="65">
        <v>2023</v>
      </c>
      <c r="D1074" s="65" t="s">
        <v>333</v>
      </c>
      <c r="E1074" s="65" t="s">
        <v>301</v>
      </c>
      <c r="F1074" s="65" t="s">
        <v>40</v>
      </c>
      <c r="G1074" s="65"/>
      <c r="H1074" s="65"/>
      <c r="I1074" s="66">
        <v>-30767.031169999998</v>
      </c>
    </row>
    <row r="1075" spans="1:9" hidden="1">
      <c r="A1075" s="67" t="s">
        <v>295</v>
      </c>
      <c r="B1075" s="68">
        <v>2026</v>
      </c>
      <c r="C1075" s="68">
        <v>2023</v>
      </c>
      <c r="D1075" s="68" t="s">
        <v>333</v>
      </c>
      <c r="E1075" s="68" t="s">
        <v>305</v>
      </c>
      <c r="F1075" s="68" t="s">
        <v>40</v>
      </c>
      <c r="G1075" s="68"/>
      <c r="H1075" s="68"/>
      <c r="I1075" s="69">
        <v>-2453.14</v>
      </c>
    </row>
    <row r="1076" spans="1:9" hidden="1">
      <c r="A1076" s="64" t="s">
        <v>295</v>
      </c>
      <c r="B1076" s="65">
        <v>2026</v>
      </c>
      <c r="C1076" s="65">
        <v>2023</v>
      </c>
      <c r="D1076" s="65" t="s">
        <v>334</v>
      </c>
      <c r="E1076" s="65" t="s">
        <v>294</v>
      </c>
      <c r="F1076" s="65" t="s">
        <v>40</v>
      </c>
      <c r="G1076" s="65"/>
      <c r="H1076" s="65"/>
      <c r="I1076" s="66">
        <v>261.87700000000001</v>
      </c>
    </row>
    <row r="1077" spans="1:9" hidden="1">
      <c r="A1077" s="67" t="s">
        <v>295</v>
      </c>
      <c r="B1077" s="68">
        <v>2026</v>
      </c>
      <c r="C1077" s="68">
        <v>2023</v>
      </c>
      <c r="D1077" s="68" t="s">
        <v>334</v>
      </c>
      <c r="E1077" s="68" t="s">
        <v>301</v>
      </c>
      <c r="F1077" s="68" t="s">
        <v>40</v>
      </c>
      <c r="G1077" s="68"/>
      <c r="H1077" s="68"/>
      <c r="I1077" s="69">
        <v>261.87700000000001</v>
      </c>
    </row>
    <row r="1078" spans="1:9" hidden="1">
      <c r="A1078" s="64" t="s">
        <v>295</v>
      </c>
      <c r="B1078" s="65">
        <v>2026</v>
      </c>
      <c r="C1078" s="65">
        <v>2023</v>
      </c>
      <c r="D1078" s="65" t="s">
        <v>308</v>
      </c>
      <c r="E1078" s="65" t="s">
        <v>294</v>
      </c>
      <c r="F1078" s="65" t="s">
        <v>297</v>
      </c>
      <c r="G1078" s="65"/>
      <c r="H1078" s="65"/>
      <c r="I1078" s="66">
        <v>102569.75701</v>
      </c>
    </row>
    <row r="1079" spans="1:9" hidden="1">
      <c r="A1079" s="67" t="s">
        <v>295</v>
      </c>
      <c r="B1079" s="68">
        <v>2026</v>
      </c>
      <c r="C1079" s="68">
        <v>2023</v>
      </c>
      <c r="D1079" s="68" t="s">
        <v>308</v>
      </c>
      <c r="E1079" s="68" t="s">
        <v>294</v>
      </c>
      <c r="F1079" s="68" t="s">
        <v>298</v>
      </c>
      <c r="G1079" s="68"/>
      <c r="H1079" s="68"/>
      <c r="I1079" s="69">
        <v>261.24754000000001</v>
      </c>
    </row>
    <row r="1080" spans="1:9" hidden="1">
      <c r="A1080" s="64" t="s">
        <v>295</v>
      </c>
      <c r="B1080" s="65">
        <v>2026</v>
      </c>
      <c r="C1080" s="65">
        <v>2023</v>
      </c>
      <c r="D1080" s="65" t="s">
        <v>308</v>
      </c>
      <c r="E1080" s="65" t="s">
        <v>294</v>
      </c>
      <c r="F1080" s="65" t="s">
        <v>40</v>
      </c>
      <c r="G1080" s="65"/>
      <c r="H1080" s="65"/>
      <c r="I1080" s="66">
        <v>102831.00456</v>
      </c>
    </row>
    <row r="1081" spans="1:9" hidden="1">
      <c r="A1081" s="67" t="s">
        <v>295</v>
      </c>
      <c r="B1081" s="68">
        <v>2026</v>
      </c>
      <c r="C1081" s="68">
        <v>2023</v>
      </c>
      <c r="D1081" s="68" t="s">
        <v>308</v>
      </c>
      <c r="E1081" s="68" t="s">
        <v>301</v>
      </c>
      <c r="F1081" s="68" t="s">
        <v>297</v>
      </c>
      <c r="G1081" s="68"/>
      <c r="H1081" s="68"/>
      <c r="I1081" s="69">
        <v>103365.6327</v>
      </c>
    </row>
    <row r="1082" spans="1:9" hidden="1">
      <c r="A1082" s="64" t="s">
        <v>295</v>
      </c>
      <c r="B1082" s="65">
        <v>2026</v>
      </c>
      <c r="C1082" s="65">
        <v>2023</v>
      </c>
      <c r="D1082" s="65" t="s">
        <v>308</v>
      </c>
      <c r="E1082" s="65" t="s">
        <v>301</v>
      </c>
      <c r="F1082" s="65" t="s">
        <v>298</v>
      </c>
      <c r="G1082" s="65"/>
      <c r="H1082" s="65"/>
      <c r="I1082" s="66">
        <v>261.24754000000001</v>
      </c>
    </row>
    <row r="1083" spans="1:9" hidden="1">
      <c r="A1083" s="67" t="s">
        <v>295</v>
      </c>
      <c r="B1083" s="68">
        <v>2026</v>
      </c>
      <c r="C1083" s="68">
        <v>2023</v>
      </c>
      <c r="D1083" s="68" t="s">
        <v>308</v>
      </c>
      <c r="E1083" s="68" t="s">
        <v>301</v>
      </c>
      <c r="F1083" s="68" t="s">
        <v>40</v>
      </c>
      <c r="G1083" s="68"/>
      <c r="H1083" s="68"/>
      <c r="I1083" s="69">
        <v>103626.88025</v>
      </c>
    </row>
    <row r="1084" spans="1:9" hidden="1">
      <c r="A1084" s="64" t="s">
        <v>295</v>
      </c>
      <c r="B1084" s="65">
        <v>2026</v>
      </c>
      <c r="C1084" s="65">
        <v>2023</v>
      </c>
      <c r="D1084" s="65" t="s">
        <v>308</v>
      </c>
      <c r="E1084" s="65" t="s">
        <v>305</v>
      </c>
      <c r="F1084" s="65" t="s">
        <v>297</v>
      </c>
      <c r="G1084" s="65"/>
      <c r="H1084" s="65"/>
      <c r="I1084" s="66">
        <v>1557.98325</v>
      </c>
    </row>
    <row r="1085" spans="1:9" hidden="1">
      <c r="A1085" s="67" t="s">
        <v>295</v>
      </c>
      <c r="B1085" s="68">
        <v>2026</v>
      </c>
      <c r="C1085" s="68">
        <v>2023</v>
      </c>
      <c r="D1085" s="68" t="s">
        <v>308</v>
      </c>
      <c r="E1085" s="68" t="s">
        <v>305</v>
      </c>
      <c r="F1085" s="68" t="s">
        <v>40</v>
      </c>
      <c r="G1085" s="68"/>
      <c r="H1085" s="68"/>
      <c r="I1085" s="69">
        <v>10638.58325</v>
      </c>
    </row>
    <row r="1086" spans="1:9" hidden="1">
      <c r="A1086" s="64" t="s">
        <v>295</v>
      </c>
      <c r="B1086" s="65">
        <v>2026</v>
      </c>
      <c r="C1086" s="65">
        <v>2023</v>
      </c>
      <c r="D1086" s="65" t="s">
        <v>310</v>
      </c>
      <c r="E1086" s="65" t="s">
        <v>294</v>
      </c>
      <c r="F1086" s="65" t="s">
        <v>297</v>
      </c>
      <c r="G1086" s="65"/>
      <c r="H1086" s="65"/>
      <c r="I1086" s="66">
        <v>121</v>
      </c>
    </row>
    <row r="1087" spans="1:9" hidden="1">
      <c r="A1087" s="67" t="s">
        <v>295</v>
      </c>
      <c r="B1087" s="68">
        <v>2026</v>
      </c>
      <c r="C1087" s="68">
        <v>2023</v>
      </c>
      <c r="D1087" s="68" t="s">
        <v>310</v>
      </c>
      <c r="E1087" s="68" t="s">
        <v>294</v>
      </c>
      <c r="F1087" s="68" t="s">
        <v>40</v>
      </c>
      <c r="G1087" s="68"/>
      <c r="H1087" s="68"/>
      <c r="I1087" s="69">
        <v>113083.8294477556</v>
      </c>
    </row>
    <row r="1088" spans="1:9" hidden="1">
      <c r="A1088" s="64" t="s">
        <v>295</v>
      </c>
      <c r="B1088" s="65">
        <v>2026</v>
      </c>
      <c r="C1088" s="65">
        <v>2023</v>
      </c>
      <c r="D1088" s="65" t="s">
        <v>310</v>
      </c>
      <c r="E1088" s="65" t="s">
        <v>301</v>
      </c>
      <c r="F1088" s="65" t="s">
        <v>297</v>
      </c>
      <c r="G1088" s="65"/>
      <c r="H1088" s="65"/>
      <c r="I1088" s="66">
        <v>121</v>
      </c>
    </row>
    <row r="1089" spans="1:9" hidden="1">
      <c r="A1089" s="67" t="s">
        <v>295</v>
      </c>
      <c r="B1089" s="68">
        <v>2026</v>
      </c>
      <c r="C1089" s="68">
        <v>2023</v>
      </c>
      <c r="D1089" s="68" t="s">
        <v>310</v>
      </c>
      <c r="E1089" s="68" t="s">
        <v>301</v>
      </c>
      <c r="F1089" s="68" t="s">
        <v>40</v>
      </c>
      <c r="G1089" s="68"/>
      <c r="H1089" s="68"/>
      <c r="I1089" s="69">
        <v>118104.1750877556</v>
      </c>
    </row>
    <row r="1090" spans="1:9" hidden="1">
      <c r="A1090" s="64" t="s">
        <v>295</v>
      </c>
      <c r="B1090" s="65">
        <v>2026</v>
      </c>
      <c r="C1090" s="65">
        <v>2023</v>
      </c>
      <c r="D1090" s="65" t="s">
        <v>310</v>
      </c>
      <c r="E1090" s="65" t="s">
        <v>305</v>
      </c>
      <c r="F1090" s="65" t="s">
        <v>40</v>
      </c>
      <c r="G1090" s="65"/>
      <c r="H1090" s="65"/>
      <c r="I1090" s="66">
        <v>977.47261000000003</v>
      </c>
    </row>
    <row r="1091" spans="1:9" hidden="1">
      <c r="A1091" s="67" t="s">
        <v>295</v>
      </c>
      <c r="B1091" s="68">
        <v>2026</v>
      </c>
      <c r="C1091" s="68">
        <v>2023</v>
      </c>
      <c r="D1091" s="68" t="s">
        <v>311</v>
      </c>
      <c r="E1091" s="68" t="s">
        <v>294</v>
      </c>
      <c r="F1091" s="68" t="s">
        <v>297</v>
      </c>
      <c r="G1091" s="68"/>
      <c r="H1091" s="68"/>
      <c r="I1091" s="69">
        <v>574.29999999999995</v>
      </c>
    </row>
    <row r="1092" spans="1:9" hidden="1">
      <c r="A1092" s="64" t="s">
        <v>295</v>
      </c>
      <c r="B1092" s="65">
        <v>2026</v>
      </c>
      <c r="C1092" s="65">
        <v>2023</v>
      </c>
      <c r="D1092" s="65" t="s">
        <v>311</v>
      </c>
      <c r="E1092" s="65" t="s">
        <v>294</v>
      </c>
      <c r="F1092" s="65" t="s">
        <v>40</v>
      </c>
      <c r="G1092" s="65"/>
      <c r="H1092" s="65"/>
      <c r="I1092" s="66">
        <v>138737.47233080171</v>
      </c>
    </row>
    <row r="1093" spans="1:9" hidden="1">
      <c r="A1093" s="67" t="s">
        <v>295</v>
      </c>
      <c r="B1093" s="68">
        <v>2026</v>
      </c>
      <c r="C1093" s="68">
        <v>2023</v>
      </c>
      <c r="D1093" s="68" t="s">
        <v>311</v>
      </c>
      <c r="E1093" s="68" t="s">
        <v>301</v>
      </c>
      <c r="F1093" s="68" t="s">
        <v>297</v>
      </c>
      <c r="G1093" s="68"/>
      <c r="H1093" s="68"/>
      <c r="I1093" s="69">
        <v>574.29999999999995</v>
      </c>
    </row>
    <row r="1094" spans="1:9" hidden="1">
      <c r="A1094" s="64" t="s">
        <v>295</v>
      </c>
      <c r="B1094" s="65">
        <v>2026</v>
      </c>
      <c r="C1094" s="65">
        <v>2023</v>
      </c>
      <c r="D1094" s="65" t="s">
        <v>311</v>
      </c>
      <c r="E1094" s="65" t="s">
        <v>301</v>
      </c>
      <c r="F1094" s="65" t="s">
        <v>40</v>
      </c>
      <c r="G1094" s="65"/>
      <c r="H1094" s="65"/>
      <c r="I1094" s="66">
        <v>139489.76578080171</v>
      </c>
    </row>
    <row r="1095" spans="1:9" hidden="1">
      <c r="A1095" s="67" t="s">
        <v>295</v>
      </c>
      <c r="B1095" s="68">
        <v>2026</v>
      </c>
      <c r="C1095" s="68">
        <v>2023</v>
      </c>
      <c r="D1095" s="68" t="s">
        <v>311</v>
      </c>
      <c r="E1095" s="68" t="s">
        <v>305</v>
      </c>
      <c r="F1095" s="68" t="s">
        <v>40</v>
      </c>
      <c r="G1095" s="68"/>
      <c r="H1095" s="68"/>
      <c r="I1095" s="69">
        <v>679.59999999999991</v>
      </c>
    </row>
    <row r="1096" spans="1:9" hidden="1">
      <c r="A1096" s="64" t="s">
        <v>295</v>
      </c>
      <c r="B1096" s="65">
        <v>2026</v>
      </c>
      <c r="C1096" s="65">
        <v>2023</v>
      </c>
      <c r="D1096" s="65" t="s">
        <v>312</v>
      </c>
      <c r="E1096" s="65" t="s">
        <v>294</v>
      </c>
      <c r="F1096" s="65" t="s">
        <v>297</v>
      </c>
      <c r="G1096" s="65"/>
      <c r="H1096" s="65"/>
      <c r="I1096" s="66">
        <v>743.06056000000001</v>
      </c>
    </row>
    <row r="1097" spans="1:9" hidden="1">
      <c r="A1097" s="67" t="s">
        <v>295</v>
      </c>
      <c r="B1097" s="68">
        <v>2026</v>
      </c>
      <c r="C1097" s="68">
        <v>2023</v>
      </c>
      <c r="D1097" s="68" t="s">
        <v>312</v>
      </c>
      <c r="E1097" s="68" t="s">
        <v>294</v>
      </c>
      <c r="F1097" s="68" t="s">
        <v>40</v>
      </c>
      <c r="G1097" s="68"/>
      <c r="H1097" s="68"/>
      <c r="I1097" s="69">
        <v>886.96055999999999</v>
      </c>
    </row>
    <row r="1098" spans="1:9" hidden="1">
      <c r="A1098" s="64" t="s">
        <v>295</v>
      </c>
      <c r="B1098" s="65">
        <v>2026</v>
      </c>
      <c r="C1098" s="65">
        <v>2023</v>
      </c>
      <c r="D1098" s="65" t="s">
        <v>312</v>
      </c>
      <c r="E1098" s="65" t="s">
        <v>301</v>
      </c>
      <c r="F1098" s="65" t="s">
        <v>297</v>
      </c>
      <c r="G1098" s="65"/>
      <c r="H1098" s="65"/>
      <c r="I1098" s="66">
        <v>743.86111000000005</v>
      </c>
    </row>
    <row r="1099" spans="1:9" hidden="1">
      <c r="A1099" s="67" t="s">
        <v>295</v>
      </c>
      <c r="B1099" s="68">
        <v>2026</v>
      </c>
      <c r="C1099" s="68">
        <v>2023</v>
      </c>
      <c r="D1099" s="68" t="s">
        <v>312</v>
      </c>
      <c r="E1099" s="68" t="s">
        <v>301</v>
      </c>
      <c r="F1099" s="68" t="s">
        <v>40</v>
      </c>
      <c r="G1099" s="68"/>
      <c r="H1099" s="68"/>
      <c r="I1099" s="69">
        <v>887.76111000000003</v>
      </c>
    </row>
    <row r="1100" spans="1:9" hidden="1">
      <c r="A1100" s="64" t="s">
        <v>295</v>
      </c>
      <c r="B1100" s="65">
        <v>2026</v>
      </c>
      <c r="C1100" s="65">
        <v>2023</v>
      </c>
      <c r="D1100" s="65" t="s">
        <v>313</v>
      </c>
      <c r="E1100" s="65" t="s">
        <v>294</v>
      </c>
      <c r="F1100" s="65" t="s">
        <v>297</v>
      </c>
      <c r="G1100" s="65"/>
      <c r="H1100" s="65"/>
      <c r="I1100" s="66">
        <v>1924069.45878</v>
      </c>
    </row>
    <row r="1101" spans="1:9" hidden="1">
      <c r="A1101" s="67" t="s">
        <v>295</v>
      </c>
      <c r="B1101" s="68">
        <v>2026</v>
      </c>
      <c r="C1101" s="68">
        <v>2023</v>
      </c>
      <c r="D1101" s="68" t="s">
        <v>313</v>
      </c>
      <c r="E1101" s="68" t="s">
        <v>294</v>
      </c>
      <c r="F1101" s="68" t="s">
        <v>298</v>
      </c>
      <c r="G1101" s="68"/>
      <c r="H1101" s="68"/>
      <c r="I1101" s="69">
        <v>1070719.3015699999</v>
      </c>
    </row>
    <row r="1102" spans="1:9" hidden="1">
      <c r="A1102" s="64" t="s">
        <v>295</v>
      </c>
      <c r="B1102" s="65">
        <v>2026</v>
      </c>
      <c r="C1102" s="65">
        <v>2023</v>
      </c>
      <c r="D1102" s="65" t="s">
        <v>313</v>
      </c>
      <c r="E1102" s="65" t="s">
        <v>294</v>
      </c>
      <c r="F1102" s="65" t="s">
        <v>40</v>
      </c>
      <c r="G1102" s="65"/>
      <c r="H1102" s="65"/>
      <c r="I1102" s="66">
        <v>3011259.6148199998</v>
      </c>
    </row>
    <row r="1103" spans="1:9" hidden="1">
      <c r="A1103" s="67" t="s">
        <v>295</v>
      </c>
      <c r="B1103" s="68">
        <v>2026</v>
      </c>
      <c r="C1103" s="68">
        <v>2023</v>
      </c>
      <c r="D1103" s="68" t="s">
        <v>313</v>
      </c>
      <c r="E1103" s="68" t="s">
        <v>301</v>
      </c>
      <c r="F1103" s="68" t="s">
        <v>297</v>
      </c>
      <c r="G1103" s="68"/>
      <c r="H1103" s="68"/>
      <c r="I1103" s="69">
        <v>1994903.2228399999</v>
      </c>
    </row>
    <row r="1104" spans="1:9" hidden="1">
      <c r="A1104" s="64" t="s">
        <v>295</v>
      </c>
      <c r="B1104" s="65">
        <v>2026</v>
      </c>
      <c r="C1104" s="65">
        <v>2023</v>
      </c>
      <c r="D1104" s="65" t="s">
        <v>313</v>
      </c>
      <c r="E1104" s="65" t="s">
        <v>301</v>
      </c>
      <c r="F1104" s="65" t="s">
        <v>298</v>
      </c>
      <c r="G1104" s="65"/>
      <c r="H1104" s="65"/>
      <c r="I1104" s="66">
        <v>1134999.6102400001</v>
      </c>
    </row>
    <row r="1105" spans="1:9" hidden="1">
      <c r="A1105" s="67" t="s">
        <v>295</v>
      </c>
      <c r="B1105" s="68">
        <v>2026</v>
      </c>
      <c r="C1105" s="68">
        <v>2023</v>
      </c>
      <c r="D1105" s="68" t="s">
        <v>313</v>
      </c>
      <c r="E1105" s="68" t="s">
        <v>301</v>
      </c>
      <c r="F1105" s="68" t="s">
        <v>40</v>
      </c>
      <c r="G1105" s="68"/>
      <c r="H1105" s="68"/>
      <c r="I1105" s="69">
        <v>3147490.52446</v>
      </c>
    </row>
    <row r="1106" spans="1:9" hidden="1">
      <c r="A1106" s="64" t="s">
        <v>295</v>
      </c>
      <c r="B1106" s="65">
        <v>2026</v>
      </c>
      <c r="C1106" s="65">
        <v>2023</v>
      </c>
      <c r="D1106" s="65" t="s">
        <v>313</v>
      </c>
      <c r="E1106" s="65" t="s">
        <v>305</v>
      </c>
      <c r="F1106" s="65" t="s">
        <v>297</v>
      </c>
      <c r="G1106" s="65"/>
      <c r="H1106" s="65"/>
      <c r="I1106" s="66">
        <v>15238.63134</v>
      </c>
    </row>
    <row r="1107" spans="1:9" hidden="1">
      <c r="A1107" s="67" t="s">
        <v>295</v>
      </c>
      <c r="B1107" s="68">
        <v>2026</v>
      </c>
      <c r="C1107" s="68">
        <v>2023</v>
      </c>
      <c r="D1107" s="68" t="s">
        <v>313</v>
      </c>
      <c r="E1107" s="68" t="s">
        <v>305</v>
      </c>
      <c r="F1107" s="68" t="s">
        <v>298</v>
      </c>
      <c r="G1107" s="68"/>
      <c r="H1107" s="68"/>
      <c r="I1107" s="69">
        <v>9176.3343700000005</v>
      </c>
    </row>
    <row r="1108" spans="1:9" hidden="1">
      <c r="A1108" s="64" t="s">
        <v>295</v>
      </c>
      <c r="B1108" s="65">
        <v>2026</v>
      </c>
      <c r="C1108" s="65">
        <v>2023</v>
      </c>
      <c r="D1108" s="65" t="s">
        <v>313</v>
      </c>
      <c r="E1108" s="65" t="s">
        <v>305</v>
      </c>
      <c r="F1108" s="65" t="s">
        <v>40</v>
      </c>
      <c r="G1108" s="65"/>
      <c r="H1108" s="65"/>
      <c r="I1108" s="66">
        <v>190257.79681999999</v>
      </c>
    </row>
    <row r="1109" spans="1:9" hidden="1">
      <c r="A1109" s="67" t="s">
        <v>295</v>
      </c>
      <c r="B1109" s="68">
        <v>2026</v>
      </c>
      <c r="C1109" s="68">
        <v>2023</v>
      </c>
      <c r="D1109" s="68" t="s">
        <v>314</v>
      </c>
      <c r="E1109" s="68" t="s">
        <v>294</v>
      </c>
      <c r="F1109" s="68" t="s">
        <v>297</v>
      </c>
      <c r="G1109" s="68"/>
      <c r="H1109" s="68"/>
      <c r="I1109" s="69">
        <v>1924069.3587799999</v>
      </c>
    </row>
    <row r="1110" spans="1:9" hidden="1">
      <c r="A1110" s="64" t="s">
        <v>295</v>
      </c>
      <c r="B1110" s="65">
        <v>2026</v>
      </c>
      <c r="C1110" s="65">
        <v>2023</v>
      </c>
      <c r="D1110" s="65" t="s">
        <v>314</v>
      </c>
      <c r="E1110" s="65" t="s">
        <v>294</v>
      </c>
      <c r="F1110" s="65" t="s">
        <v>298</v>
      </c>
      <c r="G1110" s="65"/>
      <c r="H1110" s="65"/>
      <c r="I1110" s="66">
        <v>1070719.3015699999</v>
      </c>
    </row>
    <row r="1111" spans="1:9" hidden="1">
      <c r="A1111" s="67" t="s">
        <v>295</v>
      </c>
      <c r="B1111" s="68">
        <v>2026</v>
      </c>
      <c r="C1111" s="68">
        <v>2023</v>
      </c>
      <c r="D1111" s="68" t="s">
        <v>314</v>
      </c>
      <c r="E1111" s="68" t="s">
        <v>294</v>
      </c>
      <c r="F1111" s="68" t="s">
        <v>40</v>
      </c>
      <c r="G1111" s="68"/>
      <c r="H1111" s="68"/>
      <c r="I1111" s="69">
        <v>2758538.99327</v>
      </c>
    </row>
    <row r="1112" spans="1:9" hidden="1">
      <c r="A1112" s="64" t="s">
        <v>295</v>
      </c>
      <c r="B1112" s="65">
        <v>2026</v>
      </c>
      <c r="C1112" s="65">
        <v>2023</v>
      </c>
      <c r="D1112" s="65" t="s">
        <v>314</v>
      </c>
      <c r="E1112" s="65" t="s">
        <v>301</v>
      </c>
      <c r="F1112" s="65" t="s">
        <v>297</v>
      </c>
      <c r="G1112" s="65"/>
      <c r="H1112" s="65"/>
      <c r="I1112" s="66">
        <v>1994903.1228400001</v>
      </c>
    </row>
    <row r="1113" spans="1:9" hidden="1">
      <c r="A1113" s="67" t="s">
        <v>295</v>
      </c>
      <c r="B1113" s="68">
        <v>2026</v>
      </c>
      <c r="C1113" s="68">
        <v>2023</v>
      </c>
      <c r="D1113" s="68" t="s">
        <v>314</v>
      </c>
      <c r="E1113" s="68" t="s">
        <v>301</v>
      </c>
      <c r="F1113" s="68" t="s">
        <v>298</v>
      </c>
      <c r="G1113" s="68"/>
      <c r="H1113" s="68"/>
      <c r="I1113" s="69">
        <v>1134999.6102400001</v>
      </c>
    </row>
    <row r="1114" spans="1:9" hidden="1">
      <c r="A1114" s="64" t="s">
        <v>295</v>
      </c>
      <c r="B1114" s="65">
        <v>2026</v>
      </c>
      <c r="C1114" s="65">
        <v>2023</v>
      </c>
      <c r="D1114" s="65" t="s">
        <v>314</v>
      </c>
      <c r="E1114" s="65" t="s">
        <v>301</v>
      </c>
      <c r="F1114" s="65" t="s">
        <v>40</v>
      </c>
      <c r="G1114" s="65"/>
      <c r="H1114" s="65"/>
      <c r="I1114" s="66">
        <v>2910065.6094</v>
      </c>
    </row>
    <row r="1115" spans="1:9" hidden="1">
      <c r="A1115" s="67" t="s">
        <v>295</v>
      </c>
      <c r="B1115" s="68">
        <v>2026</v>
      </c>
      <c r="C1115" s="68">
        <v>2023</v>
      </c>
      <c r="D1115" s="68" t="s">
        <v>314</v>
      </c>
      <c r="E1115" s="68" t="s">
        <v>305</v>
      </c>
      <c r="F1115" s="68" t="s">
        <v>297</v>
      </c>
      <c r="G1115" s="68"/>
      <c r="H1115" s="68"/>
      <c r="I1115" s="69">
        <v>15238.63134</v>
      </c>
    </row>
    <row r="1116" spans="1:9" hidden="1">
      <c r="A1116" s="64" t="s">
        <v>295</v>
      </c>
      <c r="B1116" s="65">
        <v>2026</v>
      </c>
      <c r="C1116" s="65">
        <v>2023</v>
      </c>
      <c r="D1116" s="65" t="s">
        <v>314</v>
      </c>
      <c r="E1116" s="65" t="s">
        <v>305</v>
      </c>
      <c r="F1116" s="65" t="s">
        <v>298</v>
      </c>
      <c r="G1116" s="65"/>
      <c r="H1116" s="65"/>
      <c r="I1116" s="66">
        <v>9176.3343700000005</v>
      </c>
    </row>
    <row r="1117" spans="1:9" hidden="1">
      <c r="A1117" s="67" t="s">
        <v>295</v>
      </c>
      <c r="B1117" s="68">
        <v>2026</v>
      </c>
      <c r="C1117" s="68">
        <v>2023</v>
      </c>
      <c r="D1117" s="68" t="s">
        <v>314</v>
      </c>
      <c r="E1117" s="68" t="s">
        <v>305</v>
      </c>
      <c r="F1117" s="68" t="s">
        <v>40</v>
      </c>
      <c r="G1117" s="68"/>
      <c r="H1117" s="68"/>
      <c r="I1117" s="69">
        <v>169209.58223</v>
      </c>
    </row>
    <row r="1118" spans="1:9" hidden="1">
      <c r="A1118" s="64" t="s">
        <v>295</v>
      </c>
      <c r="B1118" s="65">
        <v>2027</v>
      </c>
      <c r="C1118" s="65">
        <v>2023</v>
      </c>
      <c r="D1118" s="65" t="s">
        <v>296</v>
      </c>
      <c r="E1118" s="65" t="s">
        <v>294</v>
      </c>
      <c r="F1118" s="65" t="s">
        <v>297</v>
      </c>
      <c r="G1118" s="65"/>
      <c r="H1118" s="65"/>
      <c r="I1118" s="66">
        <v>1336158.7481500001</v>
      </c>
    </row>
    <row r="1119" spans="1:9" hidden="1">
      <c r="A1119" s="67" t="s">
        <v>295</v>
      </c>
      <c r="B1119" s="68">
        <v>2027</v>
      </c>
      <c r="C1119" s="68">
        <v>2023</v>
      </c>
      <c r="D1119" s="68" t="s">
        <v>296</v>
      </c>
      <c r="E1119" s="68" t="s">
        <v>294</v>
      </c>
      <c r="F1119" s="68" t="s">
        <v>298</v>
      </c>
      <c r="G1119" s="68"/>
      <c r="H1119" s="68"/>
      <c r="I1119" s="69">
        <v>783161.61462999997</v>
      </c>
    </row>
    <row r="1120" spans="1:9" hidden="1">
      <c r="A1120" s="64" t="s">
        <v>295</v>
      </c>
      <c r="B1120" s="65">
        <v>2027</v>
      </c>
      <c r="C1120" s="65">
        <v>2023</v>
      </c>
      <c r="D1120" s="65" t="s">
        <v>296</v>
      </c>
      <c r="E1120" s="65" t="s">
        <v>294</v>
      </c>
      <c r="F1120" s="65" t="s">
        <v>40</v>
      </c>
      <c r="G1120" s="65"/>
      <c r="H1120" s="65"/>
      <c r="I1120" s="66">
        <v>2136144.0229400001</v>
      </c>
    </row>
    <row r="1121" spans="1:9" hidden="1">
      <c r="A1121" s="67" t="s">
        <v>295</v>
      </c>
      <c r="B1121" s="68">
        <v>2027</v>
      </c>
      <c r="C1121" s="68">
        <v>2023</v>
      </c>
      <c r="D1121" s="68" t="s">
        <v>296</v>
      </c>
      <c r="E1121" s="68" t="s">
        <v>301</v>
      </c>
      <c r="F1121" s="68" t="s">
        <v>297</v>
      </c>
      <c r="G1121" s="68"/>
      <c r="H1121" s="68"/>
      <c r="I1121" s="69">
        <v>1408708.3302</v>
      </c>
    </row>
    <row r="1122" spans="1:9" hidden="1">
      <c r="A1122" s="64" t="s">
        <v>295</v>
      </c>
      <c r="B1122" s="65">
        <v>2027</v>
      </c>
      <c r="C1122" s="65">
        <v>2023</v>
      </c>
      <c r="D1122" s="65" t="s">
        <v>296</v>
      </c>
      <c r="E1122" s="65" t="s">
        <v>301</v>
      </c>
      <c r="F1122" s="65" t="s">
        <v>298</v>
      </c>
      <c r="G1122" s="65"/>
      <c r="H1122" s="65"/>
      <c r="I1122" s="66">
        <v>847755.16275999998</v>
      </c>
    </row>
    <row r="1123" spans="1:9" hidden="1">
      <c r="A1123" s="67" t="s">
        <v>295</v>
      </c>
      <c r="B1123" s="68">
        <v>2027</v>
      </c>
      <c r="C1123" s="68">
        <v>2023</v>
      </c>
      <c r="D1123" s="68" t="s">
        <v>296</v>
      </c>
      <c r="E1123" s="68" t="s">
        <v>301</v>
      </c>
      <c r="F1123" s="68" t="s">
        <v>40</v>
      </c>
      <c r="G1123" s="68"/>
      <c r="H1123" s="68"/>
      <c r="I1123" s="69">
        <v>2274462.00722</v>
      </c>
    </row>
    <row r="1124" spans="1:9" hidden="1">
      <c r="A1124" s="64" t="s">
        <v>295</v>
      </c>
      <c r="B1124" s="65">
        <v>2027</v>
      </c>
      <c r="C1124" s="65">
        <v>2023</v>
      </c>
      <c r="D1124" s="65" t="s">
        <v>296</v>
      </c>
      <c r="E1124" s="65" t="s">
        <v>305</v>
      </c>
      <c r="F1124" s="65" t="s">
        <v>297</v>
      </c>
      <c r="G1124" s="65"/>
      <c r="H1124" s="65"/>
      <c r="I1124" s="66">
        <v>10744.22774</v>
      </c>
    </row>
    <row r="1125" spans="1:9" hidden="1">
      <c r="A1125" s="67" t="s">
        <v>295</v>
      </c>
      <c r="B1125" s="68">
        <v>2027</v>
      </c>
      <c r="C1125" s="68">
        <v>2023</v>
      </c>
      <c r="D1125" s="68" t="s">
        <v>296</v>
      </c>
      <c r="E1125" s="68" t="s">
        <v>305</v>
      </c>
      <c r="F1125" s="68" t="s">
        <v>298</v>
      </c>
      <c r="G1125" s="68"/>
      <c r="H1125" s="68"/>
      <c r="I1125" s="69">
        <v>8468.0839099999994</v>
      </c>
    </row>
    <row r="1126" spans="1:9" hidden="1">
      <c r="A1126" s="64" t="s">
        <v>295</v>
      </c>
      <c r="B1126" s="65">
        <v>2027</v>
      </c>
      <c r="C1126" s="65">
        <v>2023</v>
      </c>
      <c r="D1126" s="65" t="s">
        <v>296</v>
      </c>
      <c r="E1126" s="65" t="s">
        <v>305</v>
      </c>
      <c r="F1126" s="65" t="s">
        <v>40</v>
      </c>
      <c r="G1126" s="65"/>
      <c r="H1126" s="65"/>
      <c r="I1126" s="66">
        <v>135702.46612999999</v>
      </c>
    </row>
    <row r="1127" spans="1:9" hidden="1">
      <c r="A1127" s="67" t="s">
        <v>295</v>
      </c>
      <c r="B1127" s="68">
        <v>2027</v>
      </c>
      <c r="C1127" s="68">
        <v>2023</v>
      </c>
      <c r="D1127" s="68" t="s">
        <v>309</v>
      </c>
      <c r="E1127" s="68" t="s">
        <v>294</v>
      </c>
      <c r="F1127" s="68" t="s">
        <v>297</v>
      </c>
      <c r="G1127" s="68"/>
      <c r="H1127" s="68"/>
      <c r="I1127" s="69">
        <v>56121.317649999997</v>
      </c>
    </row>
    <row r="1128" spans="1:9" hidden="1">
      <c r="A1128" s="64" t="s">
        <v>295</v>
      </c>
      <c r="B1128" s="65">
        <v>2027</v>
      </c>
      <c r="C1128" s="65">
        <v>2023</v>
      </c>
      <c r="D1128" s="65" t="s">
        <v>309</v>
      </c>
      <c r="E1128" s="65" t="s">
        <v>294</v>
      </c>
      <c r="F1128" s="65" t="s">
        <v>298</v>
      </c>
      <c r="G1128" s="65"/>
      <c r="H1128" s="65"/>
      <c r="I1128" s="66">
        <v>506791.60496999999</v>
      </c>
    </row>
    <row r="1129" spans="1:9" hidden="1">
      <c r="A1129" s="67" t="s">
        <v>295</v>
      </c>
      <c r="B1129" s="68">
        <v>2027</v>
      </c>
      <c r="C1129" s="68">
        <v>2023</v>
      </c>
      <c r="D1129" s="68" t="s">
        <v>309</v>
      </c>
      <c r="E1129" s="68" t="s">
        <v>294</v>
      </c>
      <c r="F1129" s="68" t="s">
        <v>40</v>
      </c>
      <c r="G1129" s="68"/>
      <c r="H1129" s="68"/>
      <c r="I1129" s="69">
        <v>562912.68263000005</v>
      </c>
    </row>
    <row r="1130" spans="1:9" hidden="1">
      <c r="A1130" s="64" t="s">
        <v>295</v>
      </c>
      <c r="B1130" s="65">
        <v>2027</v>
      </c>
      <c r="C1130" s="65">
        <v>2023</v>
      </c>
      <c r="D1130" s="65" t="s">
        <v>309</v>
      </c>
      <c r="E1130" s="65" t="s">
        <v>301</v>
      </c>
      <c r="F1130" s="65" t="s">
        <v>297</v>
      </c>
      <c r="G1130" s="65"/>
      <c r="H1130" s="65"/>
      <c r="I1130" s="66">
        <v>61082.226820000003</v>
      </c>
    </row>
    <row r="1131" spans="1:9" hidden="1">
      <c r="A1131" s="67" t="s">
        <v>295</v>
      </c>
      <c r="B1131" s="68">
        <v>2027</v>
      </c>
      <c r="C1131" s="68">
        <v>2023</v>
      </c>
      <c r="D1131" s="68" t="s">
        <v>309</v>
      </c>
      <c r="E1131" s="68" t="s">
        <v>301</v>
      </c>
      <c r="F1131" s="68" t="s">
        <v>298</v>
      </c>
      <c r="G1131" s="68"/>
      <c r="H1131" s="68"/>
      <c r="I1131" s="69">
        <v>552240.45036000002</v>
      </c>
    </row>
    <row r="1132" spans="1:9" hidden="1">
      <c r="A1132" s="64" t="s">
        <v>295</v>
      </c>
      <c r="B1132" s="65">
        <v>2027</v>
      </c>
      <c r="C1132" s="65">
        <v>2023</v>
      </c>
      <c r="D1132" s="65" t="s">
        <v>309</v>
      </c>
      <c r="E1132" s="65" t="s">
        <v>301</v>
      </c>
      <c r="F1132" s="65" t="s">
        <v>40</v>
      </c>
      <c r="G1132" s="65"/>
      <c r="H1132" s="65"/>
      <c r="I1132" s="66">
        <v>613322.35719000001</v>
      </c>
    </row>
    <row r="1133" spans="1:9" hidden="1">
      <c r="A1133" s="67" t="s">
        <v>295</v>
      </c>
      <c r="B1133" s="68">
        <v>2027</v>
      </c>
      <c r="C1133" s="68">
        <v>2023</v>
      </c>
      <c r="D1133" s="68" t="s">
        <v>309</v>
      </c>
      <c r="E1133" s="68" t="s">
        <v>305</v>
      </c>
      <c r="F1133" s="68" t="s">
        <v>297</v>
      </c>
      <c r="G1133" s="68"/>
      <c r="H1133" s="68"/>
      <c r="I1133" s="69">
        <v>135.39516</v>
      </c>
    </row>
    <row r="1134" spans="1:9" hidden="1">
      <c r="A1134" s="64" t="s">
        <v>295</v>
      </c>
      <c r="B1134" s="65">
        <v>2027</v>
      </c>
      <c r="C1134" s="65">
        <v>2023</v>
      </c>
      <c r="D1134" s="65" t="s">
        <v>309</v>
      </c>
      <c r="E1134" s="65" t="s">
        <v>305</v>
      </c>
      <c r="F1134" s="65" t="s">
        <v>298</v>
      </c>
      <c r="G1134" s="65"/>
      <c r="H1134" s="65"/>
      <c r="I1134" s="66">
        <v>7050.8839099999996</v>
      </c>
    </row>
    <row r="1135" spans="1:9" hidden="1">
      <c r="A1135" s="67" t="s">
        <v>295</v>
      </c>
      <c r="B1135" s="68">
        <v>2027</v>
      </c>
      <c r="C1135" s="68">
        <v>2023</v>
      </c>
      <c r="D1135" s="68" t="s">
        <v>309</v>
      </c>
      <c r="E1135" s="68" t="s">
        <v>305</v>
      </c>
      <c r="F1135" s="68" t="s">
        <v>40</v>
      </c>
      <c r="G1135" s="68"/>
      <c r="H1135" s="68"/>
      <c r="I1135" s="69">
        <v>48159.779069999997</v>
      </c>
    </row>
    <row r="1136" spans="1:9" hidden="1">
      <c r="A1136" s="64" t="s">
        <v>295</v>
      </c>
      <c r="B1136" s="65">
        <v>2027</v>
      </c>
      <c r="C1136" s="65">
        <v>2023</v>
      </c>
      <c r="D1136" s="65" t="s">
        <v>315</v>
      </c>
      <c r="E1136" s="65" t="s">
        <v>294</v>
      </c>
      <c r="F1136" s="65" t="s">
        <v>297</v>
      </c>
      <c r="G1136" s="65"/>
      <c r="H1136" s="65"/>
      <c r="I1136" s="66">
        <v>107159.26839</v>
      </c>
    </row>
    <row r="1137" spans="1:9" hidden="1">
      <c r="A1137" s="67" t="s">
        <v>295</v>
      </c>
      <c r="B1137" s="68">
        <v>2027</v>
      </c>
      <c r="C1137" s="68">
        <v>2023</v>
      </c>
      <c r="D1137" s="68" t="s">
        <v>315</v>
      </c>
      <c r="E1137" s="68" t="s">
        <v>294</v>
      </c>
      <c r="F1137" s="68" t="s">
        <v>298</v>
      </c>
      <c r="G1137" s="68"/>
      <c r="H1137" s="68"/>
      <c r="I1137" s="69">
        <v>255640.45838</v>
      </c>
    </row>
    <row r="1138" spans="1:9" hidden="1">
      <c r="A1138" s="64" t="s">
        <v>295</v>
      </c>
      <c r="B1138" s="65">
        <v>2027</v>
      </c>
      <c r="C1138" s="65">
        <v>2023</v>
      </c>
      <c r="D1138" s="65" t="s">
        <v>315</v>
      </c>
      <c r="E1138" s="65" t="s">
        <v>294</v>
      </c>
      <c r="F1138" s="65" t="s">
        <v>40</v>
      </c>
      <c r="G1138" s="65"/>
      <c r="H1138" s="65"/>
      <c r="I1138" s="66">
        <v>362799.42674000002</v>
      </c>
    </row>
    <row r="1139" spans="1:9" hidden="1">
      <c r="A1139" s="67" t="s">
        <v>295</v>
      </c>
      <c r="B1139" s="68">
        <v>2027</v>
      </c>
      <c r="C1139" s="68">
        <v>2023</v>
      </c>
      <c r="D1139" s="68" t="s">
        <v>315</v>
      </c>
      <c r="E1139" s="68" t="s">
        <v>301</v>
      </c>
      <c r="F1139" s="68" t="s">
        <v>297</v>
      </c>
      <c r="G1139" s="68"/>
      <c r="H1139" s="68"/>
      <c r="I1139" s="69">
        <v>110512.86259</v>
      </c>
    </row>
    <row r="1140" spans="1:9" hidden="1">
      <c r="A1140" s="64" t="s">
        <v>295</v>
      </c>
      <c r="B1140" s="65">
        <v>2027</v>
      </c>
      <c r="C1140" s="65">
        <v>2023</v>
      </c>
      <c r="D1140" s="65" t="s">
        <v>315</v>
      </c>
      <c r="E1140" s="65" t="s">
        <v>301</v>
      </c>
      <c r="F1140" s="65" t="s">
        <v>298</v>
      </c>
      <c r="G1140" s="65"/>
      <c r="H1140" s="65"/>
      <c r="I1140" s="66">
        <v>273917.44108999998</v>
      </c>
    </row>
    <row r="1141" spans="1:9" hidden="1">
      <c r="A1141" s="67" t="s">
        <v>295</v>
      </c>
      <c r="B1141" s="68">
        <v>2027</v>
      </c>
      <c r="C1141" s="68">
        <v>2023</v>
      </c>
      <c r="D1141" s="68" t="s">
        <v>315</v>
      </c>
      <c r="E1141" s="68" t="s">
        <v>301</v>
      </c>
      <c r="F1141" s="68" t="s">
        <v>40</v>
      </c>
      <c r="G1141" s="68"/>
      <c r="H1141" s="68"/>
      <c r="I1141" s="69">
        <v>384430.80365000002</v>
      </c>
    </row>
    <row r="1142" spans="1:9" hidden="1">
      <c r="A1142" s="64" t="s">
        <v>295</v>
      </c>
      <c r="B1142" s="65">
        <v>2027</v>
      </c>
      <c r="C1142" s="65">
        <v>2023</v>
      </c>
      <c r="D1142" s="65" t="s">
        <v>315</v>
      </c>
      <c r="E1142" s="65" t="s">
        <v>305</v>
      </c>
      <c r="F1142" s="65" t="s">
        <v>297</v>
      </c>
      <c r="G1142" s="65"/>
      <c r="H1142" s="65"/>
      <c r="I1142" s="66">
        <v>983.19311999999991</v>
      </c>
    </row>
    <row r="1143" spans="1:9" hidden="1">
      <c r="A1143" s="67" t="s">
        <v>295</v>
      </c>
      <c r="B1143" s="68">
        <v>2027</v>
      </c>
      <c r="C1143" s="68">
        <v>2023</v>
      </c>
      <c r="D1143" s="68" t="s">
        <v>315</v>
      </c>
      <c r="E1143" s="68" t="s">
        <v>305</v>
      </c>
      <c r="F1143" s="68" t="s">
        <v>298</v>
      </c>
      <c r="G1143" s="68"/>
      <c r="H1143" s="68"/>
      <c r="I1143" s="69">
        <v>1347.3</v>
      </c>
    </row>
    <row r="1144" spans="1:9" hidden="1">
      <c r="A1144" s="64" t="s">
        <v>295</v>
      </c>
      <c r="B1144" s="65">
        <v>2027</v>
      </c>
      <c r="C1144" s="65">
        <v>2023</v>
      </c>
      <c r="D1144" s="65" t="s">
        <v>315</v>
      </c>
      <c r="E1144" s="65" t="s">
        <v>305</v>
      </c>
      <c r="F1144" s="65" t="s">
        <v>40</v>
      </c>
      <c r="G1144" s="65"/>
      <c r="H1144" s="65"/>
      <c r="I1144" s="66">
        <v>18755.093120000001</v>
      </c>
    </row>
    <row r="1145" spans="1:9" hidden="1">
      <c r="A1145" s="67" t="s">
        <v>295</v>
      </c>
      <c r="B1145" s="68">
        <v>2027</v>
      </c>
      <c r="C1145" s="68">
        <v>2023</v>
      </c>
      <c r="D1145" s="68" t="s">
        <v>316</v>
      </c>
      <c r="E1145" s="68" t="s">
        <v>294</v>
      </c>
      <c r="F1145" s="68" t="s">
        <v>297</v>
      </c>
      <c r="G1145" s="68"/>
      <c r="H1145" s="68"/>
      <c r="I1145" s="69">
        <v>691254.87430999998</v>
      </c>
    </row>
    <row r="1146" spans="1:9" hidden="1">
      <c r="A1146" s="64" t="s">
        <v>295</v>
      </c>
      <c r="B1146" s="65">
        <v>2027</v>
      </c>
      <c r="C1146" s="65">
        <v>2023</v>
      </c>
      <c r="D1146" s="65" t="s">
        <v>316</v>
      </c>
      <c r="E1146" s="65" t="s">
        <v>294</v>
      </c>
      <c r="F1146" s="65" t="s">
        <v>298</v>
      </c>
      <c r="G1146" s="65"/>
      <c r="H1146" s="65"/>
      <c r="I1146" s="66">
        <v>3845.5041799999999</v>
      </c>
    </row>
    <row r="1147" spans="1:9" hidden="1">
      <c r="A1147" s="67" t="s">
        <v>295</v>
      </c>
      <c r="B1147" s="68">
        <v>2027</v>
      </c>
      <c r="C1147" s="68">
        <v>2023</v>
      </c>
      <c r="D1147" s="68" t="s">
        <v>316</v>
      </c>
      <c r="E1147" s="68" t="s">
        <v>294</v>
      </c>
      <c r="F1147" s="68" t="s">
        <v>40</v>
      </c>
      <c r="G1147" s="68"/>
      <c r="H1147" s="68"/>
      <c r="I1147" s="69">
        <v>711923.73864999996</v>
      </c>
    </row>
    <row r="1148" spans="1:9" hidden="1">
      <c r="A1148" s="64" t="s">
        <v>295</v>
      </c>
      <c r="B1148" s="65">
        <v>2027</v>
      </c>
      <c r="C1148" s="65">
        <v>2023</v>
      </c>
      <c r="D1148" s="65" t="s">
        <v>316</v>
      </c>
      <c r="E1148" s="65" t="s">
        <v>301</v>
      </c>
      <c r="F1148" s="65" t="s">
        <v>297</v>
      </c>
      <c r="G1148" s="65"/>
      <c r="H1148" s="65"/>
      <c r="I1148" s="66">
        <v>724014.43543000007</v>
      </c>
    </row>
    <row r="1149" spans="1:9" hidden="1">
      <c r="A1149" s="67" t="s">
        <v>295</v>
      </c>
      <c r="B1149" s="68">
        <v>2027</v>
      </c>
      <c r="C1149" s="68">
        <v>2023</v>
      </c>
      <c r="D1149" s="68" t="s">
        <v>316</v>
      </c>
      <c r="E1149" s="68" t="s">
        <v>301</v>
      </c>
      <c r="F1149" s="68" t="s">
        <v>298</v>
      </c>
      <c r="G1149" s="68"/>
      <c r="H1149" s="68"/>
      <c r="I1149" s="69">
        <v>3922.07584</v>
      </c>
    </row>
    <row r="1150" spans="1:9" hidden="1">
      <c r="A1150" s="64" t="s">
        <v>295</v>
      </c>
      <c r="B1150" s="65">
        <v>2027</v>
      </c>
      <c r="C1150" s="65">
        <v>2023</v>
      </c>
      <c r="D1150" s="65" t="s">
        <v>316</v>
      </c>
      <c r="E1150" s="65" t="s">
        <v>301</v>
      </c>
      <c r="F1150" s="65" t="s">
        <v>40</v>
      </c>
      <c r="G1150" s="65"/>
      <c r="H1150" s="65"/>
      <c r="I1150" s="66">
        <v>745935.04551999993</v>
      </c>
    </row>
    <row r="1151" spans="1:9" hidden="1">
      <c r="A1151" s="67" t="s">
        <v>295</v>
      </c>
      <c r="B1151" s="68">
        <v>2027</v>
      </c>
      <c r="C1151" s="68">
        <v>2023</v>
      </c>
      <c r="D1151" s="68" t="s">
        <v>316</v>
      </c>
      <c r="E1151" s="68" t="s">
        <v>305</v>
      </c>
      <c r="F1151" s="68" t="s">
        <v>297</v>
      </c>
      <c r="G1151" s="68"/>
      <c r="H1151" s="68"/>
      <c r="I1151" s="69">
        <v>7639.27081</v>
      </c>
    </row>
    <row r="1152" spans="1:9" hidden="1">
      <c r="A1152" s="64" t="s">
        <v>295</v>
      </c>
      <c r="B1152" s="65">
        <v>2027</v>
      </c>
      <c r="C1152" s="65">
        <v>2023</v>
      </c>
      <c r="D1152" s="65" t="s">
        <v>316</v>
      </c>
      <c r="E1152" s="65" t="s">
        <v>305</v>
      </c>
      <c r="F1152" s="65" t="s">
        <v>298</v>
      </c>
      <c r="G1152" s="65"/>
      <c r="H1152" s="65"/>
      <c r="I1152" s="66">
        <v>0</v>
      </c>
    </row>
    <row r="1153" spans="1:9" hidden="1">
      <c r="A1153" s="67" t="s">
        <v>295</v>
      </c>
      <c r="B1153" s="68">
        <v>2027</v>
      </c>
      <c r="C1153" s="68">
        <v>2023</v>
      </c>
      <c r="D1153" s="68" t="s">
        <v>316</v>
      </c>
      <c r="E1153" s="68" t="s">
        <v>305</v>
      </c>
      <c r="F1153" s="68" t="s">
        <v>40</v>
      </c>
      <c r="G1153" s="68"/>
      <c r="H1153" s="68"/>
      <c r="I1153" s="69">
        <v>32044.1253</v>
      </c>
    </row>
    <row r="1154" spans="1:9" hidden="1">
      <c r="A1154" s="64" t="s">
        <v>295</v>
      </c>
      <c r="B1154" s="65">
        <v>2027</v>
      </c>
      <c r="C1154" s="65">
        <v>2023</v>
      </c>
      <c r="D1154" s="65" t="s">
        <v>317</v>
      </c>
      <c r="E1154" s="65" t="s">
        <v>294</v>
      </c>
      <c r="F1154" s="65" t="s">
        <v>297</v>
      </c>
      <c r="G1154" s="65"/>
      <c r="H1154" s="65"/>
      <c r="I1154" s="66">
        <v>150.35087999999999</v>
      </c>
    </row>
    <row r="1155" spans="1:9" hidden="1">
      <c r="A1155" s="67" t="s">
        <v>295</v>
      </c>
      <c r="B1155" s="68">
        <v>2027</v>
      </c>
      <c r="C1155" s="68">
        <v>2023</v>
      </c>
      <c r="D1155" s="68" t="s">
        <v>317</v>
      </c>
      <c r="E1155" s="68" t="s">
        <v>294</v>
      </c>
      <c r="F1155" s="68" t="s">
        <v>40</v>
      </c>
      <c r="G1155" s="68"/>
      <c r="H1155" s="68"/>
      <c r="I1155" s="69">
        <v>16973.97551</v>
      </c>
    </row>
    <row r="1156" spans="1:9" hidden="1">
      <c r="A1156" s="64" t="s">
        <v>295</v>
      </c>
      <c r="B1156" s="65">
        <v>2027</v>
      </c>
      <c r="C1156" s="65">
        <v>2023</v>
      </c>
      <c r="D1156" s="65" t="s">
        <v>317</v>
      </c>
      <c r="E1156" s="65" t="s">
        <v>301</v>
      </c>
      <c r="F1156" s="65" t="s">
        <v>297</v>
      </c>
      <c r="G1156" s="65"/>
      <c r="H1156" s="65"/>
      <c r="I1156" s="66">
        <v>158.826852</v>
      </c>
    </row>
    <row r="1157" spans="1:9" hidden="1">
      <c r="A1157" s="67" t="s">
        <v>295</v>
      </c>
      <c r="B1157" s="68">
        <v>2027</v>
      </c>
      <c r="C1157" s="68">
        <v>2023</v>
      </c>
      <c r="D1157" s="68" t="s">
        <v>317</v>
      </c>
      <c r="E1157" s="68" t="s">
        <v>301</v>
      </c>
      <c r="F1157" s="68" t="s">
        <v>40</v>
      </c>
      <c r="G1157" s="68"/>
      <c r="H1157" s="68"/>
      <c r="I1157" s="69">
        <v>18157.509849999999</v>
      </c>
    </row>
    <row r="1158" spans="1:9" hidden="1">
      <c r="A1158" s="64" t="s">
        <v>295</v>
      </c>
      <c r="B1158" s="65">
        <v>2027</v>
      </c>
      <c r="C1158" s="65">
        <v>2023</v>
      </c>
      <c r="D1158" s="65" t="s">
        <v>317</v>
      </c>
      <c r="E1158" s="65" t="s">
        <v>305</v>
      </c>
      <c r="F1158" s="65" t="s">
        <v>297</v>
      </c>
      <c r="G1158" s="65"/>
      <c r="H1158" s="65"/>
      <c r="I1158" s="66">
        <v>1.2710000000000001E-2</v>
      </c>
    </row>
    <row r="1159" spans="1:9" hidden="1">
      <c r="A1159" s="67" t="s">
        <v>295</v>
      </c>
      <c r="B1159" s="68">
        <v>2027</v>
      </c>
      <c r="C1159" s="68">
        <v>2023</v>
      </c>
      <c r="D1159" s="68" t="s">
        <v>317</v>
      </c>
      <c r="E1159" s="68" t="s">
        <v>305</v>
      </c>
      <c r="F1159" s="68" t="s">
        <v>40</v>
      </c>
      <c r="G1159" s="68"/>
      <c r="H1159" s="68"/>
      <c r="I1159" s="69">
        <v>367.16719000000001</v>
      </c>
    </row>
    <row r="1160" spans="1:9" hidden="1">
      <c r="A1160" s="64" t="s">
        <v>295</v>
      </c>
      <c r="B1160" s="65">
        <v>2027</v>
      </c>
      <c r="C1160" s="65">
        <v>2023</v>
      </c>
      <c r="D1160" s="65" t="s">
        <v>318</v>
      </c>
      <c r="E1160" s="65" t="s">
        <v>294</v>
      </c>
      <c r="F1160" s="65" t="s">
        <v>297</v>
      </c>
      <c r="G1160" s="65"/>
      <c r="H1160" s="65"/>
      <c r="I1160" s="66">
        <v>668134.74343000003</v>
      </c>
    </row>
    <row r="1161" spans="1:9" hidden="1">
      <c r="A1161" s="67" t="s">
        <v>295</v>
      </c>
      <c r="B1161" s="68">
        <v>2027</v>
      </c>
      <c r="C1161" s="68">
        <v>2023</v>
      </c>
      <c r="D1161" s="68" t="s">
        <v>318</v>
      </c>
      <c r="E1161" s="68" t="s">
        <v>294</v>
      </c>
      <c r="F1161" s="68" t="s">
        <v>298</v>
      </c>
      <c r="G1161" s="68"/>
      <c r="H1161" s="68"/>
      <c r="I1161" s="69">
        <v>0</v>
      </c>
    </row>
    <row r="1162" spans="1:9" hidden="1">
      <c r="A1162" s="64" t="s">
        <v>295</v>
      </c>
      <c r="B1162" s="65">
        <v>2027</v>
      </c>
      <c r="C1162" s="65">
        <v>2023</v>
      </c>
      <c r="D1162" s="65" t="s">
        <v>318</v>
      </c>
      <c r="E1162" s="65" t="s">
        <v>294</v>
      </c>
      <c r="F1162" s="65" t="s">
        <v>40</v>
      </c>
      <c r="G1162" s="65"/>
      <c r="H1162" s="65"/>
      <c r="I1162" s="66">
        <v>668134.74343000003</v>
      </c>
    </row>
    <row r="1163" spans="1:9" hidden="1">
      <c r="A1163" s="67" t="s">
        <v>295</v>
      </c>
      <c r="B1163" s="68">
        <v>2027</v>
      </c>
      <c r="C1163" s="68">
        <v>2023</v>
      </c>
      <c r="D1163" s="68" t="s">
        <v>318</v>
      </c>
      <c r="E1163" s="68" t="s">
        <v>301</v>
      </c>
      <c r="F1163" s="68" t="s">
        <v>297</v>
      </c>
      <c r="G1163" s="68"/>
      <c r="H1163" s="68"/>
      <c r="I1163" s="69">
        <v>700417.88948000001</v>
      </c>
    </row>
    <row r="1164" spans="1:9" hidden="1">
      <c r="A1164" s="64" t="s">
        <v>295</v>
      </c>
      <c r="B1164" s="65">
        <v>2027</v>
      </c>
      <c r="C1164" s="65">
        <v>2023</v>
      </c>
      <c r="D1164" s="65" t="s">
        <v>318</v>
      </c>
      <c r="E1164" s="65" t="s">
        <v>301</v>
      </c>
      <c r="F1164" s="65" t="s">
        <v>298</v>
      </c>
      <c r="G1164" s="65"/>
      <c r="H1164" s="65"/>
      <c r="I1164" s="66">
        <v>0</v>
      </c>
    </row>
    <row r="1165" spans="1:9" hidden="1">
      <c r="A1165" s="67" t="s">
        <v>295</v>
      </c>
      <c r="B1165" s="68">
        <v>2027</v>
      </c>
      <c r="C1165" s="68">
        <v>2023</v>
      </c>
      <c r="D1165" s="68" t="s">
        <v>318</v>
      </c>
      <c r="E1165" s="68" t="s">
        <v>301</v>
      </c>
      <c r="F1165" s="68" t="s">
        <v>40</v>
      </c>
      <c r="G1165" s="68"/>
      <c r="H1165" s="68"/>
      <c r="I1165" s="69">
        <v>700417.88948000001</v>
      </c>
    </row>
    <row r="1166" spans="1:9" hidden="1">
      <c r="A1166" s="64" t="s">
        <v>295</v>
      </c>
      <c r="B1166" s="65">
        <v>2027</v>
      </c>
      <c r="C1166" s="65">
        <v>2023</v>
      </c>
      <c r="D1166" s="65" t="s">
        <v>318</v>
      </c>
      <c r="E1166" s="65" t="s">
        <v>305</v>
      </c>
      <c r="F1166" s="65" t="s">
        <v>297</v>
      </c>
      <c r="G1166" s="65"/>
      <c r="H1166" s="65"/>
      <c r="I1166" s="66">
        <v>7548.81005</v>
      </c>
    </row>
    <row r="1167" spans="1:9" hidden="1">
      <c r="A1167" s="67" t="s">
        <v>295</v>
      </c>
      <c r="B1167" s="68">
        <v>2027</v>
      </c>
      <c r="C1167" s="68">
        <v>2023</v>
      </c>
      <c r="D1167" s="68" t="s">
        <v>318</v>
      </c>
      <c r="E1167" s="68" t="s">
        <v>305</v>
      </c>
      <c r="F1167" s="68" t="s">
        <v>40</v>
      </c>
      <c r="G1167" s="68"/>
      <c r="H1167" s="68"/>
      <c r="I1167" s="69">
        <v>30326.410049999999</v>
      </c>
    </row>
    <row r="1168" spans="1:9" hidden="1">
      <c r="A1168" s="64" t="s">
        <v>295</v>
      </c>
      <c r="B1168" s="65">
        <v>2027</v>
      </c>
      <c r="C1168" s="65">
        <v>2023</v>
      </c>
      <c r="D1168" s="65" t="s">
        <v>320</v>
      </c>
      <c r="E1168" s="65" t="s">
        <v>294</v>
      </c>
      <c r="F1168" s="65" t="s">
        <v>297</v>
      </c>
      <c r="G1168" s="65"/>
      <c r="H1168" s="65"/>
      <c r="I1168" s="66">
        <v>3644.5770200000002</v>
      </c>
    </row>
    <row r="1169" spans="1:9" hidden="1">
      <c r="A1169" s="67" t="s">
        <v>295</v>
      </c>
      <c r="B1169" s="68">
        <v>2027</v>
      </c>
      <c r="C1169" s="68">
        <v>2023</v>
      </c>
      <c r="D1169" s="68" t="s">
        <v>320</v>
      </c>
      <c r="E1169" s="68" t="s">
        <v>294</v>
      </c>
      <c r="F1169" s="68" t="s">
        <v>298</v>
      </c>
      <c r="G1169" s="68"/>
      <c r="H1169" s="68"/>
      <c r="I1169" s="69">
        <v>0</v>
      </c>
    </row>
    <row r="1170" spans="1:9" hidden="1">
      <c r="A1170" s="64" t="s">
        <v>295</v>
      </c>
      <c r="B1170" s="65">
        <v>2027</v>
      </c>
      <c r="C1170" s="65">
        <v>2023</v>
      </c>
      <c r="D1170" s="65" t="s">
        <v>320</v>
      </c>
      <c r="E1170" s="65" t="s">
        <v>294</v>
      </c>
      <c r="F1170" s="65" t="s">
        <v>40</v>
      </c>
      <c r="G1170" s="65"/>
      <c r="H1170" s="65"/>
      <c r="I1170" s="66">
        <v>3644.5770200000002</v>
      </c>
    </row>
    <row r="1171" spans="1:9" hidden="1">
      <c r="A1171" s="67" t="s">
        <v>295</v>
      </c>
      <c r="B1171" s="68">
        <v>2027</v>
      </c>
      <c r="C1171" s="68">
        <v>2023</v>
      </c>
      <c r="D1171" s="68" t="s">
        <v>320</v>
      </c>
      <c r="E1171" s="68" t="s">
        <v>301</v>
      </c>
      <c r="F1171" s="68" t="s">
        <v>297</v>
      </c>
      <c r="G1171" s="68"/>
      <c r="H1171" s="68"/>
      <c r="I1171" s="69">
        <v>4033.5665399999998</v>
      </c>
    </row>
    <row r="1172" spans="1:9" hidden="1">
      <c r="A1172" s="64" t="s">
        <v>295</v>
      </c>
      <c r="B1172" s="65">
        <v>2027</v>
      </c>
      <c r="C1172" s="65">
        <v>2023</v>
      </c>
      <c r="D1172" s="65" t="s">
        <v>320</v>
      </c>
      <c r="E1172" s="65" t="s">
        <v>301</v>
      </c>
      <c r="F1172" s="65" t="s">
        <v>298</v>
      </c>
      <c r="G1172" s="65"/>
      <c r="H1172" s="65"/>
      <c r="I1172" s="66">
        <v>0</v>
      </c>
    </row>
    <row r="1173" spans="1:9" hidden="1">
      <c r="A1173" s="67" t="s">
        <v>295</v>
      </c>
      <c r="B1173" s="68">
        <v>2027</v>
      </c>
      <c r="C1173" s="68">
        <v>2023</v>
      </c>
      <c r="D1173" s="68" t="s">
        <v>320</v>
      </c>
      <c r="E1173" s="68" t="s">
        <v>301</v>
      </c>
      <c r="F1173" s="68" t="s">
        <v>40</v>
      </c>
      <c r="G1173" s="68"/>
      <c r="H1173" s="68"/>
      <c r="I1173" s="69">
        <v>4033.5665399999998</v>
      </c>
    </row>
    <row r="1174" spans="1:9" hidden="1">
      <c r="A1174" s="64" t="s">
        <v>295</v>
      </c>
      <c r="B1174" s="65">
        <v>2027</v>
      </c>
      <c r="C1174" s="65">
        <v>2023</v>
      </c>
      <c r="D1174" s="65" t="s">
        <v>320</v>
      </c>
      <c r="E1174" s="65" t="s">
        <v>305</v>
      </c>
      <c r="F1174" s="65" t="s">
        <v>297</v>
      </c>
      <c r="G1174" s="65"/>
      <c r="H1174" s="65"/>
      <c r="I1174" s="66">
        <v>35</v>
      </c>
    </row>
    <row r="1175" spans="1:9" hidden="1">
      <c r="A1175" s="67" t="s">
        <v>295</v>
      </c>
      <c r="B1175" s="68">
        <v>2027</v>
      </c>
      <c r="C1175" s="68">
        <v>2023</v>
      </c>
      <c r="D1175" s="68" t="s">
        <v>320</v>
      </c>
      <c r="E1175" s="68" t="s">
        <v>305</v>
      </c>
      <c r="F1175" s="68" t="s">
        <v>40</v>
      </c>
      <c r="G1175" s="68"/>
      <c r="H1175" s="68"/>
      <c r="I1175" s="69">
        <v>828.2</v>
      </c>
    </row>
    <row r="1176" spans="1:9" hidden="1">
      <c r="A1176" s="64" t="s">
        <v>295</v>
      </c>
      <c r="B1176" s="65">
        <v>2027</v>
      </c>
      <c r="C1176" s="65">
        <v>2023</v>
      </c>
      <c r="D1176" s="65" t="s">
        <v>321</v>
      </c>
      <c r="E1176" s="65" t="s">
        <v>294</v>
      </c>
      <c r="F1176" s="65" t="s">
        <v>297</v>
      </c>
      <c r="G1176" s="65"/>
      <c r="H1176" s="65"/>
      <c r="I1176" s="66">
        <v>17992.6656</v>
      </c>
    </row>
    <row r="1177" spans="1:9" hidden="1">
      <c r="A1177" s="67" t="s">
        <v>295</v>
      </c>
      <c r="B1177" s="68">
        <v>2027</v>
      </c>
      <c r="C1177" s="68">
        <v>2023</v>
      </c>
      <c r="D1177" s="68" t="s">
        <v>321</v>
      </c>
      <c r="E1177" s="68" t="s">
        <v>294</v>
      </c>
      <c r="F1177" s="68" t="s">
        <v>298</v>
      </c>
      <c r="G1177" s="68"/>
      <c r="H1177" s="68"/>
      <c r="I1177" s="69">
        <v>0</v>
      </c>
    </row>
    <row r="1178" spans="1:9" hidden="1">
      <c r="A1178" s="64" t="s">
        <v>295</v>
      </c>
      <c r="B1178" s="65">
        <v>2027</v>
      </c>
      <c r="C1178" s="65">
        <v>2023</v>
      </c>
      <c r="D1178" s="65" t="s">
        <v>321</v>
      </c>
      <c r="E1178" s="65" t="s">
        <v>294</v>
      </c>
      <c r="F1178" s="65" t="s">
        <v>40</v>
      </c>
      <c r="G1178" s="65"/>
      <c r="H1178" s="65"/>
      <c r="I1178" s="66">
        <v>17988.229439999999</v>
      </c>
    </row>
    <row r="1179" spans="1:9" hidden="1">
      <c r="A1179" s="67" t="s">
        <v>295</v>
      </c>
      <c r="B1179" s="68">
        <v>2027</v>
      </c>
      <c r="C1179" s="68">
        <v>2023</v>
      </c>
      <c r="D1179" s="68" t="s">
        <v>321</v>
      </c>
      <c r="E1179" s="68" t="s">
        <v>301</v>
      </c>
      <c r="F1179" s="68" t="s">
        <v>297</v>
      </c>
      <c r="G1179" s="68"/>
      <c r="H1179" s="68"/>
      <c r="I1179" s="69">
        <v>17937.93619</v>
      </c>
    </row>
    <row r="1180" spans="1:9" hidden="1">
      <c r="A1180" s="64" t="s">
        <v>295</v>
      </c>
      <c r="B1180" s="65">
        <v>2027</v>
      </c>
      <c r="C1180" s="65">
        <v>2023</v>
      </c>
      <c r="D1180" s="65" t="s">
        <v>321</v>
      </c>
      <c r="E1180" s="65" t="s">
        <v>301</v>
      </c>
      <c r="F1180" s="65" t="s">
        <v>298</v>
      </c>
      <c r="G1180" s="65"/>
      <c r="H1180" s="65"/>
      <c r="I1180" s="66">
        <v>0</v>
      </c>
    </row>
    <row r="1181" spans="1:9" hidden="1">
      <c r="A1181" s="67" t="s">
        <v>295</v>
      </c>
      <c r="B1181" s="68">
        <v>2027</v>
      </c>
      <c r="C1181" s="68">
        <v>2023</v>
      </c>
      <c r="D1181" s="68" t="s">
        <v>321</v>
      </c>
      <c r="E1181" s="68" t="s">
        <v>301</v>
      </c>
      <c r="F1181" s="68" t="s">
        <v>40</v>
      </c>
      <c r="G1181" s="68"/>
      <c r="H1181" s="68"/>
      <c r="I1181" s="69">
        <v>17937.936030000001</v>
      </c>
    </row>
    <row r="1182" spans="1:9" hidden="1">
      <c r="A1182" s="64" t="s">
        <v>295</v>
      </c>
      <c r="B1182" s="65">
        <v>2027</v>
      </c>
      <c r="C1182" s="65">
        <v>2023</v>
      </c>
      <c r="D1182" s="65" t="s">
        <v>321</v>
      </c>
      <c r="E1182" s="65" t="s">
        <v>305</v>
      </c>
      <c r="F1182" s="65" t="s">
        <v>297</v>
      </c>
      <c r="G1182" s="65"/>
      <c r="H1182" s="65"/>
      <c r="I1182" s="66">
        <v>48.248060000000002</v>
      </c>
    </row>
    <row r="1183" spans="1:9" hidden="1">
      <c r="A1183" s="67" t="s">
        <v>295</v>
      </c>
      <c r="B1183" s="68">
        <v>2027</v>
      </c>
      <c r="C1183" s="68">
        <v>2023</v>
      </c>
      <c r="D1183" s="68" t="s">
        <v>321</v>
      </c>
      <c r="E1183" s="68" t="s">
        <v>305</v>
      </c>
      <c r="F1183" s="68" t="s">
        <v>40</v>
      </c>
      <c r="G1183" s="68"/>
      <c r="H1183" s="68"/>
      <c r="I1183" s="69">
        <v>296.54806000000002</v>
      </c>
    </row>
    <row r="1184" spans="1:9" hidden="1">
      <c r="A1184" s="64" t="s">
        <v>295</v>
      </c>
      <c r="B1184" s="65">
        <v>2027</v>
      </c>
      <c r="C1184" s="65">
        <v>2023</v>
      </c>
      <c r="D1184" s="65" t="s">
        <v>322</v>
      </c>
      <c r="E1184" s="65" t="s">
        <v>294</v>
      </c>
      <c r="F1184" s="65" t="s">
        <v>297</v>
      </c>
      <c r="G1184" s="65"/>
      <c r="H1184" s="65"/>
      <c r="I1184" s="66">
        <v>1332.35293</v>
      </c>
    </row>
    <row r="1185" spans="1:9" hidden="1">
      <c r="A1185" s="67" t="s">
        <v>295</v>
      </c>
      <c r="B1185" s="68">
        <v>2027</v>
      </c>
      <c r="C1185" s="68">
        <v>2023</v>
      </c>
      <c r="D1185" s="68" t="s">
        <v>322</v>
      </c>
      <c r="E1185" s="68" t="s">
        <v>294</v>
      </c>
      <c r="F1185" s="68" t="s">
        <v>298</v>
      </c>
      <c r="G1185" s="68"/>
      <c r="H1185" s="68"/>
      <c r="I1185" s="69">
        <v>3845.5041799999999</v>
      </c>
    </row>
    <row r="1186" spans="1:9" hidden="1">
      <c r="A1186" s="64" t="s">
        <v>295</v>
      </c>
      <c r="B1186" s="65">
        <v>2027</v>
      </c>
      <c r="C1186" s="65">
        <v>2023</v>
      </c>
      <c r="D1186" s="65" t="s">
        <v>322</v>
      </c>
      <c r="E1186" s="65" t="s">
        <v>294</v>
      </c>
      <c r="F1186" s="65" t="s">
        <v>40</v>
      </c>
      <c r="G1186" s="65"/>
      <c r="H1186" s="65"/>
      <c r="I1186" s="66">
        <v>5177.9570999999996</v>
      </c>
    </row>
    <row r="1187" spans="1:9" hidden="1">
      <c r="A1187" s="67" t="s">
        <v>295</v>
      </c>
      <c r="B1187" s="68">
        <v>2027</v>
      </c>
      <c r="C1187" s="68">
        <v>2023</v>
      </c>
      <c r="D1187" s="68" t="s">
        <v>322</v>
      </c>
      <c r="E1187" s="68" t="s">
        <v>301</v>
      </c>
      <c r="F1187" s="68" t="s">
        <v>297</v>
      </c>
      <c r="G1187" s="68"/>
      <c r="H1187" s="68"/>
      <c r="I1187" s="69">
        <v>1465.88762</v>
      </c>
    </row>
    <row r="1188" spans="1:9" hidden="1">
      <c r="A1188" s="64" t="s">
        <v>295</v>
      </c>
      <c r="B1188" s="65">
        <v>2027</v>
      </c>
      <c r="C1188" s="65">
        <v>2023</v>
      </c>
      <c r="D1188" s="65" t="s">
        <v>322</v>
      </c>
      <c r="E1188" s="65" t="s">
        <v>301</v>
      </c>
      <c r="F1188" s="65" t="s">
        <v>298</v>
      </c>
      <c r="G1188" s="65"/>
      <c r="H1188" s="65"/>
      <c r="I1188" s="66">
        <v>3922.07584</v>
      </c>
    </row>
    <row r="1189" spans="1:9" hidden="1">
      <c r="A1189" s="67" t="s">
        <v>295</v>
      </c>
      <c r="B1189" s="68">
        <v>2027</v>
      </c>
      <c r="C1189" s="68">
        <v>2023</v>
      </c>
      <c r="D1189" s="68" t="s">
        <v>322</v>
      </c>
      <c r="E1189" s="68" t="s">
        <v>301</v>
      </c>
      <c r="F1189" s="68" t="s">
        <v>40</v>
      </c>
      <c r="G1189" s="68"/>
      <c r="H1189" s="68"/>
      <c r="I1189" s="69">
        <v>5388.0634499999996</v>
      </c>
    </row>
    <row r="1190" spans="1:9" hidden="1">
      <c r="A1190" s="64" t="s">
        <v>295</v>
      </c>
      <c r="B1190" s="65">
        <v>2027</v>
      </c>
      <c r="C1190" s="65">
        <v>2023</v>
      </c>
      <c r="D1190" s="65" t="s">
        <v>322</v>
      </c>
      <c r="E1190" s="65" t="s">
        <v>305</v>
      </c>
      <c r="F1190" s="65" t="s">
        <v>297</v>
      </c>
      <c r="G1190" s="65"/>
      <c r="H1190" s="65"/>
      <c r="I1190" s="66">
        <v>7.2</v>
      </c>
    </row>
    <row r="1191" spans="1:9" hidden="1">
      <c r="A1191" s="67" t="s">
        <v>295</v>
      </c>
      <c r="B1191" s="68">
        <v>2027</v>
      </c>
      <c r="C1191" s="68">
        <v>2023</v>
      </c>
      <c r="D1191" s="68" t="s">
        <v>322</v>
      </c>
      <c r="E1191" s="68" t="s">
        <v>305</v>
      </c>
      <c r="F1191" s="68" t="s">
        <v>40</v>
      </c>
      <c r="G1191" s="68"/>
      <c r="H1191" s="68"/>
      <c r="I1191" s="69">
        <v>225.8</v>
      </c>
    </row>
    <row r="1192" spans="1:9" hidden="1">
      <c r="A1192" s="64" t="s">
        <v>295</v>
      </c>
      <c r="B1192" s="65">
        <v>2027</v>
      </c>
      <c r="C1192" s="65">
        <v>2023</v>
      </c>
      <c r="D1192" s="65" t="s">
        <v>323</v>
      </c>
      <c r="E1192" s="65" t="s">
        <v>294</v>
      </c>
      <c r="F1192" s="65" t="s">
        <v>297</v>
      </c>
      <c r="G1192" s="65"/>
      <c r="H1192" s="65"/>
      <c r="I1192" s="66">
        <v>422821.86410000001</v>
      </c>
    </row>
    <row r="1193" spans="1:9" hidden="1">
      <c r="A1193" s="67" t="s">
        <v>295</v>
      </c>
      <c r="B1193" s="68">
        <v>2027</v>
      </c>
      <c r="C1193" s="68">
        <v>2023</v>
      </c>
      <c r="D1193" s="68" t="s">
        <v>323</v>
      </c>
      <c r="E1193" s="68" t="s">
        <v>294</v>
      </c>
      <c r="F1193" s="68" t="s">
        <v>298</v>
      </c>
      <c r="G1193" s="68"/>
      <c r="H1193" s="68"/>
      <c r="I1193" s="69">
        <v>1833.8466100000001</v>
      </c>
    </row>
    <row r="1194" spans="1:9" hidden="1">
      <c r="A1194" s="64" t="s">
        <v>295</v>
      </c>
      <c r="B1194" s="65">
        <v>2027</v>
      </c>
      <c r="C1194" s="65">
        <v>2023</v>
      </c>
      <c r="D1194" s="65" t="s">
        <v>323</v>
      </c>
      <c r="E1194" s="65" t="s">
        <v>294</v>
      </c>
      <c r="F1194" s="65" t="s">
        <v>40</v>
      </c>
      <c r="G1194" s="65"/>
      <c r="H1194" s="65"/>
      <c r="I1194" s="66">
        <v>424673.51069999998</v>
      </c>
    </row>
    <row r="1195" spans="1:9" hidden="1">
      <c r="A1195" s="67" t="s">
        <v>295</v>
      </c>
      <c r="B1195" s="68">
        <v>2027</v>
      </c>
      <c r="C1195" s="68">
        <v>2023</v>
      </c>
      <c r="D1195" s="68" t="s">
        <v>323</v>
      </c>
      <c r="E1195" s="68" t="s">
        <v>301</v>
      </c>
      <c r="F1195" s="68" t="s">
        <v>297</v>
      </c>
      <c r="G1195" s="68"/>
      <c r="H1195" s="68"/>
      <c r="I1195" s="69">
        <v>452843.14396999998</v>
      </c>
    </row>
    <row r="1196" spans="1:9" hidden="1">
      <c r="A1196" s="64" t="s">
        <v>295</v>
      </c>
      <c r="B1196" s="65">
        <v>2027</v>
      </c>
      <c r="C1196" s="65">
        <v>2023</v>
      </c>
      <c r="D1196" s="65" t="s">
        <v>323</v>
      </c>
      <c r="E1196" s="65" t="s">
        <v>301</v>
      </c>
      <c r="F1196" s="65" t="s">
        <v>298</v>
      </c>
      <c r="G1196" s="65"/>
      <c r="H1196" s="65"/>
      <c r="I1196" s="66">
        <v>1910.11454</v>
      </c>
    </row>
    <row r="1197" spans="1:9" hidden="1">
      <c r="A1197" s="67" t="s">
        <v>295</v>
      </c>
      <c r="B1197" s="68">
        <v>2027</v>
      </c>
      <c r="C1197" s="68">
        <v>2023</v>
      </c>
      <c r="D1197" s="68" t="s">
        <v>323</v>
      </c>
      <c r="E1197" s="68" t="s">
        <v>301</v>
      </c>
      <c r="F1197" s="68" t="s">
        <v>40</v>
      </c>
      <c r="G1197" s="68"/>
      <c r="H1197" s="68"/>
      <c r="I1197" s="69">
        <v>454771.31852999999</v>
      </c>
    </row>
    <row r="1198" spans="1:9" hidden="1">
      <c r="A1198" s="64" t="s">
        <v>295</v>
      </c>
      <c r="B1198" s="65">
        <v>2027</v>
      </c>
      <c r="C1198" s="65">
        <v>2023</v>
      </c>
      <c r="D1198" s="65" t="s">
        <v>323</v>
      </c>
      <c r="E1198" s="65" t="s">
        <v>305</v>
      </c>
      <c r="F1198" s="65" t="s">
        <v>297</v>
      </c>
      <c r="G1198" s="65"/>
      <c r="H1198" s="65"/>
      <c r="I1198" s="66">
        <v>1553.6686500000001</v>
      </c>
    </row>
    <row r="1199" spans="1:9" hidden="1">
      <c r="A1199" s="67" t="s">
        <v>295</v>
      </c>
      <c r="B1199" s="68">
        <v>2027</v>
      </c>
      <c r="C1199" s="68">
        <v>2023</v>
      </c>
      <c r="D1199" s="68" t="s">
        <v>323</v>
      </c>
      <c r="E1199" s="68" t="s">
        <v>305</v>
      </c>
      <c r="F1199" s="68" t="s">
        <v>40</v>
      </c>
      <c r="G1199" s="68"/>
      <c r="H1199" s="68"/>
      <c r="I1199" s="69">
        <v>16822.968649999999</v>
      </c>
    </row>
    <row r="1200" spans="1:9" hidden="1">
      <c r="A1200" s="64" t="s">
        <v>295</v>
      </c>
      <c r="B1200" s="65">
        <v>2027</v>
      </c>
      <c r="C1200" s="65">
        <v>2023</v>
      </c>
      <c r="D1200" s="65" t="s">
        <v>324</v>
      </c>
      <c r="E1200" s="65" t="s">
        <v>294</v>
      </c>
      <c r="F1200" s="65" t="s">
        <v>297</v>
      </c>
      <c r="G1200" s="65"/>
      <c r="H1200" s="65"/>
      <c r="I1200" s="66">
        <v>3801.35131</v>
      </c>
    </row>
    <row r="1201" spans="1:9" hidden="1">
      <c r="A1201" s="67" t="s">
        <v>295</v>
      </c>
      <c r="B1201" s="68">
        <v>2027</v>
      </c>
      <c r="C1201" s="68">
        <v>2023</v>
      </c>
      <c r="D1201" s="68" t="s">
        <v>324</v>
      </c>
      <c r="E1201" s="68" t="s">
        <v>294</v>
      </c>
      <c r="F1201" s="68" t="s">
        <v>298</v>
      </c>
      <c r="G1201" s="68"/>
      <c r="H1201" s="68"/>
      <c r="I1201" s="69">
        <v>0</v>
      </c>
    </row>
    <row r="1202" spans="1:9" hidden="1">
      <c r="A1202" s="64" t="s">
        <v>295</v>
      </c>
      <c r="B1202" s="65">
        <v>2027</v>
      </c>
      <c r="C1202" s="65">
        <v>2023</v>
      </c>
      <c r="D1202" s="65" t="s">
        <v>324</v>
      </c>
      <c r="E1202" s="65" t="s">
        <v>294</v>
      </c>
      <c r="F1202" s="65" t="s">
        <v>40</v>
      </c>
      <c r="G1202" s="65"/>
      <c r="H1202" s="65"/>
      <c r="I1202" s="66">
        <v>3801.35131</v>
      </c>
    </row>
    <row r="1203" spans="1:9" hidden="1">
      <c r="A1203" s="67" t="s">
        <v>295</v>
      </c>
      <c r="B1203" s="68">
        <v>2027</v>
      </c>
      <c r="C1203" s="68">
        <v>2023</v>
      </c>
      <c r="D1203" s="68" t="s">
        <v>324</v>
      </c>
      <c r="E1203" s="68" t="s">
        <v>301</v>
      </c>
      <c r="F1203" s="68" t="s">
        <v>297</v>
      </c>
      <c r="G1203" s="68"/>
      <c r="H1203" s="68"/>
      <c r="I1203" s="69">
        <v>3801.3477400000002</v>
      </c>
    </row>
    <row r="1204" spans="1:9" hidden="1">
      <c r="A1204" s="64" t="s">
        <v>295</v>
      </c>
      <c r="B1204" s="65">
        <v>2027</v>
      </c>
      <c r="C1204" s="65">
        <v>2023</v>
      </c>
      <c r="D1204" s="65" t="s">
        <v>324</v>
      </c>
      <c r="E1204" s="65" t="s">
        <v>301</v>
      </c>
      <c r="F1204" s="65" t="s">
        <v>298</v>
      </c>
      <c r="G1204" s="65"/>
      <c r="H1204" s="65"/>
      <c r="I1204" s="66">
        <v>0</v>
      </c>
    </row>
    <row r="1205" spans="1:9" hidden="1">
      <c r="A1205" s="67" t="s">
        <v>295</v>
      </c>
      <c r="B1205" s="68">
        <v>2027</v>
      </c>
      <c r="C1205" s="68">
        <v>2023</v>
      </c>
      <c r="D1205" s="68" t="s">
        <v>324</v>
      </c>
      <c r="E1205" s="68" t="s">
        <v>301</v>
      </c>
      <c r="F1205" s="68" t="s">
        <v>40</v>
      </c>
      <c r="G1205" s="68"/>
      <c r="H1205" s="68"/>
      <c r="I1205" s="69">
        <v>3801.3477400000002</v>
      </c>
    </row>
    <row r="1206" spans="1:9" hidden="1">
      <c r="A1206" s="64" t="s">
        <v>295</v>
      </c>
      <c r="B1206" s="65">
        <v>2027</v>
      </c>
      <c r="C1206" s="65">
        <v>2023</v>
      </c>
      <c r="D1206" s="65" t="s">
        <v>324</v>
      </c>
      <c r="E1206" s="65" t="s">
        <v>305</v>
      </c>
      <c r="F1206" s="65" t="s">
        <v>297</v>
      </c>
      <c r="G1206" s="65"/>
      <c r="H1206" s="65"/>
      <c r="I1206" s="66">
        <v>4.0999999999999996</v>
      </c>
    </row>
    <row r="1207" spans="1:9" hidden="1">
      <c r="A1207" s="67" t="s">
        <v>295</v>
      </c>
      <c r="B1207" s="68">
        <v>2027</v>
      </c>
      <c r="C1207" s="68">
        <v>2023</v>
      </c>
      <c r="D1207" s="68" t="s">
        <v>324</v>
      </c>
      <c r="E1207" s="68" t="s">
        <v>305</v>
      </c>
      <c r="F1207" s="68" t="s">
        <v>40</v>
      </c>
      <c r="G1207" s="68"/>
      <c r="H1207" s="68"/>
      <c r="I1207" s="69">
        <v>1246.2</v>
      </c>
    </row>
    <row r="1208" spans="1:9" hidden="1">
      <c r="A1208" s="64" t="s">
        <v>295</v>
      </c>
      <c r="B1208" s="65">
        <v>2027</v>
      </c>
      <c r="C1208" s="65">
        <v>2023</v>
      </c>
      <c r="D1208" s="65" t="s">
        <v>325</v>
      </c>
      <c r="E1208" s="65" t="s">
        <v>294</v>
      </c>
      <c r="F1208" s="65" t="s">
        <v>297</v>
      </c>
      <c r="G1208" s="65"/>
      <c r="H1208" s="65"/>
      <c r="I1208" s="66">
        <v>55061.392370000001</v>
      </c>
    </row>
    <row r="1209" spans="1:9" hidden="1">
      <c r="A1209" s="67" t="s">
        <v>295</v>
      </c>
      <c r="B1209" s="68">
        <v>2027</v>
      </c>
      <c r="C1209" s="68">
        <v>2023</v>
      </c>
      <c r="D1209" s="68" t="s">
        <v>325</v>
      </c>
      <c r="E1209" s="68" t="s">
        <v>294</v>
      </c>
      <c r="F1209" s="68" t="s">
        <v>298</v>
      </c>
      <c r="G1209" s="68"/>
      <c r="H1209" s="68"/>
      <c r="I1209" s="69">
        <v>15032.44053</v>
      </c>
    </row>
    <row r="1210" spans="1:9" hidden="1">
      <c r="A1210" s="64" t="s">
        <v>295</v>
      </c>
      <c r="B1210" s="65">
        <v>2027</v>
      </c>
      <c r="C1210" s="65">
        <v>2023</v>
      </c>
      <c r="D1210" s="65" t="s">
        <v>325</v>
      </c>
      <c r="E1210" s="65" t="s">
        <v>294</v>
      </c>
      <c r="F1210" s="65" t="s">
        <v>40</v>
      </c>
      <c r="G1210" s="65"/>
      <c r="H1210" s="65"/>
      <c r="I1210" s="66">
        <v>70093.872889999999</v>
      </c>
    </row>
    <row r="1211" spans="1:9" hidden="1">
      <c r="A1211" s="67" t="s">
        <v>295</v>
      </c>
      <c r="B1211" s="68">
        <v>2027</v>
      </c>
      <c r="C1211" s="68">
        <v>2023</v>
      </c>
      <c r="D1211" s="68" t="s">
        <v>325</v>
      </c>
      <c r="E1211" s="68" t="s">
        <v>301</v>
      </c>
      <c r="F1211" s="68" t="s">
        <v>297</v>
      </c>
      <c r="G1211" s="68"/>
      <c r="H1211" s="68"/>
      <c r="I1211" s="69">
        <v>56515.433670000013</v>
      </c>
    </row>
    <row r="1212" spans="1:9" hidden="1">
      <c r="A1212" s="64" t="s">
        <v>295</v>
      </c>
      <c r="B1212" s="65">
        <v>2027</v>
      </c>
      <c r="C1212" s="65">
        <v>2023</v>
      </c>
      <c r="D1212" s="65" t="s">
        <v>325</v>
      </c>
      <c r="E1212" s="65" t="s">
        <v>301</v>
      </c>
      <c r="F1212" s="65" t="s">
        <v>298</v>
      </c>
      <c r="G1212" s="65"/>
      <c r="H1212" s="65"/>
      <c r="I1212" s="66">
        <v>15747.10094</v>
      </c>
    </row>
    <row r="1213" spans="1:9" hidden="1">
      <c r="A1213" s="67" t="s">
        <v>295</v>
      </c>
      <c r="B1213" s="68">
        <v>2027</v>
      </c>
      <c r="C1213" s="68">
        <v>2023</v>
      </c>
      <c r="D1213" s="68" t="s">
        <v>325</v>
      </c>
      <c r="E1213" s="68" t="s">
        <v>301</v>
      </c>
      <c r="F1213" s="68" t="s">
        <v>40</v>
      </c>
      <c r="G1213" s="68"/>
      <c r="H1213" s="68"/>
      <c r="I1213" s="69">
        <v>72262.434600000008</v>
      </c>
    </row>
    <row r="1214" spans="1:9" hidden="1">
      <c r="A1214" s="64" t="s">
        <v>295</v>
      </c>
      <c r="B1214" s="65">
        <v>2027</v>
      </c>
      <c r="C1214" s="65">
        <v>2023</v>
      </c>
      <c r="D1214" s="65" t="s">
        <v>325</v>
      </c>
      <c r="E1214" s="65" t="s">
        <v>305</v>
      </c>
      <c r="F1214" s="65" t="s">
        <v>297</v>
      </c>
      <c r="G1214" s="65"/>
      <c r="H1214" s="65"/>
      <c r="I1214" s="66">
        <v>428.5</v>
      </c>
    </row>
    <row r="1215" spans="1:9" hidden="1">
      <c r="A1215" s="67" t="s">
        <v>295</v>
      </c>
      <c r="B1215" s="68">
        <v>2027</v>
      </c>
      <c r="C1215" s="68">
        <v>2023</v>
      </c>
      <c r="D1215" s="68" t="s">
        <v>325</v>
      </c>
      <c r="E1215" s="68" t="s">
        <v>305</v>
      </c>
      <c r="F1215" s="68" t="s">
        <v>298</v>
      </c>
      <c r="G1215" s="68"/>
      <c r="H1215" s="68"/>
      <c r="I1215" s="69">
        <v>69.900000000000006</v>
      </c>
    </row>
    <row r="1216" spans="1:9" hidden="1">
      <c r="A1216" s="64" t="s">
        <v>295</v>
      </c>
      <c r="B1216" s="65">
        <v>2027</v>
      </c>
      <c r="C1216" s="65">
        <v>2023</v>
      </c>
      <c r="D1216" s="65" t="s">
        <v>325</v>
      </c>
      <c r="E1216" s="65" t="s">
        <v>305</v>
      </c>
      <c r="F1216" s="65" t="s">
        <v>40</v>
      </c>
      <c r="G1216" s="65"/>
      <c r="H1216" s="65"/>
      <c r="I1216" s="66">
        <v>18674.2</v>
      </c>
    </row>
    <row r="1217" spans="1:9" hidden="1">
      <c r="A1217" s="67" t="s">
        <v>295</v>
      </c>
      <c r="B1217" s="68">
        <v>2027</v>
      </c>
      <c r="C1217" s="68">
        <v>2023</v>
      </c>
      <c r="D1217" s="68" t="s">
        <v>326</v>
      </c>
      <c r="E1217" s="68" t="s">
        <v>294</v>
      </c>
      <c r="F1217" s="68" t="s">
        <v>297</v>
      </c>
      <c r="G1217" s="68"/>
      <c r="H1217" s="68"/>
      <c r="I1217" s="69">
        <v>0</v>
      </c>
    </row>
    <row r="1218" spans="1:9" hidden="1">
      <c r="A1218" s="64" t="s">
        <v>295</v>
      </c>
      <c r="B1218" s="65">
        <v>2027</v>
      </c>
      <c r="C1218" s="65">
        <v>2023</v>
      </c>
      <c r="D1218" s="65" t="s">
        <v>326</v>
      </c>
      <c r="E1218" s="65" t="s">
        <v>294</v>
      </c>
      <c r="F1218" s="65" t="s">
        <v>298</v>
      </c>
      <c r="G1218" s="65"/>
      <c r="H1218" s="65"/>
      <c r="I1218" s="66">
        <v>0</v>
      </c>
    </row>
    <row r="1219" spans="1:9" hidden="1">
      <c r="A1219" s="67" t="s">
        <v>295</v>
      </c>
      <c r="B1219" s="68">
        <v>2027</v>
      </c>
      <c r="C1219" s="68">
        <v>2023</v>
      </c>
      <c r="D1219" s="68" t="s">
        <v>326</v>
      </c>
      <c r="E1219" s="68" t="s">
        <v>294</v>
      </c>
      <c r="F1219" s="68" t="s">
        <v>40</v>
      </c>
      <c r="G1219" s="68"/>
      <c r="H1219" s="68"/>
      <c r="I1219" s="69">
        <v>0</v>
      </c>
    </row>
    <row r="1220" spans="1:9" hidden="1">
      <c r="A1220" s="64" t="s">
        <v>295</v>
      </c>
      <c r="B1220" s="65">
        <v>2027</v>
      </c>
      <c r="C1220" s="65">
        <v>2023</v>
      </c>
      <c r="D1220" s="65" t="s">
        <v>326</v>
      </c>
      <c r="E1220" s="65" t="s">
        <v>301</v>
      </c>
      <c r="F1220" s="65" t="s">
        <v>297</v>
      </c>
      <c r="G1220" s="65"/>
      <c r="H1220" s="65"/>
      <c r="I1220" s="66">
        <v>0</v>
      </c>
    </row>
    <row r="1221" spans="1:9" hidden="1">
      <c r="A1221" s="67" t="s">
        <v>295</v>
      </c>
      <c r="B1221" s="68">
        <v>2027</v>
      </c>
      <c r="C1221" s="68">
        <v>2023</v>
      </c>
      <c r="D1221" s="68" t="s">
        <v>326</v>
      </c>
      <c r="E1221" s="68" t="s">
        <v>301</v>
      </c>
      <c r="F1221" s="68" t="s">
        <v>298</v>
      </c>
      <c r="G1221" s="68"/>
      <c r="H1221" s="68"/>
      <c r="I1221" s="69">
        <v>0</v>
      </c>
    </row>
    <row r="1222" spans="1:9" hidden="1">
      <c r="A1222" s="64" t="s">
        <v>295</v>
      </c>
      <c r="B1222" s="65">
        <v>2027</v>
      </c>
      <c r="C1222" s="65">
        <v>2023</v>
      </c>
      <c r="D1222" s="65" t="s">
        <v>326</v>
      </c>
      <c r="E1222" s="65" t="s">
        <v>301</v>
      </c>
      <c r="F1222" s="65" t="s">
        <v>40</v>
      </c>
      <c r="G1222" s="65"/>
      <c r="H1222" s="65"/>
      <c r="I1222" s="66">
        <v>0</v>
      </c>
    </row>
    <row r="1223" spans="1:9" hidden="1">
      <c r="A1223" s="67" t="s">
        <v>295</v>
      </c>
      <c r="B1223" s="68">
        <v>2027</v>
      </c>
      <c r="C1223" s="68">
        <v>2023</v>
      </c>
      <c r="D1223" s="68" t="s">
        <v>304</v>
      </c>
      <c r="E1223" s="68" t="s">
        <v>294</v>
      </c>
      <c r="F1223" s="68" t="s">
        <v>297</v>
      </c>
      <c r="G1223" s="68"/>
      <c r="H1223" s="68"/>
      <c r="I1223" s="69">
        <v>72847.243749999994</v>
      </c>
    </row>
    <row r="1224" spans="1:9" hidden="1">
      <c r="A1224" s="64" t="s">
        <v>295</v>
      </c>
      <c r="B1224" s="65">
        <v>2027</v>
      </c>
      <c r="C1224" s="65">
        <v>2023</v>
      </c>
      <c r="D1224" s="65" t="s">
        <v>304</v>
      </c>
      <c r="E1224" s="65" t="s">
        <v>294</v>
      </c>
      <c r="F1224" s="65" t="s">
        <v>298</v>
      </c>
      <c r="G1224" s="65"/>
      <c r="H1224" s="65"/>
      <c r="I1224" s="66">
        <v>216039.1776</v>
      </c>
    </row>
    <row r="1225" spans="1:9" hidden="1">
      <c r="A1225" s="67" t="s">
        <v>295</v>
      </c>
      <c r="B1225" s="68">
        <v>2027</v>
      </c>
      <c r="C1225" s="68">
        <v>2023</v>
      </c>
      <c r="D1225" s="68" t="s">
        <v>304</v>
      </c>
      <c r="E1225" s="68" t="s">
        <v>294</v>
      </c>
      <c r="F1225" s="68" t="s">
        <v>40</v>
      </c>
      <c r="G1225" s="68"/>
      <c r="H1225" s="68"/>
      <c r="I1225" s="69">
        <v>288607.66136000003</v>
      </c>
    </row>
    <row r="1226" spans="1:9" hidden="1">
      <c r="A1226" s="64" t="s">
        <v>295</v>
      </c>
      <c r="B1226" s="65">
        <v>2027</v>
      </c>
      <c r="C1226" s="65">
        <v>2023</v>
      </c>
      <c r="D1226" s="65" t="s">
        <v>304</v>
      </c>
      <c r="E1226" s="65" t="s">
        <v>301</v>
      </c>
      <c r="F1226" s="65" t="s">
        <v>297</v>
      </c>
      <c r="G1226" s="65"/>
      <c r="H1226" s="65"/>
      <c r="I1226" s="66">
        <v>74160.275129999995</v>
      </c>
    </row>
    <row r="1227" spans="1:9" hidden="1">
      <c r="A1227" s="67" t="s">
        <v>295</v>
      </c>
      <c r="B1227" s="68">
        <v>2027</v>
      </c>
      <c r="C1227" s="68">
        <v>2023</v>
      </c>
      <c r="D1227" s="68" t="s">
        <v>304</v>
      </c>
      <c r="E1227" s="68" t="s">
        <v>301</v>
      </c>
      <c r="F1227" s="68" t="s">
        <v>298</v>
      </c>
      <c r="G1227" s="68"/>
      <c r="H1227" s="68"/>
      <c r="I1227" s="69">
        <v>221830.17561999999</v>
      </c>
    </row>
    <row r="1228" spans="1:9" hidden="1">
      <c r="A1228" s="64" t="s">
        <v>295</v>
      </c>
      <c r="B1228" s="65">
        <v>2027</v>
      </c>
      <c r="C1228" s="65">
        <v>2023</v>
      </c>
      <c r="D1228" s="65" t="s">
        <v>304</v>
      </c>
      <c r="E1228" s="65" t="s">
        <v>301</v>
      </c>
      <c r="F1228" s="65" t="s">
        <v>40</v>
      </c>
      <c r="G1228" s="65"/>
      <c r="H1228" s="65"/>
      <c r="I1228" s="66">
        <v>295711.69076000003</v>
      </c>
    </row>
    <row r="1229" spans="1:9" hidden="1">
      <c r="A1229" s="67" t="s">
        <v>295</v>
      </c>
      <c r="B1229" s="68">
        <v>2027</v>
      </c>
      <c r="C1229" s="68">
        <v>2023</v>
      </c>
      <c r="D1229" s="68" t="s">
        <v>304</v>
      </c>
      <c r="E1229" s="68" t="s">
        <v>305</v>
      </c>
      <c r="F1229" s="68" t="s">
        <v>297</v>
      </c>
      <c r="G1229" s="68"/>
      <c r="H1229" s="68"/>
      <c r="I1229" s="69">
        <v>1065.02253</v>
      </c>
    </row>
    <row r="1230" spans="1:9" hidden="1">
      <c r="A1230" s="64" t="s">
        <v>295</v>
      </c>
      <c r="B1230" s="65">
        <v>2027</v>
      </c>
      <c r="C1230" s="65">
        <v>2023</v>
      </c>
      <c r="D1230" s="65" t="s">
        <v>304</v>
      </c>
      <c r="E1230" s="65" t="s">
        <v>305</v>
      </c>
      <c r="F1230" s="65" t="s">
        <v>298</v>
      </c>
      <c r="G1230" s="65"/>
      <c r="H1230" s="65"/>
      <c r="I1230" s="66">
        <v>727.5</v>
      </c>
    </row>
    <row r="1231" spans="1:9" hidden="1">
      <c r="A1231" s="67" t="s">
        <v>295</v>
      </c>
      <c r="B1231" s="68">
        <v>2027</v>
      </c>
      <c r="C1231" s="68">
        <v>2023</v>
      </c>
      <c r="D1231" s="68" t="s">
        <v>304</v>
      </c>
      <c r="E1231" s="68" t="s">
        <v>305</v>
      </c>
      <c r="F1231" s="68" t="s">
        <v>40</v>
      </c>
      <c r="G1231" s="68"/>
      <c r="H1231" s="68"/>
      <c r="I1231" s="69">
        <v>16246.52253</v>
      </c>
    </row>
    <row r="1232" spans="1:9" hidden="1">
      <c r="A1232" s="64" t="s">
        <v>295</v>
      </c>
      <c r="B1232" s="65">
        <v>2027</v>
      </c>
      <c r="C1232" s="65">
        <v>2023</v>
      </c>
      <c r="D1232" s="65" t="s">
        <v>306</v>
      </c>
      <c r="E1232" s="65" t="s">
        <v>294</v>
      </c>
      <c r="F1232" s="65" t="s">
        <v>297</v>
      </c>
      <c r="G1232" s="65"/>
      <c r="H1232" s="65"/>
      <c r="I1232" s="66">
        <v>366318.32681</v>
      </c>
    </row>
    <row r="1233" spans="1:9" hidden="1">
      <c r="A1233" s="67" t="s">
        <v>295</v>
      </c>
      <c r="B1233" s="68">
        <v>2027</v>
      </c>
      <c r="C1233" s="68">
        <v>2023</v>
      </c>
      <c r="D1233" s="68" t="s">
        <v>306</v>
      </c>
      <c r="E1233" s="68" t="s">
        <v>294</v>
      </c>
      <c r="F1233" s="68" t="s">
        <v>40</v>
      </c>
      <c r="G1233" s="68"/>
      <c r="H1233" s="68"/>
      <c r="I1233" s="69">
        <v>366318.32681</v>
      </c>
    </row>
    <row r="1234" spans="1:9" hidden="1">
      <c r="A1234" s="64" t="s">
        <v>295</v>
      </c>
      <c r="B1234" s="65">
        <v>2027</v>
      </c>
      <c r="C1234" s="65">
        <v>2023</v>
      </c>
      <c r="D1234" s="65" t="s">
        <v>306</v>
      </c>
      <c r="E1234" s="65" t="s">
        <v>301</v>
      </c>
      <c r="F1234" s="65" t="s">
        <v>297</v>
      </c>
      <c r="G1234" s="65"/>
      <c r="H1234" s="65"/>
      <c r="I1234" s="66">
        <v>376600.49748000002</v>
      </c>
    </row>
    <row r="1235" spans="1:9" hidden="1">
      <c r="A1235" s="67" t="s">
        <v>295</v>
      </c>
      <c r="B1235" s="68">
        <v>2027</v>
      </c>
      <c r="C1235" s="68">
        <v>2023</v>
      </c>
      <c r="D1235" s="68" t="s">
        <v>306</v>
      </c>
      <c r="E1235" s="68" t="s">
        <v>301</v>
      </c>
      <c r="F1235" s="68" t="s">
        <v>40</v>
      </c>
      <c r="G1235" s="68"/>
      <c r="H1235" s="68"/>
      <c r="I1235" s="69">
        <v>376600.49748000002</v>
      </c>
    </row>
    <row r="1236" spans="1:9" hidden="1">
      <c r="A1236" s="64" t="s">
        <v>295</v>
      </c>
      <c r="B1236" s="65">
        <v>2027</v>
      </c>
      <c r="C1236" s="65">
        <v>2023</v>
      </c>
      <c r="D1236" s="65" t="s">
        <v>306</v>
      </c>
      <c r="E1236" s="65" t="s">
        <v>305</v>
      </c>
      <c r="F1236" s="65" t="s">
        <v>297</v>
      </c>
      <c r="G1236" s="65"/>
      <c r="H1236" s="65"/>
      <c r="I1236" s="66">
        <v>2025.54919</v>
      </c>
    </row>
    <row r="1237" spans="1:9" hidden="1">
      <c r="A1237" s="67" t="s">
        <v>295</v>
      </c>
      <c r="B1237" s="68">
        <v>2027</v>
      </c>
      <c r="C1237" s="68">
        <v>2023</v>
      </c>
      <c r="D1237" s="68" t="s">
        <v>306</v>
      </c>
      <c r="E1237" s="68" t="s">
        <v>305</v>
      </c>
      <c r="F1237" s="68" t="s">
        <v>40</v>
      </c>
      <c r="G1237" s="68"/>
      <c r="H1237" s="68"/>
      <c r="I1237" s="69">
        <v>29261.249189999999</v>
      </c>
    </row>
    <row r="1238" spans="1:9" hidden="1">
      <c r="A1238" s="64" t="s">
        <v>295</v>
      </c>
      <c r="B1238" s="65">
        <v>2027</v>
      </c>
      <c r="C1238" s="65">
        <v>2023</v>
      </c>
      <c r="D1238" s="65" t="s">
        <v>307</v>
      </c>
      <c r="E1238" s="65" t="s">
        <v>294</v>
      </c>
      <c r="F1238" s="65" t="s">
        <v>40</v>
      </c>
      <c r="G1238" s="65"/>
      <c r="H1238" s="65"/>
      <c r="I1238" s="66">
        <v>-254213.44377000001</v>
      </c>
    </row>
    <row r="1239" spans="1:9" hidden="1">
      <c r="A1239" s="67" t="s">
        <v>295</v>
      </c>
      <c r="B1239" s="68">
        <v>2027</v>
      </c>
      <c r="C1239" s="68">
        <v>2023</v>
      </c>
      <c r="D1239" s="68" t="s">
        <v>307</v>
      </c>
      <c r="E1239" s="68" t="s">
        <v>301</v>
      </c>
      <c r="F1239" s="68" t="s">
        <v>40</v>
      </c>
      <c r="G1239" s="68"/>
      <c r="H1239" s="68"/>
      <c r="I1239" s="69">
        <v>-237287.68692000001</v>
      </c>
    </row>
    <row r="1240" spans="1:9" hidden="1">
      <c r="A1240" s="64" t="s">
        <v>295</v>
      </c>
      <c r="B1240" s="65">
        <v>2027</v>
      </c>
      <c r="C1240" s="65">
        <v>2023</v>
      </c>
      <c r="D1240" s="65" t="s">
        <v>307</v>
      </c>
      <c r="E1240" s="65" t="s">
        <v>305</v>
      </c>
      <c r="F1240" s="65" t="s">
        <v>40</v>
      </c>
      <c r="G1240" s="65"/>
      <c r="H1240" s="65"/>
      <c r="I1240" s="66">
        <v>-20732.73804</v>
      </c>
    </row>
    <row r="1241" spans="1:9" hidden="1">
      <c r="A1241" s="67" t="s">
        <v>295</v>
      </c>
      <c r="B1241" s="68">
        <v>2027</v>
      </c>
      <c r="C1241" s="68">
        <v>2023</v>
      </c>
      <c r="D1241" s="68" t="s">
        <v>327</v>
      </c>
      <c r="E1241" s="68" t="s">
        <v>294</v>
      </c>
      <c r="F1241" s="68" t="s">
        <v>40</v>
      </c>
      <c r="G1241" s="68"/>
      <c r="H1241" s="68"/>
      <c r="I1241" s="69">
        <v>-321493.69351000001</v>
      </c>
    </row>
    <row r="1242" spans="1:9" hidden="1">
      <c r="A1242" s="64" t="s">
        <v>295</v>
      </c>
      <c r="B1242" s="65">
        <v>2027</v>
      </c>
      <c r="C1242" s="65">
        <v>2023</v>
      </c>
      <c r="D1242" s="65" t="s">
        <v>327</v>
      </c>
      <c r="E1242" s="65" t="s">
        <v>301</v>
      </c>
      <c r="F1242" s="65" t="s">
        <v>40</v>
      </c>
      <c r="G1242" s="65"/>
      <c r="H1242" s="65"/>
      <c r="I1242" s="66">
        <v>-310634.37176000001</v>
      </c>
    </row>
    <row r="1243" spans="1:9" hidden="1">
      <c r="A1243" s="67" t="s">
        <v>295</v>
      </c>
      <c r="B1243" s="68">
        <v>2027</v>
      </c>
      <c r="C1243" s="68">
        <v>2023</v>
      </c>
      <c r="D1243" s="68" t="s">
        <v>327</v>
      </c>
      <c r="E1243" s="68" t="s">
        <v>305</v>
      </c>
      <c r="F1243" s="68" t="s">
        <v>40</v>
      </c>
      <c r="G1243" s="68"/>
      <c r="H1243" s="68"/>
      <c r="I1243" s="69">
        <v>-21062.213390000001</v>
      </c>
    </row>
    <row r="1244" spans="1:9" hidden="1">
      <c r="A1244" s="64" t="s">
        <v>295</v>
      </c>
      <c r="B1244" s="65">
        <v>2027</v>
      </c>
      <c r="C1244" s="65">
        <v>2023</v>
      </c>
      <c r="D1244" s="65" t="s">
        <v>328</v>
      </c>
      <c r="E1244" s="65" t="s">
        <v>294</v>
      </c>
      <c r="F1244" s="65" t="s">
        <v>40</v>
      </c>
      <c r="G1244" s="65"/>
      <c r="H1244" s="65"/>
      <c r="I1244" s="66">
        <v>34896.980020000003</v>
      </c>
    </row>
    <row r="1245" spans="1:9" hidden="1">
      <c r="A1245" s="67" t="s">
        <v>295</v>
      </c>
      <c r="B1245" s="68">
        <v>2027</v>
      </c>
      <c r="C1245" s="68">
        <v>2023</v>
      </c>
      <c r="D1245" s="68" t="s">
        <v>328</v>
      </c>
      <c r="E1245" s="68" t="s">
        <v>301</v>
      </c>
      <c r="F1245" s="68" t="s">
        <v>40</v>
      </c>
      <c r="G1245" s="68"/>
      <c r="H1245" s="68"/>
      <c r="I1245" s="69">
        <v>38687.606090000001</v>
      </c>
    </row>
    <row r="1246" spans="1:9" hidden="1">
      <c r="A1246" s="64" t="s">
        <v>295</v>
      </c>
      <c r="B1246" s="65">
        <v>2027</v>
      </c>
      <c r="C1246" s="65">
        <v>2023</v>
      </c>
      <c r="D1246" s="65" t="s">
        <v>328</v>
      </c>
      <c r="E1246" s="65" t="s">
        <v>305</v>
      </c>
      <c r="F1246" s="65" t="s">
        <v>40</v>
      </c>
      <c r="G1246" s="65"/>
      <c r="H1246" s="65"/>
      <c r="I1246" s="66">
        <v>-2352.57384</v>
      </c>
    </row>
    <row r="1247" spans="1:9" hidden="1">
      <c r="A1247" s="67" t="s">
        <v>295</v>
      </c>
      <c r="B1247" s="68">
        <v>2027</v>
      </c>
      <c r="C1247" s="68">
        <v>2023</v>
      </c>
      <c r="D1247" s="68" t="s">
        <v>329</v>
      </c>
      <c r="E1247" s="68" t="s">
        <v>294</v>
      </c>
      <c r="F1247" s="68" t="s">
        <v>40</v>
      </c>
      <c r="G1247" s="68"/>
      <c r="H1247" s="68"/>
      <c r="I1247" s="69">
        <v>13812.575059999999</v>
      </c>
    </row>
    <row r="1248" spans="1:9" hidden="1">
      <c r="A1248" s="64" t="s">
        <v>295</v>
      </c>
      <c r="B1248" s="65">
        <v>2027</v>
      </c>
      <c r="C1248" s="65">
        <v>2023</v>
      </c>
      <c r="D1248" s="65" t="s">
        <v>329</v>
      </c>
      <c r="E1248" s="65" t="s">
        <v>301</v>
      </c>
      <c r="F1248" s="65" t="s">
        <v>40</v>
      </c>
      <c r="G1248" s="65"/>
      <c r="H1248" s="65"/>
      <c r="I1248" s="66">
        <v>14602.952520000001</v>
      </c>
    </row>
    <row r="1249" spans="1:9" hidden="1">
      <c r="A1249" s="67" t="s">
        <v>295</v>
      </c>
      <c r="B1249" s="68">
        <v>2027</v>
      </c>
      <c r="C1249" s="68">
        <v>2023</v>
      </c>
      <c r="D1249" s="68" t="s">
        <v>329</v>
      </c>
      <c r="E1249" s="68" t="s">
        <v>305</v>
      </c>
      <c r="F1249" s="68" t="s">
        <v>40</v>
      </c>
      <c r="G1249" s="68"/>
      <c r="H1249" s="68"/>
      <c r="I1249" s="69">
        <v>1271.81194</v>
      </c>
    </row>
    <row r="1250" spans="1:9" hidden="1">
      <c r="A1250" s="64" t="s">
        <v>295</v>
      </c>
      <c r="B1250" s="65">
        <v>2027</v>
      </c>
      <c r="C1250" s="65">
        <v>2023</v>
      </c>
      <c r="D1250" s="65" t="s">
        <v>330</v>
      </c>
      <c r="E1250" s="65" t="s">
        <v>294</v>
      </c>
      <c r="F1250" s="65" t="s">
        <v>40</v>
      </c>
      <c r="G1250" s="65"/>
      <c r="H1250" s="65"/>
      <c r="I1250" s="66">
        <v>14467.760200000001</v>
      </c>
    </row>
    <row r="1251" spans="1:9" hidden="1">
      <c r="A1251" s="67" t="s">
        <v>295</v>
      </c>
      <c r="B1251" s="68">
        <v>2027</v>
      </c>
      <c r="C1251" s="68">
        <v>2023</v>
      </c>
      <c r="D1251" s="68" t="s">
        <v>330</v>
      </c>
      <c r="E1251" s="68" t="s">
        <v>301</v>
      </c>
      <c r="F1251" s="68" t="s">
        <v>40</v>
      </c>
      <c r="G1251" s="68"/>
      <c r="H1251" s="68"/>
      <c r="I1251" s="69">
        <v>14711.8107</v>
      </c>
    </row>
    <row r="1252" spans="1:9" hidden="1">
      <c r="A1252" s="64" t="s">
        <v>295</v>
      </c>
      <c r="B1252" s="65">
        <v>2027</v>
      </c>
      <c r="C1252" s="65">
        <v>2023</v>
      </c>
      <c r="D1252" s="65" t="s">
        <v>330</v>
      </c>
      <c r="E1252" s="65" t="s">
        <v>305</v>
      </c>
      <c r="F1252" s="65" t="s">
        <v>40</v>
      </c>
      <c r="G1252" s="65"/>
      <c r="H1252" s="65"/>
      <c r="I1252" s="66">
        <v>768.68648000000007</v>
      </c>
    </row>
    <row r="1253" spans="1:9" hidden="1">
      <c r="A1253" s="67" t="s">
        <v>295</v>
      </c>
      <c r="B1253" s="68">
        <v>2027</v>
      </c>
      <c r="C1253" s="68">
        <v>2023</v>
      </c>
      <c r="D1253" s="68" t="s">
        <v>331</v>
      </c>
      <c r="E1253" s="68" t="s">
        <v>294</v>
      </c>
      <c r="F1253" s="68" t="s">
        <v>40</v>
      </c>
      <c r="G1253" s="68"/>
      <c r="H1253" s="68"/>
      <c r="I1253" s="69">
        <v>35219.13394</v>
      </c>
    </row>
    <row r="1254" spans="1:9" hidden="1">
      <c r="A1254" s="64" t="s">
        <v>295</v>
      </c>
      <c r="B1254" s="65">
        <v>2027</v>
      </c>
      <c r="C1254" s="65">
        <v>2023</v>
      </c>
      <c r="D1254" s="65" t="s">
        <v>331</v>
      </c>
      <c r="E1254" s="65" t="s">
        <v>301</v>
      </c>
      <c r="F1254" s="65" t="s">
        <v>40</v>
      </c>
      <c r="G1254" s="65"/>
      <c r="H1254" s="65"/>
      <c r="I1254" s="66">
        <v>35973.417130000002</v>
      </c>
    </row>
    <row r="1255" spans="1:9" hidden="1">
      <c r="A1255" s="67" t="s">
        <v>295</v>
      </c>
      <c r="B1255" s="68">
        <v>2027</v>
      </c>
      <c r="C1255" s="68">
        <v>2023</v>
      </c>
      <c r="D1255" s="68" t="s">
        <v>331</v>
      </c>
      <c r="E1255" s="68" t="s">
        <v>305</v>
      </c>
      <c r="F1255" s="68" t="s">
        <v>40</v>
      </c>
      <c r="G1255" s="68"/>
      <c r="H1255" s="68"/>
      <c r="I1255" s="69">
        <v>2780.3533900000002</v>
      </c>
    </row>
    <row r="1256" spans="1:9" hidden="1">
      <c r="A1256" s="64" t="s">
        <v>295</v>
      </c>
      <c r="B1256" s="65">
        <v>2027</v>
      </c>
      <c r="C1256" s="65">
        <v>2023</v>
      </c>
      <c r="D1256" s="65" t="s">
        <v>332</v>
      </c>
      <c r="E1256" s="65" t="s">
        <v>294</v>
      </c>
      <c r="F1256" s="65" t="s">
        <v>40</v>
      </c>
      <c r="G1256" s="65"/>
      <c r="H1256" s="65"/>
      <c r="I1256" s="66">
        <v>645.5456099999999</v>
      </c>
    </row>
    <row r="1257" spans="1:9" hidden="1">
      <c r="A1257" s="67" t="s">
        <v>295</v>
      </c>
      <c r="B1257" s="68">
        <v>2027</v>
      </c>
      <c r="C1257" s="68">
        <v>2023</v>
      </c>
      <c r="D1257" s="68" t="s">
        <v>332</v>
      </c>
      <c r="E1257" s="68" t="s">
        <v>301</v>
      </c>
      <c r="F1257" s="68" t="s">
        <v>40</v>
      </c>
      <c r="G1257" s="68"/>
      <c r="H1257" s="68"/>
      <c r="I1257" s="69">
        <v>567.53971999999999</v>
      </c>
    </row>
    <row r="1258" spans="1:9" hidden="1">
      <c r="A1258" s="64" t="s">
        <v>295</v>
      </c>
      <c r="B1258" s="65">
        <v>2027</v>
      </c>
      <c r="C1258" s="65">
        <v>2023</v>
      </c>
      <c r="D1258" s="65" t="s">
        <v>332</v>
      </c>
      <c r="E1258" s="65" t="s">
        <v>305</v>
      </c>
      <c r="F1258" s="65" t="s">
        <v>40</v>
      </c>
      <c r="G1258" s="65"/>
      <c r="H1258" s="65"/>
      <c r="I1258" s="66">
        <v>260.27737999999999</v>
      </c>
    </row>
    <row r="1259" spans="1:9" hidden="1">
      <c r="A1259" s="67" t="s">
        <v>295</v>
      </c>
      <c r="B1259" s="68">
        <v>2027</v>
      </c>
      <c r="C1259" s="68">
        <v>2023</v>
      </c>
      <c r="D1259" s="68" t="s">
        <v>333</v>
      </c>
      <c r="E1259" s="68" t="s">
        <v>294</v>
      </c>
      <c r="F1259" s="68" t="s">
        <v>40</v>
      </c>
      <c r="G1259" s="68"/>
      <c r="H1259" s="68"/>
      <c r="I1259" s="69">
        <v>-31594.536639999998</v>
      </c>
    </row>
    <row r="1260" spans="1:9" hidden="1">
      <c r="A1260" s="64" t="s">
        <v>295</v>
      </c>
      <c r="B1260" s="65">
        <v>2027</v>
      </c>
      <c r="C1260" s="65">
        <v>2023</v>
      </c>
      <c r="D1260" s="65" t="s">
        <v>333</v>
      </c>
      <c r="E1260" s="65" t="s">
        <v>301</v>
      </c>
      <c r="F1260" s="65" t="s">
        <v>40</v>
      </c>
      <c r="G1260" s="65"/>
      <c r="H1260" s="65"/>
      <c r="I1260" s="66">
        <v>-31456.55286</v>
      </c>
    </row>
    <row r="1261" spans="1:9" hidden="1">
      <c r="A1261" s="67" t="s">
        <v>295</v>
      </c>
      <c r="B1261" s="68">
        <v>2027</v>
      </c>
      <c r="C1261" s="68">
        <v>2023</v>
      </c>
      <c r="D1261" s="68" t="s">
        <v>333</v>
      </c>
      <c r="E1261" s="68" t="s">
        <v>305</v>
      </c>
      <c r="F1261" s="68" t="s">
        <v>40</v>
      </c>
      <c r="G1261" s="68"/>
      <c r="H1261" s="68"/>
      <c r="I1261" s="69">
        <v>-2399.08</v>
      </c>
    </row>
    <row r="1262" spans="1:9" hidden="1">
      <c r="A1262" s="64" t="s">
        <v>295</v>
      </c>
      <c r="B1262" s="65">
        <v>2027</v>
      </c>
      <c r="C1262" s="65">
        <v>2023</v>
      </c>
      <c r="D1262" s="65" t="s">
        <v>334</v>
      </c>
      <c r="E1262" s="65" t="s">
        <v>294</v>
      </c>
      <c r="F1262" s="65" t="s">
        <v>40</v>
      </c>
      <c r="G1262" s="65"/>
      <c r="H1262" s="65"/>
      <c r="I1262" s="66">
        <v>259.87033000000002</v>
      </c>
    </row>
    <row r="1263" spans="1:9" hidden="1">
      <c r="A1263" s="67" t="s">
        <v>295</v>
      </c>
      <c r="B1263" s="68">
        <v>2027</v>
      </c>
      <c r="C1263" s="68">
        <v>2023</v>
      </c>
      <c r="D1263" s="68" t="s">
        <v>334</v>
      </c>
      <c r="E1263" s="68" t="s">
        <v>301</v>
      </c>
      <c r="F1263" s="68" t="s">
        <v>40</v>
      </c>
      <c r="G1263" s="68"/>
      <c r="H1263" s="68"/>
      <c r="I1263" s="69">
        <v>259.87033000000002</v>
      </c>
    </row>
    <row r="1264" spans="1:9" hidden="1">
      <c r="A1264" s="64" t="s">
        <v>295</v>
      </c>
      <c r="B1264" s="65">
        <v>2027</v>
      </c>
      <c r="C1264" s="65">
        <v>2023</v>
      </c>
      <c r="D1264" s="65" t="s">
        <v>308</v>
      </c>
      <c r="E1264" s="65" t="s">
        <v>294</v>
      </c>
      <c r="F1264" s="65" t="s">
        <v>297</v>
      </c>
      <c r="G1264" s="65"/>
      <c r="H1264" s="65"/>
      <c r="I1264" s="66">
        <v>99748.158660000001</v>
      </c>
    </row>
    <row r="1265" spans="1:9" hidden="1">
      <c r="A1265" s="67" t="s">
        <v>295</v>
      </c>
      <c r="B1265" s="68">
        <v>2027</v>
      </c>
      <c r="C1265" s="68">
        <v>2023</v>
      </c>
      <c r="D1265" s="68" t="s">
        <v>308</v>
      </c>
      <c r="E1265" s="68" t="s">
        <v>294</v>
      </c>
      <c r="F1265" s="68" t="s">
        <v>298</v>
      </c>
      <c r="G1265" s="68"/>
      <c r="H1265" s="68"/>
      <c r="I1265" s="69">
        <v>261.24754000000001</v>
      </c>
    </row>
    <row r="1266" spans="1:9" hidden="1">
      <c r="A1266" s="64" t="s">
        <v>295</v>
      </c>
      <c r="B1266" s="65">
        <v>2027</v>
      </c>
      <c r="C1266" s="65">
        <v>2023</v>
      </c>
      <c r="D1266" s="65" t="s">
        <v>308</v>
      </c>
      <c r="E1266" s="65" t="s">
        <v>294</v>
      </c>
      <c r="F1266" s="65" t="s">
        <v>40</v>
      </c>
      <c r="G1266" s="65"/>
      <c r="H1266" s="65"/>
      <c r="I1266" s="66">
        <v>100009.4062</v>
      </c>
    </row>
    <row r="1267" spans="1:9" hidden="1">
      <c r="A1267" s="67" t="s">
        <v>295</v>
      </c>
      <c r="B1267" s="68">
        <v>2027</v>
      </c>
      <c r="C1267" s="68">
        <v>2023</v>
      </c>
      <c r="D1267" s="68" t="s">
        <v>308</v>
      </c>
      <c r="E1267" s="68" t="s">
        <v>301</v>
      </c>
      <c r="F1267" s="68" t="s">
        <v>297</v>
      </c>
      <c r="G1267" s="68"/>
      <c r="H1267" s="68"/>
      <c r="I1267" s="69">
        <v>100604.30985000001</v>
      </c>
    </row>
    <row r="1268" spans="1:9" hidden="1">
      <c r="A1268" s="64" t="s">
        <v>295</v>
      </c>
      <c r="B1268" s="65">
        <v>2027</v>
      </c>
      <c r="C1268" s="65">
        <v>2023</v>
      </c>
      <c r="D1268" s="65" t="s">
        <v>308</v>
      </c>
      <c r="E1268" s="65" t="s">
        <v>301</v>
      </c>
      <c r="F1268" s="65" t="s">
        <v>298</v>
      </c>
      <c r="G1268" s="65"/>
      <c r="H1268" s="65"/>
      <c r="I1268" s="66">
        <v>261.24754000000001</v>
      </c>
    </row>
    <row r="1269" spans="1:9" hidden="1">
      <c r="A1269" s="67" t="s">
        <v>295</v>
      </c>
      <c r="B1269" s="68">
        <v>2027</v>
      </c>
      <c r="C1269" s="68">
        <v>2023</v>
      </c>
      <c r="D1269" s="68" t="s">
        <v>308</v>
      </c>
      <c r="E1269" s="68" t="s">
        <v>301</v>
      </c>
      <c r="F1269" s="68" t="s">
        <v>40</v>
      </c>
      <c r="G1269" s="68"/>
      <c r="H1269" s="68"/>
      <c r="I1269" s="69">
        <v>100865.55739</v>
      </c>
    </row>
    <row r="1270" spans="1:9" hidden="1">
      <c r="A1270" s="64" t="s">
        <v>295</v>
      </c>
      <c r="B1270" s="65">
        <v>2027</v>
      </c>
      <c r="C1270" s="65">
        <v>2023</v>
      </c>
      <c r="D1270" s="65" t="s">
        <v>308</v>
      </c>
      <c r="E1270" s="65" t="s">
        <v>305</v>
      </c>
      <c r="F1270" s="65" t="s">
        <v>297</v>
      </c>
      <c r="G1270" s="65"/>
      <c r="H1270" s="65"/>
      <c r="I1270" s="66">
        <v>1574.67778</v>
      </c>
    </row>
    <row r="1271" spans="1:9" hidden="1">
      <c r="A1271" s="67" t="s">
        <v>295</v>
      </c>
      <c r="B1271" s="68">
        <v>2027</v>
      </c>
      <c r="C1271" s="68">
        <v>2023</v>
      </c>
      <c r="D1271" s="68" t="s">
        <v>308</v>
      </c>
      <c r="E1271" s="68" t="s">
        <v>305</v>
      </c>
      <c r="F1271" s="68" t="s">
        <v>40</v>
      </c>
      <c r="G1271" s="68"/>
      <c r="H1271" s="68"/>
      <c r="I1271" s="69">
        <v>10618.877780000001</v>
      </c>
    </row>
    <row r="1272" spans="1:9" hidden="1">
      <c r="A1272" s="64" t="s">
        <v>295</v>
      </c>
      <c r="B1272" s="65">
        <v>2027</v>
      </c>
      <c r="C1272" s="65">
        <v>2023</v>
      </c>
      <c r="D1272" s="65" t="s">
        <v>310</v>
      </c>
      <c r="E1272" s="65" t="s">
        <v>294</v>
      </c>
      <c r="F1272" s="65" t="s">
        <v>297</v>
      </c>
      <c r="G1272" s="65"/>
      <c r="H1272" s="65"/>
      <c r="I1272" s="66">
        <v>123.9</v>
      </c>
    </row>
    <row r="1273" spans="1:9" hidden="1">
      <c r="A1273" s="67" t="s">
        <v>295</v>
      </c>
      <c r="B1273" s="68">
        <v>2027</v>
      </c>
      <c r="C1273" s="68">
        <v>2023</v>
      </c>
      <c r="D1273" s="68" t="s">
        <v>310</v>
      </c>
      <c r="E1273" s="68" t="s">
        <v>294</v>
      </c>
      <c r="F1273" s="68" t="s">
        <v>40</v>
      </c>
      <c r="G1273" s="68"/>
      <c r="H1273" s="68"/>
      <c r="I1273" s="69">
        <v>114483.86656605671</v>
      </c>
    </row>
    <row r="1274" spans="1:9" hidden="1">
      <c r="A1274" s="64" t="s">
        <v>295</v>
      </c>
      <c r="B1274" s="65">
        <v>2027</v>
      </c>
      <c r="C1274" s="65">
        <v>2023</v>
      </c>
      <c r="D1274" s="65" t="s">
        <v>310</v>
      </c>
      <c r="E1274" s="65" t="s">
        <v>301</v>
      </c>
      <c r="F1274" s="65" t="s">
        <v>297</v>
      </c>
      <c r="G1274" s="65"/>
      <c r="H1274" s="65"/>
      <c r="I1274" s="66">
        <v>123.9</v>
      </c>
    </row>
    <row r="1275" spans="1:9" hidden="1">
      <c r="A1275" s="67" t="s">
        <v>295</v>
      </c>
      <c r="B1275" s="68">
        <v>2027</v>
      </c>
      <c r="C1275" s="68">
        <v>2023</v>
      </c>
      <c r="D1275" s="68" t="s">
        <v>310</v>
      </c>
      <c r="E1275" s="68" t="s">
        <v>301</v>
      </c>
      <c r="F1275" s="68" t="s">
        <v>40</v>
      </c>
      <c r="G1275" s="68"/>
      <c r="H1275" s="68"/>
      <c r="I1275" s="69">
        <v>119482.3382260567</v>
      </c>
    </row>
    <row r="1276" spans="1:9" hidden="1">
      <c r="A1276" s="64" t="s">
        <v>295</v>
      </c>
      <c r="B1276" s="65">
        <v>2027</v>
      </c>
      <c r="C1276" s="65">
        <v>2023</v>
      </c>
      <c r="D1276" s="65" t="s">
        <v>310</v>
      </c>
      <c r="E1276" s="65" t="s">
        <v>305</v>
      </c>
      <c r="F1276" s="65" t="s">
        <v>40</v>
      </c>
      <c r="G1276" s="65"/>
      <c r="H1276" s="65"/>
      <c r="I1276" s="66">
        <v>987.00901999999996</v>
      </c>
    </row>
    <row r="1277" spans="1:9" hidden="1">
      <c r="A1277" s="67" t="s">
        <v>295</v>
      </c>
      <c r="B1277" s="68">
        <v>2027</v>
      </c>
      <c r="C1277" s="68">
        <v>2023</v>
      </c>
      <c r="D1277" s="68" t="s">
        <v>311</v>
      </c>
      <c r="E1277" s="68" t="s">
        <v>294</v>
      </c>
      <c r="F1277" s="68" t="s">
        <v>297</v>
      </c>
      <c r="G1277" s="68"/>
      <c r="H1277" s="68"/>
      <c r="I1277" s="69">
        <v>597.5</v>
      </c>
    </row>
    <row r="1278" spans="1:9" hidden="1">
      <c r="A1278" s="64" t="s">
        <v>295</v>
      </c>
      <c r="B1278" s="65">
        <v>2027</v>
      </c>
      <c r="C1278" s="65">
        <v>2023</v>
      </c>
      <c r="D1278" s="65" t="s">
        <v>311</v>
      </c>
      <c r="E1278" s="65" t="s">
        <v>294</v>
      </c>
      <c r="F1278" s="65" t="s">
        <v>40</v>
      </c>
      <c r="G1278" s="65"/>
      <c r="H1278" s="65"/>
      <c r="I1278" s="66">
        <v>138380.79670516681</v>
      </c>
    </row>
    <row r="1279" spans="1:9" hidden="1">
      <c r="A1279" s="67" t="s">
        <v>295</v>
      </c>
      <c r="B1279" s="68">
        <v>2027</v>
      </c>
      <c r="C1279" s="68">
        <v>2023</v>
      </c>
      <c r="D1279" s="68" t="s">
        <v>311</v>
      </c>
      <c r="E1279" s="68" t="s">
        <v>301</v>
      </c>
      <c r="F1279" s="68" t="s">
        <v>297</v>
      </c>
      <c r="G1279" s="68"/>
      <c r="H1279" s="68"/>
      <c r="I1279" s="69">
        <v>597.5</v>
      </c>
    </row>
    <row r="1280" spans="1:9" hidden="1">
      <c r="A1280" s="64" t="s">
        <v>295</v>
      </c>
      <c r="B1280" s="65">
        <v>2027</v>
      </c>
      <c r="C1280" s="65">
        <v>2023</v>
      </c>
      <c r="D1280" s="65" t="s">
        <v>311</v>
      </c>
      <c r="E1280" s="65" t="s">
        <v>301</v>
      </c>
      <c r="F1280" s="65" t="s">
        <v>40</v>
      </c>
      <c r="G1280" s="65"/>
      <c r="H1280" s="65"/>
      <c r="I1280" s="66">
        <v>139466.49175516679</v>
      </c>
    </row>
    <row r="1281" spans="1:9" hidden="1">
      <c r="A1281" s="67" t="s">
        <v>295</v>
      </c>
      <c r="B1281" s="68">
        <v>2027</v>
      </c>
      <c r="C1281" s="68">
        <v>2023</v>
      </c>
      <c r="D1281" s="68" t="s">
        <v>311</v>
      </c>
      <c r="E1281" s="68" t="s">
        <v>305</v>
      </c>
      <c r="F1281" s="68" t="s">
        <v>40</v>
      </c>
      <c r="G1281" s="68"/>
      <c r="H1281" s="68"/>
      <c r="I1281" s="69">
        <v>702.8</v>
      </c>
    </row>
    <row r="1282" spans="1:9" hidden="1">
      <c r="A1282" s="64" t="s">
        <v>295</v>
      </c>
      <c r="B1282" s="65">
        <v>2027</v>
      </c>
      <c r="C1282" s="65">
        <v>2023</v>
      </c>
      <c r="D1282" s="65" t="s">
        <v>312</v>
      </c>
      <c r="E1282" s="65" t="s">
        <v>294</v>
      </c>
      <c r="F1282" s="65" t="s">
        <v>297</v>
      </c>
      <c r="G1282" s="65"/>
      <c r="H1282" s="65"/>
      <c r="I1282" s="66">
        <v>742.01779999999997</v>
      </c>
    </row>
    <row r="1283" spans="1:9" hidden="1">
      <c r="A1283" s="67" t="s">
        <v>295</v>
      </c>
      <c r="B1283" s="68">
        <v>2027</v>
      </c>
      <c r="C1283" s="68">
        <v>2023</v>
      </c>
      <c r="D1283" s="68" t="s">
        <v>312</v>
      </c>
      <c r="E1283" s="68" t="s">
        <v>294</v>
      </c>
      <c r="F1283" s="68" t="s">
        <v>40</v>
      </c>
      <c r="G1283" s="68"/>
      <c r="H1283" s="68"/>
      <c r="I1283" s="69">
        <v>885.91779999999994</v>
      </c>
    </row>
    <row r="1284" spans="1:9" hidden="1">
      <c r="A1284" s="64" t="s">
        <v>295</v>
      </c>
      <c r="B1284" s="65">
        <v>2027</v>
      </c>
      <c r="C1284" s="65">
        <v>2023</v>
      </c>
      <c r="D1284" s="65" t="s">
        <v>312</v>
      </c>
      <c r="E1284" s="65" t="s">
        <v>301</v>
      </c>
      <c r="F1284" s="65" t="s">
        <v>297</v>
      </c>
      <c r="G1284" s="65"/>
      <c r="H1284" s="65"/>
      <c r="I1284" s="66">
        <v>742.61883999999998</v>
      </c>
    </row>
    <row r="1285" spans="1:9" hidden="1">
      <c r="A1285" s="67" t="s">
        <v>295</v>
      </c>
      <c r="B1285" s="68">
        <v>2027</v>
      </c>
      <c r="C1285" s="68">
        <v>2023</v>
      </c>
      <c r="D1285" s="68" t="s">
        <v>312</v>
      </c>
      <c r="E1285" s="68" t="s">
        <v>301</v>
      </c>
      <c r="F1285" s="68" t="s">
        <v>40</v>
      </c>
      <c r="G1285" s="68"/>
      <c r="H1285" s="68"/>
      <c r="I1285" s="69">
        <v>886.51883999999995</v>
      </c>
    </row>
    <row r="1286" spans="1:9" hidden="1">
      <c r="A1286" s="64" t="s">
        <v>295</v>
      </c>
      <c r="B1286" s="65">
        <v>2027</v>
      </c>
      <c r="C1286" s="65">
        <v>2023</v>
      </c>
      <c r="D1286" s="65" t="s">
        <v>313</v>
      </c>
      <c r="E1286" s="65" t="s">
        <v>294</v>
      </c>
      <c r="F1286" s="65" t="s">
        <v>297</v>
      </c>
      <c r="G1286" s="65"/>
      <c r="H1286" s="65"/>
      <c r="I1286" s="66">
        <v>1876071.6613799999</v>
      </c>
    </row>
    <row r="1287" spans="1:9" hidden="1">
      <c r="A1287" s="67" t="s">
        <v>295</v>
      </c>
      <c r="B1287" s="68">
        <v>2027</v>
      </c>
      <c r="C1287" s="68">
        <v>2023</v>
      </c>
      <c r="D1287" s="68" t="s">
        <v>313</v>
      </c>
      <c r="E1287" s="68" t="s">
        <v>294</v>
      </c>
      <c r="F1287" s="68" t="s">
        <v>298</v>
      </c>
      <c r="G1287" s="68"/>
      <c r="H1287" s="68"/>
      <c r="I1287" s="69">
        <v>999461.95978999999</v>
      </c>
    </row>
    <row r="1288" spans="1:9" hidden="1">
      <c r="A1288" s="64" t="s">
        <v>295</v>
      </c>
      <c r="B1288" s="65">
        <v>2027</v>
      </c>
      <c r="C1288" s="65">
        <v>2023</v>
      </c>
      <c r="D1288" s="65" t="s">
        <v>313</v>
      </c>
      <c r="E1288" s="65" t="s">
        <v>294</v>
      </c>
      <c r="F1288" s="65" t="s">
        <v>40</v>
      </c>
      <c r="G1288" s="65"/>
      <c r="H1288" s="65"/>
      <c r="I1288" s="66">
        <v>2892078.6413400001</v>
      </c>
    </row>
    <row r="1289" spans="1:9" hidden="1">
      <c r="A1289" s="67" t="s">
        <v>295</v>
      </c>
      <c r="B1289" s="68">
        <v>2027</v>
      </c>
      <c r="C1289" s="68">
        <v>2023</v>
      </c>
      <c r="D1289" s="68" t="s">
        <v>313</v>
      </c>
      <c r="E1289" s="68" t="s">
        <v>301</v>
      </c>
      <c r="F1289" s="68" t="s">
        <v>297</v>
      </c>
      <c r="G1289" s="68"/>
      <c r="H1289" s="68"/>
      <c r="I1289" s="69">
        <v>1960815.9915199999</v>
      </c>
    </row>
    <row r="1290" spans="1:9" hidden="1">
      <c r="A1290" s="64" t="s">
        <v>295</v>
      </c>
      <c r="B1290" s="65">
        <v>2027</v>
      </c>
      <c r="C1290" s="65">
        <v>2023</v>
      </c>
      <c r="D1290" s="65" t="s">
        <v>313</v>
      </c>
      <c r="E1290" s="65" t="s">
        <v>301</v>
      </c>
      <c r="F1290" s="65" t="s">
        <v>298</v>
      </c>
      <c r="G1290" s="65"/>
      <c r="H1290" s="65"/>
      <c r="I1290" s="66">
        <v>1069846.5259199999</v>
      </c>
    </row>
    <row r="1291" spans="1:9" hidden="1">
      <c r="A1291" s="67" t="s">
        <v>295</v>
      </c>
      <c r="B1291" s="68">
        <v>2027</v>
      </c>
      <c r="C1291" s="68">
        <v>2023</v>
      </c>
      <c r="D1291" s="68" t="s">
        <v>313</v>
      </c>
      <c r="E1291" s="68" t="s">
        <v>301</v>
      </c>
      <c r="F1291" s="68" t="s">
        <v>40</v>
      </c>
      <c r="G1291" s="68"/>
      <c r="H1291" s="68"/>
      <c r="I1291" s="69">
        <v>3048382.4560099998</v>
      </c>
    </row>
    <row r="1292" spans="1:9" hidden="1">
      <c r="A1292" s="64" t="s">
        <v>295</v>
      </c>
      <c r="B1292" s="65">
        <v>2027</v>
      </c>
      <c r="C1292" s="65">
        <v>2023</v>
      </c>
      <c r="D1292" s="65" t="s">
        <v>313</v>
      </c>
      <c r="E1292" s="65" t="s">
        <v>305</v>
      </c>
      <c r="F1292" s="65" t="s">
        <v>297</v>
      </c>
      <c r="G1292" s="65"/>
      <c r="H1292" s="65"/>
      <c r="I1292" s="66">
        <v>15409.47723</v>
      </c>
    </row>
    <row r="1293" spans="1:9" hidden="1">
      <c r="A1293" s="67" t="s">
        <v>295</v>
      </c>
      <c r="B1293" s="68">
        <v>2027</v>
      </c>
      <c r="C1293" s="68">
        <v>2023</v>
      </c>
      <c r="D1293" s="68" t="s">
        <v>313</v>
      </c>
      <c r="E1293" s="68" t="s">
        <v>305</v>
      </c>
      <c r="F1293" s="68" t="s">
        <v>298</v>
      </c>
      <c r="G1293" s="68"/>
      <c r="H1293" s="68"/>
      <c r="I1293" s="69">
        <v>9195.5839100000012</v>
      </c>
    </row>
    <row r="1294" spans="1:9" hidden="1">
      <c r="A1294" s="64" t="s">
        <v>295</v>
      </c>
      <c r="B1294" s="65">
        <v>2027</v>
      </c>
      <c r="C1294" s="65">
        <v>2023</v>
      </c>
      <c r="D1294" s="65" t="s">
        <v>313</v>
      </c>
      <c r="E1294" s="65" t="s">
        <v>305</v>
      </c>
      <c r="F1294" s="65" t="s">
        <v>40</v>
      </c>
      <c r="G1294" s="65"/>
      <c r="H1294" s="65"/>
      <c r="I1294" s="66">
        <v>191829.11562999999</v>
      </c>
    </row>
    <row r="1295" spans="1:9" hidden="1">
      <c r="A1295" s="67" t="s">
        <v>295</v>
      </c>
      <c r="B1295" s="68">
        <v>2027</v>
      </c>
      <c r="C1295" s="68">
        <v>2023</v>
      </c>
      <c r="D1295" s="68" t="s">
        <v>314</v>
      </c>
      <c r="E1295" s="68" t="s">
        <v>294</v>
      </c>
      <c r="F1295" s="68" t="s">
        <v>297</v>
      </c>
      <c r="G1295" s="68"/>
      <c r="H1295" s="68"/>
      <c r="I1295" s="69">
        <v>1876071.6613799999</v>
      </c>
    </row>
    <row r="1296" spans="1:9" hidden="1">
      <c r="A1296" s="64" t="s">
        <v>295</v>
      </c>
      <c r="B1296" s="65">
        <v>2027</v>
      </c>
      <c r="C1296" s="65">
        <v>2023</v>
      </c>
      <c r="D1296" s="65" t="s">
        <v>314</v>
      </c>
      <c r="E1296" s="65" t="s">
        <v>294</v>
      </c>
      <c r="F1296" s="65" t="s">
        <v>298</v>
      </c>
      <c r="G1296" s="65"/>
      <c r="H1296" s="65"/>
      <c r="I1296" s="66">
        <v>999461.95978999999</v>
      </c>
    </row>
    <row r="1297" spans="1:9" hidden="1">
      <c r="A1297" s="67" t="s">
        <v>295</v>
      </c>
      <c r="B1297" s="68">
        <v>2027</v>
      </c>
      <c r="C1297" s="68">
        <v>2023</v>
      </c>
      <c r="D1297" s="68" t="s">
        <v>314</v>
      </c>
      <c r="E1297" s="68" t="s">
        <v>294</v>
      </c>
      <c r="F1297" s="68" t="s">
        <v>40</v>
      </c>
      <c r="G1297" s="68"/>
      <c r="H1297" s="68"/>
      <c r="I1297" s="69">
        <v>2637865.1375899999</v>
      </c>
    </row>
    <row r="1298" spans="1:9" hidden="1">
      <c r="A1298" s="64" t="s">
        <v>295</v>
      </c>
      <c r="B1298" s="65">
        <v>2027</v>
      </c>
      <c r="C1298" s="65">
        <v>2023</v>
      </c>
      <c r="D1298" s="65" t="s">
        <v>314</v>
      </c>
      <c r="E1298" s="65" t="s">
        <v>301</v>
      </c>
      <c r="F1298" s="65" t="s">
        <v>297</v>
      </c>
      <c r="G1298" s="65"/>
      <c r="H1298" s="65"/>
      <c r="I1298" s="66">
        <v>1960815.9915199999</v>
      </c>
    </row>
    <row r="1299" spans="1:9" hidden="1">
      <c r="A1299" s="67" t="s">
        <v>295</v>
      </c>
      <c r="B1299" s="68">
        <v>2027</v>
      </c>
      <c r="C1299" s="68">
        <v>2023</v>
      </c>
      <c r="D1299" s="68" t="s">
        <v>314</v>
      </c>
      <c r="E1299" s="68" t="s">
        <v>301</v>
      </c>
      <c r="F1299" s="68" t="s">
        <v>298</v>
      </c>
      <c r="G1299" s="68"/>
      <c r="H1299" s="68"/>
      <c r="I1299" s="69">
        <v>1069846.5259199999</v>
      </c>
    </row>
    <row r="1300" spans="1:9" hidden="1">
      <c r="A1300" s="64" t="s">
        <v>295</v>
      </c>
      <c r="B1300" s="65">
        <v>2027</v>
      </c>
      <c r="C1300" s="65">
        <v>2023</v>
      </c>
      <c r="D1300" s="65" t="s">
        <v>314</v>
      </c>
      <c r="E1300" s="65" t="s">
        <v>301</v>
      </c>
      <c r="F1300" s="65" t="s">
        <v>40</v>
      </c>
      <c r="G1300" s="65"/>
      <c r="H1300" s="65"/>
      <c r="I1300" s="66">
        <v>2811086.7920599999</v>
      </c>
    </row>
    <row r="1301" spans="1:9" hidden="1">
      <c r="A1301" s="67" t="s">
        <v>295</v>
      </c>
      <c r="B1301" s="68">
        <v>2027</v>
      </c>
      <c r="C1301" s="68">
        <v>2023</v>
      </c>
      <c r="D1301" s="68" t="s">
        <v>314</v>
      </c>
      <c r="E1301" s="68" t="s">
        <v>305</v>
      </c>
      <c r="F1301" s="68" t="s">
        <v>297</v>
      </c>
      <c r="G1301" s="68"/>
      <c r="H1301" s="68"/>
      <c r="I1301" s="69">
        <v>15409.47723</v>
      </c>
    </row>
    <row r="1302" spans="1:9" hidden="1">
      <c r="A1302" s="64" t="s">
        <v>295</v>
      </c>
      <c r="B1302" s="65">
        <v>2027</v>
      </c>
      <c r="C1302" s="65">
        <v>2023</v>
      </c>
      <c r="D1302" s="65" t="s">
        <v>314</v>
      </c>
      <c r="E1302" s="65" t="s">
        <v>305</v>
      </c>
      <c r="F1302" s="65" t="s">
        <v>298</v>
      </c>
      <c r="G1302" s="65"/>
      <c r="H1302" s="65"/>
      <c r="I1302" s="66">
        <v>9195.5839100000012</v>
      </c>
    </row>
    <row r="1303" spans="1:9" hidden="1">
      <c r="A1303" s="67" t="s">
        <v>295</v>
      </c>
      <c r="B1303" s="68">
        <v>2027</v>
      </c>
      <c r="C1303" s="68">
        <v>2023</v>
      </c>
      <c r="D1303" s="68" t="s">
        <v>314</v>
      </c>
      <c r="E1303" s="68" t="s">
        <v>305</v>
      </c>
      <c r="F1303" s="68" t="s">
        <v>40</v>
      </c>
      <c r="G1303" s="68"/>
      <c r="H1303" s="68"/>
      <c r="I1303" s="69">
        <v>171398.99759000001</v>
      </c>
    </row>
    <row r="1304" spans="1:9" hidden="1">
      <c r="A1304" s="64" t="s">
        <v>295</v>
      </c>
      <c r="B1304" s="65">
        <v>2028</v>
      </c>
      <c r="C1304" s="65">
        <v>2023</v>
      </c>
      <c r="D1304" s="65" t="s">
        <v>296</v>
      </c>
      <c r="E1304" s="65" t="s">
        <v>294</v>
      </c>
      <c r="F1304" s="65" t="s">
        <v>297</v>
      </c>
      <c r="G1304" s="65"/>
      <c r="H1304" s="65"/>
      <c r="I1304" s="66">
        <v>1294546.37252</v>
      </c>
    </row>
    <row r="1305" spans="1:9" hidden="1">
      <c r="A1305" s="67" t="s">
        <v>295</v>
      </c>
      <c r="B1305" s="68">
        <v>2028</v>
      </c>
      <c r="C1305" s="68">
        <v>2023</v>
      </c>
      <c r="D1305" s="68" t="s">
        <v>296</v>
      </c>
      <c r="E1305" s="68" t="s">
        <v>294</v>
      </c>
      <c r="F1305" s="68" t="s">
        <v>298</v>
      </c>
      <c r="G1305" s="68"/>
      <c r="H1305" s="68"/>
      <c r="I1305" s="69">
        <v>733264.62719999999</v>
      </c>
    </row>
    <row r="1306" spans="1:9" hidden="1">
      <c r="A1306" s="64" t="s">
        <v>295</v>
      </c>
      <c r="B1306" s="65">
        <v>2028</v>
      </c>
      <c r="C1306" s="65">
        <v>2023</v>
      </c>
      <c r="D1306" s="65" t="s">
        <v>296</v>
      </c>
      <c r="E1306" s="65" t="s">
        <v>294</v>
      </c>
      <c r="F1306" s="65" t="s">
        <v>40</v>
      </c>
      <c r="G1306" s="65"/>
      <c r="H1306" s="65"/>
      <c r="I1306" s="66">
        <v>2044705.74422</v>
      </c>
    </row>
    <row r="1307" spans="1:9" hidden="1">
      <c r="A1307" s="67" t="s">
        <v>295</v>
      </c>
      <c r="B1307" s="68">
        <v>2028</v>
      </c>
      <c r="C1307" s="68">
        <v>2023</v>
      </c>
      <c r="D1307" s="68" t="s">
        <v>296</v>
      </c>
      <c r="E1307" s="68" t="s">
        <v>301</v>
      </c>
      <c r="F1307" s="68" t="s">
        <v>297</v>
      </c>
      <c r="G1307" s="68"/>
      <c r="H1307" s="68"/>
      <c r="I1307" s="69">
        <v>1379196.22569</v>
      </c>
    </row>
    <row r="1308" spans="1:9" hidden="1">
      <c r="A1308" s="64" t="s">
        <v>295</v>
      </c>
      <c r="B1308" s="65">
        <v>2028</v>
      </c>
      <c r="C1308" s="65">
        <v>2023</v>
      </c>
      <c r="D1308" s="65" t="s">
        <v>296</v>
      </c>
      <c r="E1308" s="65" t="s">
        <v>301</v>
      </c>
      <c r="F1308" s="65" t="s">
        <v>298</v>
      </c>
      <c r="G1308" s="65"/>
      <c r="H1308" s="65"/>
      <c r="I1308" s="66">
        <v>800367.86121</v>
      </c>
    </row>
    <row r="1309" spans="1:9" hidden="1">
      <c r="A1309" s="67" t="s">
        <v>295</v>
      </c>
      <c r="B1309" s="68">
        <v>2028</v>
      </c>
      <c r="C1309" s="68">
        <v>2023</v>
      </c>
      <c r="D1309" s="68" t="s">
        <v>296</v>
      </c>
      <c r="E1309" s="68" t="s">
        <v>301</v>
      </c>
      <c r="F1309" s="68" t="s">
        <v>40</v>
      </c>
      <c r="G1309" s="68"/>
      <c r="H1309" s="68"/>
      <c r="I1309" s="69">
        <v>2197692.2520499998</v>
      </c>
    </row>
    <row r="1310" spans="1:9" hidden="1">
      <c r="A1310" s="64" t="s">
        <v>295</v>
      </c>
      <c r="B1310" s="65">
        <v>2028</v>
      </c>
      <c r="C1310" s="65">
        <v>2023</v>
      </c>
      <c r="D1310" s="65" t="s">
        <v>296</v>
      </c>
      <c r="E1310" s="65" t="s">
        <v>305</v>
      </c>
      <c r="F1310" s="65" t="s">
        <v>297</v>
      </c>
      <c r="G1310" s="65"/>
      <c r="H1310" s="65"/>
      <c r="I1310" s="66">
        <v>10854.114299999999</v>
      </c>
    </row>
    <row r="1311" spans="1:9" hidden="1">
      <c r="A1311" s="67" t="s">
        <v>295</v>
      </c>
      <c r="B1311" s="68">
        <v>2028</v>
      </c>
      <c r="C1311" s="68">
        <v>2023</v>
      </c>
      <c r="D1311" s="68" t="s">
        <v>296</v>
      </c>
      <c r="E1311" s="68" t="s">
        <v>305</v>
      </c>
      <c r="F1311" s="68" t="s">
        <v>298</v>
      </c>
      <c r="G1311" s="68"/>
      <c r="H1311" s="68"/>
      <c r="I1311" s="69">
        <v>8490.0180199999995</v>
      </c>
    </row>
    <row r="1312" spans="1:9" hidden="1">
      <c r="A1312" s="64" t="s">
        <v>295</v>
      </c>
      <c r="B1312" s="65">
        <v>2028</v>
      </c>
      <c r="C1312" s="65">
        <v>2023</v>
      </c>
      <c r="D1312" s="65" t="s">
        <v>296</v>
      </c>
      <c r="E1312" s="65" t="s">
        <v>305</v>
      </c>
      <c r="F1312" s="65" t="s">
        <v>40</v>
      </c>
      <c r="G1312" s="65"/>
      <c r="H1312" s="65"/>
      <c r="I1312" s="66">
        <v>136941.90234</v>
      </c>
    </row>
    <row r="1313" spans="1:9" hidden="1">
      <c r="A1313" s="67" t="s">
        <v>295</v>
      </c>
      <c r="B1313" s="68">
        <v>2028</v>
      </c>
      <c r="C1313" s="68">
        <v>2023</v>
      </c>
      <c r="D1313" s="68" t="s">
        <v>309</v>
      </c>
      <c r="E1313" s="68" t="s">
        <v>294</v>
      </c>
      <c r="F1313" s="68" t="s">
        <v>297</v>
      </c>
      <c r="G1313" s="68"/>
      <c r="H1313" s="68"/>
      <c r="I1313" s="69">
        <v>54854.823510000002</v>
      </c>
    </row>
    <row r="1314" spans="1:9" hidden="1">
      <c r="A1314" s="64" t="s">
        <v>295</v>
      </c>
      <c r="B1314" s="65">
        <v>2028</v>
      </c>
      <c r="C1314" s="65">
        <v>2023</v>
      </c>
      <c r="D1314" s="65" t="s">
        <v>309</v>
      </c>
      <c r="E1314" s="65" t="s">
        <v>294</v>
      </c>
      <c r="F1314" s="65" t="s">
        <v>298</v>
      </c>
      <c r="G1314" s="65"/>
      <c r="H1314" s="65"/>
      <c r="I1314" s="66">
        <v>467756.97240000003</v>
      </c>
    </row>
    <row r="1315" spans="1:9" hidden="1">
      <c r="A1315" s="67" t="s">
        <v>295</v>
      </c>
      <c r="B1315" s="68">
        <v>2028</v>
      </c>
      <c r="C1315" s="68">
        <v>2023</v>
      </c>
      <c r="D1315" s="68" t="s">
        <v>309</v>
      </c>
      <c r="E1315" s="68" t="s">
        <v>294</v>
      </c>
      <c r="F1315" s="68" t="s">
        <v>40</v>
      </c>
      <c r="G1315" s="68"/>
      <c r="H1315" s="68"/>
      <c r="I1315" s="69">
        <v>522611.53590999998</v>
      </c>
    </row>
    <row r="1316" spans="1:9" hidden="1">
      <c r="A1316" s="64" t="s">
        <v>295</v>
      </c>
      <c r="B1316" s="65">
        <v>2028</v>
      </c>
      <c r="C1316" s="65">
        <v>2023</v>
      </c>
      <c r="D1316" s="65" t="s">
        <v>309</v>
      </c>
      <c r="E1316" s="65" t="s">
        <v>301</v>
      </c>
      <c r="F1316" s="65" t="s">
        <v>297</v>
      </c>
      <c r="G1316" s="65"/>
      <c r="H1316" s="65"/>
      <c r="I1316" s="66">
        <v>59323.127279999993</v>
      </c>
    </row>
    <row r="1317" spans="1:9" hidden="1">
      <c r="A1317" s="67" t="s">
        <v>295</v>
      </c>
      <c r="B1317" s="68">
        <v>2028</v>
      </c>
      <c r="C1317" s="68">
        <v>2023</v>
      </c>
      <c r="D1317" s="68" t="s">
        <v>309</v>
      </c>
      <c r="E1317" s="68" t="s">
        <v>301</v>
      </c>
      <c r="F1317" s="68" t="s">
        <v>298</v>
      </c>
      <c r="G1317" s="68"/>
      <c r="H1317" s="68"/>
      <c r="I1317" s="69">
        <v>514231.27895000001</v>
      </c>
    </row>
    <row r="1318" spans="1:9" hidden="1">
      <c r="A1318" s="64" t="s">
        <v>295</v>
      </c>
      <c r="B1318" s="65">
        <v>2028</v>
      </c>
      <c r="C1318" s="65">
        <v>2023</v>
      </c>
      <c r="D1318" s="65" t="s">
        <v>309</v>
      </c>
      <c r="E1318" s="65" t="s">
        <v>301</v>
      </c>
      <c r="F1318" s="65" t="s">
        <v>40</v>
      </c>
      <c r="G1318" s="65"/>
      <c r="H1318" s="65"/>
      <c r="I1318" s="66">
        <v>573554.12624000001</v>
      </c>
    </row>
    <row r="1319" spans="1:9" hidden="1">
      <c r="A1319" s="67" t="s">
        <v>295</v>
      </c>
      <c r="B1319" s="68">
        <v>2028</v>
      </c>
      <c r="C1319" s="68">
        <v>2023</v>
      </c>
      <c r="D1319" s="68" t="s">
        <v>309</v>
      </c>
      <c r="E1319" s="68" t="s">
        <v>305</v>
      </c>
      <c r="F1319" s="68" t="s">
        <v>297</v>
      </c>
      <c r="G1319" s="68"/>
      <c r="H1319" s="68"/>
      <c r="I1319" s="69">
        <v>125.34972999999999</v>
      </c>
    </row>
    <row r="1320" spans="1:9" hidden="1">
      <c r="A1320" s="64" t="s">
        <v>295</v>
      </c>
      <c r="B1320" s="65">
        <v>2028</v>
      </c>
      <c r="C1320" s="65">
        <v>2023</v>
      </c>
      <c r="D1320" s="65" t="s">
        <v>309</v>
      </c>
      <c r="E1320" s="65" t="s">
        <v>305</v>
      </c>
      <c r="F1320" s="65" t="s">
        <v>298</v>
      </c>
      <c r="G1320" s="65"/>
      <c r="H1320" s="65"/>
      <c r="I1320" s="66">
        <v>7063.2180200000003</v>
      </c>
    </row>
    <row r="1321" spans="1:9" hidden="1">
      <c r="A1321" s="67" t="s">
        <v>295</v>
      </c>
      <c r="B1321" s="68">
        <v>2028</v>
      </c>
      <c r="C1321" s="68">
        <v>2023</v>
      </c>
      <c r="D1321" s="68" t="s">
        <v>309</v>
      </c>
      <c r="E1321" s="68" t="s">
        <v>305</v>
      </c>
      <c r="F1321" s="68" t="s">
        <v>40</v>
      </c>
      <c r="G1321" s="68"/>
      <c r="H1321" s="68"/>
      <c r="I1321" s="69">
        <v>48162.067750000002</v>
      </c>
    </row>
    <row r="1322" spans="1:9" hidden="1">
      <c r="A1322" s="64" t="s">
        <v>295</v>
      </c>
      <c r="B1322" s="65">
        <v>2028</v>
      </c>
      <c r="C1322" s="65">
        <v>2023</v>
      </c>
      <c r="D1322" s="65" t="s">
        <v>315</v>
      </c>
      <c r="E1322" s="65" t="s">
        <v>294</v>
      </c>
      <c r="F1322" s="65" t="s">
        <v>297</v>
      </c>
      <c r="G1322" s="65"/>
      <c r="H1322" s="65"/>
      <c r="I1322" s="66">
        <v>106032.98533</v>
      </c>
    </row>
    <row r="1323" spans="1:9" hidden="1">
      <c r="A1323" s="67" t="s">
        <v>295</v>
      </c>
      <c r="B1323" s="68">
        <v>2028</v>
      </c>
      <c r="C1323" s="68">
        <v>2023</v>
      </c>
      <c r="D1323" s="68" t="s">
        <v>315</v>
      </c>
      <c r="E1323" s="68" t="s">
        <v>294</v>
      </c>
      <c r="F1323" s="68" t="s">
        <v>298</v>
      </c>
      <c r="G1323" s="68"/>
      <c r="H1323" s="68"/>
      <c r="I1323" s="69">
        <v>245068.79629</v>
      </c>
    </row>
    <row r="1324" spans="1:9" hidden="1">
      <c r="A1324" s="64" t="s">
        <v>295</v>
      </c>
      <c r="B1324" s="65">
        <v>2028</v>
      </c>
      <c r="C1324" s="65">
        <v>2023</v>
      </c>
      <c r="D1324" s="65" t="s">
        <v>315</v>
      </c>
      <c r="E1324" s="65" t="s">
        <v>294</v>
      </c>
      <c r="F1324" s="65" t="s">
        <v>40</v>
      </c>
      <c r="G1324" s="65"/>
      <c r="H1324" s="65"/>
      <c r="I1324" s="66">
        <v>351101.78162999998</v>
      </c>
    </row>
    <row r="1325" spans="1:9" hidden="1">
      <c r="A1325" s="67" t="s">
        <v>295</v>
      </c>
      <c r="B1325" s="68">
        <v>2028</v>
      </c>
      <c r="C1325" s="68">
        <v>2023</v>
      </c>
      <c r="D1325" s="68" t="s">
        <v>315</v>
      </c>
      <c r="E1325" s="68" t="s">
        <v>301</v>
      </c>
      <c r="F1325" s="68" t="s">
        <v>297</v>
      </c>
      <c r="G1325" s="68"/>
      <c r="H1325" s="68"/>
      <c r="I1325" s="69">
        <v>109609.24763</v>
      </c>
    </row>
    <row r="1326" spans="1:9" hidden="1">
      <c r="A1326" s="64" t="s">
        <v>295</v>
      </c>
      <c r="B1326" s="65">
        <v>2028</v>
      </c>
      <c r="C1326" s="65">
        <v>2023</v>
      </c>
      <c r="D1326" s="65" t="s">
        <v>315</v>
      </c>
      <c r="E1326" s="65" t="s">
        <v>301</v>
      </c>
      <c r="F1326" s="65" t="s">
        <v>298</v>
      </c>
      <c r="G1326" s="65"/>
      <c r="H1326" s="65"/>
      <c r="I1326" s="66">
        <v>264707.03652999998</v>
      </c>
    </row>
    <row r="1327" spans="1:9" hidden="1">
      <c r="A1327" s="67" t="s">
        <v>295</v>
      </c>
      <c r="B1327" s="68">
        <v>2028</v>
      </c>
      <c r="C1327" s="68">
        <v>2023</v>
      </c>
      <c r="D1327" s="68" t="s">
        <v>315</v>
      </c>
      <c r="E1327" s="68" t="s">
        <v>301</v>
      </c>
      <c r="F1327" s="68" t="s">
        <v>40</v>
      </c>
      <c r="G1327" s="68"/>
      <c r="H1327" s="68"/>
      <c r="I1327" s="69">
        <v>374316.48415999999</v>
      </c>
    </row>
    <row r="1328" spans="1:9" hidden="1">
      <c r="A1328" s="64" t="s">
        <v>295</v>
      </c>
      <c r="B1328" s="65">
        <v>2028</v>
      </c>
      <c r="C1328" s="65">
        <v>2023</v>
      </c>
      <c r="D1328" s="65" t="s">
        <v>315</v>
      </c>
      <c r="E1328" s="65" t="s">
        <v>305</v>
      </c>
      <c r="F1328" s="65" t="s">
        <v>297</v>
      </c>
      <c r="G1328" s="65"/>
      <c r="H1328" s="65"/>
      <c r="I1328" s="66">
        <v>993.19445999999994</v>
      </c>
    </row>
    <row r="1329" spans="1:9" hidden="1">
      <c r="A1329" s="67" t="s">
        <v>295</v>
      </c>
      <c r="B1329" s="68">
        <v>2028</v>
      </c>
      <c r="C1329" s="68">
        <v>2023</v>
      </c>
      <c r="D1329" s="68" t="s">
        <v>315</v>
      </c>
      <c r="E1329" s="68" t="s">
        <v>305</v>
      </c>
      <c r="F1329" s="68" t="s">
        <v>298</v>
      </c>
      <c r="G1329" s="68"/>
      <c r="H1329" s="68"/>
      <c r="I1329" s="69">
        <v>1356.9</v>
      </c>
    </row>
    <row r="1330" spans="1:9" hidden="1">
      <c r="A1330" s="64" t="s">
        <v>295</v>
      </c>
      <c r="B1330" s="65">
        <v>2028</v>
      </c>
      <c r="C1330" s="65">
        <v>2023</v>
      </c>
      <c r="D1330" s="65" t="s">
        <v>315</v>
      </c>
      <c r="E1330" s="65" t="s">
        <v>305</v>
      </c>
      <c r="F1330" s="65" t="s">
        <v>40</v>
      </c>
      <c r="G1330" s="65"/>
      <c r="H1330" s="65"/>
      <c r="I1330" s="66">
        <v>18973.59446</v>
      </c>
    </row>
    <row r="1331" spans="1:9" hidden="1">
      <c r="A1331" s="67" t="s">
        <v>295</v>
      </c>
      <c r="B1331" s="68">
        <v>2028</v>
      </c>
      <c r="C1331" s="68">
        <v>2023</v>
      </c>
      <c r="D1331" s="68" t="s">
        <v>316</v>
      </c>
      <c r="E1331" s="68" t="s">
        <v>294</v>
      </c>
      <c r="F1331" s="68" t="s">
        <v>297</v>
      </c>
      <c r="G1331" s="68"/>
      <c r="H1331" s="68"/>
      <c r="I1331" s="69">
        <v>667541.90749999997</v>
      </c>
    </row>
    <row r="1332" spans="1:9" hidden="1">
      <c r="A1332" s="64" t="s">
        <v>295</v>
      </c>
      <c r="B1332" s="65">
        <v>2028</v>
      </c>
      <c r="C1332" s="65">
        <v>2023</v>
      </c>
      <c r="D1332" s="65" t="s">
        <v>316</v>
      </c>
      <c r="E1332" s="65" t="s">
        <v>294</v>
      </c>
      <c r="F1332" s="65" t="s">
        <v>298</v>
      </c>
      <c r="G1332" s="65"/>
      <c r="H1332" s="65"/>
      <c r="I1332" s="66">
        <v>3805.9957599999998</v>
      </c>
    </row>
    <row r="1333" spans="1:9" hidden="1">
      <c r="A1333" s="67" t="s">
        <v>295</v>
      </c>
      <c r="B1333" s="68">
        <v>2028</v>
      </c>
      <c r="C1333" s="68">
        <v>2023</v>
      </c>
      <c r="D1333" s="68" t="s">
        <v>316</v>
      </c>
      <c r="E1333" s="68" t="s">
        <v>294</v>
      </c>
      <c r="F1333" s="68" t="s">
        <v>40</v>
      </c>
      <c r="G1333" s="68"/>
      <c r="H1333" s="68"/>
      <c r="I1333" s="69">
        <v>688242.84776999999</v>
      </c>
    </row>
    <row r="1334" spans="1:9" hidden="1">
      <c r="A1334" s="64" t="s">
        <v>295</v>
      </c>
      <c r="B1334" s="65">
        <v>2028</v>
      </c>
      <c r="C1334" s="65">
        <v>2023</v>
      </c>
      <c r="D1334" s="65" t="s">
        <v>316</v>
      </c>
      <c r="E1334" s="65" t="s">
        <v>301</v>
      </c>
      <c r="F1334" s="65" t="s">
        <v>297</v>
      </c>
      <c r="G1334" s="65"/>
      <c r="H1334" s="65"/>
      <c r="I1334" s="66">
        <v>708950.85869999998</v>
      </c>
    </row>
    <row r="1335" spans="1:9" hidden="1">
      <c r="A1335" s="67" t="s">
        <v>295</v>
      </c>
      <c r="B1335" s="68">
        <v>2028</v>
      </c>
      <c r="C1335" s="68">
        <v>2023</v>
      </c>
      <c r="D1335" s="68" t="s">
        <v>316</v>
      </c>
      <c r="E1335" s="68" t="s">
        <v>301</v>
      </c>
      <c r="F1335" s="68" t="s">
        <v>298</v>
      </c>
      <c r="G1335" s="68"/>
      <c r="H1335" s="68"/>
      <c r="I1335" s="69">
        <v>3882.07006</v>
      </c>
    </row>
    <row r="1336" spans="1:9" hidden="1">
      <c r="A1336" s="64" t="s">
        <v>295</v>
      </c>
      <c r="B1336" s="65">
        <v>2028</v>
      </c>
      <c r="C1336" s="65">
        <v>2023</v>
      </c>
      <c r="D1336" s="65" t="s">
        <v>316</v>
      </c>
      <c r="E1336" s="65" t="s">
        <v>301</v>
      </c>
      <c r="F1336" s="65" t="s">
        <v>40</v>
      </c>
      <c r="G1336" s="65"/>
      <c r="H1336" s="65"/>
      <c r="I1336" s="66">
        <v>730961.17394999997</v>
      </c>
    </row>
    <row r="1337" spans="1:9" hidden="1">
      <c r="A1337" s="67" t="s">
        <v>295</v>
      </c>
      <c r="B1337" s="68">
        <v>2028</v>
      </c>
      <c r="C1337" s="68">
        <v>2023</v>
      </c>
      <c r="D1337" s="68" t="s">
        <v>316</v>
      </c>
      <c r="E1337" s="68" t="s">
        <v>305</v>
      </c>
      <c r="F1337" s="68" t="s">
        <v>297</v>
      </c>
      <c r="G1337" s="68"/>
      <c r="H1337" s="68"/>
      <c r="I1337" s="69">
        <v>7753.9381299999995</v>
      </c>
    </row>
    <row r="1338" spans="1:9" hidden="1">
      <c r="A1338" s="64" t="s">
        <v>295</v>
      </c>
      <c r="B1338" s="65">
        <v>2028</v>
      </c>
      <c r="C1338" s="65">
        <v>2023</v>
      </c>
      <c r="D1338" s="65" t="s">
        <v>316</v>
      </c>
      <c r="E1338" s="65" t="s">
        <v>305</v>
      </c>
      <c r="F1338" s="65" t="s">
        <v>298</v>
      </c>
      <c r="G1338" s="65"/>
      <c r="H1338" s="65"/>
      <c r="I1338" s="66">
        <v>0</v>
      </c>
    </row>
    <row r="1339" spans="1:9" hidden="1">
      <c r="A1339" s="67" t="s">
        <v>295</v>
      </c>
      <c r="B1339" s="68">
        <v>2028</v>
      </c>
      <c r="C1339" s="68">
        <v>2023</v>
      </c>
      <c r="D1339" s="68" t="s">
        <v>316</v>
      </c>
      <c r="E1339" s="68" t="s">
        <v>305</v>
      </c>
      <c r="F1339" s="68" t="s">
        <v>40</v>
      </c>
      <c r="G1339" s="68"/>
      <c r="H1339" s="68"/>
      <c r="I1339" s="69">
        <v>32877.508139999998</v>
      </c>
    </row>
    <row r="1340" spans="1:9" hidden="1">
      <c r="A1340" s="64" t="s">
        <v>295</v>
      </c>
      <c r="B1340" s="65">
        <v>2028</v>
      </c>
      <c r="C1340" s="65">
        <v>2023</v>
      </c>
      <c r="D1340" s="65" t="s">
        <v>317</v>
      </c>
      <c r="E1340" s="65" t="s">
        <v>294</v>
      </c>
      <c r="F1340" s="65" t="s">
        <v>297</v>
      </c>
      <c r="G1340" s="65"/>
      <c r="H1340" s="65"/>
      <c r="I1340" s="66">
        <v>151.00880000000001</v>
      </c>
    </row>
    <row r="1341" spans="1:9" hidden="1">
      <c r="A1341" s="67" t="s">
        <v>295</v>
      </c>
      <c r="B1341" s="68">
        <v>2028</v>
      </c>
      <c r="C1341" s="68">
        <v>2023</v>
      </c>
      <c r="D1341" s="68" t="s">
        <v>317</v>
      </c>
      <c r="E1341" s="68" t="s">
        <v>294</v>
      </c>
      <c r="F1341" s="68" t="s">
        <v>40</v>
      </c>
      <c r="G1341" s="68"/>
      <c r="H1341" s="68"/>
      <c r="I1341" s="69">
        <v>17045.897779999999</v>
      </c>
    </row>
    <row r="1342" spans="1:9" hidden="1">
      <c r="A1342" s="64" t="s">
        <v>295</v>
      </c>
      <c r="B1342" s="65">
        <v>2028</v>
      </c>
      <c r="C1342" s="65">
        <v>2023</v>
      </c>
      <c r="D1342" s="65" t="s">
        <v>317</v>
      </c>
      <c r="E1342" s="65" t="s">
        <v>301</v>
      </c>
      <c r="F1342" s="65" t="s">
        <v>297</v>
      </c>
      <c r="G1342" s="65"/>
      <c r="H1342" s="65"/>
      <c r="I1342" s="66">
        <v>159.58219800000001</v>
      </c>
    </row>
    <row r="1343" spans="1:9" hidden="1">
      <c r="A1343" s="67" t="s">
        <v>295</v>
      </c>
      <c r="B1343" s="68">
        <v>2028</v>
      </c>
      <c r="C1343" s="68">
        <v>2023</v>
      </c>
      <c r="D1343" s="68" t="s">
        <v>317</v>
      </c>
      <c r="E1343" s="68" t="s">
        <v>301</v>
      </c>
      <c r="F1343" s="68" t="s">
        <v>40</v>
      </c>
      <c r="G1343" s="68"/>
      <c r="H1343" s="68"/>
      <c r="I1343" s="69">
        <v>18288.03874</v>
      </c>
    </row>
    <row r="1344" spans="1:9" hidden="1">
      <c r="A1344" s="64" t="s">
        <v>295</v>
      </c>
      <c r="B1344" s="65">
        <v>2028</v>
      </c>
      <c r="C1344" s="65">
        <v>2023</v>
      </c>
      <c r="D1344" s="65" t="s">
        <v>317</v>
      </c>
      <c r="E1344" s="65" t="s">
        <v>305</v>
      </c>
      <c r="F1344" s="65" t="s">
        <v>297</v>
      </c>
      <c r="G1344" s="65"/>
      <c r="H1344" s="65"/>
      <c r="I1344" s="66">
        <v>1.2800000000000001E-2</v>
      </c>
    </row>
    <row r="1345" spans="1:9" hidden="1">
      <c r="A1345" s="67" t="s">
        <v>295</v>
      </c>
      <c r="B1345" s="68">
        <v>2028</v>
      </c>
      <c r="C1345" s="68">
        <v>2023</v>
      </c>
      <c r="D1345" s="68" t="s">
        <v>317</v>
      </c>
      <c r="E1345" s="68" t="s">
        <v>305</v>
      </c>
      <c r="F1345" s="68" t="s">
        <v>40</v>
      </c>
      <c r="G1345" s="68"/>
      <c r="H1345" s="68"/>
      <c r="I1345" s="69">
        <v>377.48280999999997</v>
      </c>
    </row>
    <row r="1346" spans="1:9" hidden="1">
      <c r="A1346" s="64" t="s">
        <v>295</v>
      </c>
      <c r="B1346" s="65">
        <v>2028</v>
      </c>
      <c r="C1346" s="65">
        <v>2023</v>
      </c>
      <c r="D1346" s="65" t="s">
        <v>318</v>
      </c>
      <c r="E1346" s="65" t="s">
        <v>294</v>
      </c>
      <c r="F1346" s="65" t="s">
        <v>297</v>
      </c>
      <c r="G1346" s="65"/>
      <c r="H1346" s="65"/>
      <c r="I1346" s="66">
        <v>644574.20671000006</v>
      </c>
    </row>
    <row r="1347" spans="1:9" hidden="1">
      <c r="A1347" s="67" t="s">
        <v>295</v>
      </c>
      <c r="B1347" s="68">
        <v>2028</v>
      </c>
      <c r="C1347" s="68">
        <v>2023</v>
      </c>
      <c r="D1347" s="68" t="s">
        <v>318</v>
      </c>
      <c r="E1347" s="68" t="s">
        <v>294</v>
      </c>
      <c r="F1347" s="68" t="s">
        <v>298</v>
      </c>
      <c r="G1347" s="68"/>
      <c r="H1347" s="68"/>
      <c r="I1347" s="69">
        <v>0</v>
      </c>
    </row>
    <row r="1348" spans="1:9" hidden="1">
      <c r="A1348" s="64" t="s">
        <v>295</v>
      </c>
      <c r="B1348" s="65">
        <v>2028</v>
      </c>
      <c r="C1348" s="65">
        <v>2023</v>
      </c>
      <c r="D1348" s="65" t="s">
        <v>318</v>
      </c>
      <c r="E1348" s="65" t="s">
        <v>294</v>
      </c>
      <c r="F1348" s="65" t="s">
        <v>40</v>
      </c>
      <c r="G1348" s="65"/>
      <c r="H1348" s="65"/>
      <c r="I1348" s="66">
        <v>644574.20671000006</v>
      </c>
    </row>
    <row r="1349" spans="1:9" hidden="1">
      <c r="A1349" s="67" t="s">
        <v>295</v>
      </c>
      <c r="B1349" s="68">
        <v>2028</v>
      </c>
      <c r="C1349" s="68">
        <v>2023</v>
      </c>
      <c r="D1349" s="68" t="s">
        <v>318</v>
      </c>
      <c r="E1349" s="68" t="s">
        <v>301</v>
      </c>
      <c r="F1349" s="68" t="s">
        <v>297</v>
      </c>
      <c r="G1349" s="68"/>
      <c r="H1349" s="68"/>
      <c r="I1349" s="69">
        <v>685330.22962</v>
      </c>
    </row>
    <row r="1350" spans="1:9" hidden="1">
      <c r="A1350" s="64" t="s">
        <v>295</v>
      </c>
      <c r="B1350" s="65">
        <v>2028</v>
      </c>
      <c r="C1350" s="65">
        <v>2023</v>
      </c>
      <c r="D1350" s="65" t="s">
        <v>318</v>
      </c>
      <c r="E1350" s="65" t="s">
        <v>301</v>
      </c>
      <c r="F1350" s="65" t="s">
        <v>298</v>
      </c>
      <c r="G1350" s="65"/>
      <c r="H1350" s="65"/>
      <c r="I1350" s="66">
        <v>0</v>
      </c>
    </row>
    <row r="1351" spans="1:9" hidden="1">
      <c r="A1351" s="67" t="s">
        <v>295</v>
      </c>
      <c r="B1351" s="68">
        <v>2028</v>
      </c>
      <c r="C1351" s="68">
        <v>2023</v>
      </c>
      <c r="D1351" s="68" t="s">
        <v>318</v>
      </c>
      <c r="E1351" s="68" t="s">
        <v>301</v>
      </c>
      <c r="F1351" s="68" t="s">
        <v>40</v>
      </c>
      <c r="G1351" s="68"/>
      <c r="H1351" s="68"/>
      <c r="I1351" s="69">
        <v>685330.22962</v>
      </c>
    </row>
    <row r="1352" spans="1:9" hidden="1">
      <c r="A1352" s="64" t="s">
        <v>295</v>
      </c>
      <c r="B1352" s="65">
        <v>2028</v>
      </c>
      <c r="C1352" s="65">
        <v>2023</v>
      </c>
      <c r="D1352" s="65" t="s">
        <v>318</v>
      </c>
      <c r="E1352" s="65" t="s">
        <v>305</v>
      </c>
      <c r="F1352" s="65" t="s">
        <v>297</v>
      </c>
      <c r="G1352" s="65"/>
      <c r="H1352" s="65"/>
      <c r="I1352" s="66">
        <v>7662.7176099999997</v>
      </c>
    </row>
    <row r="1353" spans="1:9" hidden="1">
      <c r="A1353" s="67" t="s">
        <v>295</v>
      </c>
      <c r="B1353" s="68">
        <v>2028</v>
      </c>
      <c r="C1353" s="68">
        <v>2023</v>
      </c>
      <c r="D1353" s="68" t="s">
        <v>318</v>
      </c>
      <c r="E1353" s="68" t="s">
        <v>305</v>
      </c>
      <c r="F1353" s="68" t="s">
        <v>40</v>
      </c>
      <c r="G1353" s="68"/>
      <c r="H1353" s="68"/>
      <c r="I1353" s="69">
        <v>31085.017609999999</v>
      </c>
    </row>
    <row r="1354" spans="1:9" hidden="1">
      <c r="A1354" s="64" t="s">
        <v>295</v>
      </c>
      <c r="B1354" s="65">
        <v>2028</v>
      </c>
      <c r="C1354" s="65">
        <v>2023</v>
      </c>
      <c r="D1354" s="65" t="s">
        <v>320</v>
      </c>
      <c r="E1354" s="65" t="s">
        <v>294</v>
      </c>
      <c r="F1354" s="65" t="s">
        <v>297</v>
      </c>
      <c r="G1354" s="65"/>
      <c r="H1354" s="65"/>
      <c r="I1354" s="66">
        <v>3571.7061699999999</v>
      </c>
    </row>
    <row r="1355" spans="1:9" hidden="1">
      <c r="A1355" s="67" t="s">
        <v>295</v>
      </c>
      <c r="B1355" s="68">
        <v>2028</v>
      </c>
      <c r="C1355" s="68">
        <v>2023</v>
      </c>
      <c r="D1355" s="68" t="s">
        <v>320</v>
      </c>
      <c r="E1355" s="68" t="s">
        <v>294</v>
      </c>
      <c r="F1355" s="68" t="s">
        <v>298</v>
      </c>
      <c r="G1355" s="68"/>
      <c r="H1355" s="68"/>
      <c r="I1355" s="69">
        <v>0</v>
      </c>
    </row>
    <row r="1356" spans="1:9" hidden="1">
      <c r="A1356" s="64" t="s">
        <v>295</v>
      </c>
      <c r="B1356" s="65">
        <v>2028</v>
      </c>
      <c r="C1356" s="65">
        <v>2023</v>
      </c>
      <c r="D1356" s="65" t="s">
        <v>320</v>
      </c>
      <c r="E1356" s="65" t="s">
        <v>294</v>
      </c>
      <c r="F1356" s="65" t="s">
        <v>40</v>
      </c>
      <c r="G1356" s="65"/>
      <c r="H1356" s="65"/>
      <c r="I1356" s="66">
        <v>3571.7061699999999</v>
      </c>
    </row>
    <row r="1357" spans="1:9" hidden="1">
      <c r="A1357" s="67" t="s">
        <v>295</v>
      </c>
      <c r="B1357" s="68">
        <v>2028</v>
      </c>
      <c r="C1357" s="68">
        <v>2023</v>
      </c>
      <c r="D1357" s="68" t="s">
        <v>320</v>
      </c>
      <c r="E1357" s="68" t="s">
        <v>301</v>
      </c>
      <c r="F1357" s="68" t="s">
        <v>297</v>
      </c>
      <c r="G1357" s="68"/>
      <c r="H1357" s="68"/>
      <c r="I1357" s="69">
        <v>4017.8597300000001</v>
      </c>
    </row>
    <row r="1358" spans="1:9" hidden="1">
      <c r="A1358" s="64" t="s">
        <v>295</v>
      </c>
      <c r="B1358" s="65">
        <v>2028</v>
      </c>
      <c r="C1358" s="65">
        <v>2023</v>
      </c>
      <c r="D1358" s="65" t="s">
        <v>320</v>
      </c>
      <c r="E1358" s="65" t="s">
        <v>301</v>
      </c>
      <c r="F1358" s="65" t="s">
        <v>298</v>
      </c>
      <c r="G1358" s="65"/>
      <c r="H1358" s="65"/>
      <c r="I1358" s="66">
        <v>0</v>
      </c>
    </row>
    <row r="1359" spans="1:9" hidden="1">
      <c r="A1359" s="67" t="s">
        <v>295</v>
      </c>
      <c r="B1359" s="68">
        <v>2028</v>
      </c>
      <c r="C1359" s="68">
        <v>2023</v>
      </c>
      <c r="D1359" s="68" t="s">
        <v>320</v>
      </c>
      <c r="E1359" s="68" t="s">
        <v>301</v>
      </c>
      <c r="F1359" s="68" t="s">
        <v>40</v>
      </c>
      <c r="G1359" s="68"/>
      <c r="H1359" s="68"/>
      <c r="I1359" s="69">
        <v>4017.8597300000001</v>
      </c>
    </row>
    <row r="1360" spans="1:9" hidden="1">
      <c r="A1360" s="64" t="s">
        <v>295</v>
      </c>
      <c r="B1360" s="65">
        <v>2028</v>
      </c>
      <c r="C1360" s="65">
        <v>2023</v>
      </c>
      <c r="D1360" s="65" t="s">
        <v>320</v>
      </c>
      <c r="E1360" s="65" t="s">
        <v>305</v>
      </c>
      <c r="F1360" s="65" t="s">
        <v>297</v>
      </c>
      <c r="G1360" s="65"/>
      <c r="H1360" s="65"/>
      <c r="I1360" s="66">
        <v>35.299999999999997</v>
      </c>
    </row>
    <row r="1361" spans="1:9" hidden="1">
      <c r="A1361" s="67" t="s">
        <v>295</v>
      </c>
      <c r="B1361" s="68">
        <v>2028</v>
      </c>
      <c r="C1361" s="68">
        <v>2023</v>
      </c>
      <c r="D1361" s="68" t="s">
        <v>320</v>
      </c>
      <c r="E1361" s="68" t="s">
        <v>305</v>
      </c>
      <c r="F1361" s="68" t="s">
        <v>40</v>
      </c>
      <c r="G1361" s="68"/>
      <c r="H1361" s="68"/>
      <c r="I1361" s="69">
        <v>879.09999999999991</v>
      </c>
    </row>
    <row r="1362" spans="1:9" hidden="1">
      <c r="A1362" s="64" t="s">
        <v>295</v>
      </c>
      <c r="B1362" s="65">
        <v>2028</v>
      </c>
      <c r="C1362" s="65">
        <v>2023</v>
      </c>
      <c r="D1362" s="65" t="s">
        <v>321</v>
      </c>
      <c r="E1362" s="65" t="s">
        <v>294</v>
      </c>
      <c r="F1362" s="65" t="s">
        <v>297</v>
      </c>
      <c r="G1362" s="65"/>
      <c r="H1362" s="65"/>
      <c r="I1362" s="66">
        <v>17922.486949999999</v>
      </c>
    </row>
    <row r="1363" spans="1:9" hidden="1">
      <c r="A1363" s="67" t="s">
        <v>295</v>
      </c>
      <c r="B1363" s="68">
        <v>2028</v>
      </c>
      <c r="C1363" s="68">
        <v>2023</v>
      </c>
      <c r="D1363" s="68" t="s">
        <v>321</v>
      </c>
      <c r="E1363" s="68" t="s">
        <v>294</v>
      </c>
      <c r="F1363" s="68" t="s">
        <v>298</v>
      </c>
      <c r="G1363" s="68"/>
      <c r="H1363" s="68"/>
      <c r="I1363" s="69">
        <v>0</v>
      </c>
    </row>
    <row r="1364" spans="1:9" hidden="1">
      <c r="A1364" s="64" t="s">
        <v>295</v>
      </c>
      <c r="B1364" s="65">
        <v>2028</v>
      </c>
      <c r="C1364" s="65">
        <v>2023</v>
      </c>
      <c r="D1364" s="65" t="s">
        <v>321</v>
      </c>
      <c r="E1364" s="65" t="s">
        <v>294</v>
      </c>
      <c r="F1364" s="65" t="s">
        <v>40</v>
      </c>
      <c r="G1364" s="65"/>
      <c r="H1364" s="65"/>
      <c r="I1364" s="66">
        <v>17918.050790000001</v>
      </c>
    </row>
    <row r="1365" spans="1:9" hidden="1">
      <c r="A1365" s="67" t="s">
        <v>295</v>
      </c>
      <c r="B1365" s="68">
        <v>2028</v>
      </c>
      <c r="C1365" s="68">
        <v>2023</v>
      </c>
      <c r="D1365" s="68" t="s">
        <v>321</v>
      </c>
      <c r="E1365" s="68" t="s">
        <v>301</v>
      </c>
      <c r="F1365" s="68" t="s">
        <v>297</v>
      </c>
      <c r="G1365" s="68"/>
      <c r="H1365" s="68"/>
      <c r="I1365" s="69">
        <v>17973.81292</v>
      </c>
    </row>
    <row r="1366" spans="1:9" hidden="1">
      <c r="A1366" s="64" t="s">
        <v>295</v>
      </c>
      <c r="B1366" s="65">
        <v>2028</v>
      </c>
      <c r="C1366" s="65">
        <v>2023</v>
      </c>
      <c r="D1366" s="65" t="s">
        <v>321</v>
      </c>
      <c r="E1366" s="65" t="s">
        <v>301</v>
      </c>
      <c r="F1366" s="65" t="s">
        <v>298</v>
      </c>
      <c r="G1366" s="65"/>
      <c r="H1366" s="65"/>
      <c r="I1366" s="66">
        <v>0</v>
      </c>
    </row>
    <row r="1367" spans="1:9" hidden="1">
      <c r="A1367" s="67" t="s">
        <v>295</v>
      </c>
      <c r="B1367" s="68">
        <v>2028</v>
      </c>
      <c r="C1367" s="68">
        <v>2023</v>
      </c>
      <c r="D1367" s="68" t="s">
        <v>321</v>
      </c>
      <c r="E1367" s="68" t="s">
        <v>301</v>
      </c>
      <c r="F1367" s="68" t="s">
        <v>40</v>
      </c>
      <c r="G1367" s="68"/>
      <c r="H1367" s="68"/>
      <c r="I1367" s="69">
        <v>17973.812760000001</v>
      </c>
    </row>
    <row r="1368" spans="1:9" hidden="1">
      <c r="A1368" s="64" t="s">
        <v>295</v>
      </c>
      <c r="B1368" s="65">
        <v>2028</v>
      </c>
      <c r="C1368" s="65">
        <v>2023</v>
      </c>
      <c r="D1368" s="65" t="s">
        <v>321</v>
      </c>
      <c r="E1368" s="65" t="s">
        <v>305</v>
      </c>
      <c r="F1368" s="65" t="s">
        <v>297</v>
      </c>
      <c r="G1368" s="65"/>
      <c r="H1368" s="65"/>
      <c r="I1368" s="66">
        <v>48.60772</v>
      </c>
    </row>
    <row r="1369" spans="1:9" hidden="1">
      <c r="A1369" s="67" t="s">
        <v>295</v>
      </c>
      <c r="B1369" s="68">
        <v>2028</v>
      </c>
      <c r="C1369" s="68">
        <v>2023</v>
      </c>
      <c r="D1369" s="68" t="s">
        <v>321</v>
      </c>
      <c r="E1369" s="68" t="s">
        <v>305</v>
      </c>
      <c r="F1369" s="68" t="s">
        <v>40</v>
      </c>
      <c r="G1369" s="68"/>
      <c r="H1369" s="68"/>
      <c r="I1369" s="69">
        <v>303.90771999999998</v>
      </c>
    </row>
    <row r="1370" spans="1:9" hidden="1">
      <c r="A1370" s="64" t="s">
        <v>295</v>
      </c>
      <c r="B1370" s="65">
        <v>2028</v>
      </c>
      <c r="C1370" s="65">
        <v>2023</v>
      </c>
      <c r="D1370" s="65" t="s">
        <v>322</v>
      </c>
      <c r="E1370" s="65" t="s">
        <v>294</v>
      </c>
      <c r="F1370" s="65" t="s">
        <v>297</v>
      </c>
      <c r="G1370" s="65"/>
      <c r="H1370" s="65"/>
      <c r="I1370" s="66">
        <v>1322.47441</v>
      </c>
    </row>
    <row r="1371" spans="1:9" hidden="1">
      <c r="A1371" s="67" t="s">
        <v>295</v>
      </c>
      <c r="B1371" s="68">
        <v>2028</v>
      </c>
      <c r="C1371" s="68">
        <v>2023</v>
      </c>
      <c r="D1371" s="68" t="s">
        <v>322</v>
      </c>
      <c r="E1371" s="68" t="s">
        <v>294</v>
      </c>
      <c r="F1371" s="68" t="s">
        <v>298</v>
      </c>
      <c r="G1371" s="68"/>
      <c r="H1371" s="68"/>
      <c r="I1371" s="69">
        <v>3805.9957599999998</v>
      </c>
    </row>
    <row r="1372" spans="1:9" hidden="1">
      <c r="A1372" s="64" t="s">
        <v>295</v>
      </c>
      <c r="B1372" s="65">
        <v>2028</v>
      </c>
      <c r="C1372" s="65">
        <v>2023</v>
      </c>
      <c r="D1372" s="65" t="s">
        <v>322</v>
      </c>
      <c r="E1372" s="65" t="s">
        <v>294</v>
      </c>
      <c r="F1372" s="65" t="s">
        <v>40</v>
      </c>
      <c r="G1372" s="65"/>
      <c r="H1372" s="65"/>
      <c r="I1372" s="66">
        <v>5128.4701599999999</v>
      </c>
    </row>
    <row r="1373" spans="1:9" hidden="1">
      <c r="A1373" s="67" t="s">
        <v>295</v>
      </c>
      <c r="B1373" s="68">
        <v>2028</v>
      </c>
      <c r="C1373" s="68">
        <v>2023</v>
      </c>
      <c r="D1373" s="68" t="s">
        <v>322</v>
      </c>
      <c r="E1373" s="68" t="s">
        <v>301</v>
      </c>
      <c r="F1373" s="68" t="s">
        <v>297</v>
      </c>
      <c r="G1373" s="68"/>
      <c r="H1373" s="68"/>
      <c r="I1373" s="69">
        <v>1469.34285</v>
      </c>
    </row>
    <row r="1374" spans="1:9" hidden="1">
      <c r="A1374" s="64" t="s">
        <v>295</v>
      </c>
      <c r="B1374" s="65">
        <v>2028</v>
      </c>
      <c r="C1374" s="65">
        <v>2023</v>
      </c>
      <c r="D1374" s="65" t="s">
        <v>322</v>
      </c>
      <c r="E1374" s="65" t="s">
        <v>301</v>
      </c>
      <c r="F1374" s="65" t="s">
        <v>298</v>
      </c>
      <c r="G1374" s="65"/>
      <c r="H1374" s="65"/>
      <c r="I1374" s="66">
        <v>3882.07006</v>
      </c>
    </row>
    <row r="1375" spans="1:9" hidden="1">
      <c r="A1375" s="67" t="s">
        <v>295</v>
      </c>
      <c r="B1375" s="68">
        <v>2028</v>
      </c>
      <c r="C1375" s="68">
        <v>2023</v>
      </c>
      <c r="D1375" s="68" t="s">
        <v>322</v>
      </c>
      <c r="E1375" s="68" t="s">
        <v>301</v>
      </c>
      <c r="F1375" s="68" t="s">
        <v>40</v>
      </c>
      <c r="G1375" s="68"/>
      <c r="H1375" s="68"/>
      <c r="I1375" s="69">
        <v>5351.41291</v>
      </c>
    </row>
    <row r="1376" spans="1:9" hidden="1">
      <c r="A1376" s="64" t="s">
        <v>295</v>
      </c>
      <c r="B1376" s="65">
        <v>2028</v>
      </c>
      <c r="C1376" s="65">
        <v>2023</v>
      </c>
      <c r="D1376" s="65" t="s">
        <v>322</v>
      </c>
      <c r="E1376" s="65" t="s">
        <v>305</v>
      </c>
      <c r="F1376" s="65" t="s">
        <v>297</v>
      </c>
      <c r="G1376" s="65"/>
      <c r="H1376" s="65"/>
      <c r="I1376" s="66">
        <v>7.2</v>
      </c>
    </row>
    <row r="1377" spans="1:9" hidden="1">
      <c r="A1377" s="67" t="s">
        <v>295</v>
      </c>
      <c r="B1377" s="68">
        <v>2028</v>
      </c>
      <c r="C1377" s="68">
        <v>2023</v>
      </c>
      <c r="D1377" s="68" t="s">
        <v>322</v>
      </c>
      <c r="E1377" s="68" t="s">
        <v>305</v>
      </c>
      <c r="F1377" s="68" t="s">
        <v>40</v>
      </c>
      <c r="G1377" s="68"/>
      <c r="H1377" s="68"/>
      <c r="I1377" s="69">
        <v>232</v>
      </c>
    </row>
    <row r="1378" spans="1:9" hidden="1">
      <c r="A1378" s="64" t="s">
        <v>295</v>
      </c>
      <c r="B1378" s="65">
        <v>2028</v>
      </c>
      <c r="C1378" s="65">
        <v>2023</v>
      </c>
      <c r="D1378" s="65" t="s">
        <v>323</v>
      </c>
      <c r="E1378" s="65" t="s">
        <v>294</v>
      </c>
      <c r="F1378" s="65" t="s">
        <v>297</v>
      </c>
      <c r="G1378" s="65"/>
      <c r="H1378" s="65"/>
      <c r="I1378" s="66">
        <v>407961.56228999997</v>
      </c>
    </row>
    <row r="1379" spans="1:9" hidden="1">
      <c r="A1379" s="67" t="s">
        <v>295</v>
      </c>
      <c r="B1379" s="68">
        <v>2028</v>
      </c>
      <c r="C1379" s="68">
        <v>2023</v>
      </c>
      <c r="D1379" s="68" t="s">
        <v>323</v>
      </c>
      <c r="E1379" s="68" t="s">
        <v>294</v>
      </c>
      <c r="F1379" s="68" t="s">
        <v>298</v>
      </c>
      <c r="G1379" s="68"/>
      <c r="H1379" s="68"/>
      <c r="I1379" s="69">
        <v>1783.3266699999999</v>
      </c>
    </row>
    <row r="1380" spans="1:9" hidden="1">
      <c r="A1380" s="64" t="s">
        <v>295</v>
      </c>
      <c r="B1380" s="65">
        <v>2028</v>
      </c>
      <c r="C1380" s="65">
        <v>2023</v>
      </c>
      <c r="D1380" s="65" t="s">
        <v>323</v>
      </c>
      <c r="E1380" s="65" t="s">
        <v>294</v>
      </c>
      <c r="F1380" s="65" t="s">
        <v>40</v>
      </c>
      <c r="G1380" s="65"/>
      <c r="H1380" s="65"/>
      <c r="I1380" s="66">
        <v>409756.88893999998</v>
      </c>
    </row>
    <row r="1381" spans="1:9" hidden="1">
      <c r="A1381" s="67" t="s">
        <v>295</v>
      </c>
      <c r="B1381" s="68">
        <v>2028</v>
      </c>
      <c r="C1381" s="68">
        <v>2023</v>
      </c>
      <c r="D1381" s="68" t="s">
        <v>323</v>
      </c>
      <c r="E1381" s="68" t="s">
        <v>301</v>
      </c>
      <c r="F1381" s="68" t="s">
        <v>297</v>
      </c>
      <c r="G1381" s="68"/>
      <c r="H1381" s="68"/>
      <c r="I1381" s="69">
        <v>441578.42632000003</v>
      </c>
    </row>
    <row r="1382" spans="1:9" hidden="1">
      <c r="A1382" s="64" t="s">
        <v>295</v>
      </c>
      <c r="B1382" s="65">
        <v>2028</v>
      </c>
      <c r="C1382" s="65">
        <v>2023</v>
      </c>
      <c r="D1382" s="65" t="s">
        <v>323</v>
      </c>
      <c r="E1382" s="65" t="s">
        <v>301</v>
      </c>
      <c r="F1382" s="65" t="s">
        <v>298</v>
      </c>
      <c r="G1382" s="65"/>
      <c r="H1382" s="65"/>
      <c r="I1382" s="66">
        <v>1866.4866199999999</v>
      </c>
    </row>
    <row r="1383" spans="1:9" hidden="1">
      <c r="A1383" s="67" t="s">
        <v>295</v>
      </c>
      <c r="B1383" s="68">
        <v>2028</v>
      </c>
      <c r="C1383" s="68">
        <v>2023</v>
      </c>
      <c r="D1383" s="68" t="s">
        <v>323</v>
      </c>
      <c r="E1383" s="68" t="s">
        <v>301</v>
      </c>
      <c r="F1383" s="68" t="s">
        <v>40</v>
      </c>
      <c r="G1383" s="68"/>
      <c r="H1383" s="68"/>
      <c r="I1383" s="69">
        <v>443456.75293999998</v>
      </c>
    </row>
    <row r="1384" spans="1:9" hidden="1">
      <c r="A1384" s="64" t="s">
        <v>295</v>
      </c>
      <c r="B1384" s="65">
        <v>2028</v>
      </c>
      <c r="C1384" s="65">
        <v>2023</v>
      </c>
      <c r="D1384" s="65" t="s">
        <v>323</v>
      </c>
      <c r="E1384" s="65" t="s">
        <v>305</v>
      </c>
      <c r="F1384" s="65" t="s">
        <v>297</v>
      </c>
      <c r="G1384" s="65"/>
      <c r="H1384" s="65"/>
      <c r="I1384" s="66">
        <v>1548.8319899999999</v>
      </c>
    </row>
    <row r="1385" spans="1:9" hidden="1">
      <c r="A1385" s="67" t="s">
        <v>295</v>
      </c>
      <c r="B1385" s="68">
        <v>2028</v>
      </c>
      <c r="C1385" s="68">
        <v>2023</v>
      </c>
      <c r="D1385" s="68" t="s">
        <v>323</v>
      </c>
      <c r="E1385" s="68" t="s">
        <v>305</v>
      </c>
      <c r="F1385" s="68" t="s">
        <v>40</v>
      </c>
      <c r="G1385" s="68"/>
      <c r="H1385" s="68"/>
      <c r="I1385" s="69">
        <v>17008.031989999999</v>
      </c>
    </row>
    <row r="1386" spans="1:9" hidden="1">
      <c r="A1386" s="64" t="s">
        <v>295</v>
      </c>
      <c r="B1386" s="65">
        <v>2028</v>
      </c>
      <c r="C1386" s="65">
        <v>2023</v>
      </c>
      <c r="D1386" s="65" t="s">
        <v>324</v>
      </c>
      <c r="E1386" s="65" t="s">
        <v>294</v>
      </c>
      <c r="F1386" s="65" t="s">
        <v>297</v>
      </c>
      <c r="G1386" s="65"/>
      <c r="H1386" s="65"/>
      <c r="I1386" s="66">
        <v>3742.1177899999998</v>
      </c>
    </row>
    <row r="1387" spans="1:9" hidden="1">
      <c r="A1387" s="67" t="s">
        <v>295</v>
      </c>
      <c r="B1387" s="68">
        <v>2028</v>
      </c>
      <c r="C1387" s="68">
        <v>2023</v>
      </c>
      <c r="D1387" s="68" t="s">
        <v>324</v>
      </c>
      <c r="E1387" s="68" t="s">
        <v>294</v>
      </c>
      <c r="F1387" s="68" t="s">
        <v>298</v>
      </c>
      <c r="G1387" s="68"/>
      <c r="H1387" s="68"/>
      <c r="I1387" s="69">
        <v>0</v>
      </c>
    </row>
    <row r="1388" spans="1:9" hidden="1">
      <c r="A1388" s="64" t="s">
        <v>295</v>
      </c>
      <c r="B1388" s="65">
        <v>2028</v>
      </c>
      <c r="C1388" s="65">
        <v>2023</v>
      </c>
      <c r="D1388" s="65" t="s">
        <v>324</v>
      </c>
      <c r="E1388" s="65" t="s">
        <v>294</v>
      </c>
      <c r="F1388" s="65" t="s">
        <v>40</v>
      </c>
      <c r="G1388" s="65"/>
      <c r="H1388" s="65"/>
      <c r="I1388" s="66">
        <v>3742.1177899999998</v>
      </c>
    </row>
    <row r="1389" spans="1:9" hidden="1">
      <c r="A1389" s="67" t="s">
        <v>295</v>
      </c>
      <c r="B1389" s="68">
        <v>2028</v>
      </c>
      <c r="C1389" s="68">
        <v>2023</v>
      </c>
      <c r="D1389" s="68" t="s">
        <v>324</v>
      </c>
      <c r="E1389" s="68" t="s">
        <v>301</v>
      </c>
      <c r="F1389" s="68" t="s">
        <v>297</v>
      </c>
      <c r="G1389" s="68"/>
      <c r="H1389" s="68"/>
      <c r="I1389" s="69">
        <v>3742.1142199999999</v>
      </c>
    </row>
    <row r="1390" spans="1:9" hidden="1">
      <c r="A1390" s="64" t="s">
        <v>295</v>
      </c>
      <c r="B1390" s="65">
        <v>2028</v>
      </c>
      <c r="C1390" s="65">
        <v>2023</v>
      </c>
      <c r="D1390" s="65" t="s">
        <v>324</v>
      </c>
      <c r="E1390" s="65" t="s">
        <v>301</v>
      </c>
      <c r="F1390" s="65" t="s">
        <v>298</v>
      </c>
      <c r="G1390" s="65"/>
      <c r="H1390" s="65"/>
      <c r="I1390" s="66">
        <v>0</v>
      </c>
    </row>
    <row r="1391" spans="1:9" hidden="1">
      <c r="A1391" s="67" t="s">
        <v>295</v>
      </c>
      <c r="B1391" s="68">
        <v>2028</v>
      </c>
      <c r="C1391" s="68">
        <v>2023</v>
      </c>
      <c r="D1391" s="68" t="s">
        <v>324</v>
      </c>
      <c r="E1391" s="68" t="s">
        <v>301</v>
      </c>
      <c r="F1391" s="68" t="s">
        <v>40</v>
      </c>
      <c r="G1391" s="68"/>
      <c r="H1391" s="68"/>
      <c r="I1391" s="69">
        <v>3742.1142199999999</v>
      </c>
    </row>
    <row r="1392" spans="1:9" hidden="1">
      <c r="A1392" s="64" t="s">
        <v>295</v>
      </c>
      <c r="B1392" s="65">
        <v>2028</v>
      </c>
      <c r="C1392" s="65">
        <v>2023</v>
      </c>
      <c r="D1392" s="65" t="s">
        <v>324</v>
      </c>
      <c r="E1392" s="65" t="s">
        <v>305</v>
      </c>
      <c r="F1392" s="65" t="s">
        <v>297</v>
      </c>
      <c r="G1392" s="65"/>
      <c r="H1392" s="65"/>
      <c r="I1392" s="66">
        <v>4.0999999999999996</v>
      </c>
    </row>
    <row r="1393" spans="1:9" hidden="1">
      <c r="A1393" s="67" t="s">
        <v>295</v>
      </c>
      <c r="B1393" s="68">
        <v>2028</v>
      </c>
      <c r="C1393" s="68">
        <v>2023</v>
      </c>
      <c r="D1393" s="68" t="s">
        <v>324</v>
      </c>
      <c r="E1393" s="68" t="s">
        <v>305</v>
      </c>
      <c r="F1393" s="68" t="s">
        <v>40</v>
      </c>
      <c r="G1393" s="68"/>
      <c r="H1393" s="68"/>
      <c r="I1393" s="69">
        <v>1246.2</v>
      </c>
    </row>
    <row r="1394" spans="1:9" hidden="1">
      <c r="A1394" s="64" t="s">
        <v>295</v>
      </c>
      <c r="B1394" s="65">
        <v>2028</v>
      </c>
      <c r="C1394" s="65">
        <v>2023</v>
      </c>
      <c r="D1394" s="65" t="s">
        <v>325</v>
      </c>
      <c r="E1394" s="65" t="s">
        <v>294</v>
      </c>
      <c r="F1394" s="65" t="s">
        <v>297</v>
      </c>
      <c r="G1394" s="65"/>
      <c r="H1394" s="65"/>
      <c r="I1394" s="66">
        <v>54474.156089999997</v>
      </c>
    </row>
    <row r="1395" spans="1:9" hidden="1">
      <c r="A1395" s="67" t="s">
        <v>295</v>
      </c>
      <c r="B1395" s="68">
        <v>2028</v>
      </c>
      <c r="C1395" s="68">
        <v>2023</v>
      </c>
      <c r="D1395" s="68" t="s">
        <v>325</v>
      </c>
      <c r="E1395" s="68" t="s">
        <v>294</v>
      </c>
      <c r="F1395" s="68" t="s">
        <v>298</v>
      </c>
      <c r="G1395" s="68"/>
      <c r="H1395" s="68"/>
      <c r="I1395" s="69">
        <v>14837.496069999999</v>
      </c>
    </row>
    <row r="1396" spans="1:9" hidden="1">
      <c r="A1396" s="64" t="s">
        <v>295</v>
      </c>
      <c r="B1396" s="65">
        <v>2028</v>
      </c>
      <c r="C1396" s="65">
        <v>2023</v>
      </c>
      <c r="D1396" s="65" t="s">
        <v>325</v>
      </c>
      <c r="E1396" s="65" t="s">
        <v>294</v>
      </c>
      <c r="F1396" s="65" t="s">
        <v>40</v>
      </c>
      <c r="G1396" s="65"/>
      <c r="H1396" s="65"/>
      <c r="I1396" s="66">
        <v>69311.712169999999</v>
      </c>
    </row>
    <row r="1397" spans="1:9" hidden="1">
      <c r="A1397" s="67" t="s">
        <v>295</v>
      </c>
      <c r="B1397" s="68">
        <v>2028</v>
      </c>
      <c r="C1397" s="68">
        <v>2023</v>
      </c>
      <c r="D1397" s="68" t="s">
        <v>325</v>
      </c>
      <c r="E1397" s="68" t="s">
        <v>301</v>
      </c>
      <c r="F1397" s="68" t="s">
        <v>297</v>
      </c>
      <c r="G1397" s="68"/>
      <c r="H1397" s="68"/>
      <c r="I1397" s="69">
        <v>56053.731510000012</v>
      </c>
    </row>
    <row r="1398" spans="1:9" hidden="1">
      <c r="A1398" s="64" t="s">
        <v>295</v>
      </c>
      <c r="B1398" s="65">
        <v>2028</v>
      </c>
      <c r="C1398" s="65">
        <v>2023</v>
      </c>
      <c r="D1398" s="65" t="s">
        <v>325</v>
      </c>
      <c r="E1398" s="65" t="s">
        <v>301</v>
      </c>
      <c r="F1398" s="65" t="s">
        <v>298</v>
      </c>
      <c r="G1398" s="65"/>
      <c r="H1398" s="65"/>
      <c r="I1398" s="66">
        <v>15668.669040000001</v>
      </c>
    </row>
    <row r="1399" spans="1:9" hidden="1">
      <c r="A1399" s="67" t="s">
        <v>295</v>
      </c>
      <c r="B1399" s="68">
        <v>2028</v>
      </c>
      <c r="C1399" s="68">
        <v>2023</v>
      </c>
      <c r="D1399" s="68" t="s">
        <v>325</v>
      </c>
      <c r="E1399" s="68" t="s">
        <v>301</v>
      </c>
      <c r="F1399" s="68" t="s">
        <v>40</v>
      </c>
      <c r="G1399" s="68"/>
      <c r="H1399" s="68"/>
      <c r="I1399" s="69">
        <v>71722.600560000006</v>
      </c>
    </row>
    <row r="1400" spans="1:9" hidden="1">
      <c r="A1400" s="64" t="s">
        <v>295</v>
      </c>
      <c r="B1400" s="65">
        <v>2028</v>
      </c>
      <c r="C1400" s="65">
        <v>2023</v>
      </c>
      <c r="D1400" s="65" t="s">
        <v>325</v>
      </c>
      <c r="E1400" s="65" t="s">
        <v>305</v>
      </c>
      <c r="F1400" s="65" t="s">
        <v>297</v>
      </c>
      <c r="G1400" s="65"/>
      <c r="H1400" s="65"/>
      <c r="I1400" s="66">
        <v>428.7</v>
      </c>
    </row>
    <row r="1401" spans="1:9" hidden="1">
      <c r="A1401" s="67" t="s">
        <v>295</v>
      </c>
      <c r="B1401" s="68">
        <v>2028</v>
      </c>
      <c r="C1401" s="68">
        <v>2023</v>
      </c>
      <c r="D1401" s="68" t="s">
        <v>325</v>
      </c>
      <c r="E1401" s="68" t="s">
        <v>305</v>
      </c>
      <c r="F1401" s="68" t="s">
        <v>298</v>
      </c>
      <c r="G1401" s="68"/>
      <c r="H1401" s="68"/>
      <c r="I1401" s="69">
        <v>69.900000000000006</v>
      </c>
    </row>
    <row r="1402" spans="1:9" hidden="1">
      <c r="A1402" s="64" t="s">
        <v>295</v>
      </c>
      <c r="B1402" s="65">
        <v>2028</v>
      </c>
      <c r="C1402" s="65">
        <v>2023</v>
      </c>
      <c r="D1402" s="65" t="s">
        <v>325</v>
      </c>
      <c r="E1402" s="65" t="s">
        <v>305</v>
      </c>
      <c r="F1402" s="65" t="s">
        <v>40</v>
      </c>
      <c r="G1402" s="65"/>
      <c r="H1402" s="65"/>
      <c r="I1402" s="66">
        <v>18674.400000000001</v>
      </c>
    </row>
    <row r="1403" spans="1:9" hidden="1">
      <c r="A1403" s="67" t="s">
        <v>295</v>
      </c>
      <c r="B1403" s="68">
        <v>2028</v>
      </c>
      <c r="C1403" s="68">
        <v>2023</v>
      </c>
      <c r="D1403" s="68" t="s">
        <v>326</v>
      </c>
      <c r="E1403" s="68" t="s">
        <v>294</v>
      </c>
      <c r="F1403" s="68" t="s">
        <v>297</v>
      </c>
      <c r="G1403" s="68"/>
      <c r="H1403" s="68"/>
      <c r="I1403" s="69">
        <v>0</v>
      </c>
    </row>
    <row r="1404" spans="1:9" hidden="1">
      <c r="A1404" s="64" t="s">
        <v>295</v>
      </c>
      <c r="B1404" s="65">
        <v>2028</v>
      </c>
      <c r="C1404" s="65">
        <v>2023</v>
      </c>
      <c r="D1404" s="65" t="s">
        <v>326</v>
      </c>
      <c r="E1404" s="65" t="s">
        <v>294</v>
      </c>
      <c r="F1404" s="65" t="s">
        <v>298</v>
      </c>
      <c r="G1404" s="65"/>
      <c r="H1404" s="65"/>
      <c r="I1404" s="66">
        <v>0</v>
      </c>
    </row>
    <row r="1405" spans="1:9" hidden="1">
      <c r="A1405" s="67" t="s">
        <v>295</v>
      </c>
      <c r="B1405" s="68">
        <v>2028</v>
      </c>
      <c r="C1405" s="68">
        <v>2023</v>
      </c>
      <c r="D1405" s="68" t="s">
        <v>326</v>
      </c>
      <c r="E1405" s="68" t="s">
        <v>294</v>
      </c>
      <c r="F1405" s="68" t="s">
        <v>40</v>
      </c>
      <c r="G1405" s="68"/>
      <c r="H1405" s="68"/>
      <c r="I1405" s="69">
        <v>0</v>
      </c>
    </row>
    <row r="1406" spans="1:9" hidden="1">
      <c r="A1406" s="64" t="s">
        <v>295</v>
      </c>
      <c r="B1406" s="65">
        <v>2028</v>
      </c>
      <c r="C1406" s="65">
        <v>2023</v>
      </c>
      <c r="D1406" s="65" t="s">
        <v>326</v>
      </c>
      <c r="E1406" s="65" t="s">
        <v>301</v>
      </c>
      <c r="F1406" s="65" t="s">
        <v>297</v>
      </c>
      <c r="G1406" s="65"/>
      <c r="H1406" s="65"/>
      <c r="I1406" s="66">
        <v>0</v>
      </c>
    </row>
    <row r="1407" spans="1:9" hidden="1">
      <c r="A1407" s="67" t="s">
        <v>295</v>
      </c>
      <c r="B1407" s="68">
        <v>2028</v>
      </c>
      <c r="C1407" s="68">
        <v>2023</v>
      </c>
      <c r="D1407" s="68" t="s">
        <v>326</v>
      </c>
      <c r="E1407" s="68" t="s">
        <v>301</v>
      </c>
      <c r="F1407" s="68" t="s">
        <v>298</v>
      </c>
      <c r="G1407" s="68"/>
      <c r="H1407" s="68"/>
      <c r="I1407" s="69">
        <v>0</v>
      </c>
    </row>
    <row r="1408" spans="1:9" hidden="1">
      <c r="A1408" s="64" t="s">
        <v>295</v>
      </c>
      <c r="B1408" s="65">
        <v>2028</v>
      </c>
      <c r="C1408" s="65">
        <v>2023</v>
      </c>
      <c r="D1408" s="65" t="s">
        <v>326</v>
      </c>
      <c r="E1408" s="65" t="s">
        <v>301</v>
      </c>
      <c r="F1408" s="65" t="s">
        <v>40</v>
      </c>
      <c r="G1408" s="65"/>
      <c r="H1408" s="65"/>
      <c r="I1408" s="66">
        <v>0</v>
      </c>
    </row>
    <row r="1409" spans="1:9" hidden="1">
      <c r="A1409" s="67" t="s">
        <v>295</v>
      </c>
      <c r="B1409" s="68">
        <v>2028</v>
      </c>
      <c r="C1409" s="68">
        <v>2023</v>
      </c>
      <c r="D1409" s="68" t="s">
        <v>304</v>
      </c>
      <c r="E1409" s="68" t="s">
        <v>294</v>
      </c>
      <c r="F1409" s="68" t="s">
        <v>297</v>
      </c>
      <c r="G1409" s="68"/>
      <c r="H1409" s="68"/>
      <c r="I1409" s="69">
        <v>69174.788</v>
      </c>
    </row>
    <row r="1410" spans="1:9" hidden="1">
      <c r="A1410" s="64" t="s">
        <v>295</v>
      </c>
      <c r="B1410" s="65">
        <v>2028</v>
      </c>
      <c r="C1410" s="65">
        <v>2023</v>
      </c>
      <c r="D1410" s="65" t="s">
        <v>304</v>
      </c>
      <c r="E1410" s="65" t="s">
        <v>294</v>
      </c>
      <c r="F1410" s="65" t="s">
        <v>298</v>
      </c>
      <c r="G1410" s="65"/>
      <c r="H1410" s="65"/>
      <c r="I1410" s="66">
        <v>210762.27726999999</v>
      </c>
    </row>
    <row r="1411" spans="1:9" hidden="1">
      <c r="A1411" s="67" t="s">
        <v>295</v>
      </c>
      <c r="B1411" s="68">
        <v>2028</v>
      </c>
      <c r="C1411" s="68">
        <v>2023</v>
      </c>
      <c r="D1411" s="68" t="s">
        <v>304</v>
      </c>
      <c r="E1411" s="68" t="s">
        <v>294</v>
      </c>
      <c r="F1411" s="68" t="s">
        <v>40</v>
      </c>
      <c r="G1411" s="68"/>
      <c r="H1411" s="68"/>
      <c r="I1411" s="69">
        <v>279658.26526999997</v>
      </c>
    </row>
    <row r="1412" spans="1:9" hidden="1">
      <c r="A1412" s="64" t="s">
        <v>295</v>
      </c>
      <c r="B1412" s="65">
        <v>2028</v>
      </c>
      <c r="C1412" s="65">
        <v>2023</v>
      </c>
      <c r="D1412" s="65" t="s">
        <v>304</v>
      </c>
      <c r="E1412" s="65" t="s">
        <v>301</v>
      </c>
      <c r="F1412" s="65" t="s">
        <v>297</v>
      </c>
      <c r="G1412" s="65"/>
      <c r="H1412" s="65"/>
      <c r="I1412" s="66">
        <v>70728.035279999996</v>
      </c>
    </row>
    <row r="1413" spans="1:9" hidden="1">
      <c r="A1413" s="67" t="s">
        <v>295</v>
      </c>
      <c r="B1413" s="68">
        <v>2028</v>
      </c>
      <c r="C1413" s="68">
        <v>2023</v>
      </c>
      <c r="D1413" s="68" t="s">
        <v>304</v>
      </c>
      <c r="E1413" s="68" t="s">
        <v>301</v>
      </c>
      <c r="F1413" s="68" t="s">
        <v>298</v>
      </c>
      <c r="G1413" s="68"/>
      <c r="H1413" s="68"/>
      <c r="I1413" s="69">
        <v>217989.56229999999</v>
      </c>
    </row>
    <row r="1414" spans="1:9" hidden="1">
      <c r="A1414" s="64" t="s">
        <v>295</v>
      </c>
      <c r="B1414" s="65">
        <v>2028</v>
      </c>
      <c r="C1414" s="65">
        <v>2023</v>
      </c>
      <c r="D1414" s="65" t="s">
        <v>304</v>
      </c>
      <c r="E1414" s="65" t="s">
        <v>301</v>
      </c>
      <c r="F1414" s="65" t="s">
        <v>40</v>
      </c>
      <c r="G1414" s="65"/>
      <c r="H1414" s="65"/>
      <c r="I1414" s="66">
        <v>288438.89759000001</v>
      </c>
    </row>
    <row r="1415" spans="1:9" hidden="1">
      <c r="A1415" s="67" t="s">
        <v>295</v>
      </c>
      <c r="B1415" s="68">
        <v>2028</v>
      </c>
      <c r="C1415" s="68">
        <v>2023</v>
      </c>
      <c r="D1415" s="68" t="s">
        <v>304</v>
      </c>
      <c r="E1415" s="68" t="s">
        <v>305</v>
      </c>
      <c r="F1415" s="68" t="s">
        <v>297</v>
      </c>
      <c r="G1415" s="68"/>
      <c r="H1415" s="68"/>
      <c r="I1415" s="69">
        <v>1098.99269</v>
      </c>
    </row>
    <row r="1416" spans="1:9" hidden="1">
      <c r="A1416" s="64" t="s">
        <v>295</v>
      </c>
      <c r="B1416" s="65">
        <v>2028</v>
      </c>
      <c r="C1416" s="65">
        <v>2023</v>
      </c>
      <c r="D1416" s="65" t="s">
        <v>304</v>
      </c>
      <c r="E1416" s="65" t="s">
        <v>305</v>
      </c>
      <c r="F1416" s="65" t="s">
        <v>298</v>
      </c>
      <c r="G1416" s="65"/>
      <c r="H1416" s="65"/>
      <c r="I1416" s="66">
        <v>730.2</v>
      </c>
    </row>
    <row r="1417" spans="1:9" hidden="1">
      <c r="A1417" s="67" t="s">
        <v>295</v>
      </c>
      <c r="B1417" s="68">
        <v>2028</v>
      </c>
      <c r="C1417" s="68">
        <v>2023</v>
      </c>
      <c r="D1417" s="68" t="s">
        <v>304</v>
      </c>
      <c r="E1417" s="68" t="s">
        <v>305</v>
      </c>
      <c r="F1417" s="68" t="s">
        <v>40</v>
      </c>
      <c r="G1417" s="68"/>
      <c r="H1417" s="68"/>
      <c r="I1417" s="69">
        <v>16203.092689999999</v>
      </c>
    </row>
    <row r="1418" spans="1:9" hidden="1">
      <c r="A1418" s="64" t="s">
        <v>295</v>
      </c>
      <c r="B1418" s="65">
        <v>2028</v>
      </c>
      <c r="C1418" s="65">
        <v>2023</v>
      </c>
      <c r="D1418" s="65" t="s">
        <v>306</v>
      </c>
      <c r="E1418" s="65" t="s">
        <v>294</v>
      </c>
      <c r="F1418" s="65" t="s">
        <v>297</v>
      </c>
      <c r="G1418" s="65"/>
      <c r="H1418" s="65"/>
      <c r="I1418" s="66">
        <v>363845.87575000001</v>
      </c>
    </row>
    <row r="1419" spans="1:9" hidden="1">
      <c r="A1419" s="67" t="s">
        <v>295</v>
      </c>
      <c r="B1419" s="68">
        <v>2028</v>
      </c>
      <c r="C1419" s="68">
        <v>2023</v>
      </c>
      <c r="D1419" s="68" t="s">
        <v>306</v>
      </c>
      <c r="E1419" s="68" t="s">
        <v>294</v>
      </c>
      <c r="F1419" s="68" t="s">
        <v>40</v>
      </c>
      <c r="G1419" s="68"/>
      <c r="H1419" s="68"/>
      <c r="I1419" s="69">
        <v>363845.87575000001</v>
      </c>
    </row>
    <row r="1420" spans="1:9" hidden="1">
      <c r="A1420" s="64" t="s">
        <v>295</v>
      </c>
      <c r="B1420" s="65">
        <v>2028</v>
      </c>
      <c r="C1420" s="65">
        <v>2023</v>
      </c>
      <c r="D1420" s="65" t="s">
        <v>306</v>
      </c>
      <c r="E1420" s="65" t="s">
        <v>301</v>
      </c>
      <c r="F1420" s="65" t="s">
        <v>297</v>
      </c>
      <c r="G1420" s="65"/>
      <c r="H1420" s="65"/>
      <c r="I1420" s="66">
        <v>375608.45526000002</v>
      </c>
    </row>
    <row r="1421" spans="1:9" hidden="1">
      <c r="A1421" s="67" t="s">
        <v>295</v>
      </c>
      <c r="B1421" s="68">
        <v>2028</v>
      </c>
      <c r="C1421" s="68">
        <v>2023</v>
      </c>
      <c r="D1421" s="68" t="s">
        <v>306</v>
      </c>
      <c r="E1421" s="68" t="s">
        <v>301</v>
      </c>
      <c r="F1421" s="68" t="s">
        <v>40</v>
      </c>
      <c r="G1421" s="68"/>
      <c r="H1421" s="68"/>
      <c r="I1421" s="69">
        <v>375608.45526000002</v>
      </c>
    </row>
    <row r="1422" spans="1:9" hidden="1">
      <c r="A1422" s="64" t="s">
        <v>295</v>
      </c>
      <c r="B1422" s="65">
        <v>2028</v>
      </c>
      <c r="C1422" s="65">
        <v>2023</v>
      </c>
      <c r="D1422" s="65" t="s">
        <v>306</v>
      </c>
      <c r="E1422" s="65" t="s">
        <v>305</v>
      </c>
      <c r="F1422" s="65" t="s">
        <v>297</v>
      </c>
      <c r="G1422" s="65"/>
      <c r="H1422" s="65"/>
      <c r="I1422" s="66">
        <v>2030.6384399999999</v>
      </c>
    </row>
    <row r="1423" spans="1:9" hidden="1">
      <c r="A1423" s="67" t="s">
        <v>295</v>
      </c>
      <c r="B1423" s="68">
        <v>2028</v>
      </c>
      <c r="C1423" s="68">
        <v>2023</v>
      </c>
      <c r="D1423" s="68" t="s">
        <v>306</v>
      </c>
      <c r="E1423" s="68" t="s">
        <v>305</v>
      </c>
      <c r="F1423" s="68" t="s">
        <v>40</v>
      </c>
      <c r="G1423" s="68"/>
      <c r="H1423" s="68"/>
      <c r="I1423" s="69">
        <v>29656.33844</v>
      </c>
    </row>
    <row r="1424" spans="1:9" hidden="1">
      <c r="A1424" s="64" t="s">
        <v>295</v>
      </c>
      <c r="B1424" s="65">
        <v>2028</v>
      </c>
      <c r="C1424" s="65">
        <v>2023</v>
      </c>
      <c r="D1424" s="65" t="s">
        <v>307</v>
      </c>
      <c r="E1424" s="65" t="s">
        <v>294</v>
      </c>
      <c r="F1424" s="65" t="s">
        <v>40</v>
      </c>
      <c r="G1424" s="65"/>
      <c r="H1424" s="65"/>
      <c r="I1424" s="66">
        <v>-255138.20009</v>
      </c>
    </row>
    <row r="1425" spans="1:9" hidden="1">
      <c r="A1425" s="67" t="s">
        <v>295</v>
      </c>
      <c r="B1425" s="68">
        <v>2028</v>
      </c>
      <c r="C1425" s="68">
        <v>2023</v>
      </c>
      <c r="D1425" s="68" t="s">
        <v>307</v>
      </c>
      <c r="E1425" s="68" t="s">
        <v>301</v>
      </c>
      <c r="F1425" s="68" t="s">
        <v>40</v>
      </c>
      <c r="G1425" s="68"/>
      <c r="H1425" s="68"/>
      <c r="I1425" s="69">
        <v>-236907.60316</v>
      </c>
    </row>
    <row r="1426" spans="1:9" hidden="1">
      <c r="A1426" s="64" t="s">
        <v>295</v>
      </c>
      <c r="B1426" s="65">
        <v>2028</v>
      </c>
      <c r="C1426" s="65">
        <v>2023</v>
      </c>
      <c r="D1426" s="65" t="s">
        <v>307</v>
      </c>
      <c r="E1426" s="65" t="s">
        <v>305</v>
      </c>
      <c r="F1426" s="65" t="s">
        <v>40</v>
      </c>
      <c r="G1426" s="65"/>
      <c r="H1426" s="65"/>
      <c r="I1426" s="66">
        <v>-20182.499769999999</v>
      </c>
    </row>
    <row r="1427" spans="1:9" hidden="1">
      <c r="A1427" s="67" t="s">
        <v>295</v>
      </c>
      <c r="B1427" s="68">
        <v>2028</v>
      </c>
      <c r="C1427" s="68">
        <v>2023</v>
      </c>
      <c r="D1427" s="68" t="s">
        <v>327</v>
      </c>
      <c r="E1427" s="68" t="s">
        <v>294</v>
      </c>
      <c r="F1427" s="68" t="s">
        <v>40</v>
      </c>
      <c r="G1427" s="68"/>
      <c r="H1427" s="68"/>
      <c r="I1427" s="69">
        <v>-319361.72609000001</v>
      </c>
    </row>
    <row r="1428" spans="1:9" hidden="1">
      <c r="A1428" s="64" t="s">
        <v>295</v>
      </c>
      <c r="B1428" s="65">
        <v>2028</v>
      </c>
      <c r="C1428" s="65">
        <v>2023</v>
      </c>
      <c r="D1428" s="65" t="s">
        <v>327</v>
      </c>
      <c r="E1428" s="65" t="s">
        <v>301</v>
      </c>
      <c r="F1428" s="65" t="s">
        <v>40</v>
      </c>
      <c r="G1428" s="65"/>
      <c r="H1428" s="65"/>
      <c r="I1428" s="66">
        <v>-307904.67296</v>
      </c>
    </row>
    <row r="1429" spans="1:9" hidden="1">
      <c r="A1429" s="67" t="s">
        <v>295</v>
      </c>
      <c r="B1429" s="68">
        <v>2028</v>
      </c>
      <c r="C1429" s="68">
        <v>2023</v>
      </c>
      <c r="D1429" s="68" t="s">
        <v>327</v>
      </c>
      <c r="E1429" s="68" t="s">
        <v>305</v>
      </c>
      <c r="F1429" s="68" t="s">
        <v>40</v>
      </c>
      <c r="G1429" s="68"/>
      <c r="H1429" s="68"/>
      <c r="I1429" s="69">
        <v>-20781.219440000001</v>
      </c>
    </row>
    <row r="1430" spans="1:9" hidden="1">
      <c r="A1430" s="64" t="s">
        <v>295</v>
      </c>
      <c r="B1430" s="65">
        <v>2028</v>
      </c>
      <c r="C1430" s="65">
        <v>2023</v>
      </c>
      <c r="D1430" s="65" t="s">
        <v>328</v>
      </c>
      <c r="E1430" s="65" t="s">
        <v>294</v>
      </c>
      <c r="F1430" s="65" t="s">
        <v>40</v>
      </c>
      <c r="G1430" s="65"/>
      <c r="H1430" s="65"/>
      <c r="I1430" s="66">
        <v>33250.819269999993</v>
      </c>
    </row>
    <row r="1431" spans="1:9" hidden="1">
      <c r="A1431" s="67" t="s">
        <v>295</v>
      </c>
      <c r="B1431" s="68">
        <v>2028</v>
      </c>
      <c r="C1431" s="68">
        <v>2023</v>
      </c>
      <c r="D1431" s="68" t="s">
        <v>328</v>
      </c>
      <c r="E1431" s="68" t="s">
        <v>301</v>
      </c>
      <c r="F1431" s="68" t="s">
        <v>40</v>
      </c>
      <c r="G1431" s="68"/>
      <c r="H1431" s="68"/>
      <c r="I1431" s="69">
        <v>37320.497949999997</v>
      </c>
    </row>
    <row r="1432" spans="1:9" hidden="1">
      <c r="A1432" s="64" t="s">
        <v>295</v>
      </c>
      <c r="B1432" s="65">
        <v>2028</v>
      </c>
      <c r="C1432" s="65">
        <v>2023</v>
      </c>
      <c r="D1432" s="65" t="s">
        <v>328</v>
      </c>
      <c r="E1432" s="65" t="s">
        <v>305</v>
      </c>
      <c r="F1432" s="65" t="s">
        <v>40</v>
      </c>
      <c r="G1432" s="65"/>
      <c r="H1432" s="65"/>
      <c r="I1432" s="66">
        <v>-2346.9827399999999</v>
      </c>
    </row>
    <row r="1433" spans="1:9" hidden="1">
      <c r="A1433" s="67" t="s">
        <v>295</v>
      </c>
      <c r="B1433" s="68">
        <v>2028</v>
      </c>
      <c r="C1433" s="68">
        <v>2023</v>
      </c>
      <c r="D1433" s="68" t="s">
        <v>329</v>
      </c>
      <c r="E1433" s="68" t="s">
        <v>294</v>
      </c>
      <c r="F1433" s="68" t="s">
        <v>40</v>
      </c>
      <c r="G1433" s="68"/>
      <c r="H1433" s="68"/>
      <c r="I1433" s="69">
        <v>14523.89352</v>
      </c>
    </row>
    <row r="1434" spans="1:9" hidden="1">
      <c r="A1434" s="64" t="s">
        <v>295</v>
      </c>
      <c r="B1434" s="65">
        <v>2028</v>
      </c>
      <c r="C1434" s="65">
        <v>2023</v>
      </c>
      <c r="D1434" s="65" t="s">
        <v>329</v>
      </c>
      <c r="E1434" s="65" t="s">
        <v>301</v>
      </c>
      <c r="F1434" s="65" t="s">
        <v>40</v>
      </c>
      <c r="G1434" s="65"/>
      <c r="H1434" s="65"/>
      <c r="I1434" s="66">
        <v>15463.73299</v>
      </c>
    </row>
    <row r="1435" spans="1:9" hidden="1">
      <c r="A1435" s="67" t="s">
        <v>295</v>
      </c>
      <c r="B1435" s="68">
        <v>2028</v>
      </c>
      <c r="C1435" s="68">
        <v>2023</v>
      </c>
      <c r="D1435" s="68" t="s">
        <v>329</v>
      </c>
      <c r="E1435" s="68" t="s">
        <v>305</v>
      </c>
      <c r="F1435" s="68" t="s">
        <v>40</v>
      </c>
      <c r="G1435" s="68"/>
      <c r="H1435" s="68"/>
      <c r="I1435" s="69">
        <v>1469.59123</v>
      </c>
    </row>
    <row r="1436" spans="1:9" hidden="1">
      <c r="A1436" s="64" t="s">
        <v>295</v>
      </c>
      <c r="B1436" s="65">
        <v>2028</v>
      </c>
      <c r="C1436" s="65">
        <v>2023</v>
      </c>
      <c r="D1436" s="65" t="s">
        <v>330</v>
      </c>
      <c r="E1436" s="65" t="s">
        <v>294</v>
      </c>
      <c r="F1436" s="65" t="s">
        <v>40</v>
      </c>
      <c r="G1436" s="65"/>
      <c r="H1436" s="65"/>
      <c r="I1436" s="66">
        <v>14155.2816</v>
      </c>
    </row>
    <row r="1437" spans="1:9" hidden="1">
      <c r="A1437" s="67" t="s">
        <v>295</v>
      </c>
      <c r="B1437" s="68">
        <v>2028</v>
      </c>
      <c r="C1437" s="68">
        <v>2023</v>
      </c>
      <c r="D1437" s="68" t="s">
        <v>330</v>
      </c>
      <c r="E1437" s="68" t="s">
        <v>301</v>
      </c>
      <c r="F1437" s="68" t="s">
        <v>40</v>
      </c>
      <c r="G1437" s="68"/>
      <c r="H1437" s="68"/>
      <c r="I1437" s="69">
        <v>14602.28212</v>
      </c>
    </row>
    <row r="1438" spans="1:9" hidden="1">
      <c r="A1438" s="64" t="s">
        <v>295</v>
      </c>
      <c r="B1438" s="65">
        <v>2028</v>
      </c>
      <c r="C1438" s="65">
        <v>2023</v>
      </c>
      <c r="D1438" s="65" t="s">
        <v>330</v>
      </c>
      <c r="E1438" s="65" t="s">
        <v>305</v>
      </c>
      <c r="F1438" s="65" t="s">
        <v>40</v>
      </c>
      <c r="G1438" s="65"/>
      <c r="H1438" s="65"/>
      <c r="I1438" s="66">
        <v>767.88648000000001</v>
      </c>
    </row>
    <row r="1439" spans="1:9" hidden="1">
      <c r="A1439" s="67" t="s">
        <v>295</v>
      </c>
      <c r="B1439" s="68">
        <v>2028</v>
      </c>
      <c r="C1439" s="68">
        <v>2023</v>
      </c>
      <c r="D1439" s="68" t="s">
        <v>331</v>
      </c>
      <c r="E1439" s="68" t="s">
        <v>294</v>
      </c>
      <c r="F1439" s="68" t="s">
        <v>40</v>
      </c>
      <c r="G1439" s="68"/>
      <c r="H1439" s="68"/>
      <c r="I1439" s="69">
        <v>34294.519160000003</v>
      </c>
    </row>
    <row r="1440" spans="1:9" hidden="1">
      <c r="A1440" s="64" t="s">
        <v>295</v>
      </c>
      <c r="B1440" s="65">
        <v>2028</v>
      </c>
      <c r="C1440" s="65">
        <v>2023</v>
      </c>
      <c r="D1440" s="65" t="s">
        <v>331</v>
      </c>
      <c r="E1440" s="65" t="s">
        <v>301</v>
      </c>
      <c r="F1440" s="65" t="s">
        <v>40</v>
      </c>
      <c r="G1440" s="65"/>
      <c r="H1440" s="65"/>
      <c r="I1440" s="66">
        <v>35025.388169999998</v>
      </c>
    </row>
    <row r="1441" spans="1:9" hidden="1">
      <c r="A1441" s="67" t="s">
        <v>295</v>
      </c>
      <c r="B1441" s="68">
        <v>2028</v>
      </c>
      <c r="C1441" s="68">
        <v>2023</v>
      </c>
      <c r="D1441" s="68" t="s">
        <v>331</v>
      </c>
      <c r="E1441" s="68" t="s">
        <v>305</v>
      </c>
      <c r="F1441" s="68" t="s">
        <v>40</v>
      </c>
      <c r="G1441" s="68"/>
      <c r="H1441" s="68"/>
      <c r="I1441" s="69">
        <v>2808.3706699999998</v>
      </c>
    </row>
    <row r="1442" spans="1:9" hidden="1">
      <c r="A1442" s="64" t="s">
        <v>295</v>
      </c>
      <c r="B1442" s="65">
        <v>2028</v>
      </c>
      <c r="C1442" s="65">
        <v>2023</v>
      </c>
      <c r="D1442" s="65" t="s">
        <v>332</v>
      </c>
      <c r="E1442" s="65" t="s">
        <v>294</v>
      </c>
      <c r="F1442" s="65" t="s">
        <v>40</v>
      </c>
      <c r="G1442" s="65"/>
      <c r="H1442" s="65"/>
      <c r="I1442" s="66">
        <v>615.61942999999997</v>
      </c>
    </row>
    <row r="1443" spans="1:9" hidden="1">
      <c r="A1443" s="67" t="s">
        <v>295</v>
      </c>
      <c r="B1443" s="68">
        <v>2028</v>
      </c>
      <c r="C1443" s="68">
        <v>2023</v>
      </c>
      <c r="D1443" s="68" t="s">
        <v>332</v>
      </c>
      <c r="E1443" s="68" t="s">
        <v>301</v>
      </c>
      <c r="F1443" s="68" t="s">
        <v>40</v>
      </c>
      <c r="G1443" s="68"/>
      <c r="H1443" s="68"/>
      <c r="I1443" s="69">
        <v>532.71235999999999</v>
      </c>
    </row>
    <row r="1444" spans="1:9" hidden="1">
      <c r="A1444" s="64" t="s">
        <v>295</v>
      </c>
      <c r="B1444" s="65">
        <v>2028</v>
      </c>
      <c r="C1444" s="65">
        <v>2023</v>
      </c>
      <c r="D1444" s="65" t="s">
        <v>332</v>
      </c>
      <c r="E1444" s="65" t="s">
        <v>305</v>
      </c>
      <c r="F1444" s="65" t="s">
        <v>40</v>
      </c>
      <c r="G1444" s="65"/>
      <c r="H1444" s="65"/>
      <c r="I1444" s="66">
        <v>245.77402000000001</v>
      </c>
    </row>
    <row r="1445" spans="1:9" hidden="1">
      <c r="A1445" s="67" t="s">
        <v>295</v>
      </c>
      <c r="B1445" s="68">
        <v>2028</v>
      </c>
      <c r="C1445" s="68">
        <v>2023</v>
      </c>
      <c r="D1445" s="68" t="s">
        <v>333</v>
      </c>
      <c r="E1445" s="68" t="s">
        <v>294</v>
      </c>
      <c r="F1445" s="68" t="s">
        <v>40</v>
      </c>
      <c r="G1445" s="68"/>
      <c r="H1445" s="68"/>
      <c r="I1445" s="69">
        <v>-32418.75187</v>
      </c>
    </row>
    <row r="1446" spans="1:9" hidden="1">
      <c r="A1446" s="64" t="s">
        <v>295</v>
      </c>
      <c r="B1446" s="65">
        <v>2028</v>
      </c>
      <c r="C1446" s="65">
        <v>2023</v>
      </c>
      <c r="D1446" s="65" t="s">
        <v>333</v>
      </c>
      <c r="E1446" s="65" t="s">
        <v>301</v>
      </c>
      <c r="F1446" s="65" t="s">
        <v>40</v>
      </c>
      <c r="G1446" s="65"/>
      <c r="H1446" s="65"/>
      <c r="I1446" s="66">
        <v>-32205.36866</v>
      </c>
    </row>
    <row r="1447" spans="1:9" hidden="1">
      <c r="A1447" s="67" t="s">
        <v>295</v>
      </c>
      <c r="B1447" s="68">
        <v>2028</v>
      </c>
      <c r="C1447" s="68">
        <v>2023</v>
      </c>
      <c r="D1447" s="68" t="s">
        <v>333</v>
      </c>
      <c r="E1447" s="68" t="s">
        <v>305</v>
      </c>
      <c r="F1447" s="68" t="s">
        <v>40</v>
      </c>
      <c r="G1447" s="68"/>
      <c r="H1447" s="68"/>
      <c r="I1447" s="69">
        <v>-2345.8200000000002</v>
      </c>
    </row>
    <row r="1448" spans="1:9" hidden="1">
      <c r="A1448" s="64" t="s">
        <v>295</v>
      </c>
      <c r="B1448" s="65">
        <v>2028</v>
      </c>
      <c r="C1448" s="65">
        <v>2023</v>
      </c>
      <c r="D1448" s="65" t="s">
        <v>334</v>
      </c>
      <c r="E1448" s="65" t="s">
        <v>294</v>
      </c>
      <c r="F1448" s="65" t="s">
        <v>40</v>
      </c>
      <c r="G1448" s="65"/>
      <c r="H1448" s="65"/>
      <c r="I1448" s="66">
        <v>257.86367000000001</v>
      </c>
    </row>
    <row r="1449" spans="1:9" hidden="1">
      <c r="A1449" s="67" t="s">
        <v>295</v>
      </c>
      <c r="B1449" s="68">
        <v>2028</v>
      </c>
      <c r="C1449" s="68">
        <v>2023</v>
      </c>
      <c r="D1449" s="68" t="s">
        <v>334</v>
      </c>
      <c r="E1449" s="68" t="s">
        <v>301</v>
      </c>
      <c r="F1449" s="68" t="s">
        <v>40</v>
      </c>
      <c r="G1449" s="68"/>
      <c r="H1449" s="68"/>
      <c r="I1449" s="69">
        <v>257.86367000000001</v>
      </c>
    </row>
    <row r="1450" spans="1:9" hidden="1">
      <c r="A1450" s="64" t="s">
        <v>295</v>
      </c>
      <c r="B1450" s="65">
        <v>2028</v>
      </c>
      <c r="C1450" s="65">
        <v>2023</v>
      </c>
      <c r="D1450" s="65" t="s">
        <v>308</v>
      </c>
      <c r="E1450" s="65" t="s">
        <v>294</v>
      </c>
      <c r="F1450" s="65" t="s">
        <v>297</v>
      </c>
      <c r="G1450" s="65"/>
      <c r="H1450" s="65"/>
      <c r="I1450" s="66">
        <v>96955.959419999999</v>
      </c>
    </row>
    <row r="1451" spans="1:9" hidden="1">
      <c r="A1451" s="67" t="s">
        <v>295</v>
      </c>
      <c r="B1451" s="68">
        <v>2028</v>
      </c>
      <c r="C1451" s="68">
        <v>2023</v>
      </c>
      <c r="D1451" s="68" t="s">
        <v>308</v>
      </c>
      <c r="E1451" s="68" t="s">
        <v>294</v>
      </c>
      <c r="F1451" s="68" t="s">
        <v>298</v>
      </c>
      <c r="G1451" s="68"/>
      <c r="H1451" s="68"/>
      <c r="I1451" s="69">
        <v>261.24754000000001</v>
      </c>
    </row>
    <row r="1452" spans="1:9" hidden="1">
      <c r="A1452" s="64" t="s">
        <v>295</v>
      </c>
      <c r="B1452" s="65">
        <v>2028</v>
      </c>
      <c r="C1452" s="65">
        <v>2023</v>
      </c>
      <c r="D1452" s="65" t="s">
        <v>308</v>
      </c>
      <c r="E1452" s="65" t="s">
        <v>294</v>
      </c>
      <c r="F1452" s="65" t="s">
        <v>40</v>
      </c>
      <c r="G1452" s="65"/>
      <c r="H1452" s="65"/>
      <c r="I1452" s="66">
        <v>97217.206959999996</v>
      </c>
    </row>
    <row r="1453" spans="1:9" hidden="1">
      <c r="A1453" s="67" t="s">
        <v>295</v>
      </c>
      <c r="B1453" s="68">
        <v>2028</v>
      </c>
      <c r="C1453" s="68">
        <v>2023</v>
      </c>
      <c r="D1453" s="68" t="s">
        <v>308</v>
      </c>
      <c r="E1453" s="68" t="s">
        <v>301</v>
      </c>
      <c r="F1453" s="68" t="s">
        <v>297</v>
      </c>
      <c r="G1453" s="68"/>
      <c r="H1453" s="68"/>
      <c r="I1453" s="69">
        <v>97878.277170000001</v>
      </c>
    </row>
    <row r="1454" spans="1:9" hidden="1">
      <c r="A1454" s="64" t="s">
        <v>295</v>
      </c>
      <c r="B1454" s="65">
        <v>2028</v>
      </c>
      <c r="C1454" s="65">
        <v>2023</v>
      </c>
      <c r="D1454" s="65" t="s">
        <v>308</v>
      </c>
      <c r="E1454" s="65" t="s">
        <v>301</v>
      </c>
      <c r="F1454" s="65" t="s">
        <v>298</v>
      </c>
      <c r="G1454" s="65"/>
      <c r="H1454" s="65"/>
      <c r="I1454" s="66">
        <v>261.24754000000001</v>
      </c>
    </row>
    <row r="1455" spans="1:9" hidden="1">
      <c r="A1455" s="67" t="s">
        <v>295</v>
      </c>
      <c r="B1455" s="68">
        <v>2028</v>
      </c>
      <c r="C1455" s="68">
        <v>2023</v>
      </c>
      <c r="D1455" s="68" t="s">
        <v>308</v>
      </c>
      <c r="E1455" s="68" t="s">
        <v>301</v>
      </c>
      <c r="F1455" s="68" t="s">
        <v>40</v>
      </c>
      <c r="G1455" s="68"/>
      <c r="H1455" s="68"/>
      <c r="I1455" s="69">
        <v>98139.524709999998</v>
      </c>
    </row>
    <row r="1456" spans="1:9" hidden="1">
      <c r="A1456" s="64" t="s">
        <v>295</v>
      </c>
      <c r="B1456" s="65">
        <v>2028</v>
      </c>
      <c r="C1456" s="65">
        <v>2023</v>
      </c>
      <c r="D1456" s="65" t="s">
        <v>308</v>
      </c>
      <c r="E1456" s="65" t="s">
        <v>305</v>
      </c>
      <c r="F1456" s="65" t="s">
        <v>297</v>
      </c>
      <c r="G1456" s="65"/>
      <c r="H1456" s="65"/>
      <c r="I1456" s="66">
        <v>1589.2356500000001</v>
      </c>
    </row>
    <row r="1457" spans="1:9" hidden="1">
      <c r="A1457" s="67" t="s">
        <v>295</v>
      </c>
      <c r="B1457" s="68">
        <v>2028</v>
      </c>
      <c r="C1457" s="68">
        <v>2023</v>
      </c>
      <c r="D1457" s="68" t="s">
        <v>308</v>
      </c>
      <c r="E1457" s="68" t="s">
        <v>305</v>
      </c>
      <c r="F1457" s="68" t="s">
        <v>40</v>
      </c>
      <c r="G1457" s="68"/>
      <c r="H1457" s="68"/>
      <c r="I1457" s="69">
        <v>10597.13565</v>
      </c>
    </row>
    <row r="1458" spans="1:9" hidden="1">
      <c r="A1458" s="64" t="s">
        <v>295</v>
      </c>
      <c r="B1458" s="65">
        <v>2028</v>
      </c>
      <c r="C1458" s="65">
        <v>2023</v>
      </c>
      <c r="D1458" s="65" t="s">
        <v>310</v>
      </c>
      <c r="E1458" s="65" t="s">
        <v>294</v>
      </c>
      <c r="F1458" s="65" t="s">
        <v>297</v>
      </c>
      <c r="G1458" s="65"/>
      <c r="H1458" s="65"/>
      <c r="I1458" s="66">
        <v>126.7</v>
      </c>
    </row>
    <row r="1459" spans="1:9" hidden="1">
      <c r="A1459" s="67" t="s">
        <v>295</v>
      </c>
      <c r="B1459" s="68">
        <v>2028</v>
      </c>
      <c r="C1459" s="68">
        <v>2023</v>
      </c>
      <c r="D1459" s="68" t="s">
        <v>310</v>
      </c>
      <c r="E1459" s="68" t="s">
        <v>294</v>
      </c>
      <c r="F1459" s="68" t="s">
        <v>40</v>
      </c>
      <c r="G1459" s="68"/>
      <c r="H1459" s="68"/>
      <c r="I1459" s="69">
        <v>115649.6351743579</v>
      </c>
    </row>
    <row r="1460" spans="1:9" hidden="1">
      <c r="A1460" s="64" t="s">
        <v>295</v>
      </c>
      <c r="B1460" s="65">
        <v>2028</v>
      </c>
      <c r="C1460" s="65">
        <v>2023</v>
      </c>
      <c r="D1460" s="65" t="s">
        <v>310</v>
      </c>
      <c r="E1460" s="65" t="s">
        <v>301</v>
      </c>
      <c r="F1460" s="65" t="s">
        <v>297</v>
      </c>
      <c r="G1460" s="65"/>
      <c r="H1460" s="65"/>
      <c r="I1460" s="66">
        <v>126.7</v>
      </c>
    </row>
    <row r="1461" spans="1:9" hidden="1">
      <c r="A1461" s="67" t="s">
        <v>295</v>
      </c>
      <c r="B1461" s="68">
        <v>2028</v>
      </c>
      <c r="C1461" s="68">
        <v>2023</v>
      </c>
      <c r="D1461" s="68" t="s">
        <v>310</v>
      </c>
      <c r="E1461" s="68" t="s">
        <v>301</v>
      </c>
      <c r="F1461" s="68" t="s">
        <v>40</v>
      </c>
      <c r="G1461" s="68"/>
      <c r="H1461" s="68"/>
      <c r="I1461" s="69">
        <v>120629.25907435791</v>
      </c>
    </row>
    <row r="1462" spans="1:9" hidden="1">
      <c r="A1462" s="64" t="s">
        <v>295</v>
      </c>
      <c r="B1462" s="65">
        <v>2028</v>
      </c>
      <c r="C1462" s="65">
        <v>2023</v>
      </c>
      <c r="D1462" s="65" t="s">
        <v>310</v>
      </c>
      <c r="E1462" s="65" t="s">
        <v>305</v>
      </c>
      <c r="F1462" s="65" t="s">
        <v>40</v>
      </c>
      <c r="G1462" s="65"/>
      <c r="H1462" s="65"/>
      <c r="I1462" s="66">
        <v>994.21641000000011</v>
      </c>
    </row>
    <row r="1463" spans="1:9" hidden="1">
      <c r="A1463" s="67" t="s">
        <v>295</v>
      </c>
      <c r="B1463" s="68">
        <v>2028</v>
      </c>
      <c r="C1463" s="68">
        <v>2023</v>
      </c>
      <c r="D1463" s="68" t="s">
        <v>311</v>
      </c>
      <c r="E1463" s="68" t="s">
        <v>294</v>
      </c>
      <c r="F1463" s="68" t="s">
        <v>297</v>
      </c>
      <c r="G1463" s="68"/>
      <c r="H1463" s="68"/>
      <c r="I1463" s="69">
        <v>620.70000000000005</v>
      </c>
    </row>
    <row r="1464" spans="1:9" hidden="1">
      <c r="A1464" s="64" t="s">
        <v>295</v>
      </c>
      <c r="B1464" s="65">
        <v>2028</v>
      </c>
      <c r="C1464" s="65">
        <v>2023</v>
      </c>
      <c r="D1464" s="65" t="s">
        <v>311</v>
      </c>
      <c r="E1464" s="65" t="s">
        <v>294</v>
      </c>
      <c r="F1464" s="65" t="s">
        <v>40</v>
      </c>
      <c r="G1464" s="65"/>
      <c r="H1464" s="65"/>
      <c r="I1464" s="66">
        <v>138022.24986953189</v>
      </c>
    </row>
    <row r="1465" spans="1:9" hidden="1">
      <c r="A1465" s="67" t="s">
        <v>295</v>
      </c>
      <c r="B1465" s="68">
        <v>2028</v>
      </c>
      <c r="C1465" s="68">
        <v>2023</v>
      </c>
      <c r="D1465" s="68" t="s">
        <v>311</v>
      </c>
      <c r="E1465" s="68" t="s">
        <v>301</v>
      </c>
      <c r="F1465" s="68" t="s">
        <v>297</v>
      </c>
      <c r="G1465" s="68"/>
      <c r="H1465" s="68"/>
      <c r="I1465" s="69">
        <v>620.70000000000005</v>
      </c>
    </row>
    <row r="1466" spans="1:9" hidden="1">
      <c r="A1466" s="64" t="s">
        <v>295</v>
      </c>
      <c r="B1466" s="65">
        <v>2028</v>
      </c>
      <c r="C1466" s="65">
        <v>2023</v>
      </c>
      <c r="D1466" s="65" t="s">
        <v>311</v>
      </c>
      <c r="E1466" s="65" t="s">
        <v>301</v>
      </c>
      <c r="F1466" s="65" t="s">
        <v>40</v>
      </c>
      <c r="G1466" s="65"/>
      <c r="H1466" s="65"/>
      <c r="I1466" s="66">
        <v>139441.24651953191</v>
      </c>
    </row>
    <row r="1467" spans="1:9" hidden="1">
      <c r="A1467" s="67" t="s">
        <v>295</v>
      </c>
      <c r="B1467" s="68">
        <v>2028</v>
      </c>
      <c r="C1467" s="68">
        <v>2023</v>
      </c>
      <c r="D1467" s="68" t="s">
        <v>311</v>
      </c>
      <c r="E1467" s="68" t="s">
        <v>305</v>
      </c>
      <c r="F1467" s="68" t="s">
        <v>40</v>
      </c>
      <c r="G1467" s="68"/>
      <c r="H1467" s="68"/>
      <c r="I1467" s="69">
        <v>726</v>
      </c>
    </row>
    <row r="1468" spans="1:9" hidden="1">
      <c r="A1468" s="64" t="s">
        <v>295</v>
      </c>
      <c r="B1468" s="65">
        <v>2028</v>
      </c>
      <c r="C1468" s="65">
        <v>2023</v>
      </c>
      <c r="D1468" s="65" t="s">
        <v>312</v>
      </c>
      <c r="E1468" s="65" t="s">
        <v>294</v>
      </c>
      <c r="F1468" s="65" t="s">
        <v>297</v>
      </c>
      <c r="G1468" s="65"/>
      <c r="H1468" s="65"/>
      <c r="I1468" s="66">
        <v>738.15174999999999</v>
      </c>
    </row>
    <row r="1469" spans="1:9" hidden="1">
      <c r="A1469" s="67" t="s">
        <v>295</v>
      </c>
      <c r="B1469" s="68">
        <v>2028</v>
      </c>
      <c r="C1469" s="68">
        <v>2023</v>
      </c>
      <c r="D1469" s="68" t="s">
        <v>312</v>
      </c>
      <c r="E1469" s="68" t="s">
        <v>294</v>
      </c>
      <c r="F1469" s="68" t="s">
        <v>40</v>
      </c>
      <c r="G1469" s="68"/>
      <c r="H1469" s="68"/>
      <c r="I1469" s="69">
        <v>882.05174999999997</v>
      </c>
    </row>
    <row r="1470" spans="1:9" hidden="1">
      <c r="A1470" s="64" t="s">
        <v>295</v>
      </c>
      <c r="B1470" s="65">
        <v>2028</v>
      </c>
      <c r="C1470" s="65">
        <v>2023</v>
      </c>
      <c r="D1470" s="65" t="s">
        <v>312</v>
      </c>
      <c r="E1470" s="65" t="s">
        <v>301</v>
      </c>
      <c r="F1470" s="65" t="s">
        <v>297</v>
      </c>
      <c r="G1470" s="65"/>
      <c r="H1470" s="65"/>
      <c r="I1470" s="66">
        <v>738.85328000000004</v>
      </c>
    </row>
    <row r="1471" spans="1:9" hidden="1">
      <c r="A1471" s="67" t="s">
        <v>295</v>
      </c>
      <c r="B1471" s="68">
        <v>2028</v>
      </c>
      <c r="C1471" s="68">
        <v>2023</v>
      </c>
      <c r="D1471" s="68" t="s">
        <v>312</v>
      </c>
      <c r="E1471" s="68" t="s">
        <v>301</v>
      </c>
      <c r="F1471" s="68" t="s">
        <v>40</v>
      </c>
      <c r="G1471" s="68"/>
      <c r="H1471" s="68"/>
      <c r="I1471" s="69">
        <v>882.75328000000002</v>
      </c>
    </row>
    <row r="1472" spans="1:9" hidden="1">
      <c r="A1472" s="64" t="s">
        <v>295</v>
      </c>
      <c r="B1472" s="65">
        <v>2028</v>
      </c>
      <c r="C1472" s="65">
        <v>2023</v>
      </c>
      <c r="D1472" s="65" t="s">
        <v>313</v>
      </c>
      <c r="E1472" s="65" t="s">
        <v>294</v>
      </c>
      <c r="F1472" s="65" t="s">
        <v>297</v>
      </c>
      <c r="G1472" s="65"/>
      <c r="H1472" s="65"/>
      <c r="I1472" s="66">
        <v>1825511.08574</v>
      </c>
    </row>
    <row r="1473" spans="1:9" hidden="1">
      <c r="A1473" s="67" t="s">
        <v>295</v>
      </c>
      <c r="B1473" s="68">
        <v>2028</v>
      </c>
      <c r="C1473" s="68">
        <v>2023</v>
      </c>
      <c r="D1473" s="68" t="s">
        <v>313</v>
      </c>
      <c r="E1473" s="68" t="s">
        <v>294</v>
      </c>
      <c r="F1473" s="68" t="s">
        <v>298</v>
      </c>
      <c r="G1473" s="68"/>
      <c r="H1473" s="68"/>
      <c r="I1473" s="69">
        <v>944288.03203</v>
      </c>
    </row>
    <row r="1474" spans="1:9" hidden="1">
      <c r="A1474" s="64" t="s">
        <v>295</v>
      </c>
      <c r="B1474" s="65">
        <v>2028</v>
      </c>
      <c r="C1474" s="65">
        <v>2023</v>
      </c>
      <c r="D1474" s="65" t="s">
        <v>313</v>
      </c>
      <c r="E1474" s="65" t="s">
        <v>294</v>
      </c>
      <c r="F1474" s="65" t="s">
        <v>40</v>
      </c>
      <c r="G1474" s="65"/>
      <c r="H1474" s="65"/>
      <c r="I1474" s="66">
        <v>2786415.4423000002</v>
      </c>
    </row>
    <row r="1475" spans="1:9" hidden="1">
      <c r="A1475" s="67" t="s">
        <v>295</v>
      </c>
      <c r="B1475" s="68">
        <v>2028</v>
      </c>
      <c r="C1475" s="68">
        <v>2023</v>
      </c>
      <c r="D1475" s="68" t="s">
        <v>313</v>
      </c>
      <c r="E1475" s="68" t="s">
        <v>301</v>
      </c>
      <c r="F1475" s="68" t="s">
        <v>297</v>
      </c>
      <c r="G1475" s="68"/>
      <c r="H1475" s="68"/>
      <c r="I1475" s="69">
        <v>1924149.88668</v>
      </c>
    </row>
    <row r="1476" spans="1:9" hidden="1">
      <c r="A1476" s="64" t="s">
        <v>295</v>
      </c>
      <c r="B1476" s="65">
        <v>2028</v>
      </c>
      <c r="C1476" s="65">
        <v>2023</v>
      </c>
      <c r="D1476" s="65" t="s">
        <v>313</v>
      </c>
      <c r="E1476" s="65" t="s">
        <v>301</v>
      </c>
      <c r="F1476" s="65" t="s">
        <v>298</v>
      </c>
      <c r="G1476" s="65"/>
      <c r="H1476" s="65"/>
      <c r="I1476" s="66">
        <v>1018618.43106</v>
      </c>
    </row>
    <row r="1477" spans="1:9" hidden="1">
      <c r="A1477" s="67" t="s">
        <v>295</v>
      </c>
      <c r="B1477" s="68">
        <v>2028</v>
      </c>
      <c r="C1477" s="68">
        <v>2023</v>
      </c>
      <c r="D1477" s="68" t="s">
        <v>313</v>
      </c>
      <c r="E1477" s="68" t="s">
        <v>301</v>
      </c>
      <c r="F1477" s="68" t="s">
        <v>40</v>
      </c>
      <c r="G1477" s="68"/>
      <c r="H1477" s="68"/>
      <c r="I1477" s="69">
        <v>2960618.2412399999</v>
      </c>
    </row>
    <row r="1478" spans="1:9" hidden="1">
      <c r="A1478" s="64" t="s">
        <v>295</v>
      </c>
      <c r="B1478" s="65">
        <v>2028</v>
      </c>
      <c r="C1478" s="65">
        <v>2023</v>
      </c>
      <c r="D1478" s="65" t="s">
        <v>313</v>
      </c>
      <c r="E1478" s="65" t="s">
        <v>305</v>
      </c>
      <c r="F1478" s="65" t="s">
        <v>297</v>
      </c>
      <c r="G1478" s="65"/>
      <c r="H1478" s="65"/>
      <c r="I1478" s="66">
        <v>15572.981089999999</v>
      </c>
    </row>
    <row r="1479" spans="1:9" hidden="1">
      <c r="A1479" s="67" t="s">
        <v>295</v>
      </c>
      <c r="B1479" s="68">
        <v>2028</v>
      </c>
      <c r="C1479" s="68">
        <v>2023</v>
      </c>
      <c r="D1479" s="68" t="s">
        <v>313</v>
      </c>
      <c r="E1479" s="68" t="s">
        <v>305</v>
      </c>
      <c r="F1479" s="68" t="s">
        <v>298</v>
      </c>
      <c r="G1479" s="68"/>
      <c r="H1479" s="68"/>
      <c r="I1479" s="69">
        <v>9220.2180200000003</v>
      </c>
    </row>
    <row r="1480" spans="1:9" hidden="1">
      <c r="A1480" s="64" t="s">
        <v>295</v>
      </c>
      <c r="B1480" s="65">
        <v>2028</v>
      </c>
      <c r="C1480" s="65">
        <v>2023</v>
      </c>
      <c r="D1480" s="65" t="s">
        <v>313</v>
      </c>
      <c r="E1480" s="65" t="s">
        <v>305</v>
      </c>
      <c r="F1480" s="65" t="s">
        <v>40</v>
      </c>
      <c r="G1480" s="65"/>
      <c r="H1480" s="65"/>
      <c r="I1480" s="66">
        <v>193398.36911999999</v>
      </c>
    </row>
    <row r="1481" spans="1:9" hidden="1">
      <c r="A1481" s="67" t="s">
        <v>295</v>
      </c>
      <c r="B1481" s="68">
        <v>2028</v>
      </c>
      <c r="C1481" s="68">
        <v>2023</v>
      </c>
      <c r="D1481" s="68" t="s">
        <v>314</v>
      </c>
      <c r="E1481" s="68" t="s">
        <v>294</v>
      </c>
      <c r="F1481" s="68" t="s">
        <v>297</v>
      </c>
      <c r="G1481" s="68"/>
      <c r="H1481" s="68"/>
      <c r="I1481" s="69">
        <v>1825511.1857400001</v>
      </c>
    </row>
    <row r="1482" spans="1:9" hidden="1">
      <c r="A1482" s="64" t="s">
        <v>295</v>
      </c>
      <c r="B1482" s="65">
        <v>2028</v>
      </c>
      <c r="C1482" s="65">
        <v>2023</v>
      </c>
      <c r="D1482" s="65" t="s">
        <v>314</v>
      </c>
      <c r="E1482" s="65" t="s">
        <v>294</v>
      </c>
      <c r="F1482" s="65" t="s">
        <v>298</v>
      </c>
      <c r="G1482" s="65"/>
      <c r="H1482" s="65"/>
      <c r="I1482" s="66">
        <v>944288.13202999998</v>
      </c>
    </row>
    <row r="1483" spans="1:9" hidden="1">
      <c r="A1483" s="67" t="s">
        <v>295</v>
      </c>
      <c r="B1483" s="68">
        <v>2028</v>
      </c>
      <c r="C1483" s="68">
        <v>2023</v>
      </c>
      <c r="D1483" s="68" t="s">
        <v>314</v>
      </c>
      <c r="E1483" s="68" t="s">
        <v>294</v>
      </c>
      <c r="F1483" s="68" t="s">
        <v>40</v>
      </c>
      <c r="G1483" s="68"/>
      <c r="H1483" s="68"/>
      <c r="I1483" s="69">
        <v>2531277.2022099998</v>
      </c>
    </row>
    <row r="1484" spans="1:9" hidden="1">
      <c r="A1484" s="64" t="s">
        <v>295</v>
      </c>
      <c r="B1484" s="65">
        <v>2028</v>
      </c>
      <c r="C1484" s="65">
        <v>2023</v>
      </c>
      <c r="D1484" s="65" t="s">
        <v>314</v>
      </c>
      <c r="E1484" s="65" t="s">
        <v>301</v>
      </c>
      <c r="F1484" s="65" t="s">
        <v>297</v>
      </c>
      <c r="G1484" s="65"/>
      <c r="H1484" s="65"/>
      <c r="I1484" s="66">
        <v>1924149.9866800001</v>
      </c>
    </row>
    <row r="1485" spans="1:9" hidden="1">
      <c r="A1485" s="67" t="s">
        <v>295</v>
      </c>
      <c r="B1485" s="68">
        <v>2028</v>
      </c>
      <c r="C1485" s="68">
        <v>2023</v>
      </c>
      <c r="D1485" s="68" t="s">
        <v>314</v>
      </c>
      <c r="E1485" s="68" t="s">
        <v>301</v>
      </c>
      <c r="F1485" s="68" t="s">
        <v>298</v>
      </c>
      <c r="G1485" s="68"/>
      <c r="H1485" s="68"/>
      <c r="I1485" s="69">
        <v>1018618.53106</v>
      </c>
    </row>
    <row r="1486" spans="1:9" hidden="1">
      <c r="A1486" s="64" t="s">
        <v>295</v>
      </c>
      <c r="B1486" s="65">
        <v>2028</v>
      </c>
      <c r="C1486" s="65">
        <v>2023</v>
      </c>
      <c r="D1486" s="65" t="s">
        <v>314</v>
      </c>
      <c r="E1486" s="65" t="s">
        <v>301</v>
      </c>
      <c r="F1486" s="65" t="s">
        <v>40</v>
      </c>
      <c r="G1486" s="65"/>
      <c r="H1486" s="65"/>
      <c r="I1486" s="66">
        <v>2723702.4225300001</v>
      </c>
    </row>
    <row r="1487" spans="1:9" hidden="1">
      <c r="A1487" s="67" t="s">
        <v>295</v>
      </c>
      <c r="B1487" s="68">
        <v>2028</v>
      </c>
      <c r="C1487" s="68">
        <v>2023</v>
      </c>
      <c r="D1487" s="68" t="s">
        <v>314</v>
      </c>
      <c r="E1487" s="68" t="s">
        <v>305</v>
      </c>
      <c r="F1487" s="68" t="s">
        <v>297</v>
      </c>
      <c r="G1487" s="68"/>
      <c r="H1487" s="68"/>
      <c r="I1487" s="69">
        <v>15572.981089999999</v>
      </c>
    </row>
    <row r="1488" spans="1:9" hidden="1">
      <c r="A1488" s="64" t="s">
        <v>295</v>
      </c>
      <c r="B1488" s="65">
        <v>2028</v>
      </c>
      <c r="C1488" s="65">
        <v>2023</v>
      </c>
      <c r="D1488" s="65" t="s">
        <v>314</v>
      </c>
      <c r="E1488" s="65" t="s">
        <v>305</v>
      </c>
      <c r="F1488" s="65" t="s">
        <v>298</v>
      </c>
      <c r="G1488" s="65"/>
      <c r="H1488" s="65"/>
      <c r="I1488" s="66">
        <v>9220.2180200000003</v>
      </c>
    </row>
    <row r="1489" spans="1:9" hidden="1">
      <c r="A1489" s="67" t="s">
        <v>295</v>
      </c>
      <c r="B1489" s="68">
        <v>2028</v>
      </c>
      <c r="C1489" s="68">
        <v>2023</v>
      </c>
      <c r="D1489" s="68" t="s">
        <v>314</v>
      </c>
      <c r="E1489" s="68" t="s">
        <v>305</v>
      </c>
      <c r="F1489" s="68" t="s">
        <v>40</v>
      </c>
      <c r="G1489" s="68"/>
      <c r="H1489" s="68"/>
      <c r="I1489" s="69">
        <v>173519.94935000001</v>
      </c>
    </row>
    <row r="1490" spans="1:9" hidden="1">
      <c r="A1490" s="64" t="s">
        <v>295</v>
      </c>
      <c r="B1490" s="65">
        <v>2029</v>
      </c>
      <c r="C1490" s="65">
        <v>2023</v>
      </c>
      <c r="D1490" s="65" t="s">
        <v>296</v>
      </c>
      <c r="E1490" s="65" t="s">
        <v>294</v>
      </c>
      <c r="F1490" s="65" t="s">
        <v>297</v>
      </c>
      <c r="G1490" s="65"/>
      <c r="H1490" s="65"/>
      <c r="I1490" s="66">
        <v>1252493.11534</v>
      </c>
    </row>
    <row r="1491" spans="1:9" hidden="1">
      <c r="A1491" s="67" t="s">
        <v>295</v>
      </c>
      <c r="B1491" s="68">
        <v>2029</v>
      </c>
      <c r="C1491" s="68">
        <v>2023</v>
      </c>
      <c r="D1491" s="68" t="s">
        <v>296</v>
      </c>
      <c r="E1491" s="68" t="s">
        <v>294</v>
      </c>
      <c r="F1491" s="68" t="s">
        <v>298</v>
      </c>
      <c r="G1491" s="68"/>
      <c r="H1491" s="68"/>
      <c r="I1491" s="69">
        <v>675414.62277000002</v>
      </c>
    </row>
    <row r="1492" spans="1:9" hidden="1">
      <c r="A1492" s="64" t="s">
        <v>295</v>
      </c>
      <c r="B1492" s="65">
        <v>2029</v>
      </c>
      <c r="C1492" s="65">
        <v>2023</v>
      </c>
      <c r="D1492" s="65" t="s">
        <v>296</v>
      </c>
      <c r="E1492" s="65" t="s">
        <v>294</v>
      </c>
      <c r="F1492" s="65" t="s">
        <v>40</v>
      </c>
      <c r="G1492" s="65"/>
      <c r="H1492" s="65"/>
      <c r="I1492" s="66">
        <v>1944873.1497599999</v>
      </c>
    </row>
    <row r="1493" spans="1:9" hidden="1">
      <c r="A1493" s="67" t="s">
        <v>295</v>
      </c>
      <c r="B1493" s="68">
        <v>2029</v>
      </c>
      <c r="C1493" s="68">
        <v>2023</v>
      </c>
      <c r="D1493" s="68" t="s">
        <v>296</v>
      </c>
      <c r="E1493" s="68" t="s">
        <v>301</v>
      </c>
      <c r="F1493" s="68" t="s">
        <v>297</v>
      </c>
      <c r="G1493" s="68"/>
      <c r="H1493" s="68"/>
      <c r="I1493" s="69">
        <v>1350336.93032</v>
      </c>
    </row>
    <row r="1494" spans="1:9" hidden="1">
      <c r="A1494" s="64" t="s">
        <v>295</v>
      </c>
      <c r="B1494" s="65">
        <v>2029</v>
      </c>
      <c r="C1494" s="65">
        <v>2023</v>
      </c>
      <c r="D1494" s="65" t="s">
        <v>296</v>
      </c>
      <c r="E1494" s="65" t="s">
        <v>301</v>
      </c>
      <c r="F1494" s="65" t="s">
        <v>298</v>
      </c>
      <c r="G1494" s="65"/>
      <c r="H1494" s="65"/>
      <c r="I1494" s="66">
        <v>749510.26072999998</v>
      </c>
    </row>
    <row r="1495" spans="1:9" hidden="1">
      <c r="A1495" s="67" t="s">
        <v>295</v>
      </c>
      <c r="B1495" s="68">
        <v>2029</v>
      </c>
      <c r="C1495" s="68">
        <v>2023</v>
      </c>
      <c r="D1495" s="68" t="s">
        <v>296</v>
      </c>
      <c r="E1495" s="68" t="s">
        <v>301</v>
      </c>
      <c r="F1495" s="68" t="s">
        <v>40</v>
      </c>
      <c r="G1495" s="68"/>
      <c r="H1495" s="68"/>
      <c r="I1495" s="69">
        <v>2118104.4899900001</v>
      </c>
    </row>
    <row r="1496" spans="1:9" hidden="1">
      <c r="A1496" s="64" t="s">
        <v>295</v>
      </c>
      <c r="B1496" s="65">
        <v>2029</v>
      </c>
      <c r="C1496" s="65">
        <v>2023</v>
      </c>
      <c r="D1496" s="65" t="s">
        <v>296</v>
      </c>
      <c r="E1496" s="65" t="s">
        <v>305</v>
      </c>
      <c r="F1496" s="65" t="s">
        <v>297</v>
      </c>
      <c r="G1496" s="65"/>
      <c r="H1496" s="65"/>
      <c r="I1496" s="66">
        <v>10963.6363</v>
      </c>
    </row>
    <row r="1497" spans="1:9" hidden="1">
      <c r="A1497" s="67" t="s">
        <v>295</v>
      </c>
      <c r="B1497" s="68">
        <v>2029</v>
      </c>
      <c r="C1497" s="68">
        <v>2023</v>
      </c>
      <c r="D1497" s="68" t="s">
        <v>296</v>
      </c>
      <c r="E1497" s="68" t="s">
        <v>305</v>
      </c>
      <c r="F1497" s="68" t="s">
        <v>298</v>
      </c>
      <c r="G1497" s="68"/>
      <c r="H1497" s="68"/>
      <c r="I1497" s="69">
        <v>8503.9827100000002</v>
      </c>
    </row>
    <row r="1498" spans="1:9" hidden="1">
      <c r="A1498" s="64" t="s">
        <v>295</v>
      </c>
      <c r="B1498" s="65">
        <v>2029</v>
      </c>
      <c r="C1498" s="65">
        <v>2023</v>
      </c>
      <c r="D1498" s="65" t="s">
        <v>296</v>
      </c>
      <c r="E1498" s="65" t="s">
        <v>305</v>
      </c>
      <c r="F1498" s="65" t="s">
        <v>40</v>
      </c>
      <c r="G1498" s="65"/>
      <c r="H1498" s="65"/>
      <c r="I1498" s="66">
        <v>138172.80462000001</v>
      </c>
    </row>
    <row r="1499" spans="1:9" hidden="1">
      <c r="A1499" s="67" t="s">
        <v>295</v>
      </c>
      <c r="B1499" s="68">
        <v>2029</v>
      </c>
      <c r="C1499" s="68">
        <v>2023</v>
      </c>
      <c r="D1499" s="68" t="s">
        <v>309</v>
      </c>
      <c r="E1499" s="68" t="s">
        <v>294</v>
      </c>
      <c r="F1499" s="68" t="s">
        <v>297</v>
      </c>
      <c r="G1499" s="68"/>
      <c r="H1499" s="68"/>
      <c r="I1499" s="69">
        <v>53019.807560000001</v>
      </c>
    </row>
    <row r="1500" spans="1:9" hidden="1">
      <c r="A1500" s="64" t="s">
        <v>295</v>
      </c>
      <c r="B1500" s="65">
        <v>2029</v>
      </c>
      <c r="C1500" s="65">
        <v>2023</v>
      </c>
      <c r="D1500" s="65" t="s">
        <v>309</v>
      </c>
      <c r="E1500" s="65" t="s">
        <v>294</v>
      </c>
      <c r="F1500" s="65" t="s">
        <v>298</v>
      </c>
      <c r="G1500" s="65"/>
      <c r="H1500" s="65"/>
      <c r="I1500" s="66">
        <v>421766.71273000003</v>
      </c>
    </row>
    <row r="1501" spans="1:9" hidden="1">
      <c r="A1501" s="67" t="s">
        <v>295</v>
      </c>
      <c r="B1501" s="68">
        <v>2029</v>
      </c>
      <c r="C1501" s="68">
        <v>2023</v>
      </c>
      <c r="D1501" s="68" t="s">
        <v>309</v>
      </c>
      <c r="E1501" s="68" t="s">
        <v>294</v>
      </c>
      <c r="F1501" s="68" t="s">
        <v>40</v>
      </c>
      <c r="G1501" s="68"/>
      <c r="H1501" s="68"/>
      <c r="I1501" s="69">
        <v>474786.34032999998</v>
      </c>
    </row>
    <row r="1502" spans="1:9" hidden="1">
      <c r="A1502" s="64" t="s">
        <v>295</v>
      </c>
      <c r="B1502" s="65">
        <v>2029</v>
      </c>
      <c r="C1502" s="65">
        <v>2023</v>
      </c>
      <c r="D1502" s="65" t="s">
        <v>309</v>
      </c>
      <c r="E1502" s="65" t="s">
        <v>301</v>
      </c>
      <c r="F1502" s="65" t="s">
        <v>297</v>
      </c>
      <c r="G1502" s="65"/>
      <c r="H1502" s="65"/>
      <c r="I1502" s="66">
        <v>57386.234689999997</v>
      </c>
    </row>
    <row r="1503" spans="1:9" hidden="1">
      <c r="A1503" s="67" t="s">
        <v>295</v>
      </c>
      <c r="B1503" s="68">
        <v>2029</v>
      </c>
      <c r="C1503" s="68">
        <v>2023</v>
      </c>
      <c r="D1503" s="68" t="s">
        <v>309</v>
      </c>
      <c r="E1503" s="68" t="s">
        <v>301</v>
      </c>
      <c r="F1503" s="68" t="s">
        <v>298</v>
      </c>
      <c r="G1503" s="68"/>
      <c r="H1503" s="68"/>
      <c r="I1503" s="69">
        <v>473069.28564999998</v>
      </c>
    </row>
    <row r="1504" spans="1:9" hidden="1">
      <c r="A1504" s="64" t="s">
        <v>295</v>
      </c>
      <c r="B1504" s="65">
        <v>2029</v>
      </c>
      <c r="C1504" s="65">
        <v>2023</v>
      </c>
      <c r="D1504" s="65" t="s">
        <v>309</v>
      </c>
      <c r="E1504" s="65" t="s">
        <v>301</v>
      </c>
      <c r="F1504" s="65" t="s">
        <v>40</v>
      </c>
      <c r="G1504" s="65"/>
      <c r="H1504" s="65"/>
      <c r="I1504" s="66">
        <v>530455.28032999998</v>
      </c>
    </row>
    <row r="1505" spans="1:9" hidden="1">
      <c r="A1505" s="67" t="s">
        <v>295</v>
      </c>
      <c r="B1505" s="68">
        <v>2029</v>
      </c>
      <c r="C1505" s="68">
        <v>2023</v>
      </c>
      <c r="D1505" s="68" t="s">
        <v>309</v>
      </c>
      <c r="E1505" s="68" t="s">
        <v>305</v>
      </c>
      <c r="F1505" s="68" t="s">
        <v>297</v>
      </c>
      <c r="G1505" s="68"/>
      <c r="H1505" s="68"/>
      <c r="I1505" s="69">
        <v>115.26904</v>
      </c>
    </row>
    <row r="1506" spans="1:9" hidden="1">
      <c r="A1506" s="64" t="s">
        <v>295</v>
      </c>
      <c r="B1506" s="65">
        <v>2029</v>
      </c>
      <c r="C1506" s="65">
        <v>2023</v>
      </c>
      <c r="D1506" s="65" t="s">
        <v>309</v>
      </c>
      <c r="E1506" s="65" t="s">
        <v>305</v>
      </c>
      <c r="F1506" s="65" t="s">
        <v>298</v>
      </c>
      <c r="G1506" s="65"/>
      <c r="H1506" s="65"/>
      <c r="I1506" s="66">
        <v>7067.5827099999997</v>
      </c>
    </row>
    <row r="1507" spans="1:9" hidden="1">
      <c r="A1507" s="67" t="s">
        <v>295</v>
      </c>
      <c r="B1507" s="68">
        <v>2029</v>
      </c>
      <c r="C1507" s="68">
        <v>2023</v>
      </c>
      <c r="D1507" s="68" t="s">
        <v>309</v>
      </c>
      <c r="E1507" s="68" t="s">
        <v>305</v>
      </c>
      <c r="F1507" s="68" t="s">
        <v>40</v>
      </c>
      <c r="G1507" s="68"/>
      <c r="H1507" s="68"/>
      <c r="I1507" s="69">
        <v>48156.351750000002</v>
      </c>
    </row>
    <row r="1508" spans="1:9" hidden="1">
      <c r="A1508" s="64" t="s">
        <v>295</v>
      </c>
      <c r="B1508" s="65">
        <v>2029</v>
      </c>
      <c r="C1508" s="65">
        <v>2023</v>
      </c>
      <c r="D1508" s="65" t="s">
        <v>315</v>
      </c>
      <c r="E1508" s="65" t="s">
        <v>294</v>
      </c>
      <c r="F1508" s="65" t="s">
        <v>297</v>
      </c>
      <c r="G1508" s="65"/>
      <c r="H1508" s="65"/>
      <c r="I1508" s="66">
        <v>104781.37377999999</v>
      </c>
    </row>
    <row r="1509" spans="1:9" hidden="1">
      <c r="A1509" s="67" t="s">
        <v>295</v>
      </c>
      <c r="B1509" s="68">
        <v>2029</v>
      </c>
      <c r="C1509" s="68">
        <v>2023</v>
      </c>
      <c r="D1509" s="68" t="s">
        <v>315</v>
      </c>
      <c r="E1509" s="68" t="s">
        <v>294</v>
      </c>
      <c r="F1509" s="68" t="s">
        <v>298</v>
      </c>
      <c r="G1509" s="68"/>
      <c r="H1509" s="68"/>
      <c r="I1509" s="69">
        <v>233545.80522000001</v>
      </c>
    </row>
    <row r="1510" spans="1:9" hidden="1">
      <c r="A1510" s="64" t="s">
        <v>295</v>
      </c>
      <c r="B1510" s="65">
        <v>2029</v>
      </c>
      <c r="C1510" s="65">
        <v>2023</v>
      </c>
      <c r="D1510" s="65" t="s">
        <v>315</v>
      </c>
      <c r="E1510" s="65" t="s">
        <v>294</v>
      </c>
      <c r="F1510" s="65" t="s">
        <v>40</v>
      </c>
      <c r="G1510" s="65"/>
      <c r="H1510" s="65"/>
      <c r="I1510" s="66">
        <v>338326.97899999999</v>
      </c>
    </row>
    <row r="1511" spans="1:9" hidden="1">
      <c r="A1511" s="67" t="s">
        <v>295</v>
      </c>
      <c r="B1511" s="68">
        <v>2029</v>
      </c>
      <c r="C1511" s="68">
        <v>2023</v>
      </c>
      <c r="D1511" s="68" t="s">
        <v>315</v>
      </c>
      <c r="E1511" s="68" t="s">
        <v>301</v>
      </c>
      <c r="F1511" s="68" t="s">
        <v>297</v>
      </c>
      <c r="G1511" s="68"/>
      <c r="H1511" s="68"/>
      <c r="I1511" s="69">
        <v>108648.06362</v>
      </c>
    </row>
    <row r="1512" spans="1:9" hidden="1">
      <c r="A1512" s="64" t="s">
        <v>295</v>
      </c>
      <c r="B1512" s="65">
        <v>2029</v>
      </c>
      <c r="C1512" s="65">
        <v>2023</v>
      </c>
      <c r="D1512" s="65" t="s">
        <v>315</v>
      </c>
      <c r="E1512" s="65" t="s">
        <v>301</v>
      </c>
      <c r="F1512" s="65" t="s">
        <v>298</v>
      </c>
      <c r="G1512" s="65"/>
      <c r="H1512" s="65"/>
      <c r="I1512" s="66">
        <v>255208.68207000001</v>
      </c>
    </row>
    <row r="1513" spans="1:9" hidden="1">
      <c r="A1513" s="67" t="s">
        <v>295</v>
      </c>
      <c r="B1513" s="68">
        <v>2029</v>
      </c>
      <c r="C1513" s="68">
        <v>2023</v>
      </c>
      <c r="D1513" s="68" t="s">
        <v>315</v>
      </c>
      <c r="E1513" s="68" t="s">
        <v>301</v>
      </c>
      <c r="F1513" s="68" t="s">
        <v>40</v>
      </c>
      <c r="G1513" s="68"/>
      <c r="H1513" s="68"/>
      <c r="I1513" s="69">
        <v>363856.54567999998</v>
      </c>
    </row>
    <row r="1514" spans="1:9" hidden="1">
      <c r="A1514" s="64" t="s">
        <v>295</v>
      </c>
      <c r="B1514" s="65">
        <v>2029</v>
      </c>
      <c r="C1514" s="65">
        <v>2023</v>
      </c>
      <c r="D1514" s="65" t="s">
        <v>315</v>
      </c>
      <c r="E1514" s="65" t="s">
        <v>305</v>
      </c>
      <c r="F1514" s="65" t="s">
        <v>297</v>
      </c>
      <c r="G1514" s="65"/>
      <c r="H1514" s="65"/>
      <c r="I1514" s="66">
        <v>1003.0765699999999</v>
      </c>
    </row>
    <row r="1515" spans="1:9" hidden="1">
      <c r="A1515" s="67" t="s">
        <v>295</v>
      </c>
      <c r="B1515" s="68">
        <v>2029</v>
      </c>
      <c r="C1515" s="68">
        <v>2023</v>
      </c>
      <c r="D1515" s="68" t="s">
        <v>315</v>
      </c>
      <c r="E1515" s="68" t="s">
        <v>305</v>
      </c>
      <c r="F1515" s="68" t="s">
        <v>298</v>
      </c>
      <c r="G1515" s="68"/>
      <c r="H1515" s="68"/>
      <c r="I1515" s="69">
        <v>1366.5</v>
      </c>
    </row>
    <row r="1516" spans="1:9" hidden="1">
      <c r="A1516" s="64" t="s">
        <v>295</v>
      </c>
      <c r="B1516" s="65">
        <v>2029</v>
      </c>
      <c r="C1516" s="65">
        <v>2023</v>
      </c>
      <c r="D1516" s="65" t="s">
        <v>315</v>
      </c>
      <c r="E1516" s="65" t="s">
        <v>305</v>
      </c>
      <c r="F1516" s="65" t="s">
        <v>40</v>
      </c>
      <c r="G1516" s="65"/>
      <c r="H1516" s="65"/>
      <c r="I1516" s="66">
        <v>19192.076570000001</v>
      </c>
    </row>
    <row r="1517" spans="1:9" hidden="1">
      <c r="A1517" s="67" t="s">
        <v>295</v>
      </c>
      <c r="B1517" s="68">
        <v>2029</v>
      </c>
      <c r="C1517" s="68">
        <v>2023</v>
      </c>
      <c r="D1517" s="68" t="s">
        <v>316</v>
      </c>
      <c r="E1517" s="68" t="s">
        <v>294</v>
      </c>
      <c r="F1517" s="68" t="s">
        <v>297</v>
      </c>
      <c r="G1517" s="68"/>
      <c r="H1517" s="68"/>
      <c r="I1517" s="69">
        <v>644220.28805999993</v>
      </c>
    </row>
    <row r="1518" spans="1:9" hidden="1">
      <c r="A1518" s="64" t="s">
        <v>295</v>
      </c>
      <c r="B1518" s="65">
        <v>2029</v>
      </c>
      <c r="C1518" s="65">
        <v>2023</v>
      </c>
      <c r="D1518" s="65" t="s">
        <v>316</v>
      </c>
      <c r="E1518" s="65" t="s">
        <v>294</v>
      </c>
      <c r="F1518" s="65" t="s">
        <v>298</v>
      </c>
      <c r="G1518" s="65"/>
      <c r="H1518" s="65"/>
      <c r="I1518" s="66">
        <v>3758.3924000000002</v>
      </c>
    </row>
    <row r="1519" spans="1:9" hidden="1">
      <c r="A1519" s="67" t="s">
        <v>295</v>
      </c>
      <c r="B1519" s="68">
        <v>2029</v>
      </c>
      <c r="C1519" s="68">
        <v>2023</v>
      </c>
      <c r="D1519" s="68" t="s">
        <v>316</v>
      </c>
      <c r="E1519" s="68" t="s">
        <v>294</v>
      </c>
      <c r="F1519" s="68" t="s">
        <v>40</v>
      </c>
      <c r="G1519" s="68"/>
      <c r="H1519" s="68"/>
      <c r="I1519" s="69">
        <v>664943.79212</v>
      </c>
    </row>
    <row r="1520" spans="1:9" hidden="1">
      <c r="A1520" s="64" t="s">
        <v>295</v>
      </c>
      <c r="B1520" s="65">
        <v>2029</v>
      </c>
      <c r="C1520" s="65">
        <v>2023</v>
      </c>
      <c r="D1520" s="65" t="s">
        <v>316</v>
      </c>
      <c r="E1520" s="65" t="s">
        <v>301</v>
      </c>
      <c r="F1520" s="65" t="s">
        <v>297</v>
      </c>
      <c r="G1520" s="65"/>
      <c r="H1520" s="65"/>
      <c r="I1520" s="66">
        <v>694212.42217999999</v>
      </c>
    </row>
    <row r="1521" spans="1:9" hidden="1">
      <c r="A1521" s="67" t="s">
        <v>295</v>
      </c>
      <c r="B1521" s="68">
        <v>2029</v>
      </c>
      <c r="C1521" s="68">
        <v>2023</v>
      </c>
      <c r="D1521" s="68" t="s">
        <v>316</v>
      </c>
      <c r="E1521" s="68" t="s">
        <v>301</v>
      </c>
      <c r="F1521" s="68" t="s">
        <v>298</v>
      </c>
      <c r="G1521" s="68"/>
      <c r="H1521" s="68"/>
      <c r="I1521" s="69">
        <v>3846.7780499999999</v>
      </c>
    </row>
    <row r="1522" spans="1:9" hidden="1">
      <c r="A1522" s="64" t="s">
        <v>295</v>
      </c>
      <c r="B1522" s="65">
        <v>2029</v>
      </c>
      <c r="C1522" s="65">
        <v>2023</v>
      </c>
      <c r="D1522" s="65" t="s">
        <v>316</v>
      </c>
      <c r="E1522" s="65" t="s">
        <v>301</v>
      </c>
      <c r="F1522" s="65" t="s">
        <v>40</v>
      </c>
      <c r="G1522" s="65"/>
      <c r="H1522" s="65"/>
      <c r="I1522" s="66">
        <v>716316.0392</v>
      </c>
    </row>
    <row r="1523" spans="1:9" hidden="1">
      <c r="A1523" s="67" t="s">
        <v>295</v>
      </c>
      <c r="B1523" s="68">
        <v>2029</v>
      </c>
      <c r="C1523" s="68">
        <v>2023</v>
      </c>
      <c r="D1523" s="68" t="s">
        <v>316</v>
      </c>
      <c r="E1523" s="68" t="s">
        <v>305</v>
      </c>
      <c r="F1523" s="68" t="s">
        <v>297</v>
      </c>
      <c r="G1523" s="68"/>
      <c r="H1523" s="68"/>
      <c r="I1523" s="69">
        <v>7868.2751099999996</v>
      </c>
    </row>
    <row r="1524" spans="1:9" hidden="1">
      <c r="A1524" s="64" t="s">
        <v>295</v>
      </c>
      <c r="B1524" s="65">
        <v>2029</v>
      </c>
      <c r="C1524" s="65">
        <v>2023</v>
      </c>
      <c r="D1524" s="65" t="s">
        <v>316</v>
      </c>
      <c r="E1524" s="65" t="s">
        <v>305</v>
      </c>
      <c r="F1524" s="65" t="s">
        <v>298</v>
      </c>
      <c r="G1524" s="65"/>
      <c r="H1524" s="65"/>
      <c r="I1524" s="66">
        <v>0</v>
      </c>
    </row>
    <row r="1525" spans="1:9" hidden="1">
      <c r="A1525" s="67" t="s">
        <v>295</v>
      </c>
      <c r="B1525" s="68">
        <v>2029</v>
      </c>
      <c r="C1525" s="68">
        <v>2023</v>
      </c>
      <c r="D1525" s="68" t="s">
        <v>316</v>
      </c>
      <c r="E1525" s="68" t="s">
        <v>305</v>
      </c>
      <c r="F1525" s="68" t="s">
        <v>40</v>
      </c>
      <c r="G1525" s="68"/>
      <c r="H1525" s="68"/>
      <c r="I1525" s="69">
        <v>33710.660709999996</v>
      </c>
    </row>
    <row r="1526" spans="1:9" hidden="1">
      <c r="A1526" s="64" t="s">
        <v>295</v>
      </c>
      <c r="B1526" s="65">
        <v>2029</v>
      </c>
      <c r="C1526" s="65">
        <v>2023</v>
      </c>
      <c r="D1526" s="65" t="s">
        <v>317</v>
      </c>
      <c r="E1526" s="65" t="s">
        <v>294</v>
      </c>
      <c r="F1526" s="65" t="s">
        <v>297</v>
      </c>
      <c r="G1526" s="65"/>
      <c r="H1526" s="65"/>
      <c r="I1526" s="66">
        <v>151.56585999999999</v>
      </c>
    </row>
    <row r="1527" spans="1:9" hidden="1">
      <c r="A1527" s="67" t="s">
        <v>295</v>
      </c>
      <c r="B1527" s="68">
        <v>2029</v>
      </c>
      <c r="C1527" s="68">
        <v>2023</v>
      </c>
      <c r="D1527" s="68" t="s">
        <v>317</v>
      </c>
      <c r="E1527" s="68" t="s">
        <v>294</v>
      </c>
      <c r="F1527" s="68" t="s">
        <v>40</v>
      </c>
      <c r="G1527" s="68"/>
      <c r="H1527" s="68"/>
      <c r="I1527" s="69">
        <v>17117.10195</v>
      </c>
    </row>
    <row r="1528" spans="1:9" hidden="1">
      <c r="A1528" s="64" t="s">
        <v>295</v>
      </c>
      <c r="B1528" s="65">
        <v>2029</v>
      </c>
      <c r="C1528" s="65">
        <v>2023</v>
      </c>
      <c r="D1528" s="65" t="s">
        <v>317</v>
      </c>
      <c r="E1528" s="65" t="s">
        <v>301</v>
      </c>
      <c r="F1528" s="65" t="s">
        <v>297</v>
      </c>
      <c r="G1528" s="65"/>
      <c r="H1528" s="65"/>
      <c r="I1528" s="66">
        <v>160.53668400000001</v>
      </c>
    </row>
    <row r="1529" spans="1:9" hidden="1">
      <c r="A1529" s="67" t="s">
        <v>295</v>
      </c>
      <c r="B1529" s="68">
        <v>2029</v>
      </c>
      <c r="C1529" s="68">
        <v>2023</v>
      </c>
      <c r="D1529" s="68" t="s">
        <v>317</v>
      </c>
      <c r="E1529" s="68" t="s">
        <v>301</v>
      </c>
      <c r="F1529" s="68" t="s">
        <v>40</v>
      </c>
      <c r="G1529" s="68"/>
      <c r="H1529" s="68"/>
      <c r="I1529" s="69">
        <v>18417.749609999999</v>
      </c>
    </row>
    <row r="1530" spans="1:9" hidden="1">
      <c r="A1530" s="64" t="s">
        <v>295</v>
      </c>
      <c r="B1530" s="65">
        <v>2029</v>
      </c>
      <c r="C1530" s="65">
        <v>2023</v>
      </c>
      <c r="D1530" s="65" t="s">
        <v>317</v>
      </c>
      <c r="E1530" s="65" t="s">
        <v>305</v>
      </c>
      <c r="F1530" s="65" t="s">
        <v>297</v>
      </c>
      <c r="G1530" s="65"/>
      <c r="H1530" s="65"/>
      <c r="I1530" s="66">
        <v>1.289E-2</v>
      </c>
    </row>
    <row r="1531" spans="1:9" hidden="1">
      <c r="A1531" s="67" t="s">
        <v>295</v>
      </c>
      <c r="B1531" s="68">
        <v>2029</v>
      </c>
      <c r="C1531" s="68">
        <v>2023</v>
      </c>
      <c r="D1531" s="68" t="s">
        <v>317</v>
      </c>
      <c r="E1531" s="68" t="s">
        <v>305</v>
      </c>
      <c r="F1531" s="68" t="s">
        <v>40</v>
      </c>
      <c r="G1531" s="68"/>
      <c r="H1531" s="68"/>
      <c r="I1531" s="69">
        <v>387.79849000000002</v>
      </c>
    </row>
    <row r="1532" spans="1:9" hidden="1">
      <c r="A1532" s="64" t="s">
        <v>295</v>
      </c>
      <c r="B1532" s="65">
        <v>2029</v>
      </c>
      <c r="C1532" s="65">
        <v>2023</v>
      </c>
      <c r="D1532" s="65" t="s">
        <v>318</v>
      </c>
      <c r="E1532" s="65" t="s">
        <v>294</v>
      </c>
      <c r="F1532" s="65" t="s">
        <v>297</v>
      </c>
      <c r="G1532" s="65"/>
      <c r="H1532" s="65"/>
      <c r="I1532" s="66">
        <v>621430.69441</v>
      </c>
    </row>
    <row r="1533" spans="1:9" hidden="1">
      <c r="A1533" s="67" t="s">
        <v>295</v>
      </c>
      <c r="B1533" s="68">
        <v>2029</v>
      </c>
      <c r="C1533" s="68">
        <v>2023</v>
      </c>
      <c r="D1533" s="68" t="s">
        <v>318</v>
      </c>
      <c r="E1533" s="68" t="s">
        <v>294</v>
      </c>
      <c r="F1533" s="68" t="s">
        <v>298</v>
      </c>
      <c r="G1533" s="68"/>
      <c r="H1533" s="68"/>
      <c r="I1533" s="69">
        <v>0</v>
      </c>
    </row>
    <row r="1534" spans="1:9" hidden="1">
      <c r="A1534" s="64" t="s">
        <v>295</v>
      </c>
      <c r="B1534" s="65">
        <v>2029</v>
      </c>
      <c r="C1534" s="65">
        <v>2023</v>
      </c>
      <c r="D1534" s="65" t="s">
        <v>318</v>
      </c>
      <c r="E1534" s="65" t="s">
        <v>294</v>
      </c>
      <c r="F1534" s="65" t="s">
        <v>40</v>
      </c>
      <c r="G1534" s="65"/>
      <c r="H1534" s="65"/>
      <c r="I1534" s="66">
        <v>621430.69441</v>
      </c>
    </row>
    <row r="1535" spans="1:9" hidden="1">
      <c r="A1535" s="67" t="s">
        <v>295</v>
      </c>
      <c r="B1535" s="68">
        <v>2029</v>
      </c>
      <c r="C1535" s="68">
        <v>2023</v>
      </c>
      <c r="D1535" s="68" t="s">
        <v>318</v>
      </c>
      <c r="E1535" s="68" t="s">
        <v>301</v>
      </c>
      <c r="F1535" s="68" t="s">
        <v>297</v>
      </c>
      <c r="G1535" s="68"/>
      <c r="H1535" s="68"/>
      <c r="I1535" s="69">
        <v>670588.27992</v>
      </c>
    </row>
    <row r="1536" spans="1:9" hidden="1">
      <c r="A1536" s="64" t="s">
        <v>295</v>
      </c>
      <c r="B1536" s="65">
        <v>2029</v>
      </c>
      <c r="C1536" s="65">
        <v>2023</v>
      </c>
      <c r="D1536" s="65" t="s">
        <v>318</v>
      </c>
      <c r="E1536" s="65" t="s">
        <v>301</v>
      </c>
      <c r="F1536" s="65" t="s">
        <v>298</v>
      </c>
      <c r="G1536" s="65"/>
      <c r="H1536" s="65"/>
      <c r="I1536" s="66">
        <v>0</v>
      </c>
    </row>
    <row r="1537" spans="1:9" hidden="1">
      <c r="A1537" s="67" t="s">
        <v>295</v>
      </c>
      <c r="B1537" s="68">
        <v>2029</v>
      </c>
      <c r="C1537" s="68">
        <v>2023</v>
      </c>
      <c r="D1537" s="68" t="s">
        <v>318</v>
      </c>
      <c r="E1537" s="68" t="s">
        <v>301</v>
      </c>
      <c r="F1537" s="68" t="s">
        <v>40</v>
      </c>
      <c r="G1537" s="68"/>
      <c r="H1537" s="68"/>
      <c r="I1537" s="69">
        <v>670588.27992</v>
      </c>
    </row>
    <row r="1538" spans="1:9" hidden="1">
      <c r="A1538" s="64" t="s">
        <v>295</v>
      </c>
      <c r="B1538" s="65">
        <v>2029</v>
      </c>
      <c r="C1538" s="65">
        <v>2023</v>
      </c>
      <c r="D1538" s="65" t="s">
        <v>318</v>
      </c>
      <c r="E1538" s="65" t="s">
        <v>305</v>
      </c>
      <c r="F1538" s="65" t="s">
        <v>297</v>
      </c>
      <c r="G1538" s="65"/>
      <c r="H1538" s="65"/>
      <c r="I1538" s="66">
        <v>7776.09274</v>
      </c>
    </row>
    <row r="1539" spans="1:9" hidden="1">
      <c r="A1539" s="67" t="s">
        <v>295</v>
      </c>
      <c r="B1539" s="68">
        <v>2029</v>
      </c>
      <c r="C1539" s="68">
        <v>2023</v>
      </c>
      <c r="D1539" s="68" t="s">
        <v>318</v>
      </c>
      <c r="E1539" s="68" t="s">
        <v>305</v>
      </c>
      <c r="F1539" s="68" t="s">
        <v>40</v>
      </c>
      <c r="G1539" s="68"/>
      <c r="H1539" s="68"/>
      <c r="I1539" s="69">
        <v>31843.09274</v>
      </c>
    </row>
    <row r="1540" spans="1:9" hidden="1">
      <c r="A1540" s="64" t="s">
        <v>295</v>
      </c>
      <c r="B1540" s="65">
        <v>2029</v>
      </c>
      <c r="C1540" s="65">
        <v>2023</v>
      </c>
      <c r="D1540" s="65" t="s">
        <v>320</v>
      </c>
      <c r="E1540" s="65" t="s">
        <v>294</v>
      </c>
      <c r="F1540" s="65" t="s">
        <v>297</v>
      </c>
      <c r="G1540" s="65"/>
      <c r="H1540" s="65"/>
      <c r="I1540" s="66">
        <v>3475.6461800000002</v>
      </c>
    </row>
    <row r="1541" spans="1:9" hidden="1">
      <c r="A1541" s="67" t="s">
        <v>295</v>
      </c>
      <c r="B1541" s="68">
        <v>2029</v>
      </c>
      <c r="C1541" s="68">
        <v>2023</v>
      </c>
      <c r="D1541" s="68" t="s">
        <v>320</v>
      </c>
      <c r="E1541" s="68" t="s">
        <v>294</v>
      </c>
      <c r="F1541" s="68" t="s">
        <v>298</v>
      </c>
      <c r="G1541" s="68"/>
      <c r="H1541" s="68"/>
      <c r="I1541" s="69">
        <v>0</v>
      </c>
    </row>
    <row r="1542" spans="1:9" hidden="1">
      <c r="A1542" s="64" t="s">
        <v>295</v>
      </c>
      <c r="B1542" s="65">
        <v>2029</v>
      </c>
      <c r="C1542" s="65">
        <v>2023</v>
      </c>
      <c r="D1542" s="65" t="s">
        <v>320</v>
      </c>
      <c r="E1542" s="65" t="s">
        <v>294</v>
      </c>
      <c r="F1542" s="65" t="s">
        <v>40</v>
      </c>
      <c r="G1542" s="65"/>
      <c r="H1542" s="65"/>
      <c r="I1542" s="66">
        <v>3475.6461800000002</v>
      </c>
    </row>
    <row r="1543" spans="1:9" hidden="1">
      <c r="A1543" s="67" t="s">
        <v>295</v>
      </c>
      <c r="B1543" s="68">
        <v>2029</v>
      </c>
      <c r="C1543" s="68">
        <v>2023</v>
      </c>
      <c r="D1543" s="68" t="s">
        <v>320</v>
      </c>
      <c r="E1543" s="68" t="s">
        <v>301</v>
      </c>
      <c r="F1543" s="68" t="s">
        <v>297</v>
      </c>
      <c r="G1543" s="68"/>
      <c r="H1543" s="68"/>
      <c r="I1543" s="69">
        <v>3977.40119</v>
      </c>
    </row>
    <row r="1544" spans="1:9" hidden="1">
      <c r="A1544" s="64" t="s">
        <v>295</v>
      </c>
      <c r="B1544" s="65">
        <v>2029</v>
      </c>
      <c r="C1544" s="65">
        <v>2023</v>
      </c>
      <c r="D1544" s="65" t="s">
        <v>320</v>
      </c>
      <c r="E1544" s="65" t="s">
        <v>301</v>
      </c>
      <c r="F1544" s="65" t="s">
        <v>298</v>
      </c>
      <c r="G1544" s="65"/>
      <c r="H1544" s="65"/>
      <c r="I1544" s="66">
        <v>0</v>
      </c>
    </row>
    <row r="1545" spans="1:9" hidden="1">
      <c r="A1545" s="67" t="s">
        <v>295</v>
      </c>
      <c r="B1545" s="68">
        <v>2029</v>
      </c>
      <c r="C1545" s="68">
        <v>2023</v>
      </c>
      <c r="D1545" s="68" t="s">
        <v>320</v>
      </c>
      <c r="E1545" s="68" t="s">
        <v>301</v>
      </c>
      <c r="F1545" s="68" t="s">
        <v>40</v>
      </c>
      <c r="G1545" s="68"/>
      <c r="H1545" s="68"/>
      <c r="I1545" s="69">
        <v>3977.40119</v>
      </c>
    </row>
    <row r="1546" spans="1:9" hidden="1">
      <c r="A1546" s="64" t="s">
        <v>295</v>
      </c>
      <c r="B1546" s="65">
        <v>2029</v>
      </c>
      <c r="C1546" s="65">
        <v>2023</v>
      </c>
      <c r="D1546" s="65" t="s">
        <v>320</v>
      </c>
      <c r="E1546" s="65" t="s">
        <v>305</v>
      </c>
      <c r="F1546" s="65" t="s">
        <v>297</v>
      </c>
      <c r="G1546" s="65"/>
      <c r="H1546" s="65"/>
      <c r="I1546" s="66">
        <v>35.6</v>
      </c>
    </row>
    <row r="1547" spans="1:9" hidden="1">
      <c r="A1547" s="67" t="s">
        <v>295</v>
      </c>
      <c r="B1547" s="68">
        <v>2029</v>
      </c>
      <c r="C1547" s="68">
        <v>2023</v>
      </c>
      <c r="D1547" s="68" t="s">
        <v>320</v>
      </c>
      <c r="E1547" s="68" t="s">
        <v>305</v>
      </c>
      <c r="F1547" s="68" t="s">
        <v>40</v>
      </c>
      <c r="G1547" s="68"/>
      <c r="H1547" s="68"/>
      <c r="I1547" s="69">
        <v>929.9</v>
      </c>
    </row>
    <row r="1548" spans="1:9" hidden="1">
      <c r="A1548" s="64" t="s">
        <v>295</v>
      </c>
      <c r="B1548" s="65">
        <v>2029</v>
      </c>
      <c r="C1548" s="65">
        <v>2023</v>
      </c>
      <c r="D1548" s="65" t="s">
        <v>321</v>
      </c>
      <c r="E1548" s="65" t="s">
        <v>294</v>
      </c>
      <c r="F1548" s="65" t="s">
        <v>297</v>
      </c>
      <c r="G1548" s="65"/>
      <c r="H1548" s="65"/>
      <c r="I1548" s="66">
        <v>17856.764340000002</v>
      </c>
    </row>
    <row r="1549" spans="1:9" hidden="1">
      <c r="A1549" s="67" t="s">
        <v>295</v>
      </c>
      <c r="B1549" s="68">
        <v>2029</v>
      </c>
      <c r="C1549" s="68">
        <v>2023</v>
      </c>
      <c r="D1549" s="68" t="s">
        <v>321</v>
      </c>
      <c r="E1549" s="68" t="s">
        <v>294</v>
      </c>
      <c r="F1549" s="68" t="s">
        <v>298</v>
      </c>
      <c r="G1549" s="68"/>
      <c r="H1549" s="68"/>
      <c r="I1549" s="69">
        <v>0</v>
      </c>
    </row>
    <row r="1550" spans="1:9" hidden="1">
      <c r="A1550" s="64" t="s">
        <v>295</v>
      </c>
      <c r="B1550" s="65">
        <v>2029</v>
      </c>
      <c r="C1550" s="65">
        <v>2023</v>
      </c>
      <c r="D1550" s="65" t="s">
        <v>321</v>
      </c>
      <c r="E1550" s="65" t="s">
        <v>294</v>
      </c>
      <c r="F1550" s="65" t="s">
        <v>40</v>
      </c>
      <c r="G1550" s="65"/>
      <c r="H1550" s="65"/>
      <c r="I1550" s="66">
        <v>17852.32818</v>
      </c>
    </row>
    <row r="1551" spans="1:9" hidden="1">
      <c r="A1551" s="67" t="s">
        <v>295</v>
      </c>
      <c r="B1551" s="68">
        <v>2029</v>
      </c>
      <c r="C1551" s="68">
        <v>2023</v>
      </c>
      <c r="D1551" s="68" t="s">
        <v>321</v>
      </c>
      <c r="E1551" s="68" t="s">
        <v>301</v>
      </c>
      <c r="F1551" s="68" t="s">
        <v>297</v>
      </c>
      <c r="G1551" s="68"/>
      <c r="H1551" s="68"/>
      <c r="I1551" s="69">
        <v>18014.245709999999</v>
      </c>
    </row>
    <row r="1552" spans="1:9" hidden="1">
      <c r="A1552" s="64" t="s">
        <v>295</v>
      </c>
      <c r="B1552" s="65">
        <v>2029</v>
      </c>
      <c r="C1552" s="65">
        <v>2023</v>
      </c>
      <c r="D1552" s="65" t="s">
        <v>321</v>
      </c>
      <c r="E1552" s="65" t="s">
        <v>301</v>
      </c>
      <c r="F1552" s="65" t="s">
        <v>298</v>
      </c>
      <c r="G1552" s="65"/>
      <c r="H1552" s="65"/>
      <c r="I1552" s="66">
        <v>0</v>
      </c>
    </row>
    <row r="1553" spans="1:9" hidden="1">
      <c r="A1553" s="67" t="s">
        <v>295</v>
      </c>
      <c r="B1553" s="68">
        <v>2029</v>
      </c>
      <c r="C1553" s="68">
        <v>2023</v>
      </c>
      <c r="D1553" s="68" t="s">
        <v>321</v>
      </c>
      <c r="E1553" s="68" t="s">
        <v>301</v>
      </c>
      <c r="F1553" s="68" t="s">
        <v>40</v>
      </c>
      <c r="G1553" s="68"/>
      <c r="H1553" s="68"/>
      <c r="I1553" s="69">
        <v>18014.24555</v>
      </c>
    </row>
    <row r="1554" spans="1:9" hidden="1">
      <c r="A1554" s="64" t="s">
        <v>295</v>
      </c>
      <c r="B1554" s="65">
        <v>2029</v>
      </c>
      <c r="C1554" s="65">
        <v>2023</v>
      </c>
      <c r="D1554" s="65" t="s">
        <v>321</v>
      </c>
      <c r="E1554" s="65" t="s">
        <v>305</v>
      </c>
      <c r="F1554" s="65" t="s">
        <v>297</v>
      </c>
      <c r="G1554" s="65"/>
      <c r="H1554" s="65"/>
      <c r="I1554" s="66">
        <v>49.269480000000001</v>
      </c>
    </row>
    <row r="1555" spans="1:9" hidden="1">
      <c r="A1555" s="67" t="s">
        <v>295</v>
      </c>
      <c r="B1555" s="68">
        <v>2029</v>
      </c>
      <c r="C1555" s="68">
        <v>2023</v>
      </c>
      <c r="D1555" s="68" t="s">
        <v>321</v>
      </c>
      <c r="E1555" s="68" t="s">
        <v>305</v>
      </c>
      <c r="F1555" s="68" t="s">
        <v>40</v>
      </c>
      <c r="G1555" s="68"/>
      <c r="H1555" s="68"/>
      <c r="I1555" s="69">
        <v>311.56948</v>
      </c>
    </row>
    <row r="1556" spans="1:9" hidden="1">
      <c r="A1556" s="64" t="s">
        <v>295</v>
      </c>
      <c r="B1556" s="65">
        <v>2029</v>
      </c>
      <c r="C1556" s="65">
        <v>2023</v>
      </c>
      <c r="D1556" s="65" t="s">
        <v>322</v>
      </c>
      <c r="E1556" s="65" t="s">
        <v>294</v>
      </c>
      <c r="F1556" s="65" t="s">
        <v>297</v>
      </c>
      <c r="G1556" s="65"/>
      <c r="H1556" s="65"/>
      <c r="I1556" s="66">
        <v>1305.65281</v>
      </c>
    </row>
    <row r="1557" spans="1:9" hidden="1">
      <c r="A1557" s="67" t="s">
        <v>295</v>
      </c>
      <c r="B1557" s="68">
        <v>2029</v>
      </c>
      <c r="C1557" s="68">
        <v>2023</v>
      </c>
      <c r="D1557" s="68" t="s">
        <v>322</v>
      </c>
      <c r="E1557" s="68" t="s">
        <v>294</v>
      </c>
      <c r="F1557" s="68" t="s">
        <v>298</v>
      </c>
      <c r="G1557" s="68"/>
      <c r="H1557" s="68"/>
      <c r="I1557" s="69">
        <v>3758.3924000000002</v>
      </c>
    </row>
    <row r="1558" spans="1:9" hidden="1">
      <c r="A1558" s="64" t="s">
        <v>295</v>
      </c>
      <c r="B1558" s="65">
        <v>2029</v>
      </c>
      <c r="C1558" s="65">
        <v>2023</v>
      </c>
      <c r="D1558" s="65" t="s">
        <v>322</v>
      </c>
      <c r="E1558" s="65" t="s">
        <v>294</v>
      </c>
      <c r="F1558" s="65" t="s">
        <v>40</v>
      </c>
      <c r="G1558" s="65"/>
      <c r="H1558" s="65"/>
      <c r="I1558" s="66">
        <v>5064.0452100000002</v>
      </c>
    </row>
    <row r="1559" spans="1:9" hidden="1">
      <c r="A1559" s="67" t="s">
        <v>295</v>
      </c>
      <c r="B1559" s="68">
        <v>2029</v>
      </c>
      <c r="C1559" s="68">
        <v>2023</v>
      </c>
      <c r="D1559" s="68" t="s">
        <v>322</v>
      </c>
      <c r="E1559" s="68" t="s">
        <v>301</v>
      </c>
      <c r="F1559" s="68" t="s">
        <v>297</v>
      </c>
      <c r="G1559" s="68"/>
      <c r="H1559" s="68"/>
      <c r="I1559" s="69">
        <v>1471.9246800000001</v>
      </c>
    </row>
    <row r="1560" spans="1:9" hidden="1">
      <c r="A1560" s="64" t="s">
        <v>295</v>
      </c>
      <c r="B1560" s="65">
        <v>2029</v>
      </c>
      <c r="C1560" s="65">
        <v>2023</v>
      </c>
      <c r="D1560" s="65" t="s">
        <v>322</v>
      </c>
      <c r="E1560" s="65" t="s">
        <v>301</v>
      </c>
      <c r="F1560" s="65" t="s">
        <v>298</v>
      </c>
      <c r="G1560" s="65"/>
      <c r="H1560" s="65"/>
      <c r="I1560" s="66">
        <v>3846.7780499999999</v>
      </c>
    </row>
    <row r="1561" spans="1:9" hidden="1">
      <c r="A1561" s="67" t="s">
        <v>295</v>
      </c>
      <c r="B1561" s="68">
        <v>2029</v>
      </c>
      <c r="C1561" s="68">
        <v>2023</v>
      </c>
      <c r="D1561" s="68" t="s">
        <v>322</v>
      </c>
      <c r="E1561" s="68" t="s">
        <v>301</v>
      </c>
      <c r="F1561" s="68" t="s">
        <v>40</v>
      </c>
      <c r="G1561" s="68"/>
      <c r="H1561" s="68"/>
      <c r="I1561" s="69">
        <v>5318.70273</v>
      </c>
    </row>
    <row r="1562" spans="1:9" hidden="1">
      <c r="A1562" s="64" t="s">
        <v>295</v>
      </c>
      <c r="B1562" s="65">
        <v>2029</v>
      </c>
      <c r="C1562" s="65">
        <v>2023</v>
      </c>
      <c r="D1562" s="65" t="s">
        <v>322</v>
      </c>
      <c r="E1562" s="65" t="s">
        <v>305</v>
      </c>
      <c r="F1562" s="65" t="s">
        <v>297</v>
      </c>
      <c r="G1562" s="65"/>
      <c r="H1562" s="65"/>
      <c r="I1562" s="66">
        <v>7.2</v>
      </c>
    </row>
    <row r="1563" spans="1:9" hidden="1">
      <c r="A1563" s="67" t="s">
        <v>295</v>
      </c>
      <c r="B1563" s="68">
        <v>2029</v>
      </c>
      <c r="C1563" s="68">
        <v>2023</v>
      </c>
      <c r="D1563" s="68" t="s">
        <v>322</v>
      </c>
      <c r="E1563" s="68" t="s">
        <v>305</v>
      </c>
      <c r="F1563" s="68" t="s">
        <v>40</v>
      </c>
      <c r="G1563" s="68"/>
      <c r="H1563" s="68"/>
      <c r="I1563" s="69">
        <v>238.2</v>
      </c>
    </row>
    <row r="1564" spans="1:9" hidden="1">
      <c r="A1564" s="64" t="s">
        <v>295</v>
      </c>
      <c r="B1564" s="65">
        <v>2029</v>
      </c>
      <c r="C1564" s="65">
        <v>2023</v>
      </c>
      <c r="D1564" s="65" t="s">
        <v>323</v>
      </c>
      <c r="E1564" s="65" t="s">
        <v>294</v>
      </c>
      <c r="F1564" s="65" t="s">
        <v>297</v>
      </c>
      <c r="G1564" s="65"/>
      <c r="H1564" s="65"/>
      <c r="I1564" s="66">
        <v>392949.08043999999</v>
      </c>
    </row>
    <row r="1565" spans="1:9" hidden="1">
      <c r="A1565" s="67" t="s">
        <v>295</v>
      </c>
      <c r="B1565" s="68">
        <v>2029</v>
      </c>
      <c r="C1565" s="68">
        <v>2023</v>
      </c>
      <c r="D1565" s="68" t="s">
        <v>323</v>
      </c>
      <c r="E1565" s="68" t="s">
        <v>294</v>
      </c>
      <c r="F1565" s="68" t="s">
        <v>298</v>
      </c>
      <c r="G1565" s="68"/>
      <c r="H1565" s="68"/>
      <c r="I1565" s="69">
        <v>1730.7600399999999</v>
      </c>
    </row>
    <row r="1566" spans="1:9" hidden="1">
      <c r="A1566" s="64" t="s">
        <v>295</v>
      </c>
      <c r="B1566" s="65">
        <v>2029</v>
      </c>
      <c r="C1566" s="65">
        <v>2023</v>
      </c>
      <c r="D1566" s="65" t="s">
        <v>323</v>
      </c>
      <c r="E1566" s="65" t="s">
        <v>294</v>
      </c>
      <c r="F1566" s="65" t="s">
        <v>40</v>
      </c>
      <c r="G1566" s="65"/>
      <c r="H1566" s="65"/>
      <c r="I1566" s="66">
        <v>394686.14046999998</v>
      </c>
    </row>
    <row r="1567" spans="1:9" hidden="1">
      <c r="A1567" s="67" t="s">
        <v>295</v>
      </c>
      <c r="B1567" s="68">
        <v>2029</v>
      </c>
      <c r="C1567" s="68">
        <v>2023</v>
      </c>
      <c r="D1567" s="68" t="s">
        <v>323</v>
      </c>
      <c r="E1567" s="68" t="s">
        <v>301</v>
      </c>
      <c r="F1567" s="68" t="s">
        <v>297</v>
      </c>
      <c r="G1567" s="68"/>
      <c r="H1567" s="68"/>
      <c r="I1567" s="69">
        <v>430854.18608000001</v>
      </c>
    </row>
    <row r="1568" spans="1:9" hidden="1">
      <c r="A1568" s="64" t="s">
        <v>295</v>
      </c>
      <c r="B1568" s="65">
        <v>2029</v>
      </c>
      <c r="C1568" s="65">
        <v>2023</v>
      </c>
      <c r="D1568" s="65" t="s">
        <v>323</v>
      </c>
      <c r="E1568" s="65" t="s">
        <v>301</v>
      </c>
      <c r="F1568" s="65" t="s">
        <v>298</v>
      </c>
      <c r="G1568" s="65"/>
      <c r="H1568" s="65"/>
      <c r="I1568" s="66">
        <v>1822.8347699999999</v>
      </c>
    </row>
    <row r="1569" spans="1:9" hidden="1">
      <c r="A1569" s="67" t="s">
        <v>295</v>
      </c>
      <c r="B1569" s="68">
        <v>2029</v>
      </c>
      <c r="C1569" s="68">
        <v>2023</v>
      </c>
      <c r="D1569" s="68" t="s">
        <v>323</v>
      </c>
      <c r="E1569" s="68" t="s">
        <v>301</v>
      </c>
      <c r="F1569" s="68" t="s">
        <v>40</v>
      </c>
      <c r="G1569" s="68"/>
      <c r="H1569" s="68"/>
      <c r="I1569" s="69">
        <v>432683.34083</v>
      </c>
    </row>
    <row r="1570" spans="1:9" hidden="1">
      <c r="A1570" s="64" t="s">
        <v>295</v>
      </c>
      <c r="B1570" s="65">
        <v>2029</v>
      </c>
      <c r="C1570" s="65">
        <v>2023</v>
      </c>
      <c r="D1570" s="65" t="s">
        <v>323</v>
      </c>
      <c r="E1570" s="65" t="s">
        <v>305</v>
      </c>
      <c r="F1570" s="65" t="s">
        <v>297</v>
      </c>
      <c r="G1570" s="65"/>
      <c r="H1570" s="65"/>
      <c r="I1570" s="66">
        <v>1544.01558</v>
      </c>
    </row>
    <row r="1571" spans="1:9" hidden="1">
      <c r="A1571" s="67" t="s">
        <v>295</v>
      </c>
      <c r="B1571" s="68">
        <v>2029</v>
      </c>
      <c r="C1571" s="68">
        <v>2023</v>
      </c>
      <c r="D1571" s="68" t="s">
        <v>323</v>
      </c>
      <c r="E1571" s="68" t="s">
        <v>305</v>
      </c>
      <c r="F1571" s="68" t="s">
        <v>40</v>
      </c>
      <c r="G1571" s="68"/>
      <c r="H1571" s="68"/>
      <c r="I1571" s="69">
        <v>17193.015579999999</v>
      </c>
    </row>
    <row r="1572" spans="1:9" hidden="1">
      <c r="A1572" s="64" t="s">
        <v>295</v>
      </c>
      <c r="B1572" s="65">
        <v>2029</v>
      </c>
      <c r="C1572" s="65">
        <v>2023</v>
      </c>
      <c r="D1572" s="65" t="s">
        <v>324</v>
      </c>
      <c r="E1572" s="65" t="s">
        <v>294</v>
      </c>
      <c r="F1572" s="65" t="s">
        <v>297</v>
      </c>
      <c r="G1572" s="65"/>
      <c r="H1572" s="65"/>
      <c r="I1572" s="66">
        <v>3683.4902699999998</v>
      </c>
    </row>
    <row r="1573" spans="1:9" hidden="1">
      <c r="A1573" s="67" t="s">
        <v>295</v>
      </c>
      <c r="B1573" s="68">
        <v>2029</v>
      </c>
      <c r="C1573" s="68">
        <v>2023</v>
      </c>
      <c r="D1573" s="68" t="s">
        <v>324</v>
      </c>
      <c r="E1573" s="68" t="s">
        <v>294</v>
      </c>
      <c r="F1573" s="68" t="s">
        <v>298</v>
      </c>
      <c r="G1573" s="68"/>
      <c r="H1573" s="68"/>
      <c r="I1573" s="69">
        <v>0</v>
      </c>
    </row>
    <row r="1574" spans="1:9" hidden="1">
      <c r="A1574" s="64" t="s">
        <v>295</v>
      </c>
      <c r="B1574" s="65">
        <v>2029</v>
      </c>
      <c r="C1574" s="65">
        <v>2023</v>
      </c>
      <c r="D1574" s="65" t="s">
        <v>324</v>
      </c>
      <c r="E1574" s="65" t="s">
        <v>294</v>
      </c>
      <c r="F1574" s="65" t="s">
        <v>40</v>
      </c>
      <c r="G1574" s="65"/>
      <c r="H1574" s="65"/>
      <c r="I1574" s="66">
        <v>3683.4902699999998</v>
      </c>
    </row>
    <row r="1575" spans="1:9" hidden="1">
      <c r="A1575" s="67" t="s">
        <v>295</v>
      </c>
      <c r="B1575" s="68">
        <v>2029</v>
      </c>
      <c r="C1575" s="68">
        <v>2023</v>
      </c>
      <c r="D1575" s="68" t="s">
        <v>324</v>
      </c>
      <c r="E1575" s="68" t="s">
        <v>301</v>
      </c>
      <c r="F1575" s="68" t="s">
        <v>297</v>
      </c>
      <c r="G1575" s="68"/>
      <c r="H1575" s="68"/>
      <c r="I1575" s="69">
        <v>3683.4866999999999</v>
      </c>
    </row>
    <row r="1576" spans="1:9" hidden="1">
      <c r="A1576" s="64" t="s">
        <v>295</v>
      </c>
      <c r="B1576" s="65">
        <v>2029</v>
      </c>
      <c r="C1576" s="65">
        <v>2023</v>
      </c>
      <c r="D1576" s="65" t="s">
        <v>324</v>
      </c>
      <c r="E1576" s="65" t="s">
        <v>301</v>
      </c>
      <c r="F1576" s="65" t="s">
        <v>298</v>
      </c>
      <c r="G1576" s="65"/>
      <c r="H1576" s="65"/>
      <c r="I1576" s="66">
        <v>0</v>
      </c>
    </row>
    <row r="1577" spans="1:9" hidden="1">
      <c r="A1577" s="67" t="s">
        <v>295</v>
      </c>
      <c r="B1577" s="68">
        <v>2029</v>
      </c>
      <c r="C1577" s="68">
        <v>2023</v>
      </c>
      <c r="D1577" s="68" t="s">
        <v>324</v>
      </c>
      <c r="E1577" s="68" t="s">
        <v>301</v>
      </c>
      <c r="F1577" s="68" t="s">
        <v>40</v>
      </c>
      <c r="G1577" s="68"/>
      <c r="H1577" s="68"/>
      <c r="I1577" s="69">
        <v>3683.4866999999999</v>
      </c>
    </row>
    <row r="1578" spans="1:9" hidden="1">
      <c r="A1578" s="64" t="s">
        <v>295</v>
      </c>
      <c r="B1578" s="65">
        <v>2029</v>
      </c>
      <c r="C1578" s="65">
        <v>2023</v>
      </c>
      <c r="D1578" s="65" t="s">
        <v>324</v>
      </c>
      <c r="E1578" s="65" t="s">
        <v>305</v>
      </c>
      <c r="F1578" s="65" t="s">
        <v>297</v>
      </c>
      <c r="G1578" s="65"/>
      <c r="H1578" s="65"/>
      <c r="I1578" s="66">
        <v>4.0999999999999996</v>
      </c>
    </row>
    <row r="1579" spans="1:9" hidden="1">
      <c r="A1579" s="67" t="s">
        <v>295</v>
      </c>
      <c r="B1579" s="68">
        <v>2029</v>
      </c>
      <c r="C1579" s="68">
        <v>2023</v>
      </c>
      <c r="D1579" s="68" t="s">
        <v>324</v>
      </c>
      <c r="E1579" s="68" t="s">
        <v>305</v>
      </c>
      <c r="F1579" s="68" t="s">
        <v>40</v>
      </c>
      <c r="G1579" s="68"/>
      <c r="H1579" s="68"/>
      <c r="I1579" s="69">
        <v>1246.2</v>
      </c>
    </row>
    <row r="1580" spans="1:9" hidden="1">
      <c r="A1580" s="64" t="s">
        <v>295</v>
      </c>
      <c r="B1580" s="65">
        <v>2029</v>
      </c>
      <c r="C1580" s="65">
        <v>2023</v>
      </c>
      <c r="D1580" s="65" t="s">
        <v>325</v>
      </c>
      <c r="E1580" s="65" t="s">
        <v>294</v>
      </c>
      <c r="F1580" s="65" t="s">
        <v>297</v>
      </c>
      <c r="G1580" s="65"/>
      <c r="H1580" s="65"/>
      <c r="I1580" s="66">
        <v>53900.315219999997</v>
      </c>
    </row>
    <row r="1581" spans="1:9" hidden="1">
      <c r="A1581" s="67" t="s">
        <v>295</v>
      </c>
      <c r="B1581" s="68">
        <v>2029</v>
      </c>
      <c r="C1581" s="68">
        <v>2023</v>
      </c>
      <c r="D1581" s="68" t="s">
        <v>325</v>
      </c>
      <c r="E1581" s="68" t="s">
        <v>294</v>
      </c>
      <c r="F1581" s="68" t="s">
        <v>298</v>
      </c>
      <c r="G1581" s="68"/>
      <c r="H1581" s="68"/>
      <c r="I1581" s="69">
        <v>14607.132390000001</v>
      </c>
    </row>
    <row r="1582" spans="1:9" hidden="1">
      <c r="A1582" s="64" t="s">
        <v>295</v>
      </c>
      <c r="B1582" s="65">
        <v>2029</v>
      </c>
      <c r="C1582" s="65">
        <v>2023</v>
      </c>
      <c r="D1582" s="65" t="s">
        <v>325</v>
      </c>
      <c r="E1582" s="65" t="s">
        <v>294</v>
      </c>
      <c r="F1582" s="65" t="s">
        <v>40</v>
      </c>
      <c r="G1582" s="65"/>
      <c r="H1582" s="65"/>
      <c r="I1582" s="66">
        <v>68507.427609999999</v>
      </c>
    </row>
    <row r="1583" spans="1:9" hidden="1">
      <c r="A1583" s="67" t="s">
        <v>295</v>
      </c>
      <c r="B1583" s="68">
        <v>2029</v>
      </c>
      <c r="C1583" s="68">
        <v>2023</v>
      </c>
      <c r="D1583" s="68" t="s">
        <v>325</v>
      </c>
      <c r="E1583" s="68" t="s">
        <v>301</v>
      </c>
      <c r="F1583" s="68" t="s">
        <v>297</v>
      </c>
      <c r="G1583" s="68"/>
      <c r="H1583" s="68"/>
      <c r="I1583" s="69">
        <v>55613.577039999996</v>
      </c>
    </row>
    <row r="1584" spans="1:9" hidden="1">
      <c r="A1584" s="64" t="s">
        <v>295</v>
      </c>
      <c r="B1584" s="65">
        <v>2029</v>
      </c>
      <c r="C1584" s="65">
        <v>2023</v>
      </c>
      <c r="D1584" s="65" t="s">
        <v>325</v>
      </c>
      <c r="E1584" s="65" t="s">
        <v>301</v>
      </c>
      <c r="F1584" s="65" t="s">
        <v>298</v>
      </c>
      <c r="G1584" s="65"/>
      <c r="H1584" s="65"/>
      <c r="I1584" s="66">
        <v>15557.120209999999</v>
      </c>
    </row>
    <row r="1585" spans="1:9" hidden="1">
      <c r="A1585" s="67" t="s">
        <v>295</v>
      </c>
      <c r="B1585" s="68">
        <v>2029</v>
      </c>
      <c r="C1585" s="68">
        <v>2023</v>
      </c>
      <c r="D1585" s="68" t="s">
        <v>325</v>
      </c>
      <c r="E1585" s="68" t="s">
        <v>301</v>
      </c>
      <c r="F1585" s="68" t="s">
        <v>40</v>
      </c>
      <c r="G1585" s="68"/>
      <c r="H1585" s="68"/>
      <c r="I1585" s="69">
        <v>71170.697239999994</v>
      </c>
    </row>
    <row r="1586" spans="1:9" hidden="1">
      <c r="A1586" s="64" t="s">
        <v>295</v>
      </c>
      <c r="B1586" s="65">
        <v>2029</v>
      </c>
      <c r="C1586" s="65">
        <v>2023</v>
      </c>
      <c r="D1586" s="65" t="s">
        <v>325</v>
      </c>
      <c r="E1586" s="65" t="s">
        <v>305</v>
      </c>
      <c r="F1586" s="65" t="s">
        <v>297</v>
      </c>
      <c r="G1586" s="65"/>
      <c r="H1586" s="65"/>
      <c r="I1586" s="66">
        <v>428.8</v>
      </c>
    </row>
    <row r="1587" spans="1:9" hidden="1">
      <c r="A1587" s="67" t="s">
        <v>295</v>
      </c>
      <c r="B1587" s="68">
        <v>2029</v>
      </c>
      <c r="C1587" s="68">
        <v>2023</v>
      </c>
      <c r="D1587" s="68" t="s">
        <v>325</v>
      </c>
      <c r="E1587" s="68" t="s">
        <v>305</v>
      </c>
      <c r="F1587" s="68" t="s">
        <v>298</v>
      </c>
      <c r="G1587" s="68"/>
      <c r="H1587" s="68"/>
      <c r="I1587" s="69">
        <v>69.900000000000006</v>
      </c>
    </row>
    <row r="1588" spans="1:9" hidden="1">
      <c r="A1588" s="64" t="s">
        <v>295</v>
      </c>
      <c r="B1588" s="65">
        <v>2029</v>
      </c>
      <c r="C1588" s="65">
        <v>2023</v>
      </c>
      <c r="D1588" s="65" t="s">
        <v>325</v>
      </c>
      <c r="E1588" s="65" t="s">
        <v>305</v>
      </c>
      <c r="F1588" s="65" t="s">
        <v>40</v>
      </c>
      <c r="G1588" s="65"/>
      <c r="H1588" s="65"/>
      <c r="I1588" s="66">
        <v>18674.5</v>
      </c>
    </row>
    <row r="1589" spans="1:9" hidden="1">
      <c r="A1589" s="67" t="s">
        <v>295</v>
      </c>
      <c r="B1589" s="68">
        <v>2029</v>
      </c>
      <c r="C1589" s="68">
        <v>2023</v>
      </c>
      <c r="D1589" s="68" t="s">
        <v>326</v>
      </c>
      <c r="E1589" s="68" t="s">
        <v>294</v>
      </c>
      <c r="F1589" s="68" t="s">
        <v>297</v>
      </c>
      <c r="G1589" s="68"/>
      <c r="H1589" s="68"/>
      <c r="I1589" s="69">
        <v>0</v>
      </c>
    </row>
    <row r="1590" spans="1:9" hidden="1">
      <c r="A1590" s="64" t="s">
        <v>295</v>
      </c>
      <c r="B1590" s="65">
        <v>2029</v>
      </c>
      <c r="C1590" s="65">
        <v>2023</v>
      </c>
      <c r="D1590" s="65" t="s">
        <v>326</v>
      </c>
      <c r="E1590" s="65" t="s">
        <v>294</v>
      </c>
      <c r="F1590" s="65" t="s">
        <v>298</v>
      </c>
      <c r="G1590" s="65"/>
      <c r="H1590" s="65"/>
      <c r="I1590" s="66">
        <v>0</v>
      </c>
    </row>
    <row r="1591" spans="1:9" hidden="1">
      <c r="A1591" s="67" t="s">
        <v>295</v>
      </c>
      <c r="B1591" s="68">
        <v>2029</v>
      </c>
      <c r="C1591" s="68">
        <v>2023</v>
      </c>
      <c r="D1591" s="68" t="s">
        <v>326</v>
      </c>
      <c r="E1591" s="68" t="s">
        <v>294</v>
      </c>
      <c r="F1591" s="68" t="s">
        <v>40</v>
      </c>
      <c r="G1591" s="68"/>
      <c r="H1591" s="68"/>
      <c r="I1591" s="69">
        <v>0</v>
      </c>
    </row>
    <row r="1592" spans="1:9" hidden="1">
      <c r="A1592" s="64" t="s">
        <v>295</v>
      </c>
      <c r="B1592" s="65">
        <v>2029</v>
      </c>
      <c r="C1592" s="65">
        <v>2023</v>
      </c>
      <c r="D1592" s="65" t="s">
        <v>326</v>
      </c>
      <c r="E1592" s="65" t="s">
        <v>301</v>
      </c>
      <c r="F1592" s="65" t="s">
        <v>297</v>
      </c>
      <c r="G1592" s="65"/>
      <c r="H1592" s="65"/>
      <c r="I1592" s="66">
        <v>0</v>
      </c>
    </row>
    <row r="1593" spans="1:9" hidden="1">
      <c r="A1593" s="67" t="s">
        <v>295</v>
      </c>
      <c r="B1593" s="68">
        <v>2029</v>
      </c>
      <c r="C1593" s="68">
        <v>2023</v>
      </c>
      <c r="D1593" s="68" t="s">
        <v>326</v>
      </c>
      <c r="E1593" s="68" t="s">
        <v>301</v>
      </c>
      <c r="F1593" s="68" t="s">
        <v>298</v>
      </c>
      <c r="G1593" s="68"/>
      <c r="H1593" s="68"/>
      <c r="I1593" s="69">
        <v>0</v>
      </c>
    </row>
    <row r="1594" spans="1:9" hidden="1">
      <c r="A1594" s="64" t="s">
        <v>295</v>
      </c>
      <c r="B1594" s="65">
        <v>2029</v>
      </c>
      <c r="C1594" s="65">
        <v>2023</v>
      </c>
      <c r="D1594" s="65" t="s">
        <v>326</v>
      </c>
      <c r="E1594" s="65" t="s">
        <v>301</v>
      </c>
      <c r="F1594" s="65" t="s">
        <v>40</v>
      </c>
      <c r="G1594" s="65"/>
      <c r="H1594" s="65"/>
      <c r="I1594" s="66">
        <v>0</v>
      </c>
    </row>
    <row r="1595" spans="1:9" hidden="1">
      <c r="A1595" s="67" t="s">
        <v>295</v>
      </c>
      <c r="B1595" s="68">
        <v>2029</v>
      </c>
      <c r="C1595" s="68">
        <v>2023</v>
      </c>
      <c r="D1595" s="68" t="s">
        <v>304</v>
      </c>
      <c r="E1595" s="68" t="s">
        <v>294</v>
      </c>
      <c r="F1595" s="68" t="s">
        <v>297</v>
      </c>
      <c r="G1595" s="68"/>
      <c r="H1595" s="68"/>
      <c r="I1595" s="69">
        <v>65432.489699999998</v>
      </c>
    </row>
    <row r="1596" spans="1:9" hidden="1">
      <c r="A1596" s="64" t="s">
        <v>295</v>
      </c>
      <c r="B1596" s="65">
        <v>2029</v>
      </c>
      <c r="C1596" s="65">
        <v>2023</v>
      </c>
      <c r="D1596" s="65" t="s">
        <v>304</v>
      </c>
      <c r="E1596" s="65" t="s">
        <v>294</v>
      </c>
      <c r="F1596" s="65" t="s">
        <v>298</v>
      </c>
      <c r="G1596" s="65"/>
      <c r="H1596" s="65"/>
      <c r="I1596" s="66">
        <v>205139.88501999999</v>
      </c>
    </row>
    <row r="1597" spans="1:9" hidden="1">
      <c r="A1597" s="67" t="s">
        <v>295</v>
      </c>
      <c r="B1597" s="68">
        <v>2029</v>
      </c>
      <c r="C1597" s="68">
        <v>2023</v>
      </c>
      <c r="D1597" s="68" t="s">
        <v>304</v>
      </c>
      <c r="E1597" s="68" t="s">
        <v>294</v>
      </c>
      <c r="F1597" s="68" t="s">
        <v>40</v>
      </c>
      <c r="G1597" s="68"/>
      <c r="H1597" s="68"/>
      <c r="I1597" s="69">
        <v>270294.03473999997</v>
      </c>
    </row>
    <row r="1598" spans="1:9" hidden="1">
      <c r="A1598" s="64" t="s">
        <v>295</v>
      </c>
      <c r="B1598" s="65">
        <v>2029</v>
      </c>
      <c r="C1598" s="65">
        <v>2023</v>
      </c>
      <c r="D1598" s="65" t="s">
        <v>304</v>
      </c>
      <c r="E1598" s="65" t="s">
        <v>301</v>
      </c>
      <c r="F1598" s="65" t="s">
        <v>297</v>
      </c>
      <c r="G1598" s="65"/>
      <c r="H1598" s="65"/>
      <c r="I1598" s="66">
        <v>67206.484479999999</v>
      </c>
    </row>
    <row r="1599" spans="1:9" hidden="1">
      <c r="A1599" s="67" t="s">
        <v>295</v>
      </c>
      <c r="B1599" s="68">
        <v>2029</v>
      </c>
      <c r="C1599" s="68">
        <v>2023</v>
      </c>
      <c r="D1599" s="68" t="s">
        <v>304</v>
      </c>
      <c r="E1599" s="68" t="s">
        <v>301</v>
      </c>
      <c r="F1599" s="68" t="s">
        <v>298</v>
      </c>
      <c r="G1599" s="68"/>
      <c r="H1599" s="68"/>
      <c r="I1599" s="69">
        <v>213799.29602000001</v>
      </c>
    </row>
    <row r="1600" spans="1:9" hidden="1">
      <c r="A1600" s="64" t="s">
        <v>295</v>
      </c>
      <c r="B1600" s="65">
        <v>2029</v>
      </c>
      <c r="C1600" s="65">
        <v>2023</v>
      </c>
      <c r="D1600" s="65" t="s">
        <v>304</v>
      </c>
      <c r="E1600" s="65" t="s">
        <v>301</v>
      </c>
      <c r="F1600" s="65" t="s">
        <v>40</v>
      </c>
      <c r="G1600" s="65"/>
      <c r="H1600" s="65"/>
      <c r="I1600" s="66">
        <v>280727.5405</v>
      </c>
    </row>
    <row r="1601" spans="1:9" hidden="1">
      <c r="A1601" s="67" t="s">
        <v>295</v>
      </c>
      <c r="B1601" s="68">
        <v>2029</v>
      </c>
      <c r="C1601" s="68">
        <v>2023</v>
      </c>
      <c r="D1601" s="68" t="s">
        <v>304</v>
      </c>
      <c r="E1601" s="68" t="s">
        <v>305</v>
      </c>
      <c r="F1601" s="68" t="s">
        <v>297</v>
      </c>
      <c r="G1601" s="68"/>
      <c r="H1601" s="68"/>
      <c r="I1601" s="69">
        <v>1074.71073</v>
      </c>
    </row>
    <row r="1602" spans="1:9" hidden="1">
      <c r="A1602" s="64" t="s">
        <v>295</v>
      </c>
      <c r="B1602" s="65">
        <v>2029</v>
      </c>
      <c r="C1602" s="65">
        <v>2023</v>
      </c>
      <c r="D1602" s="65" t="s">
        <v>304</v>
      </c>
      <c r="E1602" s="65" t="s">
        <v>305</v>
      </c>
      <c r="F1602" s="65" t="s">
        <v>298</v>
      </c>
      <c r="G1602" s="65"/>
      <c r="H1602" s="65"/>
      <c r="I1602" s="66">
        <v>732.8</v>
      </c>
    </row>
    <row r="1603" spans="1:9" hidden="1">
      <c r="A1603" s="67" t="s">
        <v>295</v>
      </c>
      <c r="B1603" s="68">
        <v>2029</v>
      </c>
      <c r="C1603" s="68">
        <v>2023</v>
      </c>
      <c r="D1603" s="68" t="s">
        <v>304</v>
      </c>
      <c r="E1603" s="68" t="s">
        <v>305</v>
      </c>
      <c r="F1603" s="68" t="s">
        <v>40</v>
      </c>
      <c r="G1603" s="68"/>
      <c r="H1603" s="68"/>
      <c r="I1603" s="69">
        <v>16101.310729999999</v>
      </c>
    </row>
    <row r="1604" spans="1:9" hidden="1">
      <c r="A1604" s="64" t="s">
        <v>295</v>
      </c>
      <c r="B1604" s="65">
        <v>2029</v>
      </c>
      <c r="C1604" s="65">
        <v>2023</v>
      </c>
      <c r="D1604" s="65" t="s">
        <v>306</v>
      </c>
      <c r="E1604" s="65" t="s">
        <v>294</v>
      </c>
      <c r="F1604" s="65" t="s">
        <v>297</v>
      </c>
      <c r="G1604" s="65"/>
      <c r="H1604" s="65"/>
      <c r="I1604" s="66">
        <v>361317.56761999999</v>
      </c>
    </row>
    <row r="1605" spans="1:9" hidden="1">
      <c r="A1605" s="67" t="s">
        <v>295</v>
      </c>
      <c r="B1605" s="68">
        <v>2029</v>
      </c>
      <c r="C1605" s="68">
        <v>2023</v>
      </c>
      <c r="D1605" s="68" t="s">
        <v>306</v>
      </c>
      <c r="E1605" s="68" t="s">
        <v>294</v>
      </c>
      <c r="F1605" s="68" t="s">
        <v>40</v>
      </c>
      <c r="G1605" s="68"/>
      <c r="H1605" s="68"/>
      <c r="I1605" s="69">
        <v>361317.56761999999</v>
      </c>
    </row>
    <row r="1606" spans="1:9" hidden="1">
      <c r="A1606" s="64" t="s">
        <v>295</v>
      </c>
      <c r="B1606" s="65">
        <v>2029</v>
      </c>
      <c r="C1606" s="65">
        <v>2023</v>
      </c>
      <c r="D1606" s="65" t="s">
        <v>306</v>
      </c>
      <c r="E1606" s="65" t="s">
        <v>301</v>
      </c>
      <c r="F1606" s="65" t="s">
        <v>297</v>
      </c>
      <c r="G1606" s="65"/>
      <c r="H1606" s="65"/>
      <c r="I1606" s="66">
        <v>374556.02823</v>
      </c>
    </row>
    <row r="1607" spans="1:9" hidden="1">
      <c r="A1607" s="67" t="s">
        <v>295</v>
      </c>
      <c r="B1607" s="68">
        <v>2029</v>
      </c>
      <c r="C1607" s="68">
        <v>2023</v>
      </c>
      <c r="D1607" s="68" t="s">
        <v>306</v>
      </c>
      <c r="E1607" s="68" t="s">
        <v>301</v>
      </c>
      <c r="F1607" s="68" t="s">
        <v>40</v>
      </c>
      <c r="G1607" s="68"/>
      <c r="H1607" s="68"/>
      <c r="I1607" s="69">
        <v>374556.02823</v>
      </c>
    </row>
    <row r="1608" spans="1:9" hidden="1">
      <c r="A1608" s="64" t="s">
        <v>295</v>
      </c>
      <c r="B1608" s="65">
        <v>2029</v>
      </c>
      <c r="C1608" s="65">
        <v>2023</v>
      </c>
      <c r="D1608" s="65" t="s">
        <v>306</v>
      </c>
      <c r="E1608" s="65" t="s">
        <v>305</v>
      </c>
      <c r="F1608" s="65" t="s">
        <v>297</v>
      </c>
      <c r="G1608" s="65"/>
      <c r="H1608" s="65"/>
      <c r="I1608" s="66">
        <v>2035.5524</v>
      </c>
    </row>
    <row r="1609" spans="1:9" hidden="1">
      <c r="A1609" s="67" t="s">
        <v>295</v>
      </c>
      <c r="B1609" s="68">
        <v>2029</v>
      </c>
      <c r="C1609" s="68">
        <v>2023</v>
      </c>
      <c r="D1609" s="68" t="s">
        <v>306</v>
      </c>
      <c r="E1609" s="68" t="s">
        <v>305</v>
      </c>
      <c r="F1609" s="68" t="s">
        <v>40</v>
      </c>
      <c r="G1609" s="68"/>
      <c r="H1609" s="68"/>
      <c r="I1609" s="69">
        <v>30051.3524</v>
      </c>
    </row>
    <row r="1610" spans="1:9" hidden="1">
      <c r="A1610" s="64" t="s">
        <v>295</v>
      </c>
      <c r="B1610" s="65">
        <v>2029</v>
      </c>
      <c r="C1610" s="65">
        <v>2023</v>
      </c>
      <c r="D1610" s="65" t="s">
        <v>307</v>
      </c>
      <c r="E1610" s="65" t="s">
        <v>294</v>
      </c>
      <c r="F1610" s="65" t="s">
        <v>40</v>
      </c>
      <c r="G1610" s="65"/>
      <c r="H1610" s="65"/>
      <c r="I1610" s="66">
        <v>-257437.96617999999</v>
      </c>
    </row>
    <row r="1611" spans="1:9" hidden="1">
      <c r="A1611" s="67" t="s">
        <v>295</v>
      </c>
      <c r="B1611" s="68">
        <v>2029</v>
      </c>
      <c r="C1611" s="68">
        <v>2023</v>
      </c>
      <c r="D1611" s="68" t="s">
        <v>307</v>
      </c>
      <c r="E1611" s="68" t="s">
        <v>301</v>
      </c>
      <c r="F1611" s="68" t="s">
        <v>40</v>
      </c>
      <c r="G1611" s="68"/>
      <c r="H1611" s="68"/>
      <c r="I1611" s="69">
        <v>-237860.40281</v>
      </c>
    </row>
    <row r="1612" spans="1:9" hidden="1">
      <c r="A1612" s="64" t="s">
        <v>295</v>
      </c>
      <c r="B1612" s="65">
        <v>2029</v>
      </c>
      <c r="C1612" s="65">
        <v>2023</v>
      </c>
      <c r="D1612" s="65" t="s">
        <v>307</v>
      </c>
      <c r="E1612" s="65" t="s">
        <v>305</v>
      </c>
      <c r="F1612" s="65" t="s">
        <v>40</v>
      </c>
      <c r="G1612" s="65"/>
      <c r="H1612" s="65"/>
      <c r="I1612" s="66">
        <v>-19633.93405</v>
      </c>
    </row>
    <row r="1613" spans="1:9" hidden="1">
      <c r="A1613" s="67" t="s">
        <v>295</v>
      </c>
      <c r="B1613" s="68">
        <v>2029</v>
      </c>
      <c r="C1613" s="68">
        <v>2023</v>
      </c>
      <c r="D1613" s="68" t="s">
        <v>327</v>
      </c>
      <c r="E1613" s="68" t="s">
        <v>294</v>
      </c>
      <c r="F1613" s="68" t="s">
        <v>40</v>
      </c>
      <c r="G1613" s="68"/>
      <c r="H1613" s="68"/>
      <c r="I1613" s="69">
        <v>-316930.69644000003</v>
      </c>
    </row>
    <row r="1614" spans="1:9" hidden="1">
      <c r="A1614" s="64" t="s">
        <v>295</v>
      </c>
      <c r="B1614" s="65">
        <v>2029</v>
      </c>
      <c r="C1614" s="65">
        <v>2023</v>
      </c>
      <c r="D1614" s="65" t="s">
        <v>327</v>
      </c>
      <c r="E1614" s="65" t="s">
        <v>301</v>
      </c>
      <c r="F1614" s="65" t="s">
        <v>40</v>
      </c>
      <c r="G1614" s="65"/>
      <c r="H1614" s="65"/>
      <c r="I1614" s="66">
        <v>-304820.21003000002</v>
      </c>
    </row>
    <row r="1615" spans="1:9" hidden="1">
      <c r="A1615" s="67" t="s">
        <v>295</v>
      </c>
      <c r="B1615" s="68">
        <v>2029</v>
      </c>
      <c r="C1615" s="68">
        <v>2023</v>
      </c>
      <c r="D1615" s="68" t="s">
        <v>327</v>
      </c>
      <c r="E1615" s="68" t="s">
        <v>305</v>
      </c>
      <c r="F1615" s="68" t="s">
        <v>40</v>
      </c>
      <c r="G1615" s="68"/>
      <c r="H1615" s="68"/>
      <c r="I1615" s="69">
        <v>-20520.523270000002</v>
      </c>
    </row>
    <row r="1616" spans="1:9" hidden="1">
      <c r="A1616" s="64" t="s">
        <v>295</v>
      </c>
      <c r="B1616" s="65">
        <v>2029</v>
      </c>
      <c r="C1616" s="65">
        <v>2023</v>
      </c>
      <c r="D1616" s="65" t="s">
        <v>328</v>
      </c>
      <c r="E1616" s="65" t="s">
        <v>294</v>
      </c>
      <c r="F1616" s="65" t="s">
        <v>40</v>
      </c>
      <c r="G1616" s="65"/>
      <c r="H1616" s="65"/>
      <c r="I1616" s="66">
        <v>31650.04219</v>
      </c>
    </row>
    <row r="1617" spans="1:9" hidden="1">
      <c r="A1617" s="67" t="s">
        <v>295</v>
      </c>
      <c r="B1617" s="68">
        <v>2029</v>
      </c>
      <c r="C1617" s="68">
        <v>2023</v>
      </c>
      <c r="D1617" s="68" t="s">
        <v>328</v>
      </c>
      <c r="E1617" s="68" t="s">
        <v>301</v>
      </c>
      <c r="F1617" s="68" t="s">
        <v>40</v>
      </c>
      <c r="G1617" s="68"/>
      <c r="H1617" s="68"/>
      <c r="I1617" s="69">
        <v>36004.239670000003</v>
      </c>
    </row>
    <row r="1618" spans="1:9" hidden="1">
      <c r="A1618" s="64" t="s">
        <v>295</v>
      </c>
      <c r="B1618" s="65">
        <v>2029</v>
      </c>
      <c r="C1618" s="65">
        <v>2023</v>
      </c>
      <c r="D1618" s="65" t="s">
        <v>328</v>
      </c>
      <c r="E1618" s="65" t="s">
        <v>305</v>
      </c>
      <c r="F1618" s="65" t="s">
        <v>40</v>
      </c>
      <c r="G1618" s="65"/>
      <c r="H1618" s="65"/>
      <c r="I1618" s="66">
        <v>-2341.4953799999998</v>
      </c>
    </row>
    <row r="1619" spans="1:9" hidden="1">
      <c r="A1619" s="67" t="s">
        <v>295</v>
      </c>
      <c r="B1619" s="68">
        <v>2029</v>
      </c>
      <c r="C1619" s="68">
        <v>2023</v>
      </c>
      <c r="D1619" s="68" t="s">
        <v>329</v>
      </c>
      <c r="E1619" s="68" t="s">
        <v>294</v>
      </c>
      <c r="F1619" s="68" t="s">
        <v>40</v>
      </c>
      <c r="G1619" s="68"/>
      <c r="H1619" s="68"/>
      <c r="I1619" s="69">
        <v>14002.27007</v>
      </c>
    </row>
    <row r="1620" spans="1:9" hidden="1">
      <c r="A1620" s="64" t="s">
        <v>295</v>
      </c>
      <c r="B1620" s="65">
        <v>2029</v>
      </c>
      <c r="C1620" s="65">
        <v>2023</v>
      </c>
      <c r="D1620" s="65" t="s">
        <v>329</v>
      </c>
      <c r="E1620" s="65" t="s">
        <v>301</v>
      </c>
      <c r="F1620" s="65" t="s">
        <v>40</v>
      </c>
      <c r="G1620" s="65"/>
      <c r="H1620" s="65"/>
      <c r="I1620" s="66">
        <v>15110.1381</v>
      </c>
    </row>
    <row r="1621" spans="1:9" hidden="1">
      <c r="A1621" s="67" t="s">
        <v>295</v>
      </c>
      <c r="B1621" s="68">
        <v>2029</v>
      </c>
      <c r="C1621" s="68">
        <v>2023</v>
      </c>
      <c r="D1621" s="68" t="s">
        <v>329</v>
      </c>
      <c r="E1621" s="68" t="s">
        <v>305</v>
      </c>
      <c r="F1621" s="68" t="s">
        <v>40</v>
      </c>
      <c r="G1621" s="68"/>
      <c r="H1621" s="68"/>
      <c r="I1621" s="69">
        <v>1671.8790200000001</v>
      </c>
    </row>
    <row r="1622" spans="1:9" hidden="1">
      <c r="A1622" s="64" t="s">
        <v>295</v>
      </c>
      <c r="B1622" s="65">
        <v>2029</v>
      </c>
      <c r="C1622" s="65">
        <v>2023</v>
      </c>
      <c r="D1622" s="65" t="s">
        <v>330</v>
      </c>
      <c r="E1622" s="65" t="s">
        <v>294</v>
      </c>
      <c r="F1622" s="65" t="s">
        <v>40</v>
      </c>
      <c r="G1622" s="65"/>
      <c r="H1622" s="65"/>
      <c r="I1622" s="66">
        <v>13742.33202</v>
      </c>
    </row>
    <row r="1623" spans="1:9" hidden="1">
      <c r="A1623" s="67" t="s">
        <v>295</v>
      </c>
      <c r="B1623" s="68">
        <v>2029</v>
      </c>
      <c r="C1623" s="68">
        <v>2023</v>
      </c>
      <c r="D1623" s="68" t="s">
        <v>330</v>
      </c>
      <c r="E1623" s="68" t="s">
        <v>301</v>
      </c>
      <c r="F1623" s="68" t="s">
        <v>40</v>
      </c>
      <c r="G1623" s="68"/>
      <c r="H1623" s="68"/>
      <c r="I1623" s="69">
        <v>14388.06458</v>
      </c>
    </row>
    <row r="1624" spans="1:9" hidden="1">
      <c r="A1624" s="64" t="s">
        <v>295</v>
      </c>
      <c r="B1624" s="65">
        <v>2029</v>
      </c>
      <c r="C1624" s="65">
        <v>2023</v>
      </c>
      <c r="D1624" s="65" t="s">
        <v>330</v>
      </c>
      <c r="E1624" s="65" t="s">
        <v>305</v>
      </c>
      <c r="F1624" s="65" t="s">
        <v>40</v>
      </c>
      <c r="G1624" s="65"/>
      <c r="H1624" s="65"/>
      <c r="I1624" s="66">
        <v>767.08648000000005</v>
      </c>
    </row>
    <row r="1625" spans="1:9" hidden="1">
      <c r="A1625" s="67" t="s">
        <v>295</v>
      </c>
      <c r="B1625" s="68">
        <v>2029</v>
      </c>
      <c r="C1625" s="68">
        <v>2023</v>
      </c>
      <c r="D1625" s="68" t="s">
        <v>331</v>
      </c>
      <c r="E1625" s="68" t="s">
        <v>294</v>
      </c>
      <c r="F1625" s="68" t="s">
        <v>40</v>
      </c>
      <c r="G1625" s="68"/>
      <c r="H1625" s="68"/>
      <c r="I1625" s="69">
        <v>33553.82819</v>
      </c>
    </row>
    <row r="1626" spans="1:9" hidden="1">
      <c r="A1626" s="64" t="s">
        <v>295</v>
      </c>
      <c r="B1626" s="65">
        <v>2029</v>
      </c>
      <c r="C1626" s="65">
        <v>2023</v>
      </c>
      <c r="D1626" s="65" t="s">
        <v>331</v>
      </c>
      <c r="E1626" s="65" t="s">
        <v>301</v>
      </c>
      <c r="F1626" s="65" t="s">
        <v>40</v>
      </c>
      <c r="G1626" s="65"/>
      <c r="H1626" s="65"/>
      <c r="I1626" s="66">
        <v>34263.802880000003</v>
      </c>
    </row>
    <row r="1627" spans="1:9" hidden="1">
      <c r="A1627" s="67" t="s">
        <v>295</v>
      </c>
      <c r="B1627" s="68">
        <v>2029</v>
      </c>
      <c r="C1627" s="68">
        <v>2023</v>
      </c>
      <c r="D1627" s="68" t="s">
        <v>331</v>
      </c>
      <c r="E1627" s="68" t="s">
        <v>305</v>
      </c>
      <c r="F1627" s="68" t="s">
        <v>40</v>
      </c>
      <c r="G1627" s="68"/>
      <c r="H1627" s="68"/>
      <c r="I1627" s="69">
        <v>2836.55827</v>
      </c>
    </row>
    <row r="1628" spans="1:9" hidden="1">
      <c r="A1628" s="64" t="s">
        <v>295</v>
      </c>
      <c r="B1628" s="65">
        <v>2029</v>
      </c>
      <c r="C1628" s="65">
        <v>2023</v>
      </c>
      <c r="D1628" s="65" t="s">
        <v>332</v>
      </c>
      <c r="E1628" s="65" t="s">
        <v>294</v>
      </c>
      <c r="F1628" s="65" t="s">
        <v>40</v>
      </c>
      <c r="G1628" s="65"/>
      <c r="H1628" s="65"/>
      <c r="I1628" s="66">
        <v>582.50070000000005</v>
      </c>
    </row>
    <row r="1629" spans="1:9" hidden="1">
      <c r="A1629" s="67" t="s">
        <v>295</v>
      </c>
      <c r="B1629" s="68">
        <v>2029</v>
      </c>
      <c r="C1629" s="68">
        <v>2023</v>
      </c>
      <c r="D1629" s="68" t="s">
        <v>332</v>
      </c>
      <c r="E1629" s="68" t="s">
        <v>301</v>
      </c>
      <c r="F1629" s="68" t="s">
        <v>40</v>
      </c>
      <c r="G1629" s="68"/>
      <c r="H1629" s="68"/>
      <c r="I1629" s="69">
        <v>494.09246000000007</v>
      </c>
    </row>
    <row r="1630" spans="1:9" hidden="1">
      <c r="A1630" s="64" t="s">
        <v>295</v>
      </c>
      <c r="B1630" s="65">
        <v>2029</v>
      </c>
      <c r="C1630" s="65">
        <v>2023</v>
      </c>
      <c r="D1630" s="65" t="s">
        <v>332</v>
      </c>
      <c r="E1630" s="65" t="s">
        <v>305</v>
      </c>
      <c r="F1630" s="65" t="s">
        <v>40</v>
      </c>
      <c r="G1630" s="65"/>
      <c r="H1630" s="65"/>
      <c r="I1630" s="66">
        <v>245.82084</v>
      </c>
    </row>
    <row r="1631" spans="1:9" hidden="1">
      <c r="A1631" s="67" t="s">
        <v>295</v>
      </c>
      <c r="B1631" s="68">
        <v>2029</v>
      </c>
      <c r="C1631" s="68">
        <v>2023</v>
      </c>
      <c r="D1631" s="68" t="s">
        <v>333</v>
      </c>
      <c r="E1631" s="68" t="s">
        <v>294</v>
      </c>
      <c r="F1631" s="68" t="s">
        <v>40</v>
      </c>
      <c r="G1631" s="68"/>
      <c r="H1631" s="68"/>
      <c r="I1631" s="69">
        <v>-33809.241199999997</v>
      </c>
    </row>
    <row r="1632" spans="1:9" hidden="1">
      <c r="A1632" s="64" t="s">
        <v>295</v>
      </c>
      <c r="B1632" s="65">
        <v>2029</v>
      </c>
      <c r="C1632" s="65">
        <v>2023</v>
      </c>
      <c r="D1632" s="65" t="s">
        <v>333</v>
      </c>
      <c r="E1632" s="65" t="s">
        <v>301</v>
      </c>
      <c r="F1632" s="65" t="s">
        <v>40</v>
      </c>
      <c r="G1632" s="65"/>
      <c r="H1632" s="65"/>
      <c r="I1632" s="66">
        <v>-33556.468780000003</v>
      </c>
    </row>
    <row r="1633" spans="1:9" hidden="1">
      <c r="A1633" s="67" t="s">
        <v>295</v>
      </c>
      <c r="B1633" s="68">
        <v>2029</v>
      </c>
      <c r="C1633" s="68">
        <v>2023</v>
      </c>
      <c r="D1633" s="68" t="s">
        <v>333</v>
      </c>
      <c r="E1633" s="68" t="s">
        <v>305</v>
      </c>
      <c r="F1633" s="68" t="s">
        <v>40</v>
      </c>
      <c r="G1633" s="68"/>
      <c r="H1633" s="68"/>
      <c r="I1633" s="69">
        <v>-2293.36</v>
      </c>
    </row>
    <row r="1634" spans="1:9" hidden="1">
      <c r="A1634" s="64" t="s">
        <v>295</v>
      </c>
      <c r="B1634" s="65">
        <v>2029</v>
      </c>
      <c r="C1634" s="65">
        <v>2023</v>
      </c>
      <c r="D1634" s="65" t="s">
        <v>334</v>
      </c>
      <c r="E1634" s="65" t="s">
        <v>294</v>
      </c>
      <c r="F1634" s="65" t="s">
        <v>40</v>
      </c>
      <c r="G1634" s="65"/>
      <c r="H1634" s="65"/>
      <c r="I1634" s="66">
        <v>255.857</v>
      </c>
    </row>
    <row r="1635" spans="1:9" hidden="1">
      <c r="A1635" s="67" t="s">
        <v>295</v>
      </c>
      <c r="B1635" s="68">
        <v>2029</v>
      </c>
      <c r="C1635" s="68">
        <v>2023</v>
      </c>
      <c r="D1635" s="68" t="s">
        <v>334</v>
      </c>
      <c r="E1635" s="68" t="s">
        <v>301</v>
      </c>
      <c r="F1635" s="68" t="s">
        <v>40</v>
      </c>
      <c r="G1635" s="68"/>
      <c r="H1635" s="68"/>
      <c r="I1635" s="69">
        <v>255.857</v>
      </c>
    </row>
    <row r="1636" spans="1:9" hidden="1">
      <c r="A1636" s="64" t="s">
        <v>295</v>
      </c>
      <c r="B1636" s="65">
        <v>2029</v>
      </c>
      <c r="C1636" s="65">
        <v>2023</v>
      </c>
      <c r="D1636" s="65" t="s">
        <v>308</v>
      </c>
      <c r="E1636" s="65" t="s">
        <v>294</v>
      </c>
      <c r="F1636" s="65" t="s">
        <v>297</v>
      </c>
      <c r="G1636" s="65"/>
      <c r="H1636" s="65"/>
      <c r="I1636" s="66">
        <v>94197.792960000006</v>
      </c>
    </row>
    <row r="1637" spans="1:9" hidden="1">
      <c r="A1637" s="67" t="s">
        <v>295</v>
      </c>
      <c r="B1637" s="68">
        <v>2029</v>
      </c>
      <c r="C1637" s="68">
        <v>2023</v>
      </c>
      <c r="D1637" s="68" t="s">
        <v>308</v>
      </c>
      <c r="E1637" s="68" t="s">
        <v>294</v>
      </c>
      <c r="F1637" s="68" t="s">
        <v>298</v>
      </c>
      <c r="G1637" s="68"/>
      <c r="H1637" s="68"/>
      <c r="I1637" s="69">
        <v>261.24754000000001</v>
      </c>
    </row>
    <row r="1638" spans="1:9" hidden="1">
      <c r="A1638" s="64" t="s">
        <v>295</v>
      </c>
      <c r="B1638" s="65">
        <v>2029</v>
      </c>
      <c r="C1638" s="65">
        <v>2023</v>
      </c>
      <c r="D1638" s="65" t="s">
        <v>308</v>
      </c>
      <c r="E1638" s="65" t="s">
        <v>294</v>
      </c>
      <c r="F1638" s="65" t="s">
        <v>40</v>
      </c>
      <c r="G1638" s="65"/>
      <c r="H1638" s="65"/>
      <c r="I1638" s="66">
        <v>94459.040500000003</v>
      </c>
    </row>
    <row r="1639" spans="1:9" hidden="1">
      <c r="A1639" s="67" t="s">
        <v>295</v>
      </c>
      <c r="B1639" s="68">
        <v>2029</v>
      </c>
      <c r="C1639" s="68">
        <v>2023</v>
      </c>
      <c r="D1639" s="68" t="s">
        <v>308</v>
      </c>
      <c r="E1639" s="68" t="s">
        <v>301</v>
      </c>
      <c r="F1639" s="68" t="s">
        <v>297</v>
      </c>
      <c r="G1639" s="68"/>
      <c r="H1639" s="68"/>
      <c r="I1639" s="69">
        <v>95175.607040000003</v>
      </c>
    </row>
    <row r="1640" spans="1:9" hidden="1">
      <c r="A1640" s="64" t="s">
        <v>295</v>
      </c>
      <c r="B1640" s="65">
        <v>2029</v>
      </c>
      <c r="C1640" s="65">
        <v>2023</v>
      </c>
      <c r="D1640" s="65" t="s">
        <v>308</v>
      </c>
      <c r="E1640" s="65" t="s">
        <v>301</v>
      </c>
      <c r="F1640" s="65" t="s">
        <v>298</v>
      </c>
      <c r="G1640" s="65"/>
      <c r="H1640" s="65"/>
      <c r="I1640" s="66">
        <v>261.24754000000001</v>
      </c>
    </row>
    <row r="1641" spans="1:9" hidden="1">
      <c r="A1641" s="67" t="s">
        <v>295</v>
      </c>
      <c r="B1641" s="68">
        <v>2029</v>
      </c>
      <c r="C1641" s="68">
        <v>2023</v>
      </c>
      <c r="D1641" s="68" t="s">
        <v>308</v>
      </c>
      <c r="E1641" s="68" t="s">
        <v>301</v>
      </c>
      <c r="F1641" s="68" t="s">
        <v>40</v>
      </c>
      <c r="G1641" s="68"/>
      <c r="H1641" s="68"/>
      <c r="I1641" s="69">
        <v>95436.854579999999</v>
      </c>
    </row>
    <row r="1642" spans="1:9" hidden="1">
      <c r="A1642" s="64" t="s">
        <v>295</v>
      </c>
      <c r="B1642" s="65">
        <v>2029</v>
      </c>
      <c r="C1642" s="65">
        <v>2023</v>
      </c>
      <c r="D1642" s="65" t="s">
        <v>308</v>
      </c>
      <c r="E1642" s="65" t="s">
        <v>305</v>
      </c>
      <c r="F1642" s="65" t="s">
        <v>297</v>
      </c>
      <c r="G1642" s="65"/>
      <c r="H1642" s="65"/>
      <c r="I1642" s="66">
        <v>1601.89077</v>
      </c>
    </row>
    <row r="1643" spans="1:9" hidden="1">
      <c r="A1643" s="67" t="s">
        <v>295</v>
      </c>
      <c r="B1643" s="68">
        <v>2029</v>
      </c>
      <c r="C1643" s="68">
        <v>2023</v>
      </c>
      <c r="D1643" s="68" t="s">
        <v>308</v>
      </c>
      <c r="E1643" s="68" t="s">
        <v>305</v>
      </c>
      <c r="F1643" s="68" t="s">
        <v>40</v>
      </c>
      <c r="G1643" s="68"/>
      <c r="H1643" s="68"/>
      <c r="I1643" s="69">
        <v>10573.39077</v>
      </c>
    </row>
    <row r="1644" spans="1:9" hidden="1">
      <c r="A1644" s="64" t="s">
        <v>295</v>
      </c>
      <c r="B1644" s="65">
        <v>2029</v>
      </c>
      <c r="C1644" s="65">
        <v>2023</v>
      </c>
      <c r="D1644" s="65" t="s">
        <v>310</v>
      </c>
      <c r="E1644" s="65" t="s">
        <v>294</v>
      </c>
      <c r="F1644" s="65" t="s">
        <v>297</v>
      </c>
      <c r="G1644" s="65"/>
      <c r="H1644" s="65"/>
      <c r="I1644" s="66">
        <v>129.6</v>
      </c>
    </row>
    <row r="1645" spans="1:9" hidden="1">
      <c r="A1645" s="67" t="s">
        <v>295</v>
      </c>
      <c r="B1645" s="68">
        <v>2029</v>
      </c>
      <c r="C1645" s="68">
        <v>2023</v>
      </c>
      <c r="D1645" s="68" t="s">
        <v>310</v>
      </c>
      <c r="E1645" s="68" t="s">
        <v>294</v>
      </c>
      <c r="F1645" s="68" t="s">
        <v>40</v>
      </c>
      <c r="G1645" s="68"/>
      <c r="H1645" s="68"/>
      <c r="I1645" s="69">
        <v>116801.684882659</v>
      </c>
    </row>
    <row r="1646" spans="1:9" hidden="1">
      <c r="A1646" s="64" t="s">
        <v>295</v>
      </c>
      <c r="B1646" s="65">
        <v>2029</v>
      </c>
      <c r="C1646" s="65">
        <v>2023</v>
      </c>
      <c r="D1646" s="65" t="s">
        <v>310</v>
      </c>
      <c r="E1646" s="65" t="s">
        <v>301</v>
      </c>
      <c r="F1646" s="65" t="s">
        <v>297</v>
      </c>
      <c r="G1646" s="65"/>
      <c r="H1646" s="65"/>
      <c r="I1646" s="66">
        <v>129.6</v>
      </c>
    </row>
    <row r="1647" spans="1:9" hidden="1">
      <c r="A1647" s="67" t="s">
        <v>295</v>
      </c>
      <c r="B1647" s="68">
        <v>2029</v>
      </c>
      <c r="C1647" s="68">
        <v>2023</v>
      </c>
      <c r="D1647" s="68" t="s">
        <v>310</v>
      </c>
      <c r="E1647" s="68" t="s">
        <v>301</v>
      </c>
      <c r="F1647" s="68" t="s">
        <v>40</v>
      </c>
      <c r="G1647" s="68"/>
      <c r="H1647" s="68"/>
      <c r="I1647" s="69">
        <v>121765.80152265901</v>
      </c>
    </row>
    <row r="1648" spans="1:9" hidden="1">
      <c r="A1648" s="64" t="s">
        <v>295</v>
      </c>
      <c r="B1648" s="65">
        <v>2029</v>
      </c>
      <c r="C1648" s="65">
        <v>2023</v>
      </c>
      <c r="D1648" s="65" t="s">
        <v>310</v>
      </c>
      <c r="E1648" s="65" t="s">
        <v>305</v>
      </c>
      <c r="F1648" s="65" t="s">
        <v>40</v>
      </c>
      <c r="G1648" s="65"/>
      <c r="H1648" s="65"/>
      <c r="I1648" s="66">
        <v>1001.54068</v>
      </c>
    </row>
    <row r="1649" spans="1:9" hidden="1">
      <c r="A1649" s="67" t="s">
        <v>295</v>
      </c>
      <c r="B1649" s="68">
        <v>2029</v>
      </c>
      <c r="C1649" s="68">
        <v>2023</v>
      </c>
      <c r="D1649" s="68" t="s">
        <v>311</v>
      </c>
      <c r="E1649" s="68" t="s">
        <v>294</v>
      </c>
      <c r="F1649" s="68" t="s">
        <v>297</v>
      </c>
      <c r="G1649" s="68"/>
      <c r="H1649" s="68"/>
      <c r="I1649" s="69">
        <v>644</v>
      </c>
    </row>
    <row r="1650" spans="1:9" hidden="1">
      <c r="A1650" s="64" t="s">
        <v>295</v>
      </c>
      <c r="B1650" s="65">
        <v>2029</v>
      </c>
      <c r="C1650" s="65">
        <v>2023</v>
      </c>
      <c r="D1650" s="65" t="s">
        <v>311</v>
      </c>
      <c r="E1650" s="65" t="s">
        <v>294</v>
      </c>
      <c r="F1650" s="65" t="s">
        <v>40</v>
      </c>
      <c r="G1650" s="65"/>
      <c r="H1650" s="65"/>
      <c r="I1650" s="66">
        <v>137661.73571389701</v>
      </c>
    </row>
    <row r="1651" spans="1:9" hidden="1">
      <c r="A1651" s="67" t="s">
        <v>295</v>
      </c>
      <c r="B1651" s="68">
        <v>2029</v>
      </c>
      <c r="C1651" s="68">
        <v>2023</v>
      </c>
      <c r="D1651" s="68" t="s">
        <v>311</v>
      </c>
      <c r="E1651" s="68" t="s">
        <v>301</v>
      </c>
      <c r="F1651" s="68" t="s">
        <v>297</v>
      </c>
      <c r="G1651" s="68"/>
      <c r="H1651" s="68"/>
      <c r="I1651" s="69">
        <v>644</v>
      </c>
    </row>
    <row r="1652" spans="1:9" hidden="1">
      <c r="A1652" s="64" t="s">
        <v>295</v>
      </c>
      <c r="B1652" s="65">
        <v>2029</v>
      </c>
      <c r="C1652" s="65">
        <v>2023</v>
      </c>
      <c r="D1652" s="65" t="s">
        <v>311</v>
      </c>
      <c r="E1652" s="65" t="s">
        <v>301</v>
      </c>
      <c r="F1652" s="65" t="s">
        <v>40</v>
      </c>
      <c r="G1652" s="65"/>
      <c r="H1652" s="65"/>
      <c r="I1652" s="66">
        <v>139414.033963897</v>
      </c>
    </row>
    <row r="1653" spans="1:9" hidden="1">
      <c r="A1653" s="67" t="s">
        <v>295</v>
      </c>
      <c r="B1653" s="68">
        <v>2029</v>
      </c>
      <c r="C1653" s="68">
        <v>2023</v>
      </c>
      <c r="D1653" s="68" t="s">
        <v>311</v>
      </c>
      <c r="E1653" s="68" t="s">
        <v>305</v>
      </c>
      <c r="F1653" s="68" t="s">
        <v>40</v>
      </c>
      <c r="G1653" s="68"/>
      <c r="H1653" s="68"/>
      <c r="I1653" s="69">
        <v>749.3</v>
      </c>
    </row>
    <row r="1654" spans="1:9" hidden="1">
      <c r="A1654" s="64" t="s">
        <v>295</v>
      </c>
      <c r="B1654" s="65">
        <v>2029</v>
      </c>
      <c r="C1654" s="65">
        <v>2023</v>
      </c>
      <c r="D1654" s="65" t="s">
        <v>312</v>
      </c>
      <c r="E1654" s="65" t="s">
        <v>294</v>
      </c>
      <c r="F1654" s="65" t="s">
        <v>297</v>
      </c>
      <c r="G1654" s="65"/>
      <c r="H1654" s="65"/>
      <c r="I1654" s="66">
        <v>735.51414</v>
      </c>
    </row>
    <row r="1655" spans="1:9" hidden="1">
      <c r="A1655" s="67" t="s">
        <v>295</v>
      </c>
      <c r="B1655" s="68">
        <v>2029</v>
      </c>
      <c r="C1655" s="68">
        <v>2023</v>
      </c>
      <c r="D1655" s="68" t="s">
        <v>312</v>
      </c>
      <c r="E1655" s="68" t="s">
        <v>294</v>
      </c>
      <c r="F1655" s="68" t="s">
        <v>40</v>
      </c>
      <c r="G1655" s="68"/>
      <c r="H1655" s="68"/>
      <c r="I1655" s="69">
        <v>879.41413999999997</v>
      </c>
    </row>
    <row r="1656" spans="1:9" hidden="1">
      <c r="A1656" s="64" t="s">
        <v>295</v>
      </c>
      <c r="B1656" s="65">
        <v>2029</v>
      </c>
      <c r="C1656" s="65">
        <v>2023</v>
      </c>
      <c r="D1656" s="65" t="s">
        <v>312</v>
      </c>
      <c r="E1656" s="65" t="s">
        <v>301</v>
      </c>
      <c r="F1656" s="65" t="s">
        <v>297</v>
      </c>
      <c r="G1656" s="65"/>
      <c r="H1656" s="65"/>
      <c r="I1656" s="66">
        <v>736.11617000000001</v>
      </c>
    </row>
    <row r="1657" spans="1:9" hidden="1">
      <c r="A1657" s="67" t="s">
        <v>295</v>
      </c>
      <c r="B1657" s="68">
        <v>2029</v>
      </c>
      <c r="C1657" s="68">
        <v>2023</v>
      </c>
      <c r="D1657" s="68" t="s">
        <v>312</v>
      </c>
      <c r="E1657" s="68" t="s">
        <v>301</v>
      </c>
      <c r="F1657" s="68" t="s">
        <v>40</v>
      </c>
      <c r="G1657" s="68"/>
      <c r="H1657" s="68"/>
      <c r="I1657" s="69">
        <v>880.01616999999999</v>
      </c>
    </row>
    <row r="1658" spans="1:9" hidden="1">
      <c r="A1658" s="64" t="s">
        <v>295</v>
      </c>
      <c r="B1658" s="65">
        <v>2029</v>
      </c>
      <c r="C1658" s="65">
        <v>2023</v>
      </c>
      <c r="D1658" s="65" t="s">
        <v>313</v>
      </c>
      <c r="E1658" s="65" t="s">
        <v>294</v>
      </c>
      <c r="F1658" s="65" t="s">
        <v>297</v>
      </c>
      <c r="G1658" s="65"/>
      <c r="H1658" s="65"/>
      <c r="I1658" s="66">
        <v>1774420.18674</v>
      </c>
    </row>
    <row r="1659" spans="1:9" hidden="1">
      <c r="A1659" s="67" t="s">
        <v>295</v>
      </c>
      <c r="B1659" s="68">
        <v>2029</v>
      </c>
      <c r="C1659" s="68">
        <v>2023</v>
      </c>
      <c r="D1659" s="68" t="s">
        <v>313</v>
      </c>
      <c r="E1659" s="68" t="s">
        <v>294</v>
      </c>
      <c r="F1659" s="68" t="s">
        <v>298</v>
      </c>
      <c r="G1659" s="68"/>
      <c r="H1659" s="68"/>
      <c r="I1659" s="69">
        <v>880815.89534000005</v>
      </c>
    </row>
    <row r="1660" spans="1:9" hidden="1">
      <c r="A1660" s="64" t="s">
        <v>295</v>
      </c>
      <c r="B1660" s="65">
        <v>2029</v>
      </c>
      <c r="C1660" s="65">
        <v>2023</v>
      </c>
      <c r="D1660" s="65" t="s">
        <v>313</v>
      </c>
      <c r="E1660" s="65" t="s">
        <v>294</v>
      </c>
      <c r="F1660" s="65" t="s">
        <v>40</v>
      </c>
      <c r="G1660" s="65"/>
      <c r="H1660" s="65"/>
      <c r="I1660" s="66">
        <v>2671922.8937499998</v>
      </c>
    </row>
    <row r="1661" spans="1:9" hidden="1">
      <c r="A1661" s="67" t="s">
        <v>295</v>
      </c>
      <c r="B1661" s="68">
        <v>2029</v>
      </c>
      <c r="C1661" s="68">
        <v>2023</v>
      </c>
      <c r="D1661" s="68" t="s">
        <v>313</v>
      </c>
      <c r="E1661" s="68" t="s">
        <v>301</v>
      </c>
      <c r="F1661" s="68" t="s">
        <v>297</v>
      </c>
      <c r="G1661" s="68"/>
      <c r="H1661" s="68"/>
      <c r="I1661" s="69">
        <v>1888011.5862400001</v>
      </c>
    </row>
    <row r="1662" spans="1:9" hidden="1">
      <c r="A1662" s="64" t="s">
        <v>295</v>
      </c>
      <c r="B1662" s="65">
        <v>2029</v>
      </c>
      <c r="C1662" s="65">
        <v>2023</v>
      </c>
      <c r="D1662" s="65" t="s">
        <v>313</v>
      </c>
      <c r="E1662" s="65" t="s">
        <v>301</v>
      </c>
      <c r="F1662" s="65" t="s">
        <v>298</v>
      </c>
      <c r="G1662" s="65"/>
      <c r="H1662" s="65"/>
      <c r="I1662" s="66">
        <v>963571.18428000004</v>
      </c>
    </row>
    <row r="1663" spans="1:9" hidden="1">
      <c r="A1663" s="67" t="s">
        <v>295</v>
      </c>
      <c r="B1663" s="68">
        <v>2029</v>
      </c>
      <c r="C1663" s="68">
        <v>2023</v>
      </c>
      <c r="D1663" s="68" t="s">
        <v>313</v>
      </c>
      <c r="E1663" s="68" t="s">
        <v>301</v>
      </c>
      <c r="F1663" s="68" t="s">
        <v>40</v>
      </c>
      <c r="G1663" s="68"/>
      <c r="H1663" s="68"/>
      <c r="I1663" s="69">
        <v>2869561.3485900001</v>
      </c>
    </row>
    <row r="1664" spans="1:9" hidden="1">
      <c r="A1664" s="64" t="s">
        <v>295</v>
      </c>
      <c r="B1664" s="65">
        <v>2029</v>
      </c>
      <c r="C1664" s="65">
        <v>2023</v>
      </c>
      <c r="D1664" s="65" t="s">
        <v>313</v>
      </c>
      <c r="E1664" s="65" t="s">
        <v>305</v>
      </c>
      <c r="F1664" s="65" t="s">
        <v>297</v>
      </c>
      <c r="G1664" s="65"/>
      <c r="H1664" s="65"/>
      <c r="I1664" s="66">
        <v>15675.690199999999</v>
      </c>
    </row>
    <row r="1665" spans="1:9" hidden="1">
      <c r="A1665" s="67" t="s">
        <v>295</v>
      </c>
      <c r="B1665" s="68">
        <v>2029</v>
      </c>
      <c r="C1665" s="68">
        <v>2023</v>
      </c>
      <c r="D1665" s="68" t="s">
        <v>313</v>
      </c>
      <c r="E1665" s="68" t="s">
        <v>305</v>
      </c>
      <c r="F1665" s="68" t="s">
        <v>298</v>
      </c>
      <c r="G1665" s="68"/>
      <c r="H1665" s="68"/>
      <c r="I1665" s="69">
        <v>9236.7827100000013</v>
      </c>
    </row>
    <row r="1666" spans="1:9" hidden="1">
      <c r="A1666" s="64" t="s">
        <v>295</v>
      </c>
      <c r="B1666" s="65">
        <v>2029</v>
      </c>
      <c r="C1666" s="65">
        <v>2023</v>
      </c>
      <c r="D1666" s="65" t="s">
        <v>313</v>
      </c>
      <c r="E1666" s="65" t="s">
        <v>305</v>
      </c>
      <c r="F1666" s="65" t="s">
        <v>40</v>
      </c>
      <c r="G1666" s="65"/>
      <c r="H1666" s="65"/>
      <c r="I1666" s="66">
        <v>194898.75852</v>
      </c>
    </row>
    <row r="1667" spans="1:9" hidden="1">
      <c r="A1667" s="67" t="s">
        <v>295</v>
      </c>
      <c r="B1667" s="68">
        <v>2029</v>
      </c>
      <c r="C1667" s="68">
        <v>2023</v>
      </c>
      <c r="D1667" s="68" t="s">
        <v>314</v>
      </c>
      <c r="E1667" s="68" t="s">
        <v>294</v>
      </c>
      <c r="F1667" s="68" t="s">
        <v>297</v>
      </c>
      <c r="G1667" s="68"/>
      <c r="H1667" s="68"/>
      <c r="I1667" s="69">
        <v>1774420.0867399999</v>
      </c>
    </row>
    <row r="1668" spans="1:9" hidden="1">
      <c r="A1668" s="64" t="s">
        <v>295</v>
      </c>
      <c r="B1668" s="65">
        <v>2029</v>
      </c>
      <c r="C1668" s="65">
        <v>2023</v>
      </c>
      <c r="D1668" s="65" t="s">
        <v>314</v>
      </c>
      <c r="E1668" s="65" t="s">
        <v>294</v>
      </c>
      <c r="F1668" s="65" t="s">
        <v>298</v>
      </c>
      <c r="G1668" s="65"/>
      <c r="H1668" s="65"/>
      <c r="I1668" s="66">
        <v>880815.69533999998</v>
      </c>
    </row>
    <row r="1669" spans="1:9" hidden="1">
      <c r="A1669" s="67" t="s">
        <v>295</v>
      </c>
      <c r="B1669" s="68">
        <v>2029</v>
      </c>
      <c r="C1669" s="68">
        <v>2023</v>
      </c>
      <c r="D1669" s="68" t="s">
        <v>314</v>
      </c>
      <c r="E1669" s="68" t="s">
        <v>294</v>
      </c>
      <c r="F1669" s="68" t="s">
        <v>40</v>
      </c>
      <c r="G1669" s="68"/>
      <c r="H1669" s="68"/>
      <c r="I1669" s="69">
        <v>2414484.8075899999</v>
      </c>
    </row>
    <row r="1670" spans="1:9" hidden="1">
      <c r="A1670" s="64" t="s">
        <v>295</v>
      </c>
      <c r="B1670" s="65">
        <v>2029</v>
      </c>
      <c r="C1670" s="65">
        <v>2023</v>
      </c>
      <c r="D1670" s="65" t="s">
        <v>314</v>
      </c>
      <c r="E1670" s="65" t="s">
        <v>301</v>
      </c>
      <c r="F1670" s="65" t="s">
        <v>297</v>
      </c>
      <c r="G1670" s="65"/>
      <c r="H1670" s="65"/>
      <c r="I1670" s="66">
        <v>1888011.48624</v>
      </c>
    </row>
    <row r="1671" spans="1:9" hidden="1">
      <c r="A1671" s="67" t="s">
        <v>295</v>
      </c>
      <c r="B1671" s="68">
        <v>2029</v>
      </c>
      <c r="C1671" s="68">
        <v>2023</v>
      </c>
      <c r="D1671" s="68" t="s">
        <v>314</v>
      </c>
      <c r="E1671" s="68" t="s">
        <v>301</v>
      </c>
      <c r="F1671" s="68" t="s">
        <v>298</v>
      </c>
      <c r="G1671" s="68"/>
      <c r="H1671" s="68"/>
      <c r="I1671" s="69">
        <v>963570.98427999998</v>
      </c>
    </row>
    <row r="1672" spans="1:9" hidden="1">
      <c r="A1672" s="64" t="s">
        <v>295</v>
      </c>
      <c r="B1672" s="65">
        <v>2029</v>
      </c>
      <c r="C1672" s="65">
        <v>2023</v>
      </c>
      <c r="D1672" s="65" t="s">
        <v>314</v>
      </c>
      <c r="E1672" s="65" t="s">
        <v>301</v>
      </c>
      <c r="F1672" s="65" t="s">
        <v>40</v>
      </c>
      <c r="G1672" s="65"/>
      <c r="H1672" s="65"/>
      <c r="I1672" s="66">
        <v>2631692.9049399998</v>
      </c>
    </row>
    <row r="1673" spans="1:9" hidden="1">
      <c r="A1673" s="67" t="s">
        <v>295</v>
      </c>
      <c r="B1673" s="68">
        <v>2029</v>
      </c>
      <c r="C1673" s="68">
        <v>2023</v>
      </c>
      <c r="D1673" s="68" t="s">
        <v>314</v>
      </c>
      <c r="E1673" s="68" t="s">
        <v>305</v>
      </c>
      <c r="F1673" s="68" t="s">
        <v>297</v>
      </c>
      <c r="G1673" s="68"/>
      <c r="H1673" s="68"/>
      <c r="I1673" s="69">
        <v>15675.690199999999</v>
      </c>
    </row>
    <row r="1674" spans="1:9" hidden="1">
      <c r="A1674" s="64" t="s">
        <v>295</v>
      </c>
      <c r="B1674" s="65">
        <v>2029</v>
      </c>
      <c r="C1674" s="65">
        <v>2023</v>
      </c>
      <c r="D1674" s="65" t="s">
        <v>314</v>
      </c>
      <c r="E1674" s="65" t="s">
        <v>305</v>
      </c>
      <c r="F1674" s="65" t="s">
        <v>298</v>
      </c>
      <c r="G1674" s="65"/>
      <c r="H1674" s="65"/>
      <c r="I1674" s="66">
        <v>9236.7827100000013</v>
      </c>
    </row>
    <row r="1675" spans="1:9" hidden="1">
      <c r="A1675" s="67" t="s">
        <v>295</v>
      </c>
      <c r="B1675" s="68">
        <v>2029</v>
      </c>
      <c r="C1675" s="68">
        <v>2023</v>
      </c>
      <c r="D1675" s="68" t="s">
        <v>314</v>
      </c>
      <c r="E1675" s="68" t="s">
        <v>305</v>
      </c>
      <c r="F1675" s="68" t="s">
        <v>40</v>
      </c>
      <c r="G1675" s="68"/>
      <c r="H1675" s="68"/>
      <c r="I1675" s="69">
        <v>175570.36447</v>
      </c>
    </row>
    <row r="1676" spans="1:9" hidden="1">
      <c r="A1676" s="64" t="s">
        <v>295</v>
      </c>
      <c r="B1676" s="65">
        <v>2030</v>
      </c>
      <c r="C1676" s="65">
        <v>2023</v>
      </c>
      <c r="D1676" s="65" t="s">
        <v>296</v>
      </c>
      <c r="E1676" s="65" t="s">
        <v>294</v>
      </c>
      <c r="F1676" s="65" t="s">
        <v>297</v>
      </c>
      <c r="G1676" s="65"/>
      <c r="H1676" s="65"/>
      <c r="I1676" s="66">
        <v>1207421.1005800001</v>
      </c>
    </row>
    <row r="1677" spans="1:9" hidden="1">
      <c r="A1677" s="67" t="s">
        <v>295</v>
      </c>
      <c r="B1677" s="68">
        <v>2030</v>
      </c>
      <c r="C1677" s="68">
        <v>2023</v>
      </c>
      <c r="D1677" s="68" t="s">
        <v>296</v>
      </c>
      <c r="E1677" s="68" t="s">
        <v>294</v>
      </c>
      <c r="F1677" s="68" t="s">
        <v>298</v>
      </c>
      <c r="G1677" s="68"/>
      <c r="H1677" s="68"/>
      <c r="I1677" s="69">
        <v>635179.03767999995</v>
      </c>
    </row>
    <row r="1678" spans="1:9" hidden="1">
      <c r="A1678" s="64" t="s">
        <v>295</v>
      </c>
      <c r="B1678" s="65">
        <v>2030</v>
      </c>
      <c r="C1678" s="65">
        <v>2023</v>
      </c>
      <c r="D1678" s="65" t="s">
        <v>296</v>
      </c>
      <c r="E1678" s="65" t="s">
        <v>294</v>
      </c>
      <c r="F1678" s="65" t="s">
        <v>40</v>
      </c>
      <c r="G1678" s="65"/>
      <c r="H1678" s="65"/>
      <c r="I1678" s="66">
        <v>1859635.4403599999</v>
      </c>
    </row>
    <row r="1679" spans="1:9" hidden="1">
      <c r="A1679" s="67" t="s">
        <v>295</v>
      </c>
      <c r="B1679" s="68">
        <v>2030</v>
      </c>
      <c r="C1679" s="68">
        <v>2023</v>
      </c>
      <c r="D1679" s="68" t="s">
        <v>296</v>
      </c>
      <c r="E1679" s="68" t="s">
        <v>301</v>
      </c>
      <c r="F1679" s="68" t="s">
        <v>297</v>
      </c>
      <c r="G1679" s="68"/>
      <c r="H1679" s="68"/>
      <c r="I1679" s="69">
        <v>1318927.8643700001</v>
      </c>
    </row>
    <row r="1680" spans="1:9" hidden="1">
      <c r="A1680" s="64" t="s">
        <v>295</v>
      </c>
      <c r="B1680" s="65">
        <v>2030</v>
      </c>
      <c r="C1680" s="65">
        <v>2023</v>
      </c>
      <c r="D1680" s="65" t="s">
        <v>296</v>
      </c>
      <c r="E1680" s="65" t="s">
        <v>301</v>
      </c>
      <c r="F1680" s="65" t="s">
        <v>298</v>
      </c>
      <c r="G1680" s="65"/>
      <c r="H1680" s="65"/>
      <c r="I1680" s="66">
        <v>717363.07568000001</v>
      </c>
    </row>
    <row r="1681" spans="1:9" hidden="1">
      <c r="A1681" s="67" t="s">
        <v>295</v>
      </c>
      <c r="B1681" s="68">
        <v>2030</v>
      </c>
      <c r="C1681" s="68">
        <v>2023</v>
      </c>
      <c r="D1681" s="68" t="s">
        <v>296</v>
      </c>
      <c r="E1681" s="68" t="s">
        <v>301</v>
      </c>
      <c r="F1681" s="68" t="s">
        <v>40</v>
      </c>
      <c r="G1681" s="68"/>
      <c r="H1681" s="68"/>
      <c r="I1681" s="69">
        <v>2054676.59613</v>
      </c>
    </row>
    <row r="1682" spans="1:9" hidden="1">
      <c r="A1682" s="64" t="s">
        <v>295</v>
      </c>
      <c r="B1682" s="65">
        <v>2030</v>
      </c>
      <c r="C1682" s="65">
        <v>2023</v>
      </c>
      <c r="D1682" s="65" t="s">
        <v>296</v>
      </c>
      <c r="E1682" s="65" t="s">
        <v>305</v>
      </c>
      <c r="F1682" s="65" t="s">
        <v>297</v>
      </c>
      <c r="G1682" s="65"/>
      <c r="H1682" s="65"/>
      <c r="I1682" s="66">
        <v>11073.26179</v>
      </c>
    </row>
    <row r="1683" spans="1:9" hidden="1">
      <c r="A1683" s="67" t="s">
        <v>295</v>
      </c>
      <c r="B1683" s="68">
        <v>2030</v>
      </c>
      <c r="C1683" s="68">
        <v>2023</v>
      </c>
      <c r="D1683" s="68" t="s">
        <v>296</v>
      </c>
      <c r="E1683" s="68" t="s">
        <v>305</v>
      </c>
      <c r="F1683" s="68" t="s">
        <v>298</v>
      </c>
      <c r="G1683" s="68"/>
      <c r="H1683" s="68"/>
      <c r="I1683" s="69">
        <v>8519.0131099999999</v>
      </c>
    </row>
    <row r="1684" spans="1:9" hidden="1">
      <c r="A1684" s="64" t="s">
        <v>295</v>
      </c>
      <c r="B1684" s="65">
        <v>2030</v>
      </c>
      <c r="C1684" s="65">
        <v>2023</v>
      </c>
      <c r="D1684" s="65" t="s">
        <v>296</v>
      </c>
      <c r="E1684" s="65" t="s">
        <v>305</v>
      </c>
      <c r="F1684" s="65" t="s">
        <v>40</v>
      </c>
      <c r="G1684" s="65"/>
      <c r="H1684" s="65"/>
      <c r="I1684" s="66">
        <v>139405.17610000001</v>
      </c>
    </row>
    <row r="1685" spans="1:9" hidden="1">
      <c r="A1685" s="67" t="s">
        <v>295</v>
      </c>
      <c r="B1685" s="68">
        <v>2030</v>
      </c>
      <c r="C1685" s="68">
        <v>2023</v>
      </c>
      <c r="D1685" s="68" t="s">
        <v>309</v>
      </c>
      <c r="E1685" s="68" t="s">
        <v>294</v>
      </c>
      <c r="F1685" s="68" t="s">
        <v>297</v>
      </c>
      <c r="G1685" s="68"/>
      <c r="H1685" s="68"/>
      <c r="I1685" s="69">
        <v>50452.805469999999</v>
      </c>
    </row>
    <row r="1686" spans="1:9" hidden="1">
      <c r="A1686" s="64" t="s">
        <v>295</v>
      </c>
      <c r="B1686" s="65">
        <v>2030</v>
      </c>
      <c r="C1686" s="65">
        <v>2023</v>
      </c>
      <c r="D1686" s="65" t="s">
        <v>309</v>
      </c>
      <c r="E1686" s="65" t="s">
        <v>294</v>
      </c>
      <c r="F1686" s="65" t="s">
        <v>298</v>
      </c>
      <c r="G1686" s="65"/>
      <c r="H1686" s="65"/>
      <c r="I1686" s="66">
        <v>393625.14438999997</v>
      </c>
    </row>
    <row r="1687" spans="1:9" hidden="1">
      <c r="A1687" s="67" t="s">
        <v>295</v>
      </c>
      <c r="B1687" s="68">
        <v>2030</v>
      </c>
      <c r="C1687" s="68">
        <v>2023</v>
      </c>
      <c r="D1687" s="68" t="s">
        <v>309</v>
      </c>
      <c r="E1687" s="68" t="s">
        <v>294</v>
      </c>
      <c r="F1687" s="68" t="s">
        <v>40</v>
      </c>
      <c r="G1687" s="68"/>
      <c r="H1687" s="68"/>
      <c r="I1687" s="69">
        <v>444077.64986</v>
      </c>
    </row>
    <row r="1688" spans="1:9" hidden="1">
      <c r="A1688" s="64" t="s">
        <v>295</v>
      </c>
      <c r="B1688" s="65">
        <v>2030</v>
      </c>
      <c r="C1688" s="65">
        <v>2023</v>
      </c>
      <c r="D1688" s="65" t="s">
        <v>309</v>
      </c>
      <c r="E1688" s="65" t="s">
        <v>301</v>
      </c>
      <c r="F1688" s="65" t="s">
        <v>297</v>
      </c>
      <c r="G1688" s="65"/>
      <c r="H1688" s="65"/>
      <c r="I1688" s="66">
        <v>55294.776449999998</v>
      </c>
    </row>
    <row r="1689" spans="1:9" hidden="1">
      <c r="A1689" s="67" t="s">
        <v>295</v>
      </c>
      <c r="B1689" s="68">
        <v>2030</v>
      </c>
      <c r="C1689" s="68">
        <v>2023</v>
      </c>
      <c r="D1689" s="68" t="s">
        <v>309</v>
      </c>
      <c r="E1689" s="68" t="s">
        <v>301</v>
      </c>
      <c r="F1689" s="68" t="s">
        <v>298</v>
      </c>
      <c r="G1689" s="68"/>
      <c r="H1689" s="68"/>
      <c r="I1689" s="69">
        <v>450245.94016</v>
      </c>
    </row>
    <row r="1690" spans="1:9" hidden="1">
      <c r="A1690" s="64" t="s">
        <v>295</v>
      </c>
      <c r="B1690" s="65">
        <v>2030</v>
      </c>
      <c r="C1690" s="65">
        <v>2023</v>
      </c>
      <c r="D1690" s="65" t="s">
        <v>309</v>
      </c>
      <c r="E1690" s="65" t="s">
        <v>301</v>
      </c>
      <c r="F1690" s="65" t="s">
        <v>40</v>
      </c>
      <c r="G1690" s="65"/>
      <c r="H1690" s="65"/>
      <c r="I1690" s="66">
        <v>505540.31659</v>
      </c>
    </row>
    <row r="1691" spans="1:9" hidden="1">
      <c r="A1691" s="67" t="s">
        <v>295</v>
      </c>
      <c r="B1691" s="68">
        <v>2030</v>
      </c>
      <c r="C1691" s="68">
        <v>2023</v>
      </c>
      <c r="D1691" s="68" t="s">
        <v>309</v>
      </c>
      <c r="E1691" s="68" t="s">
        <v>305</v>
      </c>
      <c r="F1691" s="68" t="s">
        <v>297</v>
      </c>
      <c r="G1691" s="68"/>
      <c r="H1691" s="68"/>
      <c r="I1691" s="69">
        <v>105.19306</v>
      </c>
    </row>
    <row r="1692" spans="1:9" hidden="1">
      <c r="A1692" s="64" t="s">
        <v>295</v>
      </c>
      <c r="B1692" s="65">
        <v>2030</v>
      </c>
      <c r="C1692" s="65">
        <v>2023</v>
      </c>
      <c r="D1692" s="65" t="s">
        <v>309</v>
      </c>
      <c r="E1692" s="65" t="s">
        <v>305</v>
      </c>
      <c r="F1692" s="65" t="s">
        <v>298</v>
      </c>
      <c r="G1692" s="65"/>
      <c r="H1692" s="65"/>
      <c r="I1692" s="66">
        <v>7073.0131099999999</v>
      </c>
    </row>
    <row r="1693" spans="1:9" hidden="1">
      <c r="A1693" s="67" t="s">
        <v>295</v>
      </c>
      <c r="B1693" s="68">
        <v>2030</v>
      </c>
      <c r="C1693" s="68">
        <v>2023</v>
      </c>
      <c r="D1693" s="68" t="s">
        <v>309</v>
      </c>
      <c r="E1693" s="68" t="s">
        <v>305</v>
      </c>
      <c r="F1693" s="68" t="s">
        <v>40</v>
      </c>
      <c r="G1693" s="68"/>
      <c r="H1693" s="68"/>
      <c r="I1693" s="69">
        <v>48151.706169999998</v>
      </c>
    </row>
    <row r="1694" spans="1:9" hidden="1">
      <c r="A1694" s="64" t="s">
        <v>295</v>
      </c>
      <c r="B1694" s="65">
        <v>2030</v>
      </c>
      <c r="C1694" s="65">
        <v>2023</v>
      </c>
      <c r="D1694" s="65" t="s">
        <v>315</v>
      </c>
      <c r="E1694" s="65" t="s">
        <v>294</v>
      </c>
      <c r="F1694" s="65" t="s">
        <v>297</v>
      </c>
      <c r="G1694" s="65"/>
      <c r="H1694" s="65"/>
      <c r="I1694" s="66">
        <v>103464.27773</v>
      </c>
    </row>
    <row r="1695" spans="1:9" hidden="1">
      <c r="A1695" s="67" t="s">
        <v>295</v>
      </c>
      <c r="B1695" s="68">
        <v>2030</v>
      </c>
      <c r="C1695" s="68">
        <v>2023</v>
      </c>
      <c r="D1695" s="68" t="s">
        <v>315</v>
      </c>
      <c r="E1695" s="68" t="s">
        <v>294</v>
      </c>
      <c r="F1695" s="68" t="s">
        <v>298</v>
      </c>
      <c r="G1695" s="68"/>
      <c r="H1695" s="68"/>
      <c r="I1695" s="69">
        <v>221814.18510999999</v>
      </c>
    </row>
    <row r="1696" spans="1:9" hidden="1">
      <c r="A1696" s="64" t="s">
        <v>295</v>
      </c>
      <c r="B1696" s="65">
        <v>2030</v>
      </c>
      <c r="C1696" s="65">
        <v>2023</v>
      </c>
      <c r="D1696" s="65" t="s">
        <v>315</v>
      </c>
      <c r="E1696" s="65" t="s">
        <v>294</v>
      </c>
      <c r="F1696" s="65" t="s">
        <v>40</v>
      </c>
      <c r="G1696" s="65"/>
      <c r="H1696" s="65"/>
      <c r="I1696" s="66">
        <v>325278.36281000002</v>
      </c>
    </row>
    <row r="1697" spans="1:9" hidden="1">
      <c r="A1697" s="67" t="s">
        <v>295</v>
      </c>
      <c r="B1697" s="68">
        <v>2030</v>
      </c>
      <c r="C1697" s="68">
        <v>2023</v>
      </c>
      <c r="D1697" s="68" t="s">
        <v>315</v>
      </c>
      <c r="E1697" s="68" t="s">
        <v>301</v>
      </c>
      <c r="F1697" s="68" t="s">
        <v>297</v>
      </c>
      <c r="G1697" s="68"/>
      <c r="H1697" s="68"/>
      <c r="I1697" s="69">
        <v>107515.91645999999</v>
      </c>
    </row>
    <row r="1698" spans="1:9" hidden="1">
      <c r="A1698" s="64" t="s">
        <v>295</v>
      </c>
      <c r="B1698" s="65">
        <v>2030</v>
      </c>
      <c r="C1698" s="65">
        <v>2023</v>
      </c>
      <c r="D1698" s="65" t="s">
        <v>315</v>
      </c>
      <c r="E1698" s="65" t="s">
        <v>301</v>
      </c>
      <c r="F1698" s="65" t="s">
        <v>298</v>
      </c>
      <c r="G1698" s="65"/>
      <c r="H1698" s="65"/>
      <c r="I1698" s="66">
        <v>246091.70099000001</v>
      </c>
    </row>
    <row r="1699" spans="1:9" hidden="1">
      <c r="A1699" s="67" t="s">
        <v>295</v>
      </c>
      <c r="B1699" s="68">
        <v>2030</v>
      </c>
      <c r="C1699" s="68">
        <v>2023</v>
      </c>
      <c r="D1699" s="68" t="s">
        <v>315</v>
      </c>
      <c r="E1699" s="68" t="s">
        <v>301</v>
      </c>
      <c r="F1699" s="68" t="s">
        <v>40</v>
      </c>
      <c r="G1699" s="68"/>
      <c r="H1699" s="68"/>
      <c r="I1699" s="69">
        <v>353607.81743</v>
      </c>
    </row>
    <row r="1700" spans="1:9" hidden="1">
      <c r="A1700" s="64" t="s">
        <v>295</v>
      </c>
      <c r="B1700" s="65">
        <v>2030</v>
      </c>
      <c r="C1700" s="65">
        <v>2023</v>
      </c>
      <c r="D1700" s="65" t="s">
        <v>315</v>
      </c>
      <c r="E1700" s="65" t="s">
        <v>305</v>
      </c>
      <c r="F1700" s="65" t="s">
        <v>297</v>
      </c>
      <c r="G1700" s="65"/>
      <c r="H1700" s="65"/>
      <c r="I1700" s="66">
        <v>1013.04114</v>
      </c>
    </row>
    <row r="1701" spans="1:9" hidden="1">
      <c r="A1701" s="67" t="s">
        <v>295</v>
      </c>
      <c r="B1701" s="68">
        <v>2030</v>
      </c>
      <c r="C1701" s="68">
        <v>2023</v>
      </c>
      <c r="D1701" s="68" t="s">
        <v>315</v>
      </c>
      <c r="E1701" s="68" t="s">
        <v>305</v>
      </c>
      <c r="F1701" s="68" t="s">
        <v>298</v>
      </c>
      <c r="G1701" s="68"/>
      <c r="H1701" s="68"/>
      <c r="I1701" s="69">
        <v>1376.1</v>
      </c>
    </row>
    <row r="1702" spans="1:9" hidden="1">
      <c r="A1702" s="64" t="s">
        <v>295</v>
      </c>
      <c r="B1702" s="65">
        <v>2030</v>
      </c>
      <c r="C1702" s="65">
        <v>2023</v>
      </c>
      <c r="D1702" s="65" t="s">
        <v>315</v>
      </c>
      <c r="E1702" s="65" t="s">
        <v>305</v>
      </c>
      <c r="F1702" s="65" t="s">
        <v>40</v>
      </c>
      <c r="G1702" s="65"/>
      <c r="H1702" s="65"/>
      <c r="I1702" s="66">
        <v>19410.64114</v>
      </c>
    </row>
    <row r="1703" spans="1:9" hidden="1">
      <c r="A1703" s="67" t="s">
        <v>295</v>
      </c>
      <c r="B1703" s="68">
        <v>2030</v>
      </c>
      <c r="C1703" s="68">
        <v>2023</v>
      </c>
      <c r="D1703" s="68" t="s">
        <v>316</v>
      </c>
      <c r="E1703" s="68" t="s">
        <v>294</v>
      </c>
      <c r="F1703" s="68" t="s">
        <v>297</v>
      </c>
      <c r="G1703" s="68"/>
      <c r="H1703" s="68"/>
      <c r="I1703" s="69">
        <v>618532.65552000003</v>
      </c>
    </row>
    <row r="1704" spans="1:9" hidden="1">
      <c r="A1704" s="64" t="s">
        <v>295</v>
      </c>
      <c r="B1704" s="65">
        <v>2030</v>
      </c>
      <c r="C1704" s="65">
        <v>2023</v>
      </c>
      <c r="D1704" s="65" t="s">
        <v>316</v>
      </c>
      <c r="E1704" s="65" t="s">
        <v>294</v>
      </c>
      <c r="F1704" s="65" t="s">
        <v>298</v>
      </c>
      <c r="G1704" s="65"/>
      <c r="H1704" s="65"/>
      <c r="I1704" s="66">
        <v>3693.0475499999998</v>
      </c>
    </row>
    <row r="1705" spans="1:9" hidden="1">
      <c r="A1705" s="67" t="s">
        <v>295</v>
      </c>
      <c r="B1705" s="68">
        <v>2030</v>
      </c>
      <c r="C1705" s="68">
        <v>2023</v>
      </c>
      <c r="D1705" s="68" t="s">
        <v>316</v>
      </c>
      <c r="E1705" s="68" t="s">
        <v>294</v>
      </c>
      <c r="F1705" s="68" t="s">
        <v>40</v>
      </c>
      <c r="G1705" s="68"/>
      <c r="H1705" s="68"/>
      <c r="I1705" s="69">
        <v>639260.80515000003</v>
      </c>
    </row>
    <row r="1706" spans="1:9" hidden="1">
      <c r="A1706" s="64" t="s">
        <v>295</v>
      </c>
      <c r="B1706" s="65">
        <v>2030</v>
      </c>
      <c r="C1706" s="65">
        <v>2023</v>
      </c>
      <c r="D1706" s="65" t="s">
        <v>316</v>
      </c>
      <c r="E1706" s="65" t="s">
        <v>301</v>
      </c>
      <c r="F1706" s="65" t="s">
        <v>297</v>
      </c>
      <c r="G1706" s="65"/>
      <c r="H1706" s="65"/>
      <c r="I1706" s="66">
        <v>676881.43602000002</v>
      </c>
    </row>
    <row r="1707" spans="1:9" hidden="1">
      <c r="A1707" s="67" t="s">
        <v>295</v>
      </c>
      <c r="B1707" s="68">
        <v>2030</v>
      </c>
      <c r="C1707" s="68">
        <v>2023</v>
      </c>
      <c r="D1707" s="68" t="s">
        <v>316</v>
      </c>
      <c r="E1707" s="68" t="s">
        <v>301</v>
      </c>
      <c r="F1707" s="68" t="s">
        <v>298</v>
      </c>
      <c r="G1707" s="68"/>
      <c r="H1707" s="68"/>
      <c r="I1707" s="69">
        <v>3798.2949800000001</v>
      </c>
    </row>
    <row r="1708" spans="1:9" hidden="1">
      <c r="A1708" s="64" t="s">
        <v>295</v>
      </c>
      <c r="B1708" s="65">
        <v>2030</v>
      </c>
      <c r="C1708" s="65">
        <v>2023</v>
      </c>
      <c r="D1708" s="65" t="s">
        <v>316</v>
      </c>
      <c r="E1708" s="65" t="s">
        <v>301</v>
      </c>
      <c r="F1708" s="65" t="s">
        <v>40</v>
      </c>
      <c r="G1708" s="65"/>
      <c r="H1708" s="65"/>
      <c r="I1708" s="66">
        <v>699064.78703000001</v>
      </c>
    </row>
    <row r="1709" spans="1:9" hidden="1">
      <c r="A1709" s="67" t="s">
        <v>295</v>
      </c>
      <c r="B1709" s="68">
        <v>2030</v>
      </c>
      <c r="C1709" s="68">
        <v>2023</v>
      </c>
      <c r="D1709" s="68" t="s">
        <v>316</v>
      </c>
      <c r="E1709" s="68" t="s">
        <v>305</v>
      </c>
      <c r="F1709" s="68" t="s">
        <v>297</v>
      </c>
      <c r="G1709" s="68"/>
      <c r="H1709" s="68"/>
      <c r="I1709" s="69">
        <v>7981.9815399999998</v>
      </c>
    </row>
    <row r="1710" spans="1:9" hidden="1">
      <c r="A1710" s="64" t="s">
        <v>295</v>
      </c>
      <c r="B1710" s="65">
        <v>2030</v>
      </c>
      <c r="C1710" s="65">
        <v>2023</v>
      </c>
      <c r="D1710" s="65" t="s">
        <v>316</v>
      </c>
      <c r="E1710" s="65" t="s">
        <v>305</v>
      </c>
      <c r="F1710" s="65" t="s">
        <v>298</v>
      </c>
      <c r="G1710" s="65"/>
      <c r="H1710" s="65"/>
      <c r="I1710" s="66">
        <v>0</v>
      </c>
    </row>
    <row r="1711" spans="1:9" hidden="1">
      <c r="A1711" s="67" t="s">
        <v>295</v>
      </c>
      <c r="B1711" s="68">
        <v>2030</v>
      </c>
      <c r="C1711" s="68">
        <v>2023</v>
      </c>
      <c r="D1711" s="68" t="s">
        <v>316</v>
      </c>
      <c r="E1711" s="68" t="s">
        <v>305</v>
      </c>
      <c r="F1711" s="68" t="s">
        <v>40</v>
      </c>
      <c r="G1711" s="68"/>
      <c r="H1711" s="68"/>
      <c r="I1711" s="69">
        <v>34543.082730000002</v>
      </c>
    </row>
    <row r="1712" spans="1:9" hidden="1">
      <c r="A1712" s="64" t="s">
        <v>295</v>
      </c>
      <c r="B1712" s="65">
        <v>2030</v>
      </c>
      <c r="C1712" s="65">
        <v>2023</v>
      </c>
      <c r="D1712" s="65" t="s">
        <v>317</v>
      </c>
      <c r="E1712" s="65" t="s">
        <v>294</v>
      </c>
      <c r="F1712" s="65" t="s">
        <v>297</v>
      </c>
      <c r="G1712" s="65"/>
      <c r="H1712" s="65"/>
      <c r="I1712" s="66">
        <v>152.40585999999999</v>
      </c>
    </row>
    <row r="1713" spans="1:9" hidden="1">
      <c r="A1713" s="67" t="s">
        <v>295</v>
      </c>
      <c r="B1713" s="68">
        <v>2030</v>
      </c>
      <c r="C1713" s="68">
        <v>2023</v>
      </c>
      <c r="D1713" s="68" t="s">
        <v>317</v>
      </c>
      <c r="E1713" s="68" t="s">
        <v>294</v>
      </c>
      <c r="F1713" s="68" t="s">
        <v>40</v>
      </c>
      <c r="G1713" s="68"/>
      <c r="H1713" s="68"/>
      <c r="I1713" s="69">
        <v>17187.712390000001</v>
      </c>
    </row>
    <row r="1714" spans="1:9" hidden="1">
      <c r="A1714" s="64" t="s">
        <v>295</v>
      </c>
      <c r="B1714" s="65">
        <v>2030</v>
      </c>
      <c r="C1714" s="65">
        <v>2023</v>
      </c>
      <c r="D1714" s="65" t="s">
        <v>317</v>
      </c>
      <c r="E1714" s="65" t="s">
        <v>301</v>
      </c>
      <c r="F1714" s="65" t="s">
        <v>297</v>
      </c>
      <c r="G1714" s="65"/>
      <c r="H1714" s="65"/>
      <c r="I1714" s="66">
        <v>161.57410999999999</v>
      </c>
    </row>
    <row r="1715" spans="1:9" hidden="1">
      <c r="A1715" s="67" t="s">
        <v>295</v>
      </c>
      <c r="B1715" s="68">
        <v>2030</v>
      </c>
      <c r="C1715" s="68">
        <v>2023</v>
      </c>
      <c r="D1715" s="68" t="s">
        <v>317</v>
      </c>
      <c r="E1715" s="68" t="s">
        <v>301</v>
      </c>
      <c r="F1715" s="68" t="s">
        <v>40</v>
      </c>
      <c r="G1715" s="68"/>
      <c r="H1715" s="68"/>
      <c r="I1715" s="69">
        <v>18546.86678</v>
      </c>
    </row>
    <row r="1716" spans="1:9" hidden="1">
      <c r="A1716" s="64" t="s">
        <v>295</v>
      </c>
      <c r="B1716" s="65">
        <v>2030</v>
      </c>
      <c r="C1716" s="65">
        <v>2023</v>
      </c>
      <c r="D1716" s="65" t="s">
        <v>317</v>
      </c>
      <c r="E1716" s="65" t="s">
        <v>305</v>
      </c>
      <c r="F1716" s="65" t="s">
        <v>297</v>
      </c>
      <c r="G1716" s="65"/>
      <c r="H1716" s="65"/>
      <c r="I1716" s="66">
        <v>1.298E-2</v>
      </c>
    </row>
    <row r="1717" spans="1:9" hidden="1">
      <c r="A1717" s="67" t="s">
        <v>295</v>
      </c>
      <c r="B1717" s="68">
        <v>2030</v>
      </c>
      <c r="C1717" s="68">
        <v>2023</v>
      </c>
      <c r="D1717" s="68" t="s">
        <v>317</v>
      </c>
      <c r="E1717" s="68" t="s">
        <v>305</v>
      </c>
      <c r="F1717" s="68" t="s">
        <v>40</v>
      </c>
      <c r="G1717" s="68"/>
      <c r="H1717" s="68"/>
      <c r="I1717" s="69">
        <v>398.11417</v>
      </c>
    </row>
    <row r="1718" spans="1:9" hidden="1">
      <c r="A1718" s="64" t="s">
        <v>295</v>
      </c>
      <c r="B1718" s="65">
        <v>2030</v>
      </c>
      <c r="C1718" s="65">
        <v>2023</v>
      </c>
      <c r="D1718" s="65" t="s">
        <v>318</v>
      </c>
      <c r="E1718" s="65" t="s">
        <v>294</v>
      </c>
      <c r="F1718" s="65" t="s">
        <v>297</v>
      </c>
      <c r="G1718" s="65"/>
      <c r="H1718" s="65"/>
      <c r="I1718" s="66">
        <v>595914.89422999998</v>
      </c>
    </row>
    <row r="1719" spans="1:9" hidden="1">
      <c r="A1719" s="67" t="s">
        <v>295</v>
      </c>
      <c r="B1719" s="68">
        <v>2030</v>
      </c>
      <c r="C1719" s="68">
        <v>2023</v>
      </c>
      <c r="D1719" s="68" t="s">
        <v>318</v>
      </c>
      <c r="E1719" s="68" t="s">
        <v>294</v>
      </c>
      <c r="F1719" s="68" t="s">
        <v>298</v>
      </c>
      <c r="G1719" s="68"/>
      <c r="H1719" s="68"/>
      <c r="I1719" s="69">
        <v>0</v>
      </c>
    </row>
    <row r="1720" spans="1:9" hidden="1">
      <c r="A1720" s="64" t="s">
        <v>295</v>
      </c>
      <c r="B1720" s="65">
        <v>2030</v>
      </c>
      <c r="C1720" s="65">
        <v>2023</v>
      </c>
      <c r="D1720" s="65" t="s">
        <v>318</v>
      </c>
      <c r="E1720" s="65" t="s">
        <v>294</v>
      </c>
      <c r="F1720" s="65" t="s">
        <v>40</v>
      </c>
      <c r="G1720" s="65"/>
      <c r="H1720" s="65"/>
      <c r="I1720" s="66">
        <v>595914.89422999998</v>
      </c>
    </row>
    <row r="1721" spans="1:9" hidden="1">
      <c r="A1721" s="67" t="s">
        <v>295</v>
      </c>
      <c r="B1721" s="68">
        <v>2030</v>
      </c>
      <c r="C1721" s="68">
        <v>2023</v>
      </c>
      <c r="D1721" s="68" t="s">
        <v>318</v>
      </c>
      <c r="E1721" s="68" t="s">
        <v>301</v>
      </c>
      <c r="F1721" s="68" t="s">
        <v>297</v>
      </c>
      <c r="G1721" s="68"/>
      <c r="H1721" s="68"/>
      <c r="I1721" s="69">
        <v>653230.62162999995</v>
      </c>
    </row>
    <row r="1722" spans="1:9" hidden="1">
      <c r="A1722" s="64" t="s">
        <v>295</v>
      </c>
      <c r="B1722" s="65">
        <v>2030</v>
      </c>
      <c r="C1722" s="65">
        <v>2023</v>
      </c>
      <c r="D1722" s="65" t="s">
        <v>318</v>
      </c>
      <c r="E1722" s="65" t="s">
        <v>301</v>
      </c>
      <c r="F1722" s="65" t="s">
        <v>298</v>
      </c>
      <c r="G1722" s="65"/>
      <c r="H1722" s="65"/>
      <c r="I1722" s="66">
        <v>0</v>
      </c>
    </row>
    <row r="1723" spans="1:9" hidden="1">
      <c r="A1723" s="67" t="s">
        <v>295</v>
      </c>
      <c r="B1723" s="68">
        <v>2030</v>
      </c>
      <c r="C1723" s="68">
        <v>2023</v>
      </c>
      <c r="D1723" s="68" t="s">
        <v>318</v>
      </c>
      <c r="E1723" s="68" t="s">
        <v>301</v>
      </c>
      <c r="F1723" s="68" t="s">
        <v>40</v>
      </c>
      <c r="G1723" s="68"/>
      <c r="H1723" s="68"/>
      <c r="I1723" s="69">
        <v>653230.62162999995</v>
      </c>
    </row>
    <row r="1724" spans="1:9" hidden="1">
      <c r="A1724" s="64" t="s">
        <v>295</v>
      </c>
      <c r="B1724" s="65">
        <v>2030</v>
      </c>
      <c r="C1724" s="65">
        <v>2023</v>
      </c>
      <c r="D1724" s="65" t="s">
        <v>318</v>
      </c>
      <c r="E1724" s="65" t="s">
        <v>305</v>
      </c>
      <c r="F1724" s="65" t="s">
        <v>297</v>
      </c>
      <c r="G1724" s="65"/>
      <c r="H1724" s="65"/>
      <c r="I1724" s="66">
        <v>7888.8229300000003</v>
      </c>
    </row>
    <row r="1725" spans="1:9" hidden="1">
      <c r="A1725" s="67" t="s">
        <v>295</v>
      </c>
      <c r="B1725" s="68">
        <v>2030</v>
      </c>
      <c r="C1725" s="68">
        <v>2023</v>
      </c>
      <c r="D1725" s="68" t="s">
        <v>318</v>
      </c>
      <c r="E1725" s="68" t="s">
        <v>305</v>
      </c>
      <c r="F1725" s="68" t="s">
        <v>40</v>
      </c>
      <c r="G1725" s="68"/>
      <c r="H1725" s="68"/>
      <c r="I1725" s="69">
        <v>32600.422930000001</v>
      </c>
    </row>
    <row r="1726" spans="1:9" hidden="1">
      <c r="A1726" s="64" t="s">
        <v>295</v>
      </c>
      <c r="B1726" s="65">
        <v>2030</v>
      </c>
      <c r="C1726" s="65">
        <v>2023</v>
      </c>
      <c r="D1726" s="65" t="s">
        <v>320</v>
      </c>
      <c r="E1726" s="65" t="s">
        <v>294</v>
      </c>
      <c r="F1726" s="65" t="s">
        <v>297</v>
      </c>
      <c r="G1726" s="65"/>
      <c r="H1726" s="65"/>
      <c r="I1726" s="66">
        <v>3403.2704699999999</v>
      </c>
    </row>
    <row r="1727" spans="1:9" hidden="1">
      <c r="A1727" s="67" t="s">
        <v>295</v>
      </c>
      <c r="B1727" s="68">
        <v>2030</v>
      </c>
      <c r="C1727" s="68">
        <v>2023</v>
      </c>
      <c r="D1727" s="68" t="s">
        <v>320</v>
      </c>
      <c r="E1727" s="68" t="s">
        <v>294</v>
      </c>
      <c r="F1727" s="68" t="s">
        <v>298</v>
      </c>
      <c r="G1727" s="68"/>
      <c r="H1727" s="68"/>
      <c r="I1727" s="69">
        <v>0</v>
      </c>
    </row>
    <row r="1728" spans="1:9" hidden="1">
      <c r="A1728" s="64" t="s">
        <v>295</v>
      </c>
      <c r="B1728" s="65">
        <v>2030</v>
      </c>
      <c r="C1728" s="65">
        <v>2023</v>
      </c>
      <c r="D1728" s="65" t="s">
        <v>320</v>
      </c>
      <c r="E1728" s="65" t="s">
        <v>294</v>
      </c>
      <c r="F1728" s="65" t="s">
        <v>40</v>
      </c>
      <c r="G1728" s="65"/>
      <c r="H1728" s="65"/>
      <c r="I1728" s="66">
        <v>3403.2704699999999</v>
      </c>
    </row>
    <row r="1729" spans="1:9" hidden="1">
      <c r="A1729" s="67" t="s">
        <v>295</v>
      </c>
      <c r="B1729" s="68">
        <v>2030</v>
      </c>
      <c r="C1729" s="68">
        <v>2023</v>
      </c>
      <c r="D1729" s="68" t="s">
        <v>320</v>
      </c>
      <c r="E1729" s="68" t="s">
        <v>301</v>
      </c>
      <c r="F1729" s="68" t="s">
        <v>297</v>
      </c>
      <c r="G1729" s="68"/>
      <c r="H1729" s="68"/>
      <c r="I1729" s="69">
        <v>3958.4508000000001</v>
      </c>
    </row>
    <row r="1730" spans="1:9" hidden="1">
      <c r="A1730" s="64" t="s">
        <v>295</v>
      </c>
      <c r="B1730" s="65">
        <v>2030</v>
      </c>
      <c r="C1730" s="65">
        <v>2023</v>
      </c>
      <c r="D1730" s="65" t="s">
        <v>320</v>
      </c>
      <c r="E1730" s="65" t="s">
        <v>301</v>
      </c>
      <c r="F1730" s="65" t="s">
        <v>298</v>
      </c>
      <c r="G1730" s="65"/>
      <c r="H1730" s="65"/>
      <c r="I1730" s="66">
        <v>0</v>
      </c>
    </row>
    <row r="1731" spans="1:9" hidden="1">
      <c r="A1731" s="67" t="s">
        <v>295</v>
      </c>
      <c r="B1731" s="68">
        <v>2030</v>
      </c>
      <c r="C1731" s="68">
        <v>2023</v>
      </c>
      <c r="D1731" s="68" t="s">
        <v>320</v>
      </c>
      <c r="E1731" s="68" t="s">
        <v>301</v>
      </c>
      <c r="F1731" s="68" t="s">
        <v>40</v>
      </c>
      <c r="G1731" s="68"/>
      <c r="H1731" s="68"/>
      <c r="I1731" s="69">
        <v>3958.4508000000001</v>
      </c>
    </row>
    <row r="1732" spans="1:9" hidden="1">
      <c r="A1732" s="64" t="s">
        <v>295</v>
      </c>
      <c r="B1732" s="65">
        <v>2030</v>
      </c>
      <c r="C1732" s="65">
        <v>2023</v>
      </c>
      <c r="D1732" s="65" t="s">
        <v>320</v>
      </c>
      <c r="E1732" s="65" t="s">
        <v>305</v>
      </c>
      <c r="F1732" s="65" t="s">
        <v>297</v>
      </c>
      <c r="G1732" s="65"/>
      <c r="H1732" s="65"/>
      <c r="I1732" s="66">
        <v>36</v>
      </c>
    </row>
    <row r="1733" spans="1:9" hidden="1">
      <c r="A1733" s="67" t="s">
        <v>295</v>
      </c>
      <c r="B1733" s="68">
        <v>2030</v>
      </c>
      <c r="C1733" s="68">
        <v>2023</v>
      </c>
      <c r="D1733" s="68" t="s">
        <v>320</v>
      </c>
      <c r="E1733" s="68" t="s">
        <v>305</v>
      </c>
      <c r="F1733" s="68" t="s">
        <v>40</v>
      </c>
      <c r="G1733" s="68"/>
      <c r="H1733" s="68"/>
      <c r="I1733" s="69">
        <v>980.8</v>
      </c>
    </row>
    <row r="1734" spans="1:9" hidden="1">
      <c r="A1734" s="64" t="s">
        <v>295</v>
      </c>
      <c r="B1734" s="65">
        <v>2030</v>
      </c>
      <c r="C1734" s="65">
        <v>2023</v>
      </c>
      <c r="D1734" s="65" t="s">
        <v>321</v>
      </c>
      <c r="E1734" s="65" t="s">
        <v>294</v>
      </c>
      <c r="F1734" s="65" t="s">
        <v>297</v>
      </c>
      <c r="G1734" s="65"/>
      <c r="H1734" s="65"/>
      <c r="I1734" s="66">
        <v>17793.34519</v>
      </c>
    </row>
    <row r="1735" spans="1:9" hidden="1">
      <c r="A1735" s="67" t="s">
        <v>295</v>
      </c>
      <c r="B1735" s="68">
        <v>2030</v>
      </c>
      <c r="C1735" s="68">
        <v>2023</v>
      </c>
      <c r="D1735" s="68" t="s">
        <v>321</v>
      </c>
      <c r="E1735" s="68" t="s">
        <v>294</v>
      </c>
      <c r="F1735" s="68" t="s">
        <v>298</v>
      </c>
      <c r="G1735" s="68"/>
      <c r="H1735" s="68"/>
      <c r="I1735" s="69">
        <v>0</v>
      </c>
    </row>
    <row r="1736" spans="1:9" hidden="1">
      <c r="A1736" s="64" t="s">
        <v>295</v>
      </c>
      <c r="B1736" s="65">
        <v>2030</v>
      </c>
      <c r="C1736" s="65">
        <v>2023</v>
      </c>
      <c r="D1736" s="65" t="s">
        <v>321</v>
      </c>
      <c r="E1736" s="65" t="s">
        <v>294</v>
      </c>
      <c r="F1736" s="65" t="s">
        <v>40</v>
      </c>
      <c r="G1736" s="65"/>
      <c r="H1736" s="65"/>
      <c r="I1736" s="66">
        <v>17793.34519</v>
      </c>
    </row>
    <row r="1737" spans="1:9" hidden="1">
      <c r="A1737" s="67" t="s">
        <v>295</v>
      </c>
      <c r="B1737" s="68">
        <v>2030</v>
      </c>
      <c r="C1737" s="68">
        <v>2023</v>
      </c>
      <c r="D1737" s="68" t="s">
        <v>321</v>
      </c>
      <c r="E1737" s="68" t="s">
        <v>301</v>
      </c>
      <c r="F1737" s="68" t="s">
        <v>297</v>
      </c>
      <c r="G1737" s="68"/>
      <c r="H1737" s="68"/>
      <c r="I1737" s="69">
        <v>18056.981960000001</v>
      </c>
    </row>
    <row r="1738" spans="1:9" hidden="1">
      <c r="A1738" s="64" t="s">
        <v>295</v>
      </c>
      <c r="B1738" s="65">
        <v>2030</v>
      </c>
      <c r="C1738" s="65">
        <v>2023</v>
      </c>
      <c r="D1738" s="65" t="s">
        <v>321</v>
      </c>
      <c r="E1738" s="65" t="s">
        <v>301</v>
      </c>
      <c r="F1738" s="65" t="s">
        <v>298</v>
      </c>
      <c r="G1738" s="65"/>
      <c r="H1738" s="65"/>
      <c r="I1738" s="66">
        <v>0</v>
      </c>
    </row>
    <row r="1739" spans="1:9" hidden="1">
      <c r="A1739" s="67" t="s">
        <v>295</v>
      </c>
      <c r="B1739" s="68">
        <v>2030</v>
      </c>
      <c r="C1739" s="68">
        <v>2023</v>
      </c>
      <c r="D1739" s="68" t="s">
        <v>321</v>
      </c>
      <c r="E1739" s="68" t="s">
        <v>301</v>
      </c>
      <c r="F1739" s="68" t="s">
        <v>40</v>
      </c>
      <c r="G1739" s="68"/>
      <c r="H1739" s="68"/>
      <c r="I1739" s="69">
        <v>18056.981960000001</v>
      </c>
    </row>
    <row r="1740" spans="1:9" hidden="1">
      <c r="A1740" s="64" t="s">
        <v>295</v>
      </c>
      <c r="B1740" s="65">
        <v>2030</v>
      </c>
      <c r="C1740" s="65">
        <v>2023</v>
      </c>
      <c r="D1740" s="65" t="s">
        <v>321</v>
      </c>
      <c r="E1740" s="65" t="s">
        <v>305</v>
      </c>
      <c r="F1740" s="65" t="s">
        <v>297</v>
      </c>
      <c r="G1740" s="65"/>
      <c r="H1740" s="65"/>
      <c r="I1740" s="66">
        <v>49.945630000000001</v>
      </c>
    </row>
    <row r="1741" spans="1:9" hidden="1">
      <c r="A1741" s="67" t="s">
        <v>295</v>
      </c>
      <c r="B1741" s="68">
        <v>2030</v>
      </c>
      <c r="C1741" s="68">
        <v>2023</v>
      </c>
      <c r="D1741" s="68" t="s">
        <v>321</v>
      </c>
      <c r="E1741" s="68" t="s">
        <v>305</v>
      </c>
      <c r="F1741" s="68" t="s">
        <v>40</v>
      </c>
      <c r="G1741" s="68"/>
      <c r="H1741" s="68"/>
      <c r="I1741" s="69">
        <v>319.24563000000001</v>
      </c>
    </row>
    <row r="1742" spans="1:9" hidden="1">
      <c r="A1742" s="64" t="s">
        <v>295</v>
      </c>
      <c r="B1742" s="65">
        <v>2030</v>
      </c>
      <c r="C1742" s="65">
        <v>2023</v>
      </c>
      <c r="D1742" s="65" t="s">
        <v>322</v>
      </c>
      <c r="E1742" s="65" t="s">
        <v>294</v>
      </c>
      <c r="F1742" s="65" t="s">
        <v>297</v>
      </c>
      <c r="G1742" s="65"/>
      <c r="H1742" s="65"/>
      <c r="I1742" s="66">
        <v>1269.03531</v>
      </c>
    </row>
    <row r="1743" spans="1:9" hidden="1">
      <c r="A1743" s="67" t="s">
        <v>295</v>
      </c>
      <c r="B1743" s="68">
        <v>2030</v>
      </c>
      <c r="C1743" s="68">
        <v>2023</v>
      </c>
      <c r="D1743" s="68" t="s">
        <v>322</v>
      </c>
      <c r="E1743" s="68" t="s">
        <v>294</v>
      </c>
      <c r="F1743" s="68" t="s">
        <v>298</v>
      </c>
      <c r="G1743" s="68"/>
      <c r="H1743" s="68"/>
      <c r="I1743" s="69">
        <v>3693.0475499999998</v>
      </c>
    </row>
    <row r="1744" spans="1:9" hidden="1">
      <c r="A1744" s="64" t="s">
        <v>295</v>
      </c>
      <c r="B1744" s="65">
        <v>2030</v>
      </c>
      <c r="C1744" s="65">
        <v>2023</v>
      </c>
      <c r="D1744" s="65" t="s">
        <v>322</v>
      </c>
      <c r="E1744" s="65" t="s">
        <v>294</v>
      </c>
      <c r="F1744" s="65" t="s">
        <v>40</v>
      </c>
      <c r="G1744" s="65"/>
      <c r="H1744" s="65"/>
      <c r="I1744" s="66">
        <v>4961.9828600000001</v>
      </c>
    </row>
    <row r="1745" spans="1:9" hidden="1">
      <c r="A1745" s="67" t="s">
        <v>295</v>
      </c>
      <c r="B1745" s="68">
        <v>2030</v>
      </c>
      <c r="C1745" s="68">
        <v>2023</v>
      </c>
      <c r="D1745" s="68" t="s">
        <v>322</v>
      </c>
      <c r="E1745" s="68" t="s">
        <v>301</v>
      </c>
      <c r="F1745" s="68" t="s">
        <v>297</v>
      </c>
      <c r="G1745" s="68"/>
      <c r="H1745" s="68"/>
      <c r="I1745" s="69">
        <v>1473.8708999999999</v>
      </c>
    </row>
    <row r="1746" spans="1:9" hidden="1">
      <c r="A1746" s="64" t="s">
        <v>295</v>
      </c>
      <c r="B1746" s="65">
        <v>2030</v>
      </c>
      <c r="C1746" s="65">
        <v>2023</v>
      </c>
      <c r="D1746" s="65" t="s">
        <v>322</v>
      </c>
      <c r="E1746" s="65" t="s">
        <v>301</v>
      </c>
      <c r="F1746" s="65" t="s">
        <v>298</v>
      </c>
      <c r="G1746" s="65"/>
      <c r="H1746" s="65"/>
      <c r="I1746" s="66">
        <v>3798.2949800000001</v>
      </c>
    </row>
    <row r="1747" spans="1:9" hidden="1">
      <c r="A1747" s="67" t="s">
        <v>295</v>
      </c>
      <c r="B1747" s="68">
        <v>2030</v>
      </c>
      <c r="C1747" s="68">
        <v>2023</v>
      </c>
      <c r="D1747" s="68" t="s">
        <v>322</v>
      </c>
      <c r="E1747" s="68" t="s">
        <v>301</v>
      </c>
      <c r="F1747" s="68" t="s">
        <v>40</v>
      </c>
      <c r="G1747" s="68"/>
      <c r="H1747" s="68"/>
      <c r="I1747" s="69">
        <v>5272.0658800000001</v>
      </c>
    </row>
    <row r="1748" spans="1:9" hidden="1">
      <c r="A1748" s="64" t="s">
        <v>295</v>
      </c>
      <c r="B1748" s="65">
        <v>2030</v>
      </c>
      <c r="C1748" s="65">
        <v>2023</v>
      </c>
      <c r="D1748" s="65" t="s">
        <v>322</v>
      </c>
      <c r="E1748" s="65" t="s">
        <v>305</v>
      </c>
      <c r="F1748" s="65" t="s">
        <v>297</v>
      </c>
      <c r="G1748" s="65"/>
      <c r="H1748" s="65"/>
      <c r="I1748" s="66">
        <v>7.2</v>
      </c>
    </row>
    <row r="1749" spans="1:9" hidden="1">
      <c r="A1749" s="67" t="s">
        <v>295</v>
      </c>
      <c r="B1749" s="68">
        <v>2030</v>
      </c>
      <c r="C1749" s="68">
        <v>2023</v>
      </c>
      <c r="D1749" s="68" t="s">
        <v>322</v>
      </c>
      <c r="E1749" s="68" t="s">
        <v>305</v>
      </c>
      <c r="F1749" s="68" t="s">
        <v>40</v>
      </c>
      <c r="G1749" s="68"/>
      <c r="H1749" s="68"/>
      <c r="I1749" s="69">
        <v>244.4</v>
      </c>
    </row>
    <row r="1750" spans="1:9" hidden="1">
      <c r="A1750" s="64" t="s">
        <v>295</v>
      </c>
      <c r="B1750" s="65">
        <v>2030</v>
      </c>
      <c r="C1750" s="65">
        <v>2023</v>
      </c>
      <c r="D1750" s="65" t="s">
        <v>323</v>
      </c>
      <c r="E1750" s="65" t="s">
        <v>294</v>
      </c>
      <c r="F1750" s="65" t="s">
        <v>297</v>
      </c>
      <c r="G1750" s="65"/>
      <c r="H1750" s="65"/>
      <c r="I1750" s="66">
        <v>378165.10450999998</v>
      </c>
    </row>
    <row r="1751" spans="1:9" hidden="1">
      <c r="A1751" s="67" t="s">
        <v>295</v>
      </c>
      <c r="B1751" s="68">
        <v>2030</v>
      </c>
      <c r="C1751" s="68">
        <v>2023</v>
      </c>
      <c r="D1751" s="68" t="s">
        <v>323</v>
      </c>
      <c r="E1751" s="68" t="s">
        <v>294</v>
      </c>
      <c r="F1751" s="68" t="s">
        <v>298</v>
      </c>
      <c r="G1751" s="68"/>
      <c r="H1751" s="68"/>
      <c r="I1751" s="69">
        <v>1672.3381099999999</v>
      </c>
    </row>
    <row r="1752" spans="1:9" hidden="1">
      <c r="A1752" s="64" t="s">
        <v>295</v>
      </c>
      <c r="B1752" s="65">
        <v>2030</v>
      </c>
      <c r="C1752" s="65">
        <v>2023</v>
      </c>
      <c r="D1752" s="65" t="s">
        <v>323</v>
      </c>
      <c r="E1752" s="65" t="s">
        <v>294</v>
      </c>
      <c r="F1752" s="65" t="s">
        <v>40</v>
      </c>
      <c r="G1752" s="65"/>
      <c r="H1752" s="65"/>
      <c r="I1752" s="66">
        <v>379837.64260999998</v>
      </c>
    </row>
    <row r="1753" spans="1:9" hidden="1">
      <c r="A1753" s="67" t="s">
        <v>295</v>
      </c>
      <c r="B1753" s="68">
        <v>2030</v>
      </c>
      <c r="C1753" s="68">
        <v>2023</v>
      </c>
      <c r="D1753" s="68" t="s">
        <v>323</v>
      </c>
      <c r="E1753" s="68" t="s">
        <v>301</v>
      </c>
      <c r="F1753" s="68" t="s">
        <v>297</v>
      </c>
      <c r="G1753" s="68"/>
      <c r="H1753" s="68"/>
      <c r="I1753" s="69">
        <v>420519.69546999998</v>
      </c>
    </row>
    <row r="1754" spans="1:9" hidden="1">
      <c r="A1754" s="64" t="s">
        <v>295</v>
      </c>
      <c r="B1754" s="65">
        <v>2030</v>
      </c>
      <c r="C1754" s="65">
        <v>2023</v>
      </c>
      <c r="D1754" s="65" t="s">
        <v>323</v>
      </c>
      <c r="E1754" s="65" t="s">
        <v>301</v>
      </c>
      <c r="F1754" s="65" t="s">
        <v>298</v>
      </c>
      <c r="G1754" s="65"/>
      <c r="H1754" s="65"/>
      <c r="I1754" s="66">
        <v>1772.80519</v>
      </c>
    </row>
    <row r="1755" spans="1:9" hidden="1">
      <c r="A1755" s="67" t="s">
        <v>295</v>
      </c>
      <c r="B1755" s="68">
        <v>2030</v>
      </c>
      <c r="C1755" s="68">
        <v>2023</v>
      </c>
      <c r="D1755" s="68" t="s">
        <v>323</v>
      </c>
      <c r="E1755" s="68" t="s">
        <v>301</v>
      </c>
      <c r="F1755" s="68" t="s">
        <v>40</v>
      </c>
      <c r="G1755" s="68"/>
      <c r="H1755" s="68"/>
      <c r="I1755" s="69">
        <v>422292.60066</v>
      </c>
    </row>
    <row r="1756" spans="1:9" hidden="1">
      <c r="A1756" s="64" t="s">
        <v>295</v>
      </c>
      <c r="B1756" s="65">
        <v>2030</v>
      </c>
      <c r="C1756" s="65">
        <v>2023</v>
      </c>
      <c r="D1756" s="65" t="s">
        <v>323</v>
      </c>
      <c r="E1756" s="65" t="s">
        <v>305</v>
      </c>
      <c r="F1756" s="65" t="s">
        <v>297</v>
      </c>
      <c r="G1756" s="65"/>
      <c r="H1756" s="65"/>
      <c r="I1756" s="66">
        <v>1539.94606</v>
      </c>
    </row>
    <row r="1757" spans="1:9" hidden="1">
      <c r="A1757" s="67" t="s">
        <v>295</v>
      </c>
      <c r="B1757" s="68">
        <v>2030</v>
      </c>
      <c r="C1757" s="68">
        <v>2023</v>
      </c>
      <c r="D1757" s="68" t="s">
        <v>323</v>
      </c>
      <c r="E1757" s="68" t="s">
        <v>305</v>
      </c>
      <c r="F1757" s="68" t="s">
        <v>40</v>
      </c>
      <c r="G1757" s="68"/>
      <c r="H1757" s="68"/>
      <c r="I1757" s="69">
        <v>17378.84606</v>
      </c>
    </row>
    <row r="1758" spans="1:9" hidden="1">
      <c r="A1758" s="64" t="s">
        <v>295</v>
      </c>
      <c r="B1758" s="65">
        <v>2030</v>
      </c>
      <c r="C1758" s="65">
        <v>2023</v>
      </c>
      <c r="D1758" s="65" t="s">
        <v>324</v>
      </c>
      <c r="E1758" s="65" t="s">
        <v>294</v>
      </c>
      <c r="F1758" s="65" t="s">
        <v>297</v>
      </c>
      <c r="G1758" s="65"/>
      <c r="H1758" s="65"/>
      <c r="I1758" s="66">
        <v>3622.2957299999998</v>
      </c>
    </row>
    <row r="1759" spans="1:9" hidden="1">
      <c r="A1759" s="67" t="s">
        <v>295</v>
      </c>
      <c r="B1759" s="68">
        <v>2030</v>
      </c>
      <c r="C1759" s="68">
        <v>2023</v>
      </c>
      <c r="D1759" s="68" t="s">
        <v>324</v>
      </c>
      <c r="E1759" s="68" t="s">
        <v>294</v>
      </c>
      <c r="F1759" s="68" t="s">
        <v>298</v>
      </c>
      <c r="G1759" s="68"/>
      <c r="H1759" s="68"/>
      <c r="I1759" s="69">
        <v>0</v>
      </c>
    </row>
    <row r="1760" spans="1:9" hidden="1">
      <c r="A1760" s="64" t="s">
        <v>295</v>
      </c>
      <c r="B1760" s="65">
        <v>2030</v>
      </c>
      <c r="C1760" s="65">
        <v>2023</v>
      </c>
      <c r="D1760" s="65" t="s">
        <v>324</v>
      </c>
      <c r="E1760" s="65" t="s">
        <v>294</v>
      </c>
      <c r="F1760" s="65" t="s">
        <v>40</v>
      </c>
      <c r="G1760" s="65"/>
      <c r="H1760" s="65"/>
      <c r="I1760" s="66">
        <v>3622.2957299999998</v>
      </c>
    </row>
    <row r="1761" spans="1:9" hidden="1">
      <c r="A1761" s="67" t="s">
        <v>295</v>
      </c>
      <c r="B1761" s="68">
        <v>2030</v>
      </c>
      <c r="C1761" s="68">
        <v>2023</v>
      </c>
      <c r="D1761" s="68" t="s">
        <v>324</v>
      </c>
      <c r="E1761" s="68" t="s">
        <v>301</v>
      </c>
      <c r="F1761" s="68" t="s">
        <v>297</v>
      </c>
      <c r="G1761" s="68"/>
      <c r="H1761" s="68"/>
      <c r="I1761" s="69">
        <v>3622.29216</v>
      </c>
    </row>
    <row r="1762" spans="1:9" hidden="1">
      <c r="A1762" s="64" t="s">
        <v>295</v>
      </c>
      <c r="B1762" s="65">
        <v>2030</v>
      </c>
      <c r="C1762" s="65">
        <v>2023</v>
      </c>
      <c r="D1762" s="65" t="s">
        <v>324</v>
      </c>
      <c r="E1762" s="65" t="s">
        <v>301</v>
      </c>
      <c r="F1762" s="65" t="s">
        <v>298</v>
      </c>
      <c r="G1762" s="65"/>
      <c r="H1762" s="65"/>
      <c r="I1762" s="66">
        <v>0</v>
      </c>
    </row>
    <row r="1763" spans="1:9" hidden="1">
      <c r="A1763" s="67" t="s">
        <v>295</v>
      </c>
      <c r="B1763" s="68">
        <v>2030</v>
      </c>
      <c r="C1763" s="68">
        <v>2023</v>
      </c>
      <c r="D1763" s="68" t="s">
        <v>324</v>
      </c>
      <c r="E1763" s="68" t="s">
        <v>301</v>
      </c>
      <c r="F1763" s="68" t="s">
        <v>40</v>
      </c>
      <c r="G1763" s="68"/>
      <c r="H1763" s="68"/>
      <c r="I1763" s="69">
        <v>3622.29216</v>
      </c>
    </row>
    <row r="1764" spans="1:9" hidden="1">
      <c r="A1764" s="64" t="s">
        <v>295</v>
      </c>
      <c r="B1764" s="65">
        <v>2030</v>
      </c>
      <c r="C1764" s="65">
        <v>2023</v>
      </c>
      <c r="D1764" s="65" t="s">
        <v>324</v>
      </c>
      <c r="E1764" s="65" t="s">
        <v>305</v>
      </c>
      <c r="F1764" s="65" t="s">
        <v>297</v>
      </c>
      <c r="G1764" s="65"/>
      <c r="H1764" s="65"/>
      <c r="I1764" s="66">
        <v>4.0999999999999996</v>
      </c>
    </row>
    <row r="1765" spans="1:9" hidden="1">
      <c r="A1765" s="67" t="s">
        <v>295</v>
      </c>
      <c r="B1765" s="68">
        <v>2030</v>
      </c>
      <c r="C1765" s="68">
        <v>2023</v>
      </c>
      <c r="D1765" s="68" t="s">
        <v>324</v>
      </c>
      <c r="E1765" s="68" t="s">
        <v>305</v>
      </c>
      <c r="F1765" s="68" t="s">
        <v>40</v>
      </c>
      <c r="G1765" s="68"/>
      <c r="H1765" s="68"/>
      <c r="I1765" s="69">
        <v>1246.2</v>
      </c>
    </row>
    <row r="1766" spans="1:9" hidden="1">
      <c r="A1766" s="64" t="s">
        <v>295</v>
      </c>
      <c r="B1766" s="65">
        <v>2030</v>
      </c>
      <c r="C1766" s="65">
        <v>2023</v>
      </c>
      <c r="D1766" s="65" t="s">
        <v>325</v>
      </c>
      <c r="E1766" s="65" t="s">
        <v>294</v>
      </c>
      <c r="F1766" s="65" t="s">
        <v>297</v>
      </c>
      <c r="G1766" s="65"/>
      <c r="H1766" s="65"/>
      <c r="I1766" s="66">
        <v>53244.961620000002</v>
      </c>
    </row>
    <row r="1767" spans="1:9" hidden="1">
      <c r="A1767" s="67" t="s">
        <v>295</v>
      </c>
      <c r="B1767" s="68">
        <v>2030</v>
      </c>
      <c r="C1767" s="68">
        <v>2023</v>
      </c>
      <c r="D1767" s="68" t="s">
        <v>325</v>
      </c>
      <c r="E1767" s="68" t="s">
        <v>294</v>
      </c>
      <c r="F1767" s="68" t="s">
        <v>298</v>
      </c>
      <c r="G1767" s="68"/>
      <c r="H1767" s="68"/>
      <c r="I1767" s="69">
        <v>14374.52255</v>
      </c>
    </row>
    <row r="1768" spans="1:9" hidden="1">
      <c r="A1768" s="64" t="s">
        <v>295</v>
      </c>
      <c r="B1768" s="65">
        <v>2030</v>
      </c>
      <c r="C1768" s="65">
        <v>2023</v>
      </c>
      <c r="D1768" s="65" t="s">
        <v>325</v>
      </c>
      <c r="E1768" s="65" t="s">
        <v>294</v>
      </c>
      <c r="F1768" s="65" t="s">
        <v>40</v>
      </c>
      <c r="G1768" s="65"/>
      <c r="H1768" s="65"/>
      <c r="I1768" s="66">
        <v>67619.484169999996</v>
      </c>
    </row>
    <row r="1769" spans="1:9" hidden="1">
      <c r="A1769" s="67" t="s">
        <v>295</v>
      </c>
      <c r="B1769" s="68">
        <v>2030</v>
      </c>
      <c r="C1769" s="68">
        <v>2023</v>
      </c>
      <c r="D1769" s="68" t="s">
        <v>325</v>
      </c>
      <c r="E1769" s="68" t="s">
        <v>301</v>
      </c>
      <c r="F1769" s="68" t="s">
        <v>297</v>
      </c>
      <c r="G1769" s="68"/>
      <c r="H1769" s="68"/>
      <c r="I1769" s="69">
        <v>55155.04782</v>
      </c>
    </row>
    <row r="1770" spans="1:9" hidden="1">
      <c r="A1770" s="64" t="s">
        <v>295</v>
      </c>
      <c r="B1770" s="65">
        <v>2030</v>
      </c>
      <c r="C1770" s="65">
        <v>2023</v>
      </c>
      <c r="D1770" s="65" t="s">
        <v>325</v>
      </c>
      <c r="E1770" s="65" t="s">
        <v>301</v>
      </c>
      <c r="F1770" s="65" t="s">
        <v>298</v>
      </c>
      <c r="G1770" s="65"/>
      <c r="H1770" s="65"/>
      <c r="I1770" s="66">
        <v>15454.73438</v>
      </c>
    </row>
    <row r="1771" spans="1:9" hidden="1">
      <c r="A1771" s="67" t="s">
        <v>295</v>
      </c>
      <c r="B1771" s="68">
        <v>2030</v>
      </c>
      <c r="C1771" s="68">
        <v>2023</v>
      </c>
      <c r="D1771" s="68" t="s">
        <v>325</v>
      </c>
      <c r="E1771" s="68" t="s">
        <v>301</v>
      </c>
      <c r="F1771" s="68" t="s">
        <v>40</v>
      </c>
      <c r="G1771" s="68"/>
      <c r="H1771" s="68"/>
      <c r="I1771" s="69">
        <v>70609.782200000001</v>
      </c>
    </row>
    <row r="1772" spans="1:9" hidden="1">
      <c r="A1772" s="64" t="s">
        <v>295</v>
      </c>
      <c r="B1772" s="65">
        <v>2030</v>
      </c>
      <c r="C1772" s="65">
        <v>2023</v>
      </c>
      <c r="D1772" s="65" t="s">
        <v>325</v>
      </c>
      <c r="E1772" s="65" t="s">
        <v>305</v>
      </c>
      <c r="F1772" s="65" t="s">
        <v>297</v>
      </c>
      <c r="G1772" s="65"/>
      <c r="H1772" s="65"/>
      <c r="I1772" s="66">
        <v>428.9</v>
      </c>
    </row>
    <row r="1773" spans="1:9" hidden="1">
      <c r="A1773" s="67" t="s">
        <v>295</v>
      </c>
      <c r="B1773" s="68">
        <v>2030</v>
      </c>
      <c r="C1773" s="68">
        <v>2023</v>
      </c>
      <c r="D1773" s="68" t="s">
        <v>325</v>
      </c>
      <c r="E1773" s="68" t="s">
        <v>305</v>
      </c>
      <c r="F1773" s="68" t="s">
        <v>298</v>
      </c>
      <c r="G1773" s="68"/>
      <c r="H1773" s="68"/>
      <c r="I1773" s="69">
        <v>69.900000000000006</v>
      </c>
    </row>
    <row r="1774" spans="1:9" hidden="1">
      <c r="A1774" s="64" t="s">
        <v>295</v>
      </c>
      <c r="B1774" s="65">
        <v>2030</v>
      </c>
      <c r="C1774" s="65">
        <v>2023</v>
      </c>
      <c r="D1774" s="65" t="s">
        <v>325</v>
      </c>
      <c r="E1774" s="65" t="s">
        <v>305</v>
      </c>
      <c r="F1774" s="65" t="s">
        <v>40</v>
      </c>
      <c r="G1774" s="65"/>
      <c r="H1774" s="65"/>
      <c r="I1774" s="66">
        <v>18674.599999999999</v>
      </c>
    </row>
    <row r="1775" spans="1:9" hidden="1">
      <c r="A1775" s="67" t="s">
        <v>295</v>
      </c>
      <c r="B1775" s="68">
        <v>2030</v>
      </c>
      <c r="C1775" s="68">
        <v>2023</v>
      </c>
      <c r="D1775" s="68" t="s">
        <v>326</v>
      </c>
      <c r="E1775" s="68" t="s">
        <v>294</v>
      </c>
      <c r="F1775" s="68" t="s">
        <v>297</v>
      </c>
      <c r="G1775" s="68"/>
      <c r="H1775" s="68"/>
      <c r="I1775" s="69">
        <v>0</v>
      </c>
    </row>
    <row r="1776" spans="1:9" hidden="1">
      <c r="A1776" s="64" t="s">
        <v>295</v>
      </c>
      <c r="B1776" s="65">
        <v>2030</v>
      </c>
      <c r="C1776" s="65">
        <v>2023</v>
      </c>
      <c r="D1776" s="65" t="s">
        <v>326</v>
      </c>
      <c r="E1776" s="65" t="s">
        <v>294</v>
      </c>
      <c r="F1776" s="65" t="s">
        <v>298</v>
      </c>
      <c r="G1776" s="65"/>
      <c r="H1776" s="65"/>
      <c r="I1776" s="66">
        <v>0</v>
      </c>
    </row>
    <row r="1777" spans="1:9" hidden="1">
      <c r="A1777" s="67" t="s">
        <v>295</v>
      </c>
      <c r="B1777" s="68">
        <v>2030</v>
      </c>
      <c r="C1777" s="68">
        <v>2023</v>
      </c>
      <c r="D1777" s="68" t="s">
        <v>326</v>
      </c>
      <c r="E1777" s="68" t="s">
        <v>294</v>
      </c>
      <c r="F1777" s="68" t="s">
        <v>40</v>
      </c>
      <c r="G1777" s="68"/>
      <c r="H1777" s="68"/>
      <c r="I1777" s="69">
        <v>0</v>
      </c>
    </row>
    <row r="1778" spans="1:9" hidden="1">
      <c r="A1778" s="64" t="s">
        <v>295</v>
      </c>
      <c r="B1778" s="65">
        <v>2030</v>
      </c>
      <c r="C1778" s="65">
        <v>2023</v>
      </c>
      <c r="D1778" s="65" t="s">
        <v>326</v>
      </c>
      <c r="E1778" s="65" t="s">
        <v>301</v>
      </c>
      <c r="F1778" s="65" t="s">
        <v>297</v>
      </c>
      <c r="G1778" s="65"/>
      <c r="H1778" s="65"/>
      <c r="I1778" s="66">
        <v>0</v>
      </c>
    </row>
    <row r="1779" spans="1:9" hidden="1">
      <c r="A1779" s="67" t="s">
        <v>295</v>
      </c>
      <c r="B1779" s="68">
        <v>2030</v>
      </c>
      <c r="C1779" s="68">
        <v>2023</v>
      </c>
      <c r="D1779" s="68" t="s">
        <v>326</v>
      </c>
      <c r="E1779" s="68" t="s">
        <v>301</v>
      </c>
      <c r="F1779" s="68" t="s">
        <v>298</v>
      </c>
      <c r="G1779" s="68"/>
      <c r="H1779" s="68"/>
      <c r="I1779" s="69">
        <v>0</v>
      </c>
    </row>
    <row r="1780" spans="1:9" hidden="1">
      <c r="A1780" s="64" t="s">
        <v>295</v>
      </c>
      <c r="B1780" s="65">
        <v>2030</v>
      </c>
      <c r="C1780" s="65">
        <v>2023</v>
      </c>
      <c r="D1780" s="65" t="s">
        <v>326</v>
      </c>
      <c r="E1780" s="65" t="s">
        <v>301</v>
      </c>
      <c r="F1780" s="65" t="s">
        <v>40</v>
      </c>
      <c r="G1780" s="65"/>
      <c r="H1780" s="65"/>
      <c r="I1780" s="66">
        <v>0</v>
      </c>
    </row>
    <row r="1781" spans="1:9" hidden="1">
      <c r="A1781" s="67" t="s">
        <v>295</v>
      </c>
      <c r="B1781" s="68">
        <v>2030</v>
      </c>
      <c r="C1781" s="68">
        <v>2023</v>
      </c>
      <c r="D1781" s="68" t="s">
        <v>304</v>
      </c>
      <c r="E1781" s="68" t="s">
        <v>294</v>
      </c>
      <c r="F1781" s="68" t="s">
        <v>297</v>
      </c>
      <c r="G1781" s="68"/>
      <c r="H1781" s="68"/>
      <c r="I1781" s="69">
        <v>62198.348080000003</v>
      </c>
    </row>
    <row r="1782" spans="1:9" hidden="1">
      <c r="A1782" s="64" t="s">
        <v>295</v>
      </c>
      <c r="B1782" s="65">
        <v>2030</v>
      </c>
      <c r="C1782" s="65">
        <v>2023</v>
      </c>
      <c r="D1782" s="65" t="s">
        <v>304</v>
      </c>
      <c r="E1782" s="65" t="s">
        <v>294</v>
      </c>
      <c r="F1782" s="65" t="s">
        <v>298</v>
      </c>
      <c r="G1782" s="65"/>
      <c r="H1782" s="65"/>
      <c r="I1782" s="66">
        <v>198707.02097000001</v>
      </c>
    </row>
    <row r="1783" spans="1:9" hidden="1">
      <c r="A1783" s="67" t="s">
        <v>295</v>
      </c>
      <c r="B1783" s="68">
        <v>2030</v>
      </c>
      <c r="C1783" s="68">
        <v>2023</v>
      </c>
      <c r="D1783" s="68" t="s">
        <v>304</v>
      </c>
      <c r="E1783" s="68" t="s">
        <v>294</v>
      </c>
      <c r="F1783" s="68" t="s">
        <v>40</v>
      </c>
      <c r="G1783" s="68"/>
      <c r="H1783" s="68"/>
      <c r="I1783" s="69">
        <v>260627.08905000001</v>
      </c>
    </row>
    <row r="1784" spans="1:9" hidden="1">
      <c r="A1784" s="64" t="s">
        <v>295</v>
      </c>
      <c r="B1784" s="65">
        <v>2030</v>
      </c>
      <c r="C1784" s="65">
        <v>2023</v>
      </c>
      <c r="D1784" s="65" t="s">
        <v>304</v>
      </c>
      <c r="E1784" s="65" t="s">
        <v>301</v>
      </c>
      <c r="F1784" s="65" t="s">
        <v>297</v>
      </c>
      <c r="G1784" s="65"/>
      <c r="H1784" s="65"/>
      <c r="I1784" s="66">
        <v>64185.476569999999</v>
      </c>
    </row>
    <row r="1785" spans="1:9" hidden="1">
      <c r="A1785" s="67" t="s">
        <v>295</v>
      </c>
      <c r="B1785" s="68">
        <v>2030</v>
      </c>
      <c r="C1785" s="68">
        <v>2023</v>
      </c>
      <c r="D1785" s="68" t="s">
        <v>304</v>
      </c>
      <c r="E1785" s="68" t="s">
        <v>301</v>
      </c>
      <c r="F1785" s="68" t="s">
        <v>298</v>
      </c>
      <c r="G1785" s="68"/>
      <c r="H1785" s="68"/>
      <c r="I1785" s="69">
        <v>208793.15166999999</v>
      </c>
    </row>
    <row r="1786" spans="1:9" hidden="1">
      <c r="A1786" s="64" t="s">
        <v>295</v>
      </c>
      <c r="B1786" s="65">
        <v>2030</v>
      </c>
      <c r="C1786" s="65">
        <v>2023</v>
      </c>
      <c r="D1786" s="65" t="s">
        <v>304</v>
      </c>
      <c r="E1786" s="65" t="s">
        <v>301</v>
      </c>
      <c r="F1786" s="65" t="s">
        <v>40</v>
      </c>
      <c r="G1786" s="65"/>
      <c r="H1786" s="65"/>
      <c r="I1786" s="66">
        <v>272699.94825000002</v>
      </c>
    </row>
    <row r="1787" spans="1:9" hidden="1">
      <c r="A1787" s="67" t="s">
        <v>295</v>
      </c>
      <c r="B1787" s="68">
        <v>2030</v>
      </c>
      <c r="C1787" s="68">
        <v>2023</v>
      </c>
      <c r="D1787" s="68" t="s">
        <v>304</v>
      </c>
      <c r="E1787" s="68" t="s">
        <v>305</v>
      </c>
      <c r="F1787" s="68" t="s">
        <v>297</v>
      </c>
      <c r="G1787" s="68"/>
      <c r="H1787" s="68"/>
      <c r="I1787" s="69">
        <v>1094.0930599999999</v>
      </c>
    </row>
    <row r="1788" spans="1:9" hidden="1">
      <c r="A1788" s="64" t="s">
        <v>295</v>
      </c>
      <c r="B1788" s="65">
        <v>2030</v>
      </c>
      <c r="C1788" s="65">
        <v>2023</v>
      </c>
      <c r="D1788" s="65" t="s">
        <v>304</v>
      </c>
      <c r="E1788" s="65" t="s">
        <v>305</v>
      </c>
      <c r="F1788" s="65" t="s">
        <v>298</v>
      </c>
      <c r="G1788" s="65"/>
      <c r="H1788" s="65"/>
      <c r="I1788" s="66">
        <v>735.5</v>
      </c>
    </row>
    <row r="1789" spans="1:9" hidden="1">
      <c r="A1789" s="67" t="s">
        <v>295</v>
      </c>
      <c r="B1789" s="68">
        <v>2030</v>
      </c>
      <c r="C1789" s="68">
        <v>2023</v>
      </c>
      <c r="D1789" s="68" t="s">
        <v>304</v>
      </c>
      <c r="E1789" s="68" t="s">
        <v>305</v>
      </c>
      <c r="F1789" s="68" t="s">
        <v>40</v>
      </c>
      <c r="G1789" s="68"/>
      <c r="H1789" s="68"/>
      <c r="I1789" s="69">
        <v>16043.29306</v>
      </c>
    </row>
    <row r="1790" spans="1:9" hidden="1">
      <c r="A1790" s="64" t="s">
        <v>295</v>
      </c>
      <c r="B1790" s="65">
        <v>2030</v>
      </c>
      <c r="C1790" s="65">
        <v>2023</v>
      </c>
      <c r="D1790" s="65" t="s">
        <v>306</v>
      </c>
      <c r="E1790" s="65" t="s">
        <v>294</v>
      </c>
      <c r="F1790" s="65" t="s">
        <v>297</v>
      </c>
      <c r="G1790" s="65"/>
      <c r="H1790" s="65"/>
      <c r="I1790" s="66">
        <v>358687.97989000002</v>
      </c>
    </row>
    <row r="1791" spans="1:9" hidden="1">
      <c r="A1791" s="67" t="s">
        <v>295</v>
      </c>
      <c r="B1791" s="68">
        <v>2030</v>
      </c>
      <c r="C1791" s="68">
        <v>2023</v>
      </c>
      <c r="D1791" s="68" t="s">
        <v>306</v>
      </c>
      <c r="E1791" s="68" t="s">
        <v>294</v>
      </c>
      <c r="F1791" s="68" t="s">
        <v>40</v>
      </c>
      <c r="G1791" s="68"/>
      <c r="H1791" s="68"/>
      <c r="I1791" s="69">
        <v>358687.97989000002</v>
      </c>
    </row>
    <row r="1792" spans="1:9" hidden="1">
      <c r="A1792" s="64" t="s">
        <v>295</v>
      </c>
      <c r="B1792" s="65">
        <v>2030</v>
      </c>
      <c r="C1792" s="65">
        <v>2023</v>
      </c>
      <c r="D1792" s="65" t="s">
        <v>306</v>
      </c>
      <c r="E1792" s="65" t="s">
        <v>301</v>
      </c>
      <c r="F1792" s="65" t="s">
        <v>297</v>
      </c>
      <c r="G1792" s="65"/>
      <c r="H1792" s="65"/>
      <c r="I1792" s="66">
        <v>373463.06335000001</v>
      </c>
    </row>
    <row r="1793" spans="1:9" hidden="1">
      <c r="A1793" s="67" t="s">
        <v>295</v>
      </c>
      <c r="B1793" s="68">
        <v>2030</v>
      </c>
      <c r="C1793" s="68">
        <v>2023</v>
      </c>
      <c r="D1793" s="68" t="s">
        <v>306</v>
      </c>
      <c r="E1793" s="68" t="s">
        <v>301</v>
      </c>
      <c r="F1793" s="68" t="s">
        <v>40</v>
      </c>
      <c r="G1793" s="68"/>
      <c r="H1793" s="68"/>
      <c r="I1793" s="69">
        <v>373463.06335000001</v>
      </c>
    </row>
    <row r="1794" spans="1:9" hidden="1">
      <c r="A1794" s="64" t="s">
        <v>295</v>
      </c>
      <c r="B1794" s="65">
        <v>2030</v>
      </c>
      <c r="C1794" s="65">
        <v>2023</v>
      </c>
      <c r="D1794" s="65" t="s">
        <v>306</v>
      </c>
      <c r="E1794" s="65" t="s">
        <v>305</v>
      </c>
      <c r="F1794" s="65" t="s">
        <v>297</v>
      </c>
      <c r="G1794" s="65"/>
      <c r="H1794" s="65"/>
      <c r="I1794" s="66">
        <v>2040.2843800000001</v>
      </c>
    </row>
    <row r="1795" spans="1:9" hidden="1">
      <c r="A1795" s="67" t="s">
        <v>295</v>
      </c>
      <c r="B1795" s="68">
        <v>2030</v>
      </c>
      <c r="C1795" s="68">
        <v>2023</v>
      </c>
      <c r="D1795" s="68" t="s">
        <v>306</v>
      </c>
      <c r="E1795" s="68" t="s">
        <v>305</v>
      </c>
      <c r="F1795" s="68" t="s">
        <v>40</v>
      </c>
      <c r="G1795" s="68"/>
      <c r="H1795" s="68"/>
      <c r="I1795" s="69">
        <v>30446.184379999999</v>
      </c>
    </row>
    <row r="1796" spans="1:9" hidden="1">
      <c r="A1796" s="64" t="s">
        <v>295</v>
      </c>
      <c r="B1796" s="65">
        <v>2030</v>
      </c>
      <c r="C1796" s="65">
        <v>2023</v>
      </c>
      <c r="D1796" s="65" t="s">
        <v>307</v>
      </c>
      <c r="E1796" s="65" t="s">
        <v>294</v>
      </c>
      <c r="F1796" s="65" t="s">
        <v>40</v>
      </c>
      <c r="G1796" s="65"/>
      <c r="H1796" s="65"/>
      <c r="I1796" s="66">
        <v>-260294.27648999999</v>
      </c>
    </row>
    <row r="1797" spans="1:9" hidden="1">
      <c r="A1797" s="67" t="s">
        <v>295</v>
      </c>
      <c r="B1797" s="68">
        <v>2030</v>
      </c>
      <c r="C1797" s="68">
        <v>2023</v>
      </c>
      <c r="D1797" s="68" t="s">
        <v>307</v>
      </c>
      <c r="E1797" s="68" t="s">
        <v>301</v>
      </c>
      <c r="F1797" s="68" t="s">
        <v>40</v>
      </c>
      <c r="G1797" s="68"/>
      <c r="H1797" s="68"/>
      <c r="I1797" s="69">
        <v>-239779.19706999999</v>
      </c>
    </row>
    <row r="1798" spans="1:9" hidden="1">
      <c r="A1798" s="64" t="s">
        <v>295</v>
      </c>
      <c r="B1798" s="65">
        <v>2030</v>
      </c>
      <c r="C1798" s="65">
        <v>2023</v>
      </c>
      <c r="D1798" s="65" t="s">
        <v>307</v>
      </c>
      <c r="E1798" s="65" t="s">
        <v>305</v>
      </c>
      <c r="F1798" s="65" t="s">
        <v>40</v>
      </c>
      <c r="G1798" s="65"/>
      <c r="H1798" s="65"/>
      <c r="I1798" s="66">
        <v>-19050.000090000001</v>
      </c>
    </row>
    <row r="1799" spans="1:9" hidden="1">
      <c r="A1799" s="67" t="s">
        <v>295</v>
      </c>
      <c r="B1799" s="68">
        <v>2030</v>
      </c>
      <c r="C1799" s="68">
        <v>2023</v>
      </c>
      <c r="D1799" s="68" t="s">
        <v>327</v>
      </c>
      <c r="E1799" s="68" t="s">
        <v>294</v>
      </c>
      <c r="F1799" s="68" t="s">
        <v>40</v>
      </c>
      <c r="G1799" s="68"/>
      <c r="H1799" s="68"/>
      <c r="I1799" s="69">
        <v>-315973.89750999998</v>
      </c>
    </row>
    <row r="1800" spans="1:9" hidden="1">
      <c r="A1800" s="64" t="s">
        <v>295</v>
      </c>
      <c r="B1800" s="65">
        <v>2030</v>
      </c>
      <c r="C1800" s="65">
        <v>2023</v>
      </c>
      <c r="D1800" s="65" t="s">
        <v>327</v>
      </c>
      <c r="E1800" s="65" t="s">
        <v>301</v>
      </c>
      <c r="F1800" s="65" t="s">
        <v>40</v>
      </c>
      <c r="G1800" s="65"/>
      <c r="H1800" s="65"/>
      <c r="I1800" s="66">
        <v>-303589.67362999998</v>
      </c>
    </row>
    <row r="1801" spans="1:9" hidden="1">
      <c r="A1801" s="67" t="s">
        <v>295</v>
      </c>
      <c r="B1801" s="68">
        <v>2030</v>
      </c>
      <c r="C1801" s="68">
        <v>2023</v>
      </c>
      <c r="D1801" s="68" t="s">
        <v>327</v>
      </c>
      <c r="E1801" s="68" t="s">
        <v>305</v>
      </c>
      <c r="F1801" s="68" t="s">
        <v>40</v>
      </c>
      <c r="G1801" s="68"/>
      <c r="H1801" s="68"/>
      <c r="I1801" s="69">
        <v>-20231.223870000002</v>
      </c>
    </row>
    <row r="1802" spans="1:9" hidden="1">
      <c r="A1802" s="64" t="s">
        <v>295</v>
      </c>
      <c r="B1802" s="65">
        <v>2030</v>
      </c>
      <c r="C1802" s="65">
        <v>2023</v>
      </c>
      <c r="D1802" s="65" t="s">
        <v>328</v>
      </c>
      <c r="E1802" s="65" t="s">
        <v>294</v>
      </c>
      <c r="F1802" s="65" t="s">
        <v>40</v>
      </c>
      <c r="G1802" s="65"/>
      <c r="H1802" s="65"/>
      <c r="I1802" s="66">
        <v>30218.904050000001</v>
      </c>
    </row>
    <row r="1803" spans="1:9" hidden="1">
      <c r="A1803" s="67" t="s">
        <v>295</v>
      </c>
      <c r="B1803" s="68">
        <v>2030</v>
      </c>
      <c r="C1803" s="68">
        <v>2023</v>
      </c>
      <c r="D1803" s="68" t="s">
        <v>328</v>
      </c>
      <c r="E1803" s="68" t="s">
        <v>301</v>
      </c>
      <c r="F1803" s="68" t="s">
        <v>40</v>
      </c>
      <c r="G1803" s="68"/>
      <c r="H1803" s="68"/>
      <c r="I1803" s="69">
        <v>34852.2287</v>
      </c>
    </row>
    <row r="1804" spans="1:9" hidden="1">
      <c r="A1804" s="64" t="s">
        <v>295</v>
      </c>
      <c r="B1804" s="65">
        <v>2030</v>
      </c>
      <c r="C1804" s="65">
        <v>2023</v>
      </c>
      <c r="D1804" s="65" t="s">
        <v>328</v>
      </c>
      <c r="E1804" s="65" t="s">
        <v>305</v>
      </c>
      <c r="F1804" s="65" t="s">
        <v>40</v>
      </c>
      <c r="G1804" s="65"/>
      <c r="H1804" s="65"/>
      <c r="I1804" s="66">
        <v>-2335.9121399999999</v>
      </c>
    </row>
    <row r="1805" spans="1:9" hidden="1">
      <c r="A1805" s="67" t="s">
        <v>295</v>
      </c>
      <c r="B1805" s="68">
        <v>2030</v>
      </c>
      <c r="C1805" s="68">
        <v>2023</v>
      </c>
      <c r="D1805" s="68" t="s">
        <v>329</v>
      </c>
      <c r="E1805" s="68" t="s">
        <v>294</v>
      </c>
      <c r="F1805" s="68" t="s">
        <v>40</v>
      </c>
      <c r="G1805" s="68"/>
      <c r="H1805" s="68"/>
      <c r="I1805" s="69">
        <v>13170.11839</v>
      </c>
    </row>
    <row r="1806" spans="1:9" hidden="1">
      <c r="A1806" s="64" t="s">
        <v>295</v>
      </c>
      <c r="B1806" s="65">
        <v>2030</v>
      </c>
      <c r="C1806" s="65">
        <v>2023</v>
      </c>
      <c r="D1806" s="65" t="s">
        <v>329</v>
      </c>
      <c r="E1806" s="65" t="s">
        <v>301</v>
      </c>
      <c r="F1806" s="65" t="s">
        <v>40</v>
      </c>
      <c r="G1806" s="65"/>
      <c r="H1806" s="65"/>
      <c r="I1806" s="66">
        <v>14455.39753</v>
      </c>
    </row>
    <row r="1807" spans="1:9" hidden="1">
      <c r="A1807" s="67" t="s">
        <v>295</v>
      </c>
      <c r="B1807" s="68">
        <v>2030</v>
      </c>
      <c r="C1807" s="68">
        <v>2023</v>
      </c>
      <c r="D1807" s="68" t="s">
        <v>329</v>
      </c>
      <c r="E1807" s="68" t="s">
        <v>305</v>
      </c>
      <c r="F1807" s="68" t="s">
        <v>40</v>
      </c>
      <c r="G1807" s="68"/>
      <c r="H1807" s="68"/>
      <c r="I1807" s="69">
        <v>1878.79982</v>
      </c>
    </row>
    <row r="1808" spans="1:9" hidden="1">
      <c r="A1808" s="64" t="s">
        <v>295</v>
      </c>
      <c r="B1808" s="65">
        <v>2030</v>
      </c>
      <c r="C1808" s="65">
        <v>2023</v>
      </c>
      <c r="D1808" s="65" t="s">
        <v>330</v>
      </c>
      <c r="E1808" s="65" t="s">
        <v>294</v>
      </c>
      <c r="F1808" s="65" t="s">
        <v>40</v>
      </c>
      <c r="G1808" s="65"/>
      <c r="H1808" s="65"/>
      <c r="I1808" s="66">
        <v>13319.37859</v>
      </c>
    </row>
    <row r="1809" spans="1:9" hidden="1">
      <c r="A1809" s="67" t="s">
        <v>295</v>
      </c>
      <c r="B1809" s="68">
        <v>2030</v>
      </c>
      <c r="C1809" s="68">
        <v>2023</v>
      </c>
      <c r="D1809" s="68" t="s">
        <v>330</v>
      </c>
      <c r="E1809" s="68" t="s">
        <v>301</v>
      </c>
      <c r="F1809" s="68" t="s">
        <v>40</v>
      </c>
      <c r="G1809" s="68"/>
      <c r="H1809" s="68"/>
      <c r="I1809" s="69">
        <v>14159.20334</v>
      </c>
    </row>
    <row r="1810" spans="1:9" hidden="1">
      <c r="A1810" s="64" t="s">
        <v>295</v>
      </c>
      <c r="B1810" s="65">
        <v>2030</v>
      </c>
      <c r="C1810" s="65">
        <v>2023</v>
      </c>
      <c r="D1810" s="65" t="s">
        <v>330</v>
      </c>
      <c r="E1810" s="65" t="s">
        <v>305</v>
      </c>
      <c r="F1810" s="65" t="s">
        <v>40</v>
      </c>
      <c r="G1810" s="65"/>
      <c r="H1810" s="65"/>
      <c r="I1810" s="66">
        <v>766.28647999999998</v>
      </c>
    </row>
    <row r="1811" spans="1:9" hidden="1">
      <c r="A1811" s="67" t="s">
        <v>295</v>
      </c>
      <c r="B1811" s="68">
        <v>2030</v>
      </c>
      <c r="C1811" s="68">
        <v>2023</v>
      </c>
      <c r="D1811" s="68" t="s">
        <v>331</v>
      </c>
      <c r="E1811" s="68" t="s">
        <v>294</v>
      </c>
      <c r="F1811" s="68" t="s">
        <v>40</v>
      </c>
      <c r="G1811" s="68"/>
      <c r="H1811" s="68"/>
      <c r="I1811" s="69">
        <v>32930.622130000003</v>
      </c>
    </row>
    <row r="1812" spans="1:9" hidden="1">
      <c r="A1812" s="64" t="s">
        <v>295</v>
      </c>
      <c r="B1812" s="65">
        <v>2030</v>
      </c>
      <c r="C1812" s="65">
        <v>2023</v>
      </c>
      <c r="D1812" s="65" t="s">
        <v>331</v>
      </c>
      <c r="E1812" s="65" t="s">
        <v>301</v>
      </c>
      <c r="F1812" s="65" t="s">
        <v>40</v>
      </c>
      <c r="G1812" s="65"/>
      <c r="H1812" s="65"/>
      <c r="I1812" s="66">
        <v>33601.147230000002</v>
      </c>
    </row>
    <row r="1813" spans="1:9" hidden="1">
      <c r="A1813" s="67" t="s">
        <v>295</v>
      </c>
      <c r="B1813" s="68">
        <v>2030</v>
      </c>
      <c r="C1813" s="68">
        <v>2023</v>
      </c>
      <c r="D1813" s="68" t="s">
        <v>331</v>
      </c>
      <c r="E1813" s="68" t="s">
        <v>305</v>
      </c>
      <c r="F1813" s="68" t="s">
        <v>40</v>
      </c>
      <c r="G1813" s="68"/>
      <c r="H1813" s="68"/>
      <c r="I1813" s="69">
        <v>2865.0560599999999</v>
      </c>
    </row>
    <row r="1814" spans="1:9" hidden="1">
      <c r="A1814" s="64" t="s">
        <v>295</v>
      </c>
      <c r="B1814" s="65">
        <v>2030</v>
      </c>
      <c r="C1814" s="65">
        <v>2023</v>
      </c>
      <c r="D1814" s="65" t="s">
        <v>332</v>
      </c>
      <c r="E1814" s="65" t="s">
        <v>294</v>
      </c>
      <c r="F1814" s="65" t="s">
        <v>40</v>
      </c>
      <c r="G1814" s="65"/>
      <c r="H1814" s="65"/>
      <c r="I1814" s="66">
        <v>563.99992000000009</v>
      </c>
    </row>
    <row r="1815" spans="1:9" hidden="1">
      <c r="A1815" s="67" t="s">
        <v>295</v>
      </c>
      <c r="B1815" s="68">
        <v>2030</v>
      </c>
      <c r="C1815" s="68">
        <v>2023</v>
      </c>
      <c r="D1815" s="68" t="s">
        <v>332</v>
      </c>
      <c r="E1815" s="68" t="s">
        <v>301</v>
      </c>
      <c r="F1815" s="68" t="s">
        <v>40</v>
      </c>
      <c r="G1815" s="68"/>
      <c r="H1815" s="68"/>
      <c r="I1815" s="69">
        <v>470.79051000000021</v>
      </c>
    </row>
    <row r="1816" spans="1:9" hidden="1">
      <c r="A1816" s="64" t="s">
        <v>295</v>
      </c>
      <c r="B1816" s="65">
        <v>2030</v>
      </c>
      <c r="C1816" s="65">
        <v>2023</v>
      </c>
      <c r="D1816" s="65" t="s">
        <v>332</v>
      </c>
      <c r="E1816" s="65" t="s">
        <v>305</v>
      </c>
      <c r="F1816" s="65" t="s">
        <v>40</v>
      </c>
      <c r="G1816" s="65"/>
      <c r="H1816" s="65"/>
      <c r="I1816" s="66">
        <v>248.79356000000001</v>
      </c>
    </row>
    <row r="1817" spans="1:9" hidden="1">
      <c r="A1817" s="67" t="s">
        <v>295</v>
      </c>
      <c r="B1817" s="68">
        <v>2030</v>
      </c>
      <c r="C1817" s="68">
        <v>2023</v>
      </c>
      <c r="D1817" s="68" t="s">
        <v>333</v>
      </c>
      <c r="E1817" s="68" t="s">
        <v>294</v>
      </c>
      <c r="F1817" s="68" t="s">
        <v>40</v>
      </c>
      <c r="G1817" s="68"/>
      <c r="H1817" s="68"/>
      <c r="I1817" s="69">
        <v>-34263.652349999997</v>
      </c>
    </row>
    <row r="1818" spans="1:9" hidden="1">
      <c r="A1818" s="64" t="s">
        <v>295</v>
      </c>
      <c r="B1818" s="65">
        <v>2030</v>
      </c>
      <c r="C1818" s="65">
        <v>2023</v>
      </c>
      <c r="D1818" s="65" t="s">
        <v>333</v>
      </c>
      <c r="E1818" s="65" t="s">
        <v>301</v>
      </c>
      <c r="F1818" s="65" t="s">
        <v>40</v>
      </c>
      <c r="G1818" s="65"/>
      <c r="H1818" s="65"/>
      <c r="I1818" s="66">
        <v>-33981.941099999996</v>
      </c>
    </row>
    <row r="1819" spans="1:9" hidden="1">
      <c r="A1819" s="67" t="s">
        <v>295</v>
      </c>
      <c r="B1819" s="68">
        <v>2030</v>
      </c>
      <c r="C1819" s="68">
        <v>2023</v>
      </c>
      <c r="D1819" s="68" t="s">
        <v>333</v>
      </c>
      <c r="E1819" s="68" t="s">
        <v>305</v>
      </c>
      <c r="F1819" s="68" t="s">
        <v>40</v>
      </c>
      <c r="G1819" s="68"/>
      <c r="H1819" s="68"/>
      <c r="I1819" s="69">
        <v>-2241.9</v>
      </c>
    </row>
    <row r="1820" spans="1:9" hidden="1">
      <c r="A1820" s="64" t="s">
        <v>295</v>
      </c>
      <c r="B1820" s="65">
        <v>2030</v>
      </c>
      <c r="C1820" s="65">
        <v>2023</v>
      </c>
      <c r="D1820" s="65" t="s">
        <v>334</v>
      </c>
      <c r="E1820" s="65" t="s">
        <v>294</v>
      </c>
      <c r="F1820" s="65" t="s">
        <v>40</v>
      </c>
      <c r="G1820" s="65"/>
      <c r="H1820" s="65"/>
      <c r="I1820" s="66">
        <v>253.85033000000001</v>
      </c>
    </row>
    <row r="1821" spans="1:9" hidden="1">
      <c r="A1821" s="67" t="s">
        <v>295</v>
      </c>
      <c r="B1821" s="68">
        <v>2030</v>
      </c>
      <c r="C1821" s="68">
        <v>2023</v>
      </c>
      <c r="D1821" s="68" t="s">
        <v>334</v>
      </c>
      <c r="E1821" s="68" t="s">
        <v>301</v>
      </c>
      <c r="F1821" s="68" t="s">
        <v>40</v>
      </c>
      <c r="G1821" s="68"/>
      <c r="H1821" s="68"/>
      <c r="I1821" s="69">
        <v>253.85033000000001</v>
      </c>
    </row>
    <row r="1822" spans="1:9" hidden="1">
      <c r="A1822" s="64" t="s">
        <v>295</v>
      </c>
      <c r="B1822" s="65">
        <v>2030</v>
      </c>
      <c r="C1822" s="65">
        <v>2023</v>
      </c>
      <c r="D1822" s="65" t="s">
        <v>308</v>
      </c>
      <c r="E1822" s="65" t="s">
        <v>294</v>
      </c>
      <c r="F1822" s="65" t="s">
        <v>297</v>
      </c>
      <c r="G1822" s="65"/>
      <c r="H1822" s="65"/>
      <c r="I1822" s="66">
        <v>91453.823829999994</v>
      </c>
    </row>
    <row r="1823" spans="1:9" hidden="1">
      <c r="A1823" s="67" t="s">
        <v>295</v>
      </c>
      <c r="B1823" s="68">
        <v>2030</v>
      </c>
      <c r="C1823" s="68">
        <v>2023</v>
      </c>
      <c r="D1823" s="68" t="s">
        <v>308</v>
      </c>
      <c r="E1823" s="68" t="s">
        <v>294</v>
      </c>
      <c r="F1823" s="68" t="s">
        <v>298</v>
      </c>
      <c r="G1823" s="68"/>
      <c r="H1823" s="68"/>
      <c r="I1823" s="69">
        <v>261.24754000000001</v>
      </c>
    </row>
    <row r="1824" spans="1:9" hidden="1">
      <c r="A1824" s="64" t="s">
        <v>295</v>
      </c>
      <c r="B1824" s="65">
        <v>2030</v>
      </c>
      <c r="C1824" s="65">
        <v>2023</v>
      </c>
      <c r="D1824" s="65" t="s">
        <v>308</v>
      </c>
      <c r="E1824" s="65" t="s">
        <v>294</v>
      </c>
      <c r="F1824" s="65" t="s">
        <v>40</v>
      </c>
      <c r="G1824" s="65"/>
      <c r="H1824" s="65"/>
      <c r="I1824" s="66">
        <v>91715.071370000005</v>
      </c>
    </row>
    <row r="1825" spans="1:9" hidden="1">
      <c r="A1825" s="67" t="s">
        <v>295</v>
      </c>
      <c r="B1825" s="68">
        <v>2030</v>
      </c>
      <c r="C1825" s="68">
        <v>2023</v>
      </c>
      <c r="D1825" s="68" t="s">
        <v>308</v>
      </c>
      <c r="E1825" s="68" t="s">
        <v>301</v>
      </c>
      <c r="F1825" s="68" t="s">
        <v>297</v>
      </c>
      <c r="G1825" s="68"/>
      <c r="H1825" s="68"/>
      <c r="I1825" s="69">
        <v>92487.882119999995</v>
      </c>
    </row>
    <row r="1826" spans="1:9" hidden="1">
      <c r="A1826" s="64" t="s">
        <v>295</v>
      </c>
      <c r="B1826" s="65">
        <v>2030</v>
      </c>
      <c r="C1826" s="65">
        <v>2023</v>
      </c>
      <c r="D1826" s="65" t="s">
        <v>308</v>
      </c>
      <c r="E1826" s="65" t="s">
        <v>301</v>
      </c>
      <c r="F1826" s="65" t="s">
        <v>298</v>
      </c>
      <c r="G1826" s="65"/>
      <c r="H1826" s="65"/>
      <c r="I1826" s="66">
        <v>261.24754000000001</v>
      </c>
    </row>
    <row r="1827" spans="1:9" hidden="1">
      <c r="A1827" s="67" t="s">
        <v>295</v>
      </c>
      <c r="B1827" s="68">
        <v>2030</v>
      </c>
      <c r="C1827" s="68">
        <v>2023</v>
      </c>
      <c r="D1827" s="68" t="s">
        <v>308</v>
      </c>
      <c r="E1827" s="68" t="s">
        <v>301</v>
      </c>
      <c r="F1827" s="68" t="s">
        <v>40</v>
      </c>
      <c r="G1827" s="68"/>
      <c r="H1827" s="68"/>
      <c r="I1827" s="69">
        <v>92749.129660000006</v>
      </c>
    </row>
    <row r="1828" spans="1:9" hidden="1">
      <c r="A1828" s="64" t="s">
        <v>295</v>
      </c>
      <c r="B1828" s="65">
        <v>2030</v>
      </c>
      <c r="C1828" s="65">
        <v>2023</v>
      </c>
      <c r="D1828" s="65" t="s">
        <v>308</v>
      </c>
      <c r="E1828" s="65" t="s">
        <v>305</v>
      </c>
      <c r="F1828" s="65" t="s">
        <v>297</v>
      </c>
      <c r="G1828" s="65"/>
      <c r="H1828" s="65"/>
      <c r="I1828" s="66">
        <v>1612.7841100000001</v>
      </c>
    </row>
    <row r="1829" spans="1:9" hidden="1">
      <c r="A1829" s="67" t="s">
        <v>295</v>
      </c>
      <c r="B1829" s="68">
        <v>2030</v>
      </c>
      <c r="C1829" s="68">
        <v>2023</v>
      </c>
      <c r="D1829" s="68" t="s">
        <v>308</v>
      </c>
      <c r="E1829" s="68" t="s">
        <v>305</v>
      </c>
      <c r="F1829" s="68" t="s">
        <v>40</v>
      </c>
      <c r="G1829" s="68"/>
      <c r="H1829" s="68"/>
      <c r="I1829" s="69">
        <v>10547.884110000001</v>
      </c>
    </row>
    <row r="1830" spans="1:9" hidden="1">
      <c r="A1830" s="64" t="s">
        <v>295</v>
      </c>
      <c r="B1830" s="65">
        <v>2030</v>
      </c>
      <c r="C1830" s="65">
        <v>2023</v>
      </c>
      <c r="D1830" s="65" t="s">
        <v>310</v>
      </c>
      <c r="E1830" s="65" t="s">
        <v>294</v>
      </c>
      <c r="F1830" s="65" t="s">
        <v>297</v>
      </c>
      <c r="G1830" s="65"/>
      <c r="H1830" s="65"/>
      <c r="I1830" s="66">
        <v>132.5</v>
      </c>
    </row>
    <row r="1831" spans="1:9" hidden="1">
      <c r="A1831" s="67" t="s">
        <v>295</v>
      </c>
      <c r="B1831" s="68">
        <v>2030</v>
      </c>
      <c r="C1831" s="68">
        <v>2023</v>
      </c>
      <c r="D1831" s="68" t="s">
        <v>310</v>
      </c>
      <c r="E1831" s="68" t="s">
        <v>294</v>
      </c>
      <c r="F1831" s="68" t="s">
        <v>40</v>
      </c>
      <c r="G1831" s="68"/>
      <c r="H1831" s="68"/>
      <c r="I1831" s="69">
        <v>117989.7249609602</v>
      </c>
    </row>
    <row r="1832" spans="1:9" hidden="1">
      <c r="A1832" s="64" t="s">
        <v>295</v>
      </c>
      <c r="B1832" s="65">
        <v>2030</v>
      </c>
      <c r="C1832" s="65">
        <v>2023</v>
      </c>
      <c r="D1832" s="65" t="s">
        <v>310</v>
      </c>
      <c r="E1832" s="65" t="s">
        <v>301</v>
      </c>
      <c r="F1832" s="65" t="s">
        <v>297</v>
      </c>
      <c r="G1832" s="65"/>
      <c r="H1832" s="65"/>
      <c r="I1832" s="66">
        <v>132.5</v>
      </c>
    </row>
    <row r="1833" spans="1:9" hidden="1">
      <c r="A1833" s="67" t="s">
        <v>295</v>
      </c>
      <c r="B1833" s="68">
        <v>2030</v>
      </c>
      <c r="C1833" s="68">
        <v>2023</v>
      </c>
      <c r="D1833" s="68" t="s">
        <v>310</v>
      </c>
      <c r="E1833" s="68" t="s">
        <v>301</v>
      </c>
      <c r="F1833" s="68" t="s">
        <v>40</v>
      </c>
      <c r="G1833" s="68"/>
      <c r="H1833" s="68"/>
      <c r="I1833" s="69">
        <v>123006.85621096021</v>
      </c>
    </row>
    <row r="1834" spans="1:9" hidden="1">
      <c r="A1834" s="64" t="s">
        <v>295</v>
      </c>
      <c r="B1834" s="65">
        <v>2030</v>
      </c>
      <c r="C1834" s="65">
        <v>2023</v>
      </c>
      <c r="D1834" s="65" t="s">
        <v>310</v>
      </c>
      <c r="E1834" s="65" t="s">
        <v>305</v>
      </c>
      <c r="F1834" s="65" t="s">
        <v>40</v>
      </c>
      <c r="G1834" s="65"/>
      <c r="H1834" s="65"/>
      <c r="I1834" s="66">
        <v>1118.8649600000001</v>
      </c>
    </row>
    <row r="1835" spans="1:9" hidden="1">
      <c r="A1835" s="67" t="s">
        <v>295</v>
      </c>
      <c r="B1835" s="68">
        <v>2030</v>
      </c>
      <c r="C1835" s="68">
        <v>2023</v>
      </c>
      <c r="D1835" s="68" t="s">
        <v>311</v>
      </c>
      <c r="E1835" s="68" t="s">
        <v>294</v>
      </c>
      <c r="F1835" s="68" t="s">
        <v>297</v>
      </c>
      <c r="G1835" s="68"/>
      <c r="H1835" s="68"/>
      <c r="I1835" s="69">
        <v>667.2</v>
      </c>
    </row>
    <row r="1836" spans="1:9" hidden="1">
      <c r="A1836" s="64" t="s">
        <v>295</v>
      </c>
      <c r="B1836" s="65">
        <v>2030</v>
      </c>
      <c r="C1836" s="65">
        <v>2023</v>
      </c>
      <c r="D1836" s="65" t="s">
        <v>311</v>
      </c>
      <c r="E1836" s="65" t="s">
        <v>294</v>
      </c>
      <c r="F1836" s="65" t="s">
        <v>40</v>
      </c>
      <c r="G1836" s="65"/>
      <c r="H1836" s="65"/>
      <c r="I1836" s="66">
        <v>137310.55713826211</v>
      </c>
    </row>
    <row r="1837" spans="1:9" hidden="1">
      <c r="A1837" s="67" t="s">
        <v>295</v>
      </c>
      <c r="B1837" s="68">
        <v>2030</v>
      </c>
      <c r="C1837" s="68">
        <v>2023</v>
      </c>
      <c r="D1837" s="68" t="s">
        <v>311</v>
      </c>
      <c r="E1837" s="68" t="s">
        <v>301</v>
      </c>
      <c r="F1837" s="68" t="s">
        <v>297</v>
      </c>
      <c r="G1837" s="68"/>
      <c r="H1837" s="68"/>
      <c r="I1837" s="69">
        <v>667.2</v>
      </c>
    </row>
    <row r="1838" spans="1:9" hidden="1">
      <c r="A1838" s="64" t="s">
        <v>295</v>
      </c>
      <c r="B1838" s="65">
        <v>2030</v>
      </c>
      <c r="C1838" s="65">
        <v>2023</v>
      </c>
      <c r="D1838" s="65" t="s">
        <v>311</v>
      </c>
      <c r="E1838" s="65" t="s">
        <v>301</v>
      </c>
      <c r="F1838" s="65" t="s">
        <v>40</v>
      </c>
      <c r="G1838" s="65"/>
      <c r="H1838" s="65"/>
      <c r="I1838" s="66">
        <v>139396.15700826209</v>
      </c>
    </row>
    <row r="1839" spans="1:9" hidden="1">
      <c r="A1839" s="67" t="s">
        <v>295</v>
      </c>
      <c r="B1839" s="68">
        <v>2030</v>
      </c>
      <c r="C1839" s="68">
        <v>2023</v>
      </c>
      <c r="D1839" s="68" t="s">
        <v>311</v>
      </c>
      <c r="E1839" s="68" t="s">
        <v>305</v>
      </c>
      <c r="F1839" s="68" t="s">
        <v>40</v>
      </c>
      <c r="G1839" s="68"/>
      <c r="H1839" s="68"/>
      <c r="I1839" s="69">
        <v>782.5</v>
      </c>
    </row>
    <row r="1840" spans="1:9" hidden="1">
      <c r="A1840" s="64" t="s">
        <v>295</v>
      </c>
      <c r="B1840" s="65">
        <v>2030</v>
      </c>
      <c r="C1840" s="65">
        <v>2023</v>
      </c>
      <c r="D1840" s="65" t="s">
        <v>312</v>
      </c>
      <c r="E1840" s="65" t="s">
        <v>294</v>
      </c>
      <c r="F1840" s="65" t="s">
        <v>297</v>
      </c>
      <c r="G1840" s="65"/>
      <c r="H1840" s="65"/>
      <c r="I1840" s="66">
        <v>732.33125000000007</v>
      </c>
    </row>
    <row r="1841" spans="1:9" hidden="1">
      <c r="A1841" s="67" t="s">
        <v>295</v>
      </c>
      <c r="B1841" s="68">
        <v>2030</v>
      </c>
      <c r="C1841" s="68">
        <v>2023</v>
      </c>
      <c r="D1841" s="68" t="s">
        <v>312</v>
      </c>
      <c r="E1841" s="68" t="s">
        <v>294</v>
      </c>
      <c r="F1841" s="68" t="s">
        <v>40</v>
      </c>
      <c r="G1841" s="68"/>
      <c r="H1841" s="68"/>
      <c r="I1841" s="69">
        <v>876.23125000000005</v>
      </c>
    </row>
    <row r="1842" spans="1:9" hidden="1">
      <c r="A1842" s="64" t="s">
        <v>295</v>
      </c>
      <c r="B1842" s="65">
        <v>2030</v>
      </c>
      <c r="C1842" s="65">
        <v>2023</v>
      </c>
      <c r="D1842" s="65" t="s">
        <v>312</v>
      </c>
      <c r="E1842" s="65" t="s">
        <v>301</v>
      </c>
      <c r="F1842" s="65" t="s">
        <v>297</v>
      </c>
      <c r="G1842" s="65"/>
      <c r="H1842" s="65"/>
      <c r="I1842" s="66">
        <v>733.13378</v>
      </c>
    </row>
    <row r="1843" spans="1:9" hidden="1">
      <c r="A1843" s="67" t="s">
        <v>295</v>
      </c>
      <c r="B1843" s="68">
        <v>2030</v>
      </c>
      <c r="C1843" s="68">
        <v>2023</v>
      </c>
      <c r="D1843" s="68" t="s">
        <v>312</v>
      </c>
      <c r="E1843" s="68" t="s">
        <v>301</v>
      </c>
      <c r="F1843" s="68" t="s">
        <v>40</v>
      </c>
      <c r="G1843" s="68"/>
      <c r="H1843" s="68"/>
      <c r="I1843" s="69">
        <v>877.03377999999998</v>
      </c>
    </row>
    <row r="1844" spans="1:9" hidden="1">
      <c r="A1844" s="64" t="s">
        <v>295</v>
      </c>
      <c r="B1844" s="65">
        <v>2030</v>
      </c>
      <c r="C1844" s="65">
        <v>2023</v>
      </c>
      <c r="D1844" s="65" t="s">
        <v>313</v>
      </c>
      <c r="E1844" s="65" t="s">
        <v>294</v>
      </c>
      <c r="F1844" s="65" t="s">
        <v>297</v>
      </c>
      <c r="G1844" s="65"/>
      <c r="H1844" s="65"/>
      <c r="I1844" s="66">
        <v>1720731.1677699999</v>
      </c>
    </row>
    <row r="1845" spans="1:9" hidden="1">
      <c r="A1845" s="67" t="s">
        <v>295</v>
      </c>
      <c r="B1845" s="68">
        <v>2030</v>
      </c>
      <c r="C1845" s="68">
        <v>2023</v>
      </c>
      <c r="D1845" s="68" t="s">
        <v>313</v>
      </c>
      <c r="E1845" s="68" t="s">
        <v>294</v>
      </c>
      <c r="F1845" s="68" t="s">
        <v>298</v>
      </c>
      <c r="G1845" s="68"/>
      <c r="H1845" s="68"/>
      <c r="I1845" s="69">
        <v>834147.00620000006</v>
      </c>
    </row>
    <row r="1846" spans="1:9" hidden="1">
      <c r="A1846" s="64" t="s">
        <v>295</v>
      </c>
      <c r="B1846" s="65">
        <v>2030</v>
      </c>
      <c r="C1846" s="65">
        <v>2023</v>
      </c>
      <c r="D1846" s="65" t="s">
        <v>313</v>
      </c>
      <c r="E1846" s="65" t="s">
        <v>294</v>
      </c>
      <c r="F1846" s="65" t="s">
        <v>40</v>
      </c>
      <c r="G1846" s="65"/>
      <c r="H1846" s="65"/>
      <c r="I1846" s="66">
        <v>2571635.3960600002</v>
      </c>
    </row>
    <row r="1847" spans="1:9" hidden="1">
      <c r="A1847" s="67" t="s">
        <v>295</v>
      </c>
      <c r="B1847" s="68">
        <v>2030</v>
      </c>
      <c r="C1847" s="68">
        <v>2023</v>
      </c>
      <c r="D1847" s="68" t="s">
        <v>313</v>
      </c>
      <c r="E1847" s="68" t="s">
        <v>301</v>
      </c>
      <c r="F1847" s="68" t="s">
        <v>297</v>
      </c>
      <c r="G1847" s="68"/>
      <c r="H1847" s="68"/>
      <c r="I1847" s="69">
        <v>1849797.5201900001</v>
      </c>
    </row>
    <row r="1848" spans="1:9" hidden="1">
      <c r="A1848" s="64" t="s">
        <v>295</v>
      </c>
      <c r="B1848" s="65">
        <v>2030</v>
      </c>
      <c r="C1848" s="65">
        <v>2023</v>
      </c>
      <c r="D1848" s="65" t="s">
        <v>313</v>
      </c>
      <c r="E1848" s="65" t="s">
        <v>301</v>
      </c>
      <c r="F1848" s="65" t="s">
        <v>298</v>
      </c>
      <c r="G1848" s="65"/>
      <c r="H1848" s="65"/>
      <c r="I1848" s="66">
        <v>926417.57490999997</v>
      </c>
    </row>
    <row r="1849" spans="1:9" hidden="1">
      <c r="A1849" s="67" t="s">
        <v>295</v>
      </c>
      <c r="B1849" s="68">
        <v>2030</v>
      </c>
      <c r="C1849" s="68">
        <v>2023</v>
      </c>
      <c r="D1849" s="68" t="s">
        <v>313</v>
      </c>
      <c r="E1849" s="68" t="s">
        <v>301</v>
      </c>
      <c r="F1849" s="68" t="s">
        <v>40</v>
      </c>
      <c r="G1849" s="68"/>
      <c r="H1849" s="68"/>
      <c r="I1849" s="69">
        <v>2794321.8128</v>
      </c>
    </row>
    <row r="1850" spans="1:9" hidden="1">
      <c r="A1850" s="64" t="s">
        <v>295</v>
      </c>
      <c r="B1850" s="65">
        <v>2030</v>
      </c>
      <c r="C1850" s="65">
        <v>2023</v>
      </c>
      <c r="D1850" s="65" t="s">
        <v>313</v>
      </c>
      <c r="E1850" s="65" t="s">
        <v>305</v>
      </c>
      <c r="F1850" s="65" t="s">
        <v>297</v>
      </c>
      <c r="G1850" s="65"/>
      <c r="H1850" s="65"/>
      <c r="I1850" s="66">
        <v>15820.523349999999</v>
      </c>
    </row>
    <row r="1851" spans="1:9" hidden="1">
      <c r="A1851" s="67" t="s">
        <v>295</v>
      </c>
      <c r="B1851" s="68">
        <v>2030</v>
      </c>
      <c r="C1851" s="68">
        <v>2023</v>
      </c>
      <c r="D1851" s="68" t="s">
        <v>313</v>
      </c>
      <c r="E1851" s="68" t="s">
        <v>305</v>
      </c>
      <c r="F1851" s="68" t="s">
        <v>298</v>
      </c>
      <c r="G1851" s="68"/>
      <c r="H1851" s="68"/>
      <c r="I1851" s="69">
        <v>9254.4131099999995</v>
      </c>
    </row>
    <row r="1852" spans="1:9" hidden="1">
      <c r="A1852" s="64" t="s">
        <v>295</v>
      </c>
      <c r="B1852" s="65">
        <v>2030</v>
      </c>
      <c r="C1852" s="65">
        <v>2023</v>
      </c>
      <c r="D1852" s="65" t="s">
        <v>313</v>
      </c>
      <c r="E1852" s="65" t="s">
        <v>305</v>
      </c>
      <c r="F1852" s="65" t="s">
        <v>40</v>
      </c>
      <c r="G1852" s="65"/>
      <c r="H1852" s="65"/>
      <c r="I1852" s="66">
        <v>196442.53765000001</v>
      </c>
    </row>
    <row r="1853" spans="1:9" hidden="1">
      <c r="A1853" s="67" t="s">
        <v>295</v>
      </c>
      <c r="B1853" s="68">
        <v>2030</v>
      </c>
      <c r="C1853" s="68">
        <v>2023</v>
      </c>
      <c r="D1853" s="68" t="s">
        <v>314</v>
      </c>
      <c r="E1853" s="68" t="s">
        <v>294</v>
      </c>
      <c r="F1853" s="68" t="s">
        <v>297</v>
      </c>
      <c r="G1853" s="68"/>
      <c r="H1853" s="68"/>
      <c r="I1853" s="69">
        <v>1720731.1677699999</v>
      </c>
    </row>
    <row r="1854" spans="1:9" hidden="1">
      <c r="A1854" s="64" t="s">
        <v>295</v>
      </c>
      <c r="B1854" s="65">
        <v>2030</v>
      </c>
      <c r="C1854" s="65">
        <v>2023</v>
      </c>
      <c r="D1854" s="65" t="s">
        <v>314</v>
      </c>
      <c r="E1854" s="65" t="s">
        <v>294</v>
      </c>
      <c r="F1854" s="65" t="s">
        <v>298</v>
      </c>
      <c r="G1854" s="65"/>
      <c r="H1854" s="65"/>
      <c r="I1854" s="66">
        <v>834147.10620000004</v>
      </c>
    </row>
    <row r="1855" spans="1:9" hidden="1">
      <c r="A1855" s="67" t="s">
        <v>295</v>
      </c>
      <c r="B1855" s="68">
        <v>2030</v>
      </c>
      <c r="C1855" s="68">
        <v>2023</v>
      </c>
      <c r="D1855" s="68" t="s">
        <v>314</v>
      </c>
      <c r="E1855" s="68" t="s">
        <v>294</v>
      </c>
      <c r="F1855" s="68" t="s">
        <v>40</v>
      </c>
      <c r="G1855" s="68"/>
      <c r="H1855" s="68"/>
      <c r="I1855" s="69">
        <v>2311341.0195599999</v>
      </c>
    </row>
    <row r="1856" spans="1:9" hidden="1">
      <c r="A1856" s="64" t="s">
        <v>295</v>
      </c>
      <c r="B1856" s="65">
        <v>2030</v>
      </c>
      <c r="C1856" s="65">
        <v>2023</v>
      </c>
      <c r="D1856" s="65" t="s">
        <v>314</v>
      </c>
      <c r="E1856" s="65" t="s">
        <v>301</v>
      </c>
      <c r="F1856" s="65" t="s">
        <v>297</v>
      </c>
      <c r="G1856" s="65"/>
      <c r="H1856" s="65"/>
      <c r="I1856" s="66">
        <v>1849797.5201900001</v>
      </c>
    </row>
    <row r="1857" spans="1:9" hidden="1">
      <c r="A1857" s="67" t="s">
        <v>295</v>
      </c>
      <c r="B1857" s="68">
        <v>2030</v>
      </c>
      <c r="C1857" s="68">
        <v>2023</v>
      </c>
      <c r="D1857" s="68" t="s">
        <v>314</v>
      </c>
      <c r="E1857" s="68" t="s">
        <v>301</v>
      </c>
      <c r="F1857" s="68" t="s">
        <v>298</v>
      </c>
      <c r="G1857" s="68"/>
      <c r="H1857" s="68"/>
      <c r="I1857" s="69">
        <v>926417.67490999994</v>
      </c>
    </row>
    <row r="1858" spans="1:9" hidden="1">
      <c r="A1858" s="64" t="s">
        <v>295</v>
      </c>
      <c r="B1858" s="65">
        <v>2030</v>
      </c>
      <c r="C1858" s="65">
        <v>2023</v>
      </c>
      <c r="D1858" s="65" t="s">
        <v>314</v>
      </c>
      <c r="E1858" s="65" t="s">
        <v>301</v>
      </c>
      <c r="F1858" s="65" t="s">
        <v>40</v>
      </c>
      <c r="G1858" s="65"/>
      <c r="H1858" s="65"/>
      <c r="I1858" s="66">
        <v>2554534.3878100002</v>
      </c>
    </row>
    <row r="1859" spans="1:9" hidden="1">
      <c r="A1859" s="67" t="s">
        <v>295</v>
      </c>
      <c r="B1859" s="68">
        <v>2030</v>
      </c>
      <c r="C1859" s="68">
        <v>2023</v>
      </c>
      <c r="D1859" s="68" t="s">
        <v>314</v>
      </c>
      <c r="E1859" s="68" t="s">
        <v>305</v>
      </c>
      <c r="F1859" s="68" t="s">
        <v>297</v>
      </c>
      <c r="G1859" s="68"/>
      <c r="H1859" s="68"/>
      <c r="I1859" s="69">
        <v>15820.523349999999</v>
      </c>
    </row>
    <row r="1860" spans="1:9" hidden="1">
      <c r="A1860" s="64" t="s">
        <v>295</v>
      </c>
      <c r="B1860" s="65">
        <v>2030</v>
      </c>
      <c r="C1860" s="65">
        <v>2023</v>
      </c>
      <c r="D1860" s="65" t="s">
        <v>314</v>
      </c>
      <c r="E1860" s="65" t="s">
        <v>305</v>
      </c>
      <c r="F1860" s="65" t="s">
        <v>298</v>
      </c>
      <c r="G1860" s="65"/>
      <c r="H1860" s="65"/>
      <c r="I1860" s="66">
        <v>9254.4131099999995</v>
      </c>
    </row>
    <row r="1861" spans="1:9" hidden="1">
      <c r="A1861" s="67" t="s">
        <v>295</v>
      </c>
      <c r="B1861" s="68">
        <v>2030</v>
      </c>
      <c r="C1861" s="68">
        <v>2023</v>
      </c>
      <c r="D1861" s="68" t="s">
        <v>314</v>
      </c>
      <c r="E1861" s="68" t="s">
        <v>305</v>
      </c>
      <c r="F1861" s="68" t="s">
        <v>40</v>
      </c>
      <c r="G1861" s="68"/>
      <c r="H1861" s="68"/>
      <c r="I1861" s="69">
        <v>177699.53756</v>
      </c>
    </row>
    <row r="1862" spans="1:9" hidden="1">
      <c r="A1862" s="64" t="s">
        <v>295</v>
      </c>
      <c r="B1862" s="65">
        <v>2031</v>
      </c>
      <c r="C1862" s="65">
        <v>2023</v>
      </c>
      <c r="D1862" s="65" t="s">
        <v>296</v>
      </c>
      <c r="E1862" s="65" t="s">
        <v>294</v>
      </c>
      <c r="F1862" s="65" t="s">
        <v>297</v>
      </c>
      <c r="G1862" s="65"/>
      <c r="H1862" s="65"/>
      <c r="I1862" s="66">
        <v>1172848.2900335391</v>
      </c>
    </row>
    <row r="1863" spans="1:9" hidden="1">
      <c r="A1863" s="67" t="s">
        <v>295</v>
      </c>
      <c r="B1863" s="68">
        <v>2031</v>
      </c>
      <c r="C1863" s="68">
        <v>2023</v>
      </c>
      <c r="D1863" s="68" t="s">
        <v>296</v>
      </c>
      <c r="E1863" s="68" t="s">
        <v>294</v>
      </c>
      <c r="F1863" s="68" t="s">
        <v>298</v>
      </c>
      <c r="G1863" s="68"/>
      <c r="H1863" s="68"/>
      <c r="I1863" s="69">
        <v>608426.79902521451</v>
      </c>
    </row>
    <row r="1864" spans="1:9" hidden="1">
      <c r="A1864" s="64" t="s">
        <v>295</v>
      </c>
      <c r="B1864" s="65">
        <v>2031</v>
      </c>
      <c r="C1864" s="65">
        <v>2023</v>
      </c>
      <c r="D1864" s="65" t="s">
        <v>296</v>
      </c>
      <c r="E1864" s="65" t="s">
        <v>294</v>
      </c>
      <c r="F1864" s="65" t="s">
        <v>40</v>
      </c>
      <c r="G1864" s="65"/>
      <c r="H1864" s="65"/>
      <c r="I1864" s="66">
        <v>1798228.680116144</v>
      </c>
    </row>
    <row r="1865" spans="1:9" hidden="1">
      <c r="A1865" s="67" t="s">
        <v>295</v>
      </c>
      <c r="B1865" s="68">
        <v>2031</v>
      </c>
      <c r="C1865" s="68">
        <v>2023</v>
      </c>
      <c r="D1865" s="68" t="s">
        <v>296</v>
      </c>
      <c r="E1865" s="68" t="s">
        <v>301</v>
      </c>
      <c r="F1865" s="68" t="s">
        <v>297</v>
      </c>
      <c r="G1865" s="68"/>
      <c r="H1865" s="68"/>
      <c r="I1865" s="69">
        <v>1292219.662896581</v>
      </c>
    </row>
    <row r="1866" spans="1:9" hidden="1">
      <c r="A1866" s="64" t="s">
        <v>295</v>
      </c>
      <c r="B1866" s="65">
        <v>2031</v>
      </c>
      <c r="C1866" s="65">
        <v>2023</v>
      </c>
      <c r="D1866" s="65" t="s">
        <v>296</v>
      </c>
      <c r="E1866" s="65" t="s">
        <v>301</v>
      </c>
      <c r="F1866" s="65" t="s">
        <v>298</v>
      </c>
      <c r="G1866" s="65"/>
      <c r="H1866" s="65"/>
      <c r="I1866" s="66">
        <v>692284.01819851366</v>
      </c>
    </row>
    <row r="1867" spans="1:9" hidden="1">
      <c r="A1867" s="67" t="s">
        <v>295</v>
      </c>
      <c r="B1867" s="68">
        <v>2031</v>
      </c>
      <c r="C1867" s="68">
        <v>2023</v>
      </c>
      <c r="D1867" s="68" t="s">
        <v>296</v>
      </c>
      <c r="E1867" s="68" t="s">
        <v>301</v>
      </c>
      <c r="F1867" s="68" t="s">
        <v>40</v>
      </c>
      <c r="G1867" s="68"/>
      <c r="H1867" s="68"/>
      <c r="I1867" s="69">
        <v>2002821.4520913621</v>
      </c>
    </row>
    <row r="1868" spans="1:9" hidden="1">
      <c r="A1868" s="64" t="s">
        <v>295</v>
      </c>
      <c r="B1868" s="65">
        <v>2031</v>
      </c>
      <c r="C1868" s="65">
        <v>2023</v>
      </c>
      <c r="D1868" s="65" t="s">
        <v>296</v>
      </c>
      <c r="E1868" s="65" t="s">
        <v>305</v>
      </c>
      <c r="F1868" s="65" t="s">
        <v>297</v>
      </c>
      <c r="G1868" s="65"/>
      <c r="H1868" s="65"/>
      <c r="I1868" s="66">
        <v>11170.96178</v>
      </c>
    </row>
    <row r="1869" spans="1:9" hidden="1">
      <c r="A1869" s="67" t="s">
        <v>295</v>
      </c>
      <c r="B1869" s="68">
        <v>2031</v>
      </c>
      <c r="C1869" s="68">
        <v>2023</v>
      </c>
      <c r="D1869" s="68" t="s">
        <v>296</v>
      </c>
      <c r="E1869" s="68" t="s">
        <v>305</v>
      </c>
      <c r="F1869" s="68" t="s">
        <v>298</v>
      </c>
      <c r="G1869" s="68"/>
      <c r="H1869" s="68"/>
      <c r="I1869" s="69">
        <v>8527.6131100000002</v>
      </c>
    </row>
    <row r="1870" spans="1:9" hidden="1">
      <c r="A1870" s="64" t="s">
        <v>295</v>
      </c>
      <c r="B1870" s="65">
        <v>2031</v>
      </c>
      <c r="C1870" s="65">
        <v>2023</v>
      </c>
      <c r="D1870" s="65" t="s">
        <v>296</v>
      </c>
      <c r="E1870" s="65" t="s">
        <v>305</v>
      </c>
      <c r="F1870" s="65" t="s">
        <v>40</v>
      </c>
      <c r="G1870" s="65"/>
      <c r="H1870" s="65"/>
      <c r="I1870" s="66">
        <v>140841.37403000001</v>
      </c>
    </row>
    <row r="1871" spans="1:9" hidden="1">
      <c r="A1871" s="67" t="s">
        <v>295</v>
      </c>
      <c r="B1871" s="68">
        <v>2031</v>
      </c>
      <c r="C1871" s="68">
        <v>2023</v>
      </c>
      <c r="D1871" s="68" t="s">
        <v>309</v>
      </c>
      <c r="E1871" s="68" t="s">
        <v>294</v>
      </c>
      <c r="F1871" s="68" t="s">
        <v>297</v>
      </c>
      <c r="G1871" s="68"/>
      <c r="H1871" s="68"/>
      <c r="I1871" s="69">
        <v>48427.605112937978</v>
      </c>
    </row>
    <row r="1872" spans="1:9" hidden="1">
      <c r="A1872" s="64" t="s">
        <v>295</v>
      </c>
      <c r="B1872" s="65">
        <v>2031</v>
      </c>
      <c r="C1872" s="65">
        <v>2023</v>
      </c>
      <c r="D1872" s="65" t="s">
        <v>309</v>
      </c>
      <c r="E1872" s="65" t="s">
        <v>294</v>
      </c>
      <c r="F1872" s="65" t="s">
        <v>298</v>
      </c>
      <c r="G1872" s="65"/>
      <c r="H1872" s="65"/>
      <c r="I1872" s="66">
        <v>374218.1117852825</v>
      </c>
    </row>
    <row r="1873" spans="1:9" hidden="1">
      <c r="A1873" s="67" t="s">
        <v>295</v>
      </c>
      <c r="B1873" s="68">
        <v>2031</v>
      </c>
      <c r="C1873" s="68">
        <v>2023</v>
      </c>
      <c r="D1873" s="68" t="s">
        <v>309</v>
      </c>
      <c r="E1873" s="68" t="s">
        <v>294</v>
      </c>
      <c r="F1873" s="68" t="s">
        <v>40</v>
      </c>
      <c r="G1873" s="68"/>
      <c r="H1873" s="68"/>
      <c r="I1873" s="69">
        <v>422645.35704273288</v>
      </c>
    </row>
    <row r="1874" spans="1:9" hidden="1">
      <c r="A1874" s="64" t="s">
        <v>295</v>
      </c>
      <c r="B1874" s="65">
        <v>2031</v>
      </c>
      <c r="C1874" s="65">
        <v>2023</v>
      </c>
      <c r="D1874" s="65" t="s">
        <v>309</v>
      </c>
      <c r="E1874" s="65" t="s">
        <v>301</v>
      </c>
      <c r="F1874" s="65" t="s">
        <v>297</v>
      </c>
      <c r="G1874" s="65"/>
      <c r="H1874" s="65"/>
      <c r="I1874" s="66">
        <v>53715.500183972057</v>
      </c>
    </row>
    <row r="1875" spans="1:9" hidden="1">
      <c r="A1875" s="67" t="s">
        <v>295</v>
      </c>
      <c r="B1875" s="68">
        <v>2031</v>
      </c>
      <c r="C1875" s="68">
        <v>2023</v>
      </c>
      <c r="D1875" s="68" t="s">
        <v>309</v>
      </c>
      <c r="E1875" s="68" t="s">
        <v>301</v>
      </c>
      <c r="F1875" s="68" t="s">
        <v>298</v>
      </c>
      <c r="G1875" s="68"/>
      <c r="H1875" s="68"/>
      <c r="I1875" s="69">
        <v>432293.19203415688</v>
      </c>
    </row>
    <row r="1876" spans="1:9" hidden="1">
      <c r="A1876" s="64" t="s">
        <v>295</v>
      </c>
      <c r="B1876" s="65">
        <v>2031</v>
      </c>
      <c r="C1876" s="65">
        <v>2023</v>
      </c>
      <c r="D1876" s="65" t="s">
        <v>309</v>
      </c>
      <c r="E1876" s="65" t="s">
        <v>301</v>
      </c>
      <c r="F1876" s="65" t="s">
        <v>40</v>
      </c>
      <c r="G1876" s="65"/>
      <c r="H1876" s="65"/>
      <c r="I1876" s="66">
        <v>486008.37223829533</v>
      </c>
    </row>
    <row r="1877" spans="1:9" hidden="1">
      <c r="A1877" s="67" t="s">
        <v>295</v>
      </c>
      <c r="B1877" s="68">
        <v>2031</v>
      </c>
      <c r="C1877" s="68">
        <v>2023</v>
      </c>
      <c r="D1877" s="68" t="s">
        <v>309</v>
      </c>
      <c r="E1877" s="68" t="s">
        <v>305</v>
      </c>
      <c r="F1877" s="68" t="s">
        <v>297</v>
      </c>
      <c r="G1877" s="68"/>
      <c r="H1877" s="68"/>
      <c r="I1877" s="69">
        <v>100.19306</v>
      </c>
    </row>
    <row r="1878" spans="1:9" hidden="1">
      <c r="A1878" s="64" t="s">
        <v>295</v>
      </c>
      <c r="B1878" s="65">
        <v>2031</v>
      </c>
      <c r="C1878" s="65">
        <v>2023</v>
      </c>
      <c r="D1878" s="65" t="s">
        <v>309</v>
      </c>
      <c r="E1878" s="65" t="s">
        <v>305</v>
      </c>
      <c r="F1878" s="65" t="s">
        <v>298</v>
      </c>
      <c r="G1878" s="65"/>
      <c r="H1878" s="65"/>
      <c r="I1878" s="66">
        <v>7073.0131099999999</v>
      </c>
    </row>
    <row r="1879" spans="1:9" hidden="1">
      <c r="A1879" s="67" t="s">
        <v>295</v>
      </c>
      <c r="B1879" s="68">
        <v>2031</v>
      </c>
      <c r="C1879" s="68">
        <v>2023</v>
      </c>
      <c r="D1879" s="68" t="s">
        <v>309</v>
      </c>
      <c r="E1879" s="68" t="s">
        <v>305</v>
      </c>
      <c r="F1879" s="68" t="s">
        <v>40</v>
      </c>
      <c r="G1879" s="68"/>
      <c r="H1879" s="68"/>
      <c r="I1879" s="69">
        <v>48146.706169999998</v>
      </c>
    </row>
    <row r="1880" spans="1:9" hidden="1">
      <c r="A1880" s="64" t="s">
        <v>295</v>
      </c>
      <c r="B1880" s="65">
        <v>2031</v>
      </c>
      <c r="C1880" s="65">
        <v>2023</v>
      </c>
      <c r="D1880" s="65" t="s">
        <v>315</v>
      </c>
      <c r="E1880" s="65" t="s">
        <v>294</v>
      </c>
      <c r="F1880" s="65" t="s">
        <v>297</v>
      </c>
      <c r="G1880" s="65"/>
      <c r="H1880" s="65"/>
      <c r="I1880" s="66">
        <v>102216.411626863</v>
      </c>
    </row>
    <row r="1881" spans="1:9" hidden="1">
      <c r="A1881" s="67" t="s">
        <v>295</v>
      </c>
      <c r="B1881" s="68">
        <v>2031</v>
      </c>
      <c r="C1881" s="68">
        <v>2023</v>
      </c>
      <c r="D1881" s="68" t="s">
        <v>315</v>
      </c>
      <c r="E1881" s="68" t="s">
        <v>294</v>
      </c>
      <c r="F1881" s="68" t="s">
        <v>298</v>
      </c>
      <c r="G1881" s="68"/>
      <c r="H1881" s="68"/>
      <c r="I1881" s="69">
        <v>214862.38807229229</v>
      </c>
    </row>
    <row r="1882" spans="1:9" hidden="1">
      <c r="A1882" s="64" t="s">
        <v>295</v>
      </c>
      <c r="B1882" s="65">
        <v>2031</v>
      </c>
      <c r="C1882" s="65">
        <v>2023</v>
      </c>
      <c r="D1882" s="65" t="s">
        <v>315</v>
      </c>
      <c r="E1882" s="65" t="s">
        <v>294</v>
      </c>
      <c r="F1882" s="65" t="s">
        <v>40</v>
      </c>
      <c r="G1882" s="65"/>
      <c r="H1882" s="65"/>
      <c r="I1882" s="66">
        <v>317078.91967916262</v>
      </c>
    </row>
    <row r="1883" spans="1:9" hidden="1">
      <c r="A1883" s="67" t="s">
        <v>295</v>
      </c>
      <c r="B1883" s="68">
        <v>2031</v>
      </c>
      <c r="C1883" s="68">
        <v>2023</v>
      </c>
      <c r="D1883" s="68" t="s">
        <v>315</v>
      </c>
      <c r="E1883" s="68" t="s">
        <v>301</v>
      </c>
      <c r="F1883" s="68" t="s">
        <v>297</v>
      </c>
      <c r="G1883" s="68"/>
      <c r="H1883" s="68"/>
      <c r="I1883" s="69">
        <v>106616.8061345115</v>
      </c>
    </row>
    <row r="1884" spans="1:9" hidden="1">
      <c r="A1884" s="64" t="s">
        <v>295</v>
      </c>
      <c r="B1884" s="65">
        <v>2031</v>
      </c>
      <c r="C1884" s="65">
        <v>2023</v>
      </c>
      <c r="D1884" s="65" t="s">
        <v>315</v>
      </c>
      <c r="E1884" s="65" t="s">
        <v>301</v>
      </c>
      <c r="F1884" s="65" t="s">
        <v>298</v>
      </c>
      <c r="G1884" s="65"/>
      <c r="H1884" s="65"/>
      <c r="I1884" s="66">
        <v>239228.0886423373</v>
      </c>
    </row>
    <row r="1885" spans="1:9" hidden="1">
      <c r="A1885" s="67" t="s">
        <v>295</v>
      </c>
      <c r="B1885" s="68">
        <v>2031</v>
      </c>
      <c r="C1885" s="68">
        <v>2023</v>
      </c>
      <c r="D1885" s="68" t="s">
        <v>315</v>
      </c>
      <c r="E1885" s="68" t="s">
        <v>301</v>
      </c>
      <c r="F1885" s="68" t="s">
        <v>40</v>
      </c>
      <c r="G1885" s="68"/>
      <c r="H1885" s="68"/>
      <c r="I1885" s="69">
        <v>345844.81474682188</v>
      </c>
    </row>
    <row r="1886" spans="1:9" hidden="1">
      <c r="A1886" s="64" t="s">
        <v>295</v>
      </c>
      <c r="B1886" s="65">
        <v>2031</v>
      </c>
      <c r="C1886" s="65">
        <v>2023</v>
      </c>
      <c r="D1886" s="65" t="s">
        <v>315</v>
      </c>
      <c r="E1886" s="65" t="s">
        <v>305</v>
      </c>
      <c r="F1886" s="65" t="s">
        <v>297</v>
      </c>
      <c r="G1886" s="65"/>
      <c r="H1886" s="65"/>
      <c r="I1886" s="66">
        <v>1022.34114</v>
      </c>
    </row>
    <row r="1887" spans="1:9" hidden="1">
      <c r="A1887" s="67" t="s">
        <v>295</v>
      </c>
      <c r="B1887" s="68">
        <v>2031</v>
      </c>
      <c r="C1887" s="68">
        <v>2023</v>
      </c>
      <c r="D1887" s="68" t="s">
        <v>315</v>
      </c>
      <c r="E1887" s="68" t="s">
        <v>305</v>
      </c>
      <c r="F1887" s="68" t="s">
        <v>298</v>
      </c>
      <c r="G1887" s="68"/>
      <c r="H1887" s="68"/>
      <c r="I1887" s="69">
        <v>1384.7</v>
      </c>
    </row>
    <row r="1888" spans="1:9" hidden="1">
      <c r="A1888" s="64" t="s">
        <v>295</v>
      </c>
      <c r="B1888" s="65">
        <v>2031</v>
      </c>
      <c r="C1888" s="65">
        <v>2023</v>
      </c>
      <c r="D1888" s="65" t="s">
        <v>315</v>
      </c>
      <c r="E1888" s="65" t="s">
        <v>305</v>
      </c>
      <c r="F1888" s="65" t="s">
        <v>40</v>
      </c>
      <c r="G1888" s="65"/>
      <c r="H1888" s="65"/>
      <c r="I1888" s="66">
        <v>19656.64114</v>
      </c>
    </row>
    <row r="1889" spans="1:9" hidden="1">
      <c r="A1889" s="67" t="s">
        <v>295</v>
      </c>
      <c r="B1889" s="68">
        <v>2031</v>
      </c>
      <c r="C1889" s="68">
        <v>2023</v>
      </c>
      <c r="D1889" s="68" t="s">
        <v>316</v>
      </c>
      <c r="E1889" s="68" t="s">
        <v>294</v>
      </c>
      <c r="F1889" s="68" t="s">
        <v>297</v>
      </c>
      <c r="G1889" s="68"/>
      <c r="H1889" s="68"/>
      <c r="I1889" s="69">
        <v>600477.42261985037</v>
      </c>
    </row>
    <row r="1890" spans="1:9" hidden="1">
      <c r="A1890" s="64" t="s">
        <v>295</v>
      </c>
      <c r="B1890" s="65">
        <v>2031</v>
      </c>
      <c r="C1890" s="65">
        <v>2023</v>
      </c>
      <c r="D1890" s="65" t="s">
        <v>316</v>
      </c>
      <c r="E1890" s="65" t="s">
        <v>294</v>
      </c>
      <c r="F1890" s="65" t="s">
        <v>298</v>
      </c>
      <c r="G1890" s="65"/>
      <c r="H1890" s="65"/>
      <c r="I1890" s="66">
        <v>3620.4267602115028</v>
      </c>
    </row>
    <row r="1891" spans="1:9" hidden="1">
      <c r="A1891" s="67" t="s">
        <v>295</v>
      </c>
      <c r="B1891" s="68">
        <v>2031</v>
      </c>
      <c r="C1891" s="68">
        <v>2023</v>
      </c>
      <c r="D1891" s="68" t="s">
        <v>316</v>
      </c>
      <c r="E1891" s="68" t="s">
        <v>294</v>
      </c>
      <c r="F1891" s="68" t="s">
        <v>40</v>
      </c>
      <c r="G1891" s="68"/>
      <c r="H1891" s="68"/>
      <c r="I1891" s="69">
        <v>621051.56030256336</v>
      </c>
    </row>
    <row r="1892" spans="1:9" hidden="1">
      <c r="A1892" s="64" t="s">
        <v>295</v>
      </c>
      <c r="B1892" s="65">
        <v>2031</v>
      </c>
      <c r="C1892" s="65">
        <v>2023</v>
      </c>
      <c r="D1892" s="65" t="s">
        <v>316</v>
      </c>
      <c r="E1892" s="65" t="s">
        <v>301</v>
      </c>
      <c r="F1892" s="65" t="s">
        <v>297</v>
      </c>
      <c r="G1892" s="65"/>
      <c r="H1892" s="65"/>
      <c r="I1892" s="66">
        <v>663096.34344514855</v>
      </c>
    </row>
    <row r="1893" spans="1:9" hidden="1">
      <c r="A1893" s="67" t="s">
        <v>295</v>
      </c>
      <c r="B1893" s="68">
        <v>2031</v>
      </c>
      <c r="C1893" s="68">
        <v>2023</v>
      </c>
      <c r="D1893" s="68" t="s">
        <v>316</v>
      </c>
      <c r="E1893" s="68" t="s">
        <v>301</v>
      </c>
      <c r="F1893" s="68" t="s">
        <v>298</v>
      </c>
      <c r="G1893" s="68"/>
      <c r="H1893" s="68"/>
      <c r="I1893" s="69">
        <v>3754.4574701207689</v>
      </c>
    </row>
    <row r="1894" spans="1:9" hidden="1">
      <c r="A1894" s="64" t="s">
        <v>295</v>
      </c>
      <c r="B1894" s="65">
        <v>2031</v>
      </c>
      <c r="C1894" s="65">
        <v>2023</v>
      </c>
      <c r="D1894" s="65" t="s">
        <v>316</v>
      </c>
      <c r="E1894" s="65" t="s">
        <v>301</v>
      </c>
      <c r="F1894" s="65" t="s">
        <v>40</v>
      </c>
      <c r="G1894" s="65"/>
      <c r="H1894" s="65"/>
      <c r="I1894" s="66">
        <v>685168.35187139676</v>
      </c>
    </row>
    <row r="1895" spans="1:9" hidden="1">
      <c r="A1895" s="67" t="s">
        <v>295</v>
      </c>
      <c r="B1895" s="68">
        <v>2031</v>
      </c>
      <c r="C1895" s="68">
        <v>2023</v>
      </c>
      <c r="D1895" s="68" t="s">
        <v>316</v>
      </c>
      <c r="E1895" s="68" t="s">
        <v>305</v>
      </c>
      <c r="F1895" s="68" t="s">
        <v>297</v>
      </c>
      <c r="G1895" s="68"/>
      <c r="H1895" s="68"/>
      <c r="I1895" s="69">
        <v>8084.98153</v>
      </c>
    </row>
    <row r="1896" spans="1:9" hidden="1">
      <c r="A1896" s="64" t="s">
        <v>295</v>
      </c>
      <c r="B1896" s="65">
        <v>2031</v>
      </c>
      <c r="C1896" s="65">
        <v>2023</v>
      </c>
      <c r="D1896" s="65" t="s">
        <v>316</v>
      </c>
      <c r="E1896" s="65" t="s">
        <v>305</v>
      </c>
      <c r="F1896" s="65" t="s">
        <v>298</v>
      </c>
      <c r="G1896" s="65"/>
      <c r="H1896" s="65"/>
      <c r="I1896" s="66">
        <v>0</v>
      </c>
    </row>
    <row r="1897" spans="1:9" hidden="1">
      <c r="A1897" s="67" t="s">
        <v>295</v>
      </c>
      <c r="B1897" s="68">
        <v>2031</v>
      </c>
      <c r="C1897" s="68">
        <v>2023</v>
      </c>
      <c r="D1897" s="68" t="s">
        <v>316</v>
      </c>
      <c r="E1897" s="68" t="s">
        <v>305</v>
      </c>
      <c r="F1897" s="68" t="s">
        <v>40</v>
      </c>
      <c r="G1897" s="68"/>
      <c r="H1897" s="68"/>
      <c r="I1897" s="69">
        <v>35538.580670000003</v>
      </c>
    </row>
    <row r="1898" spans="1:9" hidden="1">
      <c r="A1898" s="64" t="s">
        <v>295</v>
      </c>
      <c r="B1898" s="65">
        <v>2031</v>
      </c>
      <c r="C1898" s="65">
        <v>2023</v>
      </c>
      <c r="D1898" s="65" t="s">
        <v>317</v>
      </c>
      <c r="E1898" s="65" t="s">
        <v>294</v>
      </c>
      <c r="F1898" s="65" t="s">
        <v>297</v>
      </c>
      <c r="G1898" s="65"/>
      <c r="H1898" s="65"/>
      <c r="I1898" s="66">
        <v>150.9600167714558</v>
      </c>
    </row>
    <row r="1899" spans="1:9" hidden="1">
      <c r="A1899" s="67" t="s">
        <v>295</v>
      </c>
      <c r="B1899" s="68">
        <v>2031</v>
      </c>
      <c r="C1899" s="68">
        <v>2023</v>
      </c>
      <c r="D1899" s="68" t="s">
        <v>317</v>
      </c>
      <c r="E1899" s="68" t="s">
        <v>294</v>
      </c>
      <c r="F1899" s="68" t="s">
        <v>298</v>
      </c>
      <c r="G1899" s="68"/>
      <c r="H1899" s="68"/>
      <c r="I1899" s="69">
        <v>0</v>
      </c>
    </row>
    <row r="1900" spans="1:9" hidden="1">
      <c r="A1900" s="64" t="s">
        <v>295</v>
      </c>
      <c r="B1900" s="65">
        <v>2031</v>
      </c>
      <c r="C1900" s="65">
        <v>2023</v>
      </c>
      <c r="D1900" s="65" t="s">
        <v>317</v>
      </c>
      <c r="E1900" s="65" t="s">
        <v>294</v>
      </c>
      <c r="F1900" s="65" t="s">
        <v>40</v>
      </c>
      <c r="G1900" s="65"/>
      <c r="H1900" s="65"/>
      <c r="I1900" s="66">
        <v>17100.963161397729</v>
      </c>
    </row>
    <row r="1901" spans="1:9" hidden="1">
      <c r="A1901" s="67" t="s">
        <v>295</v>
      </c>
      <c r="B1901" s="68">
        <v>2031</v>
      </c>
      <c r="C1901" s="68">
        <v>2023</v>
      </c>
      <c r="D1901" s="68" t="s">
        <v>317</v>
      </c>
      <c r="E1901" s="68" t="s">
        <v>301</v>
      </c>
      <c r="F1901" s="68" t="s">
        <v>297</v>
      </c>
      <c r="G1901" s="68"/>
      <c r="H1901" s="68"/>
      <c r="I1901" s="69">
        <v>160.27127285521519</v>
      </c>
    </row>
    <row r="1902" spans="1:9" hidden="1">
      <c r="A1902" s="64" t="s">
        <v>295</v>
      </c>
      <c r="B1902" s="65">
        <v>2031</v>
      </c>
      <c r="C1902" s="65">
        <v>2023</v>
      </c>
      <c r="D1902" s="65" t="s">
        <v>317</v>
      </c>
      <c r="E1902" s="65" t="s">
        <v>301</v>
      </c>
      <c r="F1902" s="65" t="s">
        <v>298</v>
      </c>
      <c r="G1902" s="65"/>
      <c r="H1902" s="65"/>
      <c r="I1902" s="66">
        <v>0</v>
      </c>
    </row>
    <row r="1903" spans="1:9" hidden="1">
      <c r="A1903" s="67" t="s">
        <v>295</v>
      </c>
      <c r="B1903" s="68">
        <v>2031</v>
      </c>
      <c r="C1903" s="68">
        <v>2023</v>
      </c>
      <c r="D1903" s="68" t="s">
        <v>317</v>
      </c>
      <c r="E1903" s="68" t="s">
        <v>301</v>
      </c>
      <c r="F1903" s="68" t="s">
        <v>40</v>
      </c>
      <c r="G1903" s="68"/>
      <c r="H1903" s="68"/>
      <c r="I1903" s="69">
        <v>18477.294863074781</v>
      </c>
    </row>
    <row r="1904" spans="1:9" hidden="1">
      <c r="A1904" s="64" t="s">
        <v>295</v>
      </c>
      <c r="B1904" s="65">
        <v>2031</v>
      </c>
      <c r="C1904" s="65">
        <v>2023</v>
      </c>
      <c r="D1904" s="65" t="s">
        <v>317</v>
      </c>
      <c r="E1904" s="65" t="s">
        <v>305</v>
      </c>
      <c r="F1904" s="65" t="s">
        <v>297</v>
      </c>
      <c r="G1904" s="65"/>
      <c r="H1904" s="65"/>
      <c r="I1904" s="66">
        <v>1.2970000000000001E-2</v>
      </c>
    </row>
    <row r="1905" spans="1:9" hidden="1">
      <c r="A1905" s="67" t="s">
        <v>295</v>
      </c>
      <c r="B1905" s="68">
        <v>2031</v>
      </c>
      <c r="C1905" s="68">
        <v>2023</v>
      </c>
      <c r="D1905" s="68" t="s">
        <v>317</v>
      </c>
      <c r="E1905" s="68" t="s">
        <v>305</v>
      </c>
      <c r="F1905" s="68" t="s">
        <v>40</v>
      </c>
      <c r="G1905" s="68"/>
      <c r="H1905" s="68"/>
      <c r="I1905" s="69">
        <v>411.31211000000002</v>
      </c>
    </row>
    <row r="1906" spans="1:9" hidden="1">
      <c r="A1906" s="64" t="s">
        <v>295</v>
      </c>
      <c r="B1906" s="65">
        <v>2031</v>
      </c>
      <c r="C1906" s="65">
        <v>2023</v>
      </c>
      <c r="D1906" s="65" t="s">
        <v>318</v>
      </c>
      <c r="E1906" s="65" t="s">
        <v>294</v>
      </c>
      <c r="F1906" s="65" t="s">
        <v>297</v>
      </c>
      <c r="G1906" s="65"/>
      <c r="H1906" s="65"/>
      <c r="I1906" s="66">
        <v>577989.64359733171</v>
      </c>
    </row>
    <row r="1907" spans="1:9" hidden="1">
      <c r="A1907" s="67" t="s">
        <v>295</v>
      </c>
      <c r="B1907" s="68">
        <v>2031</v>
      </c>
      <c r="C1907" s="68">
        <v>2023</v>
      </c>
      <c r="D1907" s="68" t="s">
        <v>318</v>
      </c>
      <c r="E1907" s="68" t="s">
        <v>294</v>
      </c>
      <c r="F1907" s="68" t="s">
        <v>298</v>
      </c>
      <c r="G1907" s="68"/>
      <c r="H1907" s="68"/>
      <c r="I1907" s="69">
        <v>0</v>
      </c>
    </row>
    <row r="1908" spans="1:9" hidden="1">
      <c r="A1908" s="64" t="s">
        <v>295</v>
      </c>
      <c r="B1908" s="65">
        <v>2031</v>
      </c>
      <c r="C1908" s="65">
        <v>2023</v>
      </c>
      <c r="D1908" s="65" t="s">
        <v>318</v>
      </c>
      <c r="E1908" s="65" t="s">
        <v>294</v>
      </c>
      <c r="F1908" s="65" t="s">
        <v>40</v>
      </c>
      <c r="G1908" s="65"/>
      <c r="H1908" s="65"/>
      <c r="I1908" s="66">
        <v>577989.64359733171</v>
      </c>
    </row>
    <row r="1909" spans="1:9" hidden="1">
      <c r="A1909" s="67" t="s">
        <v>295</v>
      </c>
      <c r="B1909" s="68">
        <v>2031</v>
      </c>
      <c r="C1909" s="68">
        <v>2023</v>
      </c>
      <c r="D1909" s="68" t="s">
        <v>318</v>
      </c>
      <c r="E1909" s="68" t="s">
        <v>301</v>
      </c>
      <c r="F1909" s="68" t="s">
        <v>297</v>
      </c>
      <c r="G1909" s="68"/>
      <c r="H1909" s="68"/>
      <c r="I1909" s="69">
        <v>639539.14251485199</v>
      </c>
    </row>
    <row r="1910" spans="1:9" hidden="1">
      <c r="A1910" s="64" t="s">
        <v>295</v>
      </c>
      <c r="B1910" s="65">
        <v>2031</v>
      </c>
      <c r="C1910" s="65">
        <v>2023</v>
      </c>
      <c r="D1910" s="65" t="s">
        <v>318</v>
      </c>
      <c r="E1910" s="65" t="s">
        <v>301</v>
      </c>
      <c r="F1910" s="65" t="s">
        <v>298</v>
      </c>
      <c r="G1910" s="65"/>
      <c r="H1910" s="65"/>
      <c r="I1910" s="66">
        <v>0</v>
      </c>
    </row>
    <row r="1911" spans="1:9" hidden="1">
      <c r="A1911" s="67" t="s">
        <v>295</v>
      </c>
      <c r="B1911" s="68">
        <v>2031</v>
      </c>
      <c r="C1911" s="68">
        <v>2023</v>
      </c>
      <c r="D1911" s="68" t="s">
        <v>318</v>
      </c>
      <c r="E1911" s="68" t="s">
        <v>301</v>
      </c>
      <c r="F1911" s="68" t="s">
        <v>40</v>
      </c>
      <c r="G1911" s="68"/>
      <c r="H1911" s="68"/>
      <c r="I1911" s="69">
        <v>639539.14251485199</v>
      </c>
    </row>
    <row r="1912" spans="1:9" hidden="1">
      <c r="A1912" s="64" t="s">
        <v>295</v>
      </c>
      <c r="B1912" s="65">
        <v>2031</v>
      </c>
      <c r="C1912" s="65">
        <v>2023</v>
      </c>
      <c r="D1912" s="65" t="s">
        <v>318</v>
      </c>
      <c r="E1912" s="65" t="s">
        <v>305</v>
      </c>
      <c r="F1912" s="65" t="s">
        <v>297</v>
      </c>
      <c r="G1912" s="65"/>
      <c r="H1912" s="65"/>
      <c r="I1912" s="66">
        <v>7991.5229300000001</v>
      </c>
    </row>
    <row r="1913" spans="1:9" hidden="1">
      <c r="A1913" s="67" t="s">
        <v>295</v>
      </c>
      <c r="B1913" s="68">
        <v>2031</v>
      </c>
      <c r="C1913" s="68">
        <v>2023</v>
      </c>
      <c r="D1913" s="68" t="s">
        <v>318</v>
      </c>
      <c r="E1913" s="68" t="s">
        <v>305</v>
      </c>
      <c r="F1913" s="68" t="s">
        <v>40</v>
      </c>
      <c r="G1913" s="68"/>
      <c r="H1913" s="68"/>
      <c r="I1913" s="69">
        <v>33531.222930000004</v>
      </c>
    </row>
    <row r="1914" spans="1:9" hidden="1">
      <c r="A1914" s="64" t="s">
        <v>295</v>
      </c>
      <c r="B1914" s="65">
        <v>2031</v>
      </c>
      <c r="C1914" s="65">
        <v>2023</v>
      </c>
      <c r="D1914" s="65" t="s">
        <v>320</v>
      </c>
      <c r="E1914" s="65" t="s">
        <v>294</v>
      </c>
      <c r="F1914" s="65" t="s">
        <v>297</v>
      </c>
      <c r="G1914" s="65"/>
      <c r="H1914" s="65"/>
      <c r="I1914" s="66">
        <v>3390.4155975190688</v>
      </c>
    </row>
    <row r="1915" spans="1:9" hidden="1">
      <c r="A1915" s="67" t="s">
        <v>295</v>
      </c>
      <c r="B1915" s="68">
        <v>2031</v>
      </c>
      <c r="C1915" s="68">
        <v>2023</v>
      </c>
      <c r="D1915" s="68" t="s">
        <v>320</v>
      </c>
      <c r="E1915" s="68" t="s">
        <v>294</v>
      </c>
      <c r="F1915" s="68" t="s">
        <v>298</v>
      </c>
      <c r="G1915" s="68"/>
      <c r="H1915" s="68"/>
      <c r="I1915" s="69">
        <v>0</v>
      </c>
    </row>
    <row r="1916" spans="1:9" hidden="1">
      <c r="A1916" s="64" t="s">
        <v>295</v>
      </c>
      <c r="B1916" s="65">
        <v>2031</v>
      </c>
      <c r="C1916" s="65">
        <v>2023</v>
      </c>
      <c r="D1916" s="65" t="s">
        <v>320</v>
      </c>
      <c r="E1916" s="65" t="s">
        <v>294</v>
      </c>
      <c r="F1916" s="65" t="s">
        <v>40</v>
      </c>
      <c r="G1916" s="65"/>
      <c r="H1916" s="65"/>
      <c r="I1916" s="66">
        <v>3390.4155975190688</v>
      </c>
    </row>
    <row r="1917" spans="1:9" hidden="1">
      <c r="A1917" s="67" t="s">
        <v>295</v>
      </c>
      <c r="B1917" s="68">
        <v>2031</v>
      </c>
      <c r="C1917" s="68">
        <v>2023</v>
      </c>
      <c r="D1917" s="68" t="s">
        <v>320</v>
      </c>
      <c r="E1917" s="68" t="s">
        <v>301</v>
      </c>
      <c r="F1917" s="68" t="s">
        <v>297</v>
      </c>
      <c r="G1917" s="68"/>
      <c r="H1917" s="68"/>
      <c r="I1917" s="69">
        <v>3978.079075912658</v>
      </c>
    </row>
    <row r="1918" spans="1:9" hidden="1">
      <c r="A1918" s="64" t="s">
        <v>295</v>
      </c>
      <c r="B1918" s="65">
        <v>2031</v>
      </c>
      <c r="C1918" s="65">
        <v>2023</v>
      </c>
      <c r="D1918" s="65" t="s">
        <v>320</v>
      </c>
      <c r="E1918" s="65" t="s">
        <v>301</v>
      </c>
      <c r="F1918" s="65" t="s">
        <v>298</v>
      </c>
      <c r="G1918" s="65"/>
      <c r="H1918" s="65"/>
      <c r="I1918" s="66">
        <v>0</v>
      </c>
    </row>
    <row r="1919" spans="1:9" hidden="1">
      <c r="A1919" s="67" t="s">
        <v>295</v>
      </c>
      <c r="B1919" s="68">
        <v>2031</v>
      </c>
      <c r="C1919" s="68">
        <v>2023</v>
      </c>
      <c r="D1919" s="68" t="s">
        <v>320</v>
      </c>
      <c r="E1919" s="68" t="s">
        <v>301</v>
      </c>
      <c r="F1919" s="68" t="s">
        <v>40</v>
      </c>
      <c r="G1919" s="68"/>
      <c r="H1919" s="68"/>
      <c r="I1919" s="69">
        <v>3978.079075912658</v>
      </c>
    </row>
    <row r="1920" spans="1:9" hidden="1">
      <c r="A1920" s="64" t="s">
        <v>295</v>
      </c>
      <c r="B1920" s="65">
        <v>2031</v>
      </c>
      <c r="C1920" s="65">
        <v>2023</v>
      </c>
      <c r="D1920" s="65" t="s">
        <v>320</v>
      </c>
      <c r="E1920" s="65" t="s">
        <v>305</v>
      </c>
      <c r="F1920" s="65" t="s">
        <v>297</v>
      </c>
      <c r="G1920" s="65"/>
      <c r="H1920" s="65"/>
      <c r="I1920" s="66">
        <v>36.299999999999997</v>
      </c>
    </row>
    <row r="1921" spans="1:9" hidden="1">
      <c r="A1921" s="67" t="s">
        <v>295</v>
      </c>
      <c r="B1921" s="68">
        <v>2031</v>
      </c>
      <c r="C1921" s="68">
        <v>2023</v>
      </c>
      <c r="D1921" s="68" t="s">
        <v>320</v>
      </c>
      <c r="E1921" s="68" t="s">
        <v>305</v>
      </c>
      <c r="F1921" s="68" t="s">
        <v>40</v>
      </c>
      <c r="G1921" s="68"/>
      <c r="H1921" s="68"/>
      <c r="I1921" s="69">
        <v>1015.3</v>
      </c>
    </row>
    <row r="1922" spans="1:9" hidden="1">
      <c r="A1922" s="64" t="s">
        <v>295</v>
      </c>
      <c r="B1922" s="65">
        <v>2031</v>
      </c>
      <c r="C1922" s="65">
        <v>2023</v>
      </c>
      <c r="D1922" s="65" t="s">
        <v>321</v>
      </c>
      <c r="E1922" s="65" t="s">
        <v>294</v>
      </c>
      <c r="F1922" s="65" t="s">
        <v>297</v>
      </c>
      <c r="G1922" s="65"/>
      <c r="H1922" s="65"/>
      <c r="I1922" s="66">
        <v>17659.496300020299</v>
      </c>
    </row>
    <row r="1923" spans="1:9" hidden="1">
      <c r="A1923" s="67" t="s">
        <v>295</v>
      </c>
      <c r="B1923" s="68">
        <v>2031</v>
      </c>
      <c r="C1923" s="68">
        <v>2023</v>
      </c>
      <c r="D1923" s="68" t="s">
        <v>321</v>
      </c>
      <c r="E1923" s="68" t="s">
        <v>294</v>
      </c>
      <c r="F1923" s="68" t="s">
        <v>298</v>
      </c>
      <c r="G1923" s="68"/>
      <c r="H1923" s="68"/>
      <c r="I1923" s="69">
        <v>0</v>
      </c>
    </row>
    <row r="1924" spans="1:9" hidden="1">
      <c r="A1924" s="64" t="s">
        <v>295</v>
      </c>
      <c r="B1924" s="65">
        <v>2031</v>
      </c>
      <c r="C1924" s="65">
        <v>2023</v>
      </c>
      <c r="D1924" s="65" t="s">
        <v>321</v>
      </c>
      <c r="E1924" s="65" t="s">
        <v>294</v>
      </c>
      <c r="F1924" s="65" t="s">
        <v>40</v>
      </c>
      <c r="G1924" s="65"/>
      <c r="H1924" s="65"/>
      <c r="I1924" s="66">
        <v>17659.496140020299</v>
      </c>
    </row>
    <row r="1925" spans="1:9" hidden="1">
      <c r="A1925" s="67" t="s">
        <v>295</v>
      </c>
      <c r="B1925" s="68">
        <v>2031</v>
      </c>
      <c r="C1925" s="68">
        <v>2023</v>
      </c>
      <c r="D1925" s="68" t="s">
        <v>321</v>
      </c>
      <c r="E1925" s="68" t="s">
        <v>301</v>
      </c>
      <c r="F1925" s="68" t="s">
        <v>297</v>
      </c>
      <c r="G1925" s="68"/>
      <c r="H1925" s="68"/>
      <c r="I1925" s="69">
        <v>17923.306561932619</v>
      </c>
    </row>
    <row r="1926" spans="1:9" hidden="1">
      <c r="A1926" s="64" t="s">
        <v>295</v>
      </c>
      <c r="B1926" s="65">
        <v>2031</v>
      </c>
      <c r="C1926" s="65">
        <v>2023</v>
      </c>
      <c r="D1926" s="65" t="s">
        <v>321</v>
      </c>
      <c r="E1926" s="65" t="s">
        <v>301</v>
      </c>
      <c r="F1926" s="65" t="s">
        <v>298</v>
      </c>
      <c r="G1926" s="65"/>
      <c r="H1926" s="65"/>
      <c r="I1926" s="66">
        <v>0</v>
      </c>
    </row>
    <row r="1927" spans="1:9" hidden="1">
      <c r="A1927" s="67" t="s">
        <v>295</v>
      </c>
      <c r="B1927" s="68">
        <v>2031</v>
      </c>
      <c r="C1927" s="68">
        <v>2023</v>
      </c>
      <c r="D1927" s="68" t="s">
        <v>321</v>
      </c>
      <c r="E1927" s="68" t="s">
        <v>301</v>
      </c>
      <c r="F1927" s="68" t="s">
        <v>40</v>
      </c>
      <c r="G1927" s="68"/>
      <c r="H1927" s="68"/>
      <c r="I1927" s="69">
        <v>17923.306401932619</v>
      </c>
    </row>
    <row r="1928" spans="1:9" hidden="1">
      <c r="A1928" s="64" t="s">
        <v>295</v>
      </c>
      <c r="B1928" s="65">
        <v>2031</v>
      </c>
      <c r="C1928" s="65">
        <v>2023</v>
      </c>
      <c r="D1928" s="65" t="s">
        <v>321</v>
      </c>
      <c r="E1928" s="65" t="s">
        <v>305</v>
      </c>
      <c r="F1928" s="65" t="s">
        <v>297</v>
      </c>
      <c r="G1928" s="65"/>
      <c r="H1928" s="65"/>
      <c r="I1928" s="66">
        <v>49.945630000000001</v>
      </c>
    </row>
    <row r="1929" spans="1:9" hidden="1">
      <c r="A1929" s="67" t="s">
        <v>295</v>
      </c>
      <c r="B1929" s="68">
        <v>2031</v>
      </c>
      <c r="C1929" s="68">
        <v>2023</v>
      </c>
      <c r="D1929" s="68" t="s">
        <v>321</v>
      </c>
      <c r="E1929" s="68" t="s">
        <v>305</v>
      </c>
      <c r="F1929" s="68" t="s">
        <v>40</v>
      </c>
      <c r="G1929" s="68"/>
      <c r="H1929" s="68"/>
      <c r="I1929" s="69">
        <v>328.34563000000003</v>
      </c>
    </row>
    <row r="1930" spans="1:9" hidden="1">
      <c r="A1930" s="64" t="s">
        <v>295</v>
      </c>
      <c r="B1930" s="65">
        <v>2031</v>
      </c>
      <c r="C1930" s="65">
        <v>2023</v>
      </c>
      <c r="D1930" s="65" t="s">
        <v>322</v>
      </c>
      <c r="E1930" s="65" t="s">
        <v>294</v>
      </c>
      <c r="F1930" s="65" t="s">
        <v>297</v>
      </c>
      <c r="G1930" s="65"/>
      <c r="H1930" s="65"/>
      <c r="I1930" s="66">
        <v>1265.634968207828</v>
      </c>
    </row>
    <row r="1931" spans="1:9" hidden="1">
      <c r="A1931" s="67" t="s">
        <v>295</v>
      </c>
      <c r="B1931" s="68">
        <v>2031</v>
      </c>
      <c r="C1931" s="68">
        <v>2023</v>
      </c>
      <c r="D1931" s="68" t="s">
        <v>322</v>
      </c>
      <c r="E1931" s="68" t="s">
        <v>294</v>
      </c>
      <c r="F1931" s="68" t="s">
        <v>298</v>
      </c>
      <c r="G1931" s="68"/>
      <c r="H1931" s="68"/>
      <c r="I1931" s="69">
        <v>3624.298988086794</v>
      </c>
    </row>
    <row r="1932" spans="1:9" hidden="1">
      <c r="A1932" s="64" t="s">
        <v>295</v>
      </c>
      <c r="B1932" s="65">
        <v>2031</v>
      </c>
      <c r="C1932" s="65">
        <v>2023</v>
      </c>
      <c r="D1932" s="65" t="s">
        <v>322</v>
      </c>
      <c r="E1932" s="65" t="s">
        <v>294</v>
      </c>
      <c r="F1932" s="65" t="s">
        <v>40</v>
      </c>
      <c r="G1932" s="65"/>
      <c r="H1932" s="65"/>
      <c r="I1932" s="66">
        <v>4889.9339462946218</v>
      </c>
    </row>
    <row r="1933" spans="1:9" hidden="1">
      <c r="A1933" s="67" t="s">
        <v>295</v>
      </c>
      <c r="B1933" s="68">
        <v>2031</v>
      </c>
      <c r="C1933" s="68">
        <v>2023</v>
      </c>
      <c r="D1933" s="68" t="s">
        <v>322</v>
      </c>
      <c r="E1933" s="68" t="s">
        <v>301</v>
      </c>
      <c r="F1933" s="68" t="s">
        <v>297</v>
      </c>
      <c r="G1933" s="68"/>
      <c r="H1933" s="68"/>
      <c r="I1933" s="69">
        <v>1474.0182475959621</v>
      </c>
    </row>
    <row r="1934" spans="1:9" hidden="1">
      <c r="A1934" s="64" t="s">
        <v>295</v>
      </c>
      <c r="B1934" s="65">
        <v>2031</v>
      </c>
      <c r="C1934" s="65">
        <v>2023</v>
      </c>
      <c r="D1934" s="65" t="s">
        <v>322</v>
      </c>
      <c r="E1934" s="65" t="s">
        <v>301</v>
      </c>
      <c r="F1934" s="65" t="s">
        <v>298</v>
      </c>
      <c r="G1934" s="65"/>
      <c r="H1934" s="65"/>
      <c r="I1934" s="66">
        <v>3755.1628980287542</v>
      </c>
    </row>
    <row r="1935" spans="1:9" hidden="1">
      <c r="A1935" s="67" t="s">
        <v>295</v>
      </c>
      <c r="B1935" s="68">
        <v>2031</v>
      </c>
      <c r="C1935" s="68">
        <v>2023</v>
      </c>
      <c r="D1935" s="68" t="s">
        <v>322</v>
      </c>
      <c r="E1935" s="68" t="s">
        <v>301</v>
      </c>
      <c r="F1935" s="68" t="s">
        <v>40</v>
      </c>
      <c r="G1935" s="68"/>
      <c r="H1935" s="68"/>
      <c r="I1935" s="69">
        <v>5229.1811456247169</v>
      </c>
    </row>
    <row r="1936" spans="1:9" hidden="1">
      <c r="A1936" s="64" t="s">
        <v>295</v>
      </c>
      <c r="B1936" s="65">
        <v>2031</v>
      </c>
      <c r="C1936" s="65">
        <v>2023</v>
      </c>
      <c r="D1936" s="65" t="s">
        <v>322</v>
      </c>
      <c r="E1936" s="65" t="s">
        <v>305</v>
      </c>
      <c r="F1936" s="65" t="s">
        <v>297</v>
      </c>
      <c r="G1936" s="65"/>
      <c r="H1936" s="65"/>
      <c r="I1936" s="66">
        <v>7.2</v>
      </c>
    </row>
    <row r="1937" spans="1:9" hidden="1">
      <c r="A1937" s="67" t="s">
        <v>295</v>
      </c>
      <c r="B1937" s="68">
        <v>2031</v>
      </c>
      <c r="C1937" s="68">
        <v>2023</v>
      </c>
      <c r="D1937" s="68" t="s">
        <v>322</v>
      </c>
      <c r="E1937" s="68" t="s">
        <v>305</v>
      </c>
      <c r="F1937" s="68" t="s">
        <v>40</v>
      </c>
      <c r="G1937" s="68"/>
      <c r="H1937" s="68"/>
      <c r="I1937" s="69">
        <v>252.4</v>
      </c>
    </row>
    <row r="1938" spans="1:9" hidden="1">
      <c r="A1938" s="64" t="s">
        <v>295</v>
      </c>
      <c r="B1938" s="65">
        <v>2031</v>
      </c>
      <c r="C1938" s="65">
        <v>2023</v>
      </c>
      <c r="D1938" s="65" t="s">
        <v>323</v>
      </c>
      <c r="E1938" s="65" t="s">
        <v>294</v>
      </c>
      <c r="F1938" s="65" t="s">
        <v>297</v>
      </c>
      <c r="G1938" s="65"/>
      <c r="H1938" s="65"/>
      <c r="I1938" s="66">
        <v>365526.7035540354</v>
      </c>
    </row>
    <row r="1939" spans="1:9" hidden="1">
      <c r="A1939" s="67" t="s">
        <v>295</v>
      </c>
      <c r="B1939" s="68">
        <v>2031</v>
      </c>
      <c r="C1939" s="68">
        <v>2023</v>
      </c>
      <c r="D1939" s="68" t="s">
        <v>323</v>
      </c>
      <c r="E1939" s="68" t="s">
        <v>294</v>
      </c>
      <c r="F1939" s="68" t="s">
        <v>298</v>
      </c>
      <c r="G1939" s="68"/>
      <c r="H1939" s="68"/>
      <c r="I1939" s="69">
        <v>1615.113609323038</v>
      </c>
    </row>
    <row r="1940" spans="1:9" hidden="1">
      <c r="A1940" s="64" t="s">
        <v>295</v>
      </c>
      <c r="B1940" s="65">
        <v>2031</v>
      </c>
      <c r="C1940" s="65">
        <v>2023</v>
      </c>
      <c r="D1940" s="65" t="s">
        <v>323</v>
      </c>
      <c r="E1940" s="65" t="s">
        <v>294</v>
      </c>
      <c r="F1940" s="65" t="s">
        <v>40</v>
      </c>
      <c r="G1940" s="65"/>
      <c r="H1940" s="65"/>
      <c r="I1940" s="66">
        <v>367142.29714372859</v>
      </c>
    </row>
    <row r="1941" spans="1:9" hidden="1">
      <c r="A1941" s="67" t="s">
        <v>295</v>
      </c>
      <c r="B1941" s="68">
        <v>2031</v>
      </c>
      <c r="C1941" s="68">
        <v>2023</v>
      </c>
      <c r="D1941" s="68" t="s">
        <v>323</v>
      </c>
      <c r="E1941" s="68" t="s">
        <v>301</v>
      </c>
      <c r="F1941" s="68" t="s">
        <v>297</v>
      </c>
      <c r="G1941" s="68"/>
      <c r="H1941" s="68"/>
      <c r="I1941" s="69">
        <v>410556.14140111412</v>
      </c>
    </row>
    <row r="1942" spans="1:9" hidden="1">
      <c r="A1942" s="64" t="s">
        <v>295</v>
      </c>
      <c r="B1942" s="65">
        <v>2031</v>
      </c>
      <c r="C1942" s="65">
        <v>2023</v>
      </c>
      <c r="D1942" s="65" t="s">
        <v>323</v>
      </c>
      <c r="E1942" s="65" t="s">
        <v>301</v>
      </c>
      <c r="F1942" s="65" t="s">
        <v>298</v>
      </c>
      <c r="G1942" s="65"/>
      <c r="H1942" s="65"/>
      <c r="I1942" s="66">
        <v>1724.1102137337191</v>
      </c>
    </row>
    <row r="1943" spans="1:9" hidden="1">
      <c r="A1943" s="67" t="s">
        <v>295</v>
      </c>
      <c r="B1943" s="68">
        <v>2031</v>
      </c>
      <c r="C1943" s="68">
        <v>2023</v>
      </c>
      <c r="D1943" s="68" t="s">
        <v>323</v>
      </c>
      <c r="E1943" s="68" t="s">
        <v>301</v>
      </c>
      <c r="F1943" s="68" t="s">
        <v>40</v>
      </c>
      <c r="G1943" s="68"/>
      <c r="H1943" s="68"/>
      <c r="I1943" s="69">
        <v>412280.55161484779</v>
      </c>
    </row>
    <row r="1944" spans="1:9" hidden="1">
      <c r="A1944" s="64" t="s">
        <v>295</v>
      </c>
      <c r="B1944" s="65">
        <v>2031</v>
      </c>
      <c r="C1944" s="65">
        <v>2023</v>
      </c>
      <c r="D1944" s="65" t="s">
        <v>323</v>
      </c>
      <c r="E1944" s="65" t="s">
        <v>305</v>
      </c>
      <c r="F1944" s="65" t="s">
        <v>297</v>
      </c>
      <c r="G1944" s="65"/>
      <c r="H1944" s="65"/>
      <c r="I1944" s="66">
        <v>1530.14606</v>
      </c>
    </row>
    <row r="1945" spans="1:9" hidden="1">
      <c r="A1945" s="67" t="s">
        <v>295</v>
      </c>
      <c r="B1945" s="68">
        <v>2031</v>
      </c>
      <c r="C1945" s="68">
        <v>2023</v>
      </c>
      <c r="D1945" s="68" t="s">
        <v>323</v>
      </c>
      <c r="E1945" s="68" t="s">
        <v>305</v>
      </c>
      <c r="F1945" s="68" t="s">
        <v>40</v>
      </c>
      <c r="G1945" s="68"/>
      <c r="H1945" s="68"/>
      <c r="I1945" s="69">
        <v>17578.546060000001</v>
      </c>
    </row>
    <row r="1946" spans="1:9" hidden="1">
      <c r="A1946" s="64" t="s">
        <v>295</v>
      </c>
      <c r="B1946" s="65">
        <v>2031</v>
      </c>
      <c r="C1946" s="65">
        <v>2023</v>
      </c>
      <c r="D1946" s="65" t="s">
        <v>324</v>
      </c>
      <c r="E1946" s="65" t="s">
        <v>294</v>
      </c>
      <c r="F1946" s="65" t="s">
        <v>297</v>
      </c>
      <c r="G1946" s="65"/>
      <c r="H1946" s="65"/>
      <c r="I1946" s="66">
        <v>3609.3762999999999</v>
      </c>
    </row>
    <row r="1947" spans="1:9" hidden="1">
      <c r="A1947" s="67" t="s">
        <v>295</v>
      </c>
      <c r="B1947" s="68">
        <v>2031</v>
      </c>
      <c r="C1947" s="68">
        <v>2023</v>
      </c>
      <c r="D1947" s="68" t="s">
        <v>324</v>
      </c>
      <c r="E1947" s="68" t="s">
        <v>294</v>
      </c>
      <c r="F1947" s="68" t="s">
        <v>298</v>
      </c>
      <c r="G1947" s="68"/>
      <c r="H1947" s="68"/>
      <c r="I1947" s="69">
        <v>0</v>
      </c>
    </row>
    <row r="1948" spans="1:9" hidden="1">
      <c r="A1948" s="64" t="s">
        <v>295</v>
      </c>
      <c r="B1948" s="65">
        <v>2031</v>
      </c>
      <c r="C1948" s="65">
        <v>2023</v>
      </c>
      <c r="D1948" s="65" t="s">
        <v>324</v>
      </c>
      <c r="E1948" s="65" t="s">
        <v>294</v>
      </c>
      <c r="F1948" s="65" t="s">
        <v>40</v>
      </c>
      <c r="G1948" s="65"/>
      <c r="H1948" s="65"/>
      <c r="I1948" s="66">
        <v>3609.3762999999999</v>
      </c>
    </row>
    <row r="1949" spans="1:9" hidden="1">
      <c r="A1949" s="67" t="s">
        <v>295</v>
      </c>
      <c r="B1949" s="68">
        <v>2031</v>
      </c>
      <c r="C1949" s="68">
        <v>2023</v>
      </c>
      <c r="D1949" s="68" t="s">
        <v>324</v>
      </c>
      <c r="E1949" s="68" t="s">
        <v>301</v>
      </c>
      <c r="F1949" s="68" t="s">
        <v>297</v>
      </c>
      <c r="G1949" s="68"/>
      <c r="H1949" s="68"/>
      <c r="I1949" s="69">
        <v>3609.6966299999999</v>
      </c>
    </row>
    <row r="1950" spans="1:9" hidden="1">
      <c r="A1950" s="64" t="s">
        <v>295</v>
      </c>
      <c r="B1950" s="65">
        <v>2031</v>
      </c>
      <c r="C1950" s="65">
        <v>2023</v>
      </c>
      <c r="D1950" s="65" t="s">
        <v>324</v>
      </c>
      <c r="E1950" s="65" t="s">
        <v>301</v>
      </c>
      <c r="F1950" s="65" t="s">
        <v>298</v>
      </c>
      <c r="G1950" s="65"/>
      <c r="H1950" s="65"/>
      <c r="I1950" s="66">
        <v>0</v>
      </c>
    </row>
    <row r="1951" spans="1:9" hidden="1">
      <c r="A1951" s="67" t="s">
        <v>295</v>
      </c>
      <c r="B1951" s="68">
        <v>2031</v>
      </c>
      <c r="C1951" s="68">
        <v>2023</v>
      </c>
      <c r="D1951" s="68" t="s">
        <v>324</v>
      </c>
      <c r="E1951" s="68" t="s">
        <v>301</v>
      </c>
      <c r="F1951" s="68" t="s">
        <v>40</v>
      </c>
      <c r="G1951" s="68"/>
      <c r="H1951" s="68"/>
      <c r="I1951" s="69">
        <v>3609.6966299999999</v>
      </c>
    </row>
    <row r="1952" spans="1:9" hidden="1">
      <c r="A1952" s="64" t="s">
        <v>295</v>
      </c>
      <c r="B1952" s="65">
        <v>2031</v>
      </c>
      <c r="C1952" s="65">
        <v>2023</v>
      </c>
      <c r="D1952" s="65" t="s">
        <v>324</v>
      </c>
      <c r="E1952" s="65" t="s">
        <v>305</v>
      </c>
      <c r="F1952" s="65" t="s">
        <v>297</v>
      </c>
      <c r="G1952" s="65"/>
      <c r="H1952" s="65"/>
      <c r="I1952" s="66">
        <v>4.0999999999999996</v>
      </c>
    </row>
    <row r="1953" spans="1:9" hidden="1">
      <c r="A1953" s="67" t="s">
        <v>295</v>
      </c>
      <c r="B1953" s="68">
        <v>2031</v>
      </c>
      <c r="C1953" s="68">
        <v>2023</v>
      </c>
      <c r="D1953" s="68" t="s">
        <v>324</v>
      </c>
      <c r="E1953" s="68" t="s">
        <v>305</v>
      </c>
      <c r="F1953" s="68" t="s">
        <v>40</v>
      </c>
      <c r="G1953" s="68"/>
      <c r="H1953" s="68"/>
      <c r="I1953" s="69">
        <v>1246.2</v>
      </c>
    </row>
    <row r="1954" spans="1:9" hidden="1">
      <c r="A1954" s="64" t="s">
        <v>295</v>
      </c>
      <c r="B1954" s="65">
        <v>2031</v>
      </c>
      <c r="C1954" s="65">
        <v>2023</v>
      </c>
      <c r="D1954" s="65" t="s">
        <v>325</v>
      </c>
      <c r="E1954" s="65" t="s">
        <v>294</v>
      </c>
      <c r="F1954" s="65" t="s">
        <v>297</v>
      </c>
      <c r="G1954" s="65"/>
      <c r="H1954" s="65"/>
      <c r="I1954" s="66">
        <v>52651.750799851863</v>
      </c>
    </row>
    <row r="1955" spans="1:9" hidden="1">
      <c r="A1955" s="67" t="s">
        <v>295</v>
      </c>
      <c r="B1955" s="68">
        <v>2031</v>
      </c>
      <c r="C1955" s="68">
        <v>2023</v>
      </c>
      <c r="D1955" s="68" t="s">
        <v>325</v>
      </c>
      <c r="E1955" s="68" t="s">
        <v>294</v>
      </c>
      <c r="F1955" s="68" t="s">
        <v>298</v>
      </c>
      <c r="G1955" s="68"/>
      <c r="H1955" s="68"/>
      <c r="I1955" s="69">
        <v>14110.378808105121</v>
      </c>
    </row>
    <row r="1956" spans="1:9" hidden="1">
      <c r="A1956" s="64" t="s">
        <v>295</v>
      </c>
      <c r="B1956" s="65">
        <v>2031</v>
      </c>
      <c r="C1956" s="65">
        <v>2023</v>
      </c>
      <c r="D1956" s="65" t="s">
        <v>325</v>
      </c>
      <c r="E1956" s="65" t="s">
        <v>294</v>
      </c>
      <c r="F1956" s="65" t="s">
        <v>40</v>
      </c>
      <c r="G1956" s="65"/>
      <c r="H1956" s="65"/>
      <c r="I1956" s="66">
        <v>66762.00962795697</v>
      </c>
    </row>
    <row r="1957" spans="1:9" hidden="1">
      <c r="A1957" s="67" t="s">
        <v>295</v>
      </c>
      <c r="B1957" s="68">
        <v>2031</v>
      </c>
      <c r="C1957" s="68">
        <v>2023</v>
      </c>
      <c r="D1957" s="68" t="s">
        <v>325</v>
      </c>
      <c r="E1957" s="68" t="s">
        <v>301</v>
      </c>
      <c r="F1957" s="68" t="s">
        <v>297</v>
      </c>
      <c r="G1957" s="68"/>
      <c r="H1957" s="68"/>
      <c r="I1957" s="69">
        <v>54686.515081835023</v>
      </c>
    </row>
    <row r="1958" spans="1:9" hidden="1">
      <c r="A1958" s="64" t="s">
        <v>295</v>
      </c>
      <c r="B1958" s="65">
        <v>2031</v>
      </c>
      <c r="C1958" s="65">
        <v>2023</v>
      </c>
      <c r="D1958" s="65" t="s">
        <v>325</v>
      </c>
      <c r="E1958" s="65" t="s">
        <v>301</v>
      </c>
      <c r="F1958" s="65" t="s">
        <v>298</v>
      </c>
      <c r="G1958" s="65"/>
      <c r="H1958" s="65"/>
      <c r="I1958" s="66">
        <v>15284.14985816497</v>
      </c>
    </row>
    <row r="1959" spans="1:9" hidden="1">
      <c r="A1959" s="67" t="s">
        <v>295</v>
      </c>
      <c r="B1959" s="68">
        <v>2031</v>
      </c>
      <c r="C1959" s="68">
        <v>2023</v>
      </c>
      <c r="D1959" s="68" t="s">
        <v>325</v>
      </c>
      <c r="E1959" s="68" t="s">
        <v>301</v>
      </c>
      <c r="F1959" s="68" t="s">
        <v>40</v>
      </c>
      <c r="G1959" s="68"/>
      <c r="H1959" s="68"/>
      <c r="I1959" s="69">
        <v>69970.76496</v>
      </c>
    </row>
    <row r="1960" spans="1:9" hidden="1">
      <c r="A1960" s="64" t="s">
        <v>295</v>
      </c>
      <c r="B1960" s="65">
        <v>2031</v>
      </c>
      <c r="C1960" s="65">
        <v>2023</v>
      </c>
      <c r="D1960" s="65" t="s">
        <v>325</v>
      </c>
      <c r="E1960" s="65" t="s">
        <v>305</v>
      </c>
      <c r="F1960" s="65" t="s">
        <v>297</v>
      </c>
      <c r="G1960" s="65"/>
      <c r="H1960" s="65"/>
      <c r="I1960" s="66">
        <v>429.1</v>
      </c>
    </row>
    <row r="1961" spans="1:9" hidden="1">
      <c r="A1961" s="67" t="s">
        <v>295</v>
      </c>
      <c r="B1961" s="68">
        <v>2031</v>
      </c>
      <c r="C1961" s="68">
        <v>2023</v>
      </c>
      <c r="D1961" s="68" t="s">
        <v>325</v>
      </c>
      <c r="E1961" s="68" t="s">
        <v>305</v>
      </c>
      <c r="F1961" s="68" t="s">
        <v>298</v>
      </c>
      <c r="G1961" s="68"/>
      <c r="H1961" s="68"/>
      <c r="I1961" s="69">
        <v>69.900000000000006</v>
      </c>
    </row>
    <row r="1962" spans="1:9" hidden="1">
      <c r="A1962" s="64" t="s">
        <v>295</v>
      </c>
      <c r="B1962" s="65">
        <v>2031</v>
      </c>
      <c r="C1962" s="65">
        <v>2023</v>
      </c>
      <c r="D1962" s="65" t="s">
        <v>325</v>
      </c>
      <c r="E1962" s="65" t="s">
        <v>305</v>
      </c>
      <c r="F1962" s="65" t="s">
        <v>40</v>
      </c>
      <c r="G1962" s="65"/>
      <c r="H1962" s="65"/>
      <c r="I1962" s="66">
        <v>18674.8</v>
      </c>
    </row>
    <row r="1963" spans="1:9" hidden="1">
      <c r="A1963" s="67" t="s">
        <v>295</v>
      </c>
      <c r="B1963" s="68">
        <v>2031</v>
      </c>
      <c r="C1963" s="68">
        <v>2023</v>
      </c>
      <c r="D1963" s="68" t="s">
        <v>326</v>
      </c>
      <c r="E1963" s="68" t="s">
        <v>294</v>
      </c>
      <c r="F1963" s="68" t="s">
        <v>297</v>
      </c>
      <c r="G1963" s="68"/>
      <c r="H1963" s="68"/>
      <c r="I1963" s="69">
        <v>0</v>
      </c>
    </row>
    <row r="1964" spans="1:9" hidden="1">
      <c r="A1964" s="64" t="s">
        <v>295</v>
      </c>
      <c r="B1964" s="65">
        <v>2031</v>
      </c>
      <c r="C1964" s="65">
        <v>2023</v>
      </c>
      <c r="D1964" s="65" t="s">
        <v>326</v>
      </c>
      <c r="E1964" s="65" t="s">
        <v>294</v>
      </c>
      <c r="F1964" s="65" t="s">
        <v>298</v>
      </c>
      <c r="G1964" s="65"/>
      <c r="H1964" s="65"/>
      <c r="I1964" s="66">
        <v>0</v>
      </c>
    </row>
    <row r="1965" spans="1:9" hidden="1">
      <c r="A1965" s="67" t="s">
        <v>295</v>
      </c>
      <c r="B1965" s="68">
        <v>2031</v>
      </c>
      <c r="C1965" s="68">
        <v>2023</v>
      </c>
      <c r="D1965" s="68" t="s">
        <v>326</v>
      </c>
      <c r="E1965" s="68" t="s">
        <v>294</v>
      </c>
      <c r="F1965" s="68" t="s">
        <v>40</v>
      </c>
      <c r="G1965" s="68"/>
      <c r="H1965" s="68"/>
      <c r="I1965" s="69">
        <v>0</v>
      </c>
    </row>
    <row r="1966" spans="1:9" hidden="1">
      <c r="A1966" s="64" t="s">
        <v>295</v>
      </c>
      <c r="B1966" s="65">
        <v>2031</v>
      </c>
      <c r="C1966" s="65">
        <v>2023</v>
      </c>
      <c r="D1966" s="65" t="s">
        <v>326</v>
      </c>
      <c r="E1966" s="65" t="s">
        <v>301</v>
      </c>
      <c r="F1966" s="65" t="s">
        <v>297</v>
      </c>
      <c r="G1966" s="65"/>
      <c r="H1966" s="65"/>
      <c r="I1966" s="66">
        <v>0</v>
      </c>
    </row>
    <row r="1967" spans="1:9" hidden="1">
      <c r="A1967" s="67" t="s">
        <v>295</v>
      </c>
      <c r="B1967" s="68">
        <v>2031</v>
      </c>
      <c r="C1967" s="68">
        <v>2023</v>
      </c>
      <c r="D1967" s="68" t="s">
        <v>326</v>
      </c>
      <c r="E1967" s="68" t="s">
        <v>301</v>
      </c>
      <c r="F1967" s="68" t="s">
        <v>298</v>
      </c>
      <c r="G1967" s="68"/>
      <c r="H1967" s="68"/>
      <c r="I1967" s="69">
        <v>0</v>
      </c>
    </row>
    <row r="1968" spans="1:9" hidden="1">
      <c r="A1968" s="64" t="s">
        <v>295</v>
      </c>
      <c r="B1968" s="65">
        <v>2031</v>
      </c>
      <c r="C1968" s="65">
        <v>2023</v>
      </c>
      <c r="D1968" s="65" t="s">
        <v>326</v>
      </c>
      <c r="E1968" s="65" t="s">
        <v>301</v>
      </c>
      <c r="F1968" s="65" t="s">
        <v>40</v>
      </c>
      <c r="G1968" s="65"/>
      <c r="H1968" s="65"/>
      <c r="I1968" s="66">
        <v>0</v>
      </c>
    </row>
    <row r="1969" spans="1:9" hidden="1">
      <c r="A1969" s="67" t="s">
        <v>295</v>
      </c>
      <c r="B1969" s="68">
        <v>2031</v>
      </c>
      <c r="C1969" s="68">
        <v>2023</v>
      </c>
      <c r="D1969" s="68" t="s">
        <v>304</v>
      </c>
      <c r="E1969" s="68" t="s">
        <v>294</v>
      </c>
      <c r="F1969" s="68" t="s">
        <v>297</v>
      </c>
      <c r="G1969" s="68"/>
      <c r="H1969" s="68"/>
      <c r="I1969" s="69">
        <v>59913.207928529228</v>
      </c>
    </row>
    <row r="1970" spans="1:9" hidden="1">
      <c r="A1970" s="64" t="s">
        <v>295</v>
      </c>
      <c r="B1970" s="65">
        <v>2031</v>
      </c>
      <c r="C1970" s="65">
        <v>2023</v>
      </c>
      <c r="D1970" s="65" t="s">
        <v>304</v>
      </c>
      <c r="E1970" s="65" t="s">
        <v>294</v>
      </c>
      <c r="F1970" s="65" t="s">
        <v>298</v>
      </c>
      <c r="G1970" s="65"/>
      <c r="H1970" s="65"/>
      <c r="I1970" s="66">
        <v>194495.42455637691</v>
      </c>
    </row>
    <row r="1971" spans="1:9" hidden="1">
      <c r="A1971" s="67" t="s">
        <v>295</v>
      </c>
      <c r="B1971" s="68">
        <v>2031</v>
      </c>
      <c r="C1971" s="68">
        <v>2023</v>
      </c>
      <c r="D1971" s="68" t="s">
        <v>304</v>
      </c>
      <c r="E1971" s="68" t="s">
        <v>294</v>
      </c>
      <c r="F1971" s="68" t="s">
        <v>40</v>
      </c>
      <c r="G1971" s="68"/>
      <c r="H1971" s="68"/>
      <c r="I1971" s="69">
        <v>254148.8392431424</v>
      </c>
    </row>
    <row r="1972" spans="1:9" hidden="1">
      <c r="A1972" s="64" t="s">
        <v>295</v>
      </c>
      <c r="B1972" s="65">
        <v>2031</v>
      </c>
      <c r="C1972" s="65">
        <v>2023</v>
      </c>
      <c r="D1972" s="65" t="s">
        <v>304</v>
      </c>
      <c r="E1972" s="65" t="s">
        <v>301</v>
      </c>
      <c r="F1972" s="65" t="s">
        <v>297</v>
      </c>
      <c r="G1972" s="65"/>
      <c r="H1972" s="65"/>
      <c r="I1972" s="66">
        <v>62035.789843219362</v>
      </c>
    </row>
    <row r="1973" spans="1:9" hidden="1">
      <c r="A1973" s="67" t="s">
        <v>295</v>
      </c>
      <c r="B1973" s="68">
        <v>2031</v>
      </c>
      <c r="C1973" s="68">
        <v>2023</v>
      </c>
      <c r="D1973" s="68" t="s">
        <v>304</v>
      </c>
      <c r="E1973" s="68" t="s">
        <v>301</v>
      </c>
      <c r="F1973" s="68" t="s">
        <v>298</v>
      </c>
      <c r="G1973" s="68"/>
      <c r="H1973" s="68"/>
      <c r="I1973" s="69">
        <v>204565.40151804531</v>
      </c>
    </row>
    <row r="1974" spans="1:9" hidden="1">
      <c r="A1974" s="64" t="s">
        <v>295</v>
      </c>
      <c r="B1974" s="65">
        <v>2031</v>
      </c>
      <c r="C1974" s="65">
        <v>2023</v>
      </c>
      <c r="D1974" s="65" t="s">
        <v>304</v>
      </c>
      <c r="E1974" s="65" t="s">
        <v>301</v>
      </c>
      <c r="F1974" s="65" t="s">
        <v>40</v>
      </c>
      <c r="G1974" s="65"/>
      <c r="H1974" s="65"/>
      <c r="I1974" s="66">
        <v>266342.24247960269</v>
      </c>
    </row>
    <row r="1975" spans="1:9" hidden="1">
      <c r="A1975" s="67" t="s">
        <v>295</v>
      </c>
      <c r="B1975" s="68">
        <v>2031</v>
      </c>
      <c r="C1975" s="68">
        <v>2023</v>
      </c>
      <c r="D1975" s="68" t="s">
        <v>304</v>
      </c>
      <c r="E1975" s="68" t="s">
        <v>305</v>
      </c>
      <c r="F1975" s="68" t="s">
        <v>297</v>
      </c>
      <c r="G1975" s="68"/>
      <c r="H1975" s="68"/>
      <c r="I1975" s="69">
        <v>1100.7922000000001</v>
      </c>
    </row>
    <row r="1976" spans="1:9" hidden="1">
      <c r="A1976" s="64" t="s">
        <v>295</v>
      </c>
      <c r="B1976" s="65">
        <v>2031</v>
      </c>
      <c r="C1976" s="65">
        <v>2023</v>
      </c>
      <c r="D1976" s="65" t="s">
        <v>304</v>
      </c>
      <c r="E1976" s="65" t="s">
        <v>305</v>
      </c>
      <c r="F1976" s="65" t="s">
        <v>298</v>
      </c>
      <c r="G1976" s="65"/>
      <c r="H1976" s="65"/>
      <c r="I1976" s="66">
        <v>737.9</v>
      </c>
    </row>
    <row r="1977" spans="1:9" hidden="1">
      <c r="A1977" s="67" t="s">
        <v>295</v>
      </c>
      <c r="B1977" s="68">
        <v>2031</v>
      </c>
      <c r="C1977" s="68">
        <v>2023</v>
      </c>
      <c r="D1977" s="68" t="s">
        <v>304</v>
      </c>
      <c r="E1977" s="68" t="s">
        <v>305</v>
      </c>
      <c r="F1977" s="68" t="s">
        <v>40</v>
      </c>
      <c r="G1977" s="68"/>
      <c r="H1977" s="68"/>
      <c r="I1977" s="69">
        <v>16171.092199999999</v>
      </c>
    </row>
    <row r="1978" spans="1:9" hidden="1">
      <c r="A1978" s="64" t="s">
        <v>295</v>
      </c>
      <c r="B1978" s="65">
        <v>2031</v>
      </c>
      <c r="C1978" s="65">
        <v>2023</v>
      </c>
      <c r="D1978" s="65" t="s">
        <v>306</v>
      </c>
      <c r="E1978" s="65" t="s">
        <v>294</v>
      </c>
      <c r="F1978" s="65" t="s">
        <v>297</v>
      </c>
      <c r="G1978" s="65"/>
      <c r="H1978" s="65"/>
      <c r="I1978" s="66">
        <v>357383.26458313811</v>
      </c>
    </row>
    <row r="1979" spans="1:9" hidden="1">
      <c r="A1979" s="67" t="s">
        <v>295</v>
      </c>
      <c r="B1979" s="68">
        <v>2031</v>
      </c>
      <c r="C1979" s="68">
        <v>2023</v>
      </c>
      <c r="D1979" s="68" t="s">
        <v>306</v>
      </c>
      <c r="E1979" s="68" t="s">
        <v>294</v>
      </c>
      <c r="F1979" s="68" t="s">
        <v>40</v>
      </c>
      <c r="G1979" s="68"/>
      <c r="H1979" s="68"/>
      <c r="I1979" s="69">
        <v>357383.26458313811</v>
      </c>
    </row>
    <row r="1980" spans="1:9" hidden="1">
      <c r="A1980" s="64" t="s">
        <v>295</v>
      </c>
      <c r="B1980" s="65">
        <v>2031</v>
      </c>
      <c r="C1980" s="65">
        <v>2023</v>
      </c>
      <c r="D1980" s="65" t="s">
        <v>306</v>
      </c>
      <c r="E1980" s="65" t="s">
        <v>301</v>
      </c>
      <c r="F1980" s="65" t="s">
        <v>297</v>
      </c>
      <c r="G1980" s="65"/>
      <c r="H1980" s="65"/>
      <c r="I1980" s="66">
        <v>372423.13937294681</v>
      </c>
    </row>
    <row r="1981" spans="1:9" hidden="1">
      <c r="A1981" s="67" t="s">
        <v>295</v>
      </c>
      <c r="B1981" s="68">
        <v>2031</v>
      </c>
      <c r="C1981" s="68">
        <v>2023</v>
      </c>
      <c r="D1981" s="68" t="s">
        <v>306</v>
      </c>
      <c r="E1981" s="68" t="s">
        <v>301</v>
      </c>
      <c r="F1981" s="68" t="s">
        <v>40</v>
      </c>
      <c r="G1981" s="68"/>
      <c r="H1981" s="68"/>
      <c r="I1981" s="69">
        <v>372423.13937294681</v>
      </c>
    </row>
    <row r="1982" spans="1:9" hidden="1">
      <c r="A1982" s="64" t="s">
        <v>295</v>
      </c>
      <c r="B1982" s="65">
        <v>2031</v>
      </c>
      <c r="C1982" s="65">
        <v>2023</v>
      </c>
      <c r="D1982" s="65" t="s">
        <v>306</v>
      </c>
      <c r="E1982" s="65" t="s">
        <v>305</v>
      </c>
      <c r="F1982" s="65" t="s">
        <v>297</v>
      </c>
      <c r="G1982" s="65"/>
      <c r="H1982" s="65"/>
      <c r="I1982" s="66">
        <v>2043.47326</v>
      </c>
    </row>
    <row r="1983" spans="1:9" hidden="1">
      <c r="A1983" s="67" t="s">
        <v>295</v>
      </c>
      <c r="B1983" s="68">
        <v>2031</v>
      </c>
      <c r="C1983" s="68">
        <v>2023</v>
      </c>
      <c r="D1983" s="68" t="s">
        <v>306</v>
      </c>
      <c r="E1983" s="68" t="s">
        <v>305</v>
      </c>
      <c r="F1983" s="68" t="s">
        <v>40</v>
      </c>
      <c r="G1983" s="68"/>
      <c r="H1983" s="68"/>
      <c r="I1983" s="69">
        <v>30879.473259999999</v>
      </c>
    </row>
    <row r="1984" spans="1:9" hidden="1">
      <c r="A1984" s="64" t="s">
        <v>295</v>
      </c>
      <c r="B1984" s="65">
        <v>2031</v>
      </c>
      <c r="C1984" s="65">
        <v>2023</v>
      </c>
      <c r="D1984" s="65" t="s">
        <v>307</v>
      </c>
      <c r="E1984" s="65" t="s">
        <v>294</v>
      </c>
      <c r="F1984" s="65" t="s">
        <v>40</v>
      </c>
      <c r="G1984" s="65"/>
      <c r="H1984" s="65"/>
      <c r="I1984" s="66">
        <v>-259423.2575150565</v>
      </c>
    </row>
    <row r="1985" spans="1:9" hidden="1">
      <c r="A1985" s="67" t="s">
        <v>295</v>
      </c>
      <c r="B1985" s="68">
        <v>2031</v>
      </c>
      <c r="C1985" s="68">
        <v>2023</v>
      </c>
      <c r="D1985" s="68" t="s">
        <v>307</v>
      </c>
      <c r="E1985" s="68" t="s">
        <v>301</v>
      </c>
      <c r="F1985" s="68" t="s">
        <v>40</v>
      </c>
      <c r="G1985" s="68"/>
      <c r="H1985" s="68"/>
      <c r="I1985" s="69">
        <v>-237652.4199870787</v>
      </c>
    </row>
    <row r="1986" spans="1:9" hidden="1">
      <c r="A1986" s="64" t="s">
        <v>295</v>
      </c>
      <c r="B1986" s="65">
        <v>2031</v>
      </c>
      <c r="C1986" s="65">
        <v>2023</v>
      </c>
      <c r="D1986" s="65" t="s">
        <v>307</v>
      </c>
      <c r="E1986" s="65" t="s">
        <v>305</v>
      </c>
      <c r="F1986" s="65" t="s">
        <v>40</v>
      </c>
      <c r="G1986" s="65"/>
      <c r="H1986" s="65"/>
      <c r="I1986" s="66">
        <v>-18456.029310000002</v>
      </c>
    </row>
    <row r="1987" spans="1:9" hidden="1">
      <c r="A1987" s="67" t="s">
        <v>295</v>
      </c>
      <c r="B1987" s="68">
        <v>2031</v>
      </c>
      <c r="C1987" s="68">
        <v>2023</v>
      </c>
      <c r="D1987" s="68" t="s">
        <v>327</v>
      </c>
      <c r="E1987" s="68" t="s">
        <v>294</v>
      </c>
      <c r="F1987" s="68" t="s">
        <v>40</v>
      </c>
      <c r="G1987" s="68"/>
      <c r="H1987" s="68"/>
      <c r="I1987" s="69">
        <v>-313382.92129359808</v>
      </c>
    </row>
    <row r="1988" spans="1:9" hidden="1">
      <c r="A1988" s="64" t="s">
        <v>295</v>
      </c>
      <c r="B1988" s="65">
        <v>2031</v>
      </c>
      <c r="C1988" s="65">
        <v>2023</v>
      </c>
      <c r="D1988" s="65" t="s">
        <v>327</v>
      </c>
      <c r="E1988" s="65" t="s">
        <v>301</v>
      </c>
      <c r="F1988" s="65" t="s">
        <v>40</v>
      </c>
      <c r="G1988" s="65"/>
      <c r="H1988" s="65"/>
      <c r="I1988" s="66">
        <v>-299967.23524507991</v>
      </c>
    </row>
    <row r="1989" spans="1:9" hidden="1">
      <c r="A1989" s="67" t="s">
        <v>295</v>
      </c>
      <c r="B1989" s="68">
        <v>2031</v>
      </c>
      <c r="C1989" s="68">
        <v>2023</v>
      </c>
      <c r="D1989" s="68" t="s">
        <v>327</v>
      </c>
      <c r="E1989" s="68" t="s">
        <v>305</v>
      </c>
      <c r="F1989" s="68" t="s">
        <v>40</v>
      </c>
      <c r="G1989" s="68"/>
      <c r="H1989" s="68"/>
      <c r="I1989" s="69">
        <v>-19935.501329999999</v>
      </c>
    </row>
    <row r="1990" spans="1:9" hidden="1">
      <c r="A1990" s="64" t="s">
        <v>295</v>
      </c>
      <c r="B1990" s="65">
        <v>2031</v>
      </c>
      <c r="C1990" s="65">
        <v>2023</v>
      </c>
      <c r="D1990" s="65" t="s">
        <v>328</v>
      </c>
      <c r="E1990" s="65" t="s">
        <v>294</v>
      </c>
      <c r="F1990" s="65" t="s">
        <v>40</v>
      </c>
      <c r="G1990" s="65"/>
      <c r="H1990" s="65"/>
      <c r="I1990" s="66">
        <v>30095.13095470285</v>
      </c>
    </row>
    <row r="1991" spans="1:9" hidden="1">
      <c r="A1991" s="67" t="s">
        <v>295</v>
      </c>
      <c r="B1991" s="68">
        <v>2031</v>
      </c>
      <c r="C1991" s="68">
        <v>2023</v>
      </c>
      <c r="D1991" s="68" t="s">
        <v>328</v>
      </c>
      <c r="E1991" s="68" t="s">
        <v>301</v>
      </c>
      <c r="F1991" s="68" t="s">
        <v>40</v>
      </c>
      <c r="G1991" s="68"/>
      <c r="H1991" s="68"/>
      <c r="I1991" s="69">
        <v>34999.536923962907</v>
      </c>
    </row>
    <row r="1992" spans="1:9" hidden="1">
      <c r="A1992" s="64" t="s">
        <v>295</v>
      </c>
      <c r="B1992" s="65">
        <v>2031</v>
      </c>
      <c r="C1992" s="65">
        <v>2023</v>
      </c>
      <c r="D1992" s="65" t="s">
        <v>328</v>
      </c>
      <c r="E1992" s="65" t="s">
        <v>305</v>
      </c>
      <c r="F1992" s="65" t="s">
        <v>40</v>
      </c>
      <c r="G1992" s="65"/>
      <c r="H1992" s="65"/>
      <c r="I1992" s="66">
        <v>-2330.4133700000002</v>
      </c>
    </row>
    <row r="1993" spans="1:9" hidden="1">
      <c r="A1993" s="67" t="s">
        <v>295</v>
      </c>
      <c r="B1993" s="68">
        <v>2031</v>
      </c>
      <c r="C1993" s="68">
        <v>2023</v>
      </c>
      <c r="D1993" s="68" t="s">
        <v>329</v>
      </c>
      <c r="E1993" s="68" t="s">
        <v>294</v>
      </c>
      <c r="F1993" s="68" t="s">
        <v>40</v>
      </c>
      <c r="G1993" s="68"/>
      <c r="H1993" s="68"/>
      <c r="I1993" s="69">
        <v>13288.047723282059</v>
      </c>
    </row>
    <row r="1994" spans="1:9" hidden="1">
      <c r="A1994" s="64" t="s">
        <v>295</v>
      </c>
      <c r="B1994" s="65">
        <v>2031</v>
      </c>
      <c r="C1994" s="65">
        <v>2023</v>
      </c>
      <c r="D1994" s="65" t="s">
        <v>329</v>
      </c>
      <c r="E1994" s="65" t="s">
        <v>301</v>
      </c>
      <c r="F1994" s="65" t="s">
        <v>40</v>
      </c>
      <c r="G1994" s="65"/>
      <c r="H1994" s="65"/>
      <c r="I1994" s="66">
        <v>14566.73249369151</v>
      </c>
    </row>
    <row r="1995" spans="1:9" hidden="1">
      <c r="A1995" s="67" t="s">
        <v>295</v>
      </c>
      <c r="B1995" s="68">
        <v>2031</v>
      </c>
      <c r="C1995" s="68">
        <v>2023</v>
      </c>
      <c r="D1995" s="68" t="s">
        <v>329</v>
      </c>
      <c r="E1995" s="68" t="s">
        <v>305</v>
      </c>
      <c r="F1995" s="68" t="s">
        <v>40</v>
      </c>
      <c r="G1995" s="68"/>
      <c r="H1995" s="68"/>
      <c r="I1995" s="69">
        <v>2090.0931099999998</v>
      </c>
    </row>
    <row r="1996" spans="1:9" hidden="1">
      <c r="A1996" s="64" t="s">
        <v>295</v>
      </c>
      <c r="B1996" s="65">
        <v>2031</v>
      </c>
      <c r="C1996" s="65">
        <v>2023</v>
      </c>
      <c r="D1996" s="65" t="s">
        <v>330</v>
      </c>
      <c r="E1996" s="65" t="s">
        <v>294</v>
      </c>
      <c r="F1996" s="65" t="s">
        <v>40</v>
      </c>
      <c r="G1996" s="65"/>
      <c r="H1996" s="65"/>
      <c r="I1996" s="66">
        <v>13200.429397999031</v>
      </c>
    </row>
    <row r="1997" spans="1:9" hidden="1">
      <c r="A1997" s="67" t="s">
        <v>295</v>
      </c>
      <c r="B1997" s="68">
        <v>2031</v>
      </c>
      <c r="C1997" s="68">
        <v>2023</v>
      </c>
      <c r="D1997" s="68" t="s">
        <v>330</v>
      </c>
      <c r="E1997" s="68" t="s">
        <v>301</v>
      </c>
      <c r="F1997" s="68" t="s">
        <v>40</v>
      </c>
      <c r="G1997" s="68"/>
      <c r="H1997" s="68"/>
      <c r="I1997" s="69">
        <v>14068.278327999309</v>
      </c>
    </row>
    <row r="1998" spans="1:9" hidden="1">
      <c r="A1998" s="64" t="s">
        <v>295</v>
      </c>
      <c r="B1998" s="65">
        <v>2031</v>
      </c>
      <c r="C1998" s="65">
        <v>2023</v>
      </c>
      <c r="D1998" s="65" t="s">
        <v>330</v>
      </c>
      <c r="E1998" s="65" t="s">
        <v>305</v>
      </c>
      <c r="F1998" s="65" t="s">
        <v>40</v>
      </c>
      <c r="G1998" s="65"/>
      <c r="H1998" s="65"/>
      <c r="I1998" s="66">
        <v>765.48648000000003</v>
      </c>
    </row>
    <row r="1999" spans="1:9" hidden="1">
      <c r="A1999" s="67" t="s">
        <v>295</v>
      </c>
      <c r="B1999" s="68">
        <v>2031</v>
      </c>
      <c r="C1999" s="68">
        <v>2023</v>
      </c>
      <c r="D1999" s="68" t="s">
        <v>331</v>
      </c>
      <c r="E1999" s="68" t="s">
        <v>294</v>
      </c>
      <c r="F1999" s="68" t="s">
        <v>40</v>
      </c>
      <c r="G1999" s="68"/>
      <c r="H1999" s="68"/>
      <c r="I1999" s="69">
        <v>32422.781188015899</v>
      </c>
    </row>
    <row r="2000" spans="1:9" hidden="1">
      <c r="A2000" s="64" t="s">
        <v>295</v>
      </c>
      <c r="B2000" s="65">
        <v>2031</v>
      </c>
      <c r="C2000" s="65">
        <v>2023</v>
      </c>
      <c r="D2000" s="65" t="s">
        <v>331</v>
      </c>
      <c r="E2000" s="65" t="s">
        <v>301</v>
      </c>
      <c r="F2000" s="65" t="s">
        <v>40</v>
      </c>
      <c r="G2000" s="65"/>
      <c r="H2000" s="65"/>
      <c r="I2000" s="66">
        <v>32959.441534804202</v>
      </c>
    </row>
    <row r="2001" spans="1:9" hidden="1">
      <c r="A2001" s="67" t="s">
        <v>295</v>
      </c>
      <c r="B2001" s="68">
        <v>2031</v>
      </c>
      <c r="C2001" s="68">
        <v>2023</v>
      </c>
      <c r="D2001" s="68" t="s">
        <v>331</v>
      </c>
      <c r="E2001" s="68" t="s">
        <v>305</v>
      </c>
      <c r="F2001" s="68" t="s">
        <v>40</v>
      </c>
      <c r="G2001" s="68"/>
      <c r="H2001" s="68"/>
      <c r="I2001" s="69">
        <v>2894.1072199999999</v>
      </c>
    </row>
    <row r="2002" spans="1:9" hidden="1">
      <c r="A2002" s="64" t="s">
        <v>295</v>
      </c>
      <c r="B2002" s="65">
        <v>2031</v>
      </c>
      <c r="C2002" s="65">
        <v>2023</v>
      </c>
      <c r="D2002" s="65" t="s">
        <v>332</v>
      </c>
      <c r="E2002" s="65" t="s">
        <v>294</v>
      </c>
      <c r="F2002" s="65" t="s">
        <v>40</v>
      </c>
      <c r="G2002" s="65"/>
      <c r="H2002" s="65"/>
      <c r="I2002" s="66">
        <v>561.56036999999992</v>
      </c>
    </row>
    <row r="2003" spans="1:9" hidden="1">
      <c r="A2003" s="67" t="s">
        <v>295</v>
      </c>
      <c r="B2003" s="68">
        <v>2031</v>
      </c>
      <c r="C2003" s="68">
        <v>2023</v>
      </c>
      <c r="D2003" s="68" t="s">
        <v>332</v>
      </c>
      <c r="E2003" s="68" t="s">
        <v>301</v>
      </c>
      <c r="F2003" s="68" t="s">
        <v>40</v>
      </c>
      <c r="G2003" s="68"/>
      <c r="H2003" s="68"/>
      <c r="I2003" s="69">
        <v>462.85381999999998</v>
      </c>
    </row>
    <row r="2004" spans="1:9" hidden="1">
      <c r="A2004" s="64" t="s">
        <v>295</v>
      </c>
      <c r="B2004" s="65">
        <v>2031</v>
      </c>
      <c r="C2004" s="65">
        <v>2023</v>
      </c>
      <c r="D2004" s="65" t="s">
        <v>332</v>
      </c>
      <c r="E2004" s="65" t="s">
        <v>305</v>
      </c>
      <c r="F2004" s="65" t="s">
        <v>40</v>
      </c>
      <c r="G2004" s="65"/>
      <c r="H2004" s="65"/>
      <c r="I2004" s="66">
        <v>251.65858</v>
      </c>
    </row>
    <row r="2005" spans="1:9" hidden="1">
      <c r="A2005" s="67" t="s">
        <v>295</v>
      </c>
      <c r="B2005" s="68">
        <v>2031</v>
      </c>
      <c r="C2005" s="68">
        <v>2023</v>
      </c>
      <c r="D2005" s="68" t="s">
        <v>333</v>
      </c>
      <c r="E2005" s="68" t="s">
        <v>294</v>
      </c>
      <c r="F2005" s="68" t="s">
        <v>40</v>
      </c>
      <c r="G2005" s="68"/>
      <c r="H2005" s="68"/>
      <c r="I2005" s="69">
        <v>-35317.850409999999</v>
      </c>
    </row>
    <row r="2006" spans="1:9" hidden="1">
      <c r="A2006" s="64" t="s">
        <v>295</v>
      </c>
      <c r="B2006" s="65">
        <v>2031</v>
      </c>
      <c r="C2006" s="65">
        <v>2023</v>
      </c>
      <c r="D2006" s="65" t="s">
        <v>333</v>
      </c>
      <c r="E2006" s="65" t="s">
        <v>301</v>
      </c>
      <c r="F2006" s="65" t="s">
        <v>40</v>
      </c>
      <c r="G2006" s="65"/>
      <c r="H2006" s="65"/>
      <c r="I2006" s="66">
        <v>-34996.414770000003</v>
      </c>
    </row>
    <row r="2007" spans="1:9" hidden="1">
      <c r="A2007" s="67" t="s">
        <v>295</v>
      </c>
      <c r="B2007" s="68">
        <v>2031</v>
      </c>
      <c r="C2007" s="68">
        <v>2023</v>
      </c>
      <c r="D2007" s="68" t="s">
        <v>333</v>
      </c>
      <c r="E2007" s="68" t="s">
        <v>305</v>
      </c>
      <c r="F2007" s="68" t="s">
        <v>40</v>
      </c>
      <c r="G2007" s="68"/>
      <c r="H2007" s="68"/>
      <c r="I2007" s="69">
        <v>-2191.34</v>
      </c>
    </row>
    <row r="2008" spans="1:9" hidden="1">
      <c r="A2008" s="64" t="s">
        <v>295</v>
      </c>
      <c r="B2008" s="65">
        <v>2031</v>
      </c>
      <c r="C2008" s="65">
        <v>2023</v>
      </c>
      <c r="D2008" s="65" t="s">
        <v>334</v>
      </c>
      <c r="E2008" s="65" t="s">
        <v>294</v>
      </c>
      <c r="F2008" s="65" t="s">
        <v>40</v>
      </c>
      <c r="G2008" s="65"/>
      <c r="H2008" s="65"/>
      <c r="I2008" s="66">
        <v>253.85033000000001</v>
      </c>
    </row>
    <row r="2009" spans="1:9" hidden="1">
      <c r="A2009" s="67" t="s">
        <v>295</v>
      </c>
      <c r="B2009" s="68">
        <v>2031</v>
      </c>
      <c r="C2009" s="68">
        <v>2023</v>
      </c>
      <c r="D2009" s="68" t="s">
        <v>334</v>
      </c>
      <c r="E2009" s="68" t="s">
        <v>301</v>
      </c>
      <c r="F2009" s="68" t="s">
        <v>40</v>
      </c>
      <c r="G2009" s="68"/>
      <c r="H2009" s="68"/>
      <c r="I2009" s="69">
        <v>253.85033000000001</v>
      </c>
    </row>
    <row r="2010" spans="1:9" hidden="1">
      <c r="A2010" s="64" t="s">
        <v>295</v>
      </c>
      <c r="B2010" s="65">
        <v>2031</v>
      </c>
      <c r="C2010" s="65">
        <v>2023</v>
      </c>
      <c r="D2010" s="65" t="s">
        <v>308</v>
      </c>
      <c r="E2010" s="65" t="s">
        <v>294</v>
      </c>
      <c r="F2010" s="65" t="s">
        <v>297</v>
      </c>
      <c r="G2010" s="65"/>
      <c r="H2010" s="65"/>
      <c r="I2010" s="66">
        <v>88714.334157288453</v>
      </c>
    </row>
    <row r="2011" spans="1:9" hidden="1">
      <c r="A2011" s="67" t="s">
        <v>295</v>
      </c>
      <c r="B2011" s="68">
        <v>2031</v>
      </c>
      <c r="C2011" s="68">
        <v>2023</v>
      </c>
      <c r="D2011" s="68" t="s">
        <v>308</v>
      </c>
      <c r="E2011" s="68" t="s">
        <v>294</v>
      </c>
      <c r="F2011" s="68" t="s">
        <v>298</v>
      </c>
      <c r="G2011" s="68"/>
      <c r="H2011" s="68"/>
      <c r="I2011" s="69">
        <v>257.99302076518183</v>
      </c>
    </row>
    <row r="2012" spans="1:9" hidden="1">
      <c r="A2012" s="64" t="s">
        <v>295</v>
      </c>
      <c r="B2012" s="65">
        <v>2031</v>
      </c>
      <c r="C2012" s="65">
        <v>2023</v>
      </c>
      <c r="D2012" s="65" t="s">
        <v>308</v>
      </c>
      <c r="E2012" s="65" t="s">
        <v>294</v>
      </c>
      <c r="F2012" s="65" t="s">
        <v>40</v>
      </c>
      <c r="G2012" s="65"/>
      <c r="H2012" s="65"/>
      <c r="I2012" s="66">
        <v>88972.327178053645</v>
      </c>
    </row>
    <row r="2013" spans="1:9" hidden="1">
      <c r="A2013" s="67" t="s">
        <v>295</v>
      </c>
      <c r="B2013" s="68">
        <v>2031</v>
      </c>
      <c r="C2013" s="68">
        <v>2023</v>
      </c>
      <c r="D2013" s="68" t="s">
        <v>308</v>
      </c>
      <c r="E2013" s="68" t="s">
        <v>301</v>
      </c>
      <c r="F2013" s="68" t="s">
        <v>297</v>
      </c>
      <c r="G2013" s="68"/>
      <c r="H2013" s="68"/>
      <c r="I2013" s="69">
        <v>89733.040837289707</v>
      </c>
    </row>
    <row r="2014" spans="1:9" hidden="1">
      <c r="A2014" s="64" t="s">
        <v>295</v>
      </c>
      <c r="B2014" s="65">
        <v>2031</v>
      </c>
      <c r="C2014" s="65">
        <v>2023</v>
      </c>
      <c r="D2014" s="65" t="s">
        <v>308</v>
      </c>
      <c r="E2014" s="65" t="s">
        <v>301</v>
      </c>
      <c r="F2014" s="65" t="s">
        <v>298</v>
      </c>
      <c r="G2014" s="65"/>
      <c r="H2014" s="65"/>
      <c r="I2014" s="66">
        <v>257.9930207657074</v>
      </c>
    </row>
    <row r="2015" spans="1:9" hidden="1">
      <c r="A2015" s="67" t="s">
        <v>295</v>
      </c>
      <c r="B2015" s="68">
        <v>2031</v>
      </c>
      <c r="C2015" s="68">
        <v>2023</v>
      </c>
      <c r="D2015" s="68" t="s">
        <v>308</v>
      </c>
      <c r="E2015" s="68" t="s">
        <v>301</v>
      </c>
      <c r="F2015" s="68" t="s">
        <v>40</v>
      </c>
      <c r="G2015" s="68"/>
      <c r="H2015" s="68"/>
      <c r="I2015" s="69">
        <v>89991.033858055423</v>
      </c>
    </row>
    <row r="2016" spans="1:9" hidden="1">
      <c r="A2016" s="64" t="s">
        <v>295</v>
      </c>
      <c r="B2016" s="65">
        <v>2031</v>
      </c>
      <c r="C2016" s="65">
        <v>2023</v>
      </c>
      <c r="D2016" s="65" t="s">
        <v>308</v>
      </c>
      <c r="E2016" s="65" t="s">
        <v>305</v>
      </c>
      <c r="F2016" s="65" t="s">
        <v>297</v>
      </c>
      <c r="G2016" s="65"/>
      <c r="H2016" s="65"/>
      <c r="I2016" s="66">
        <v>1621.94949</v>
      </c>
    </row>
    <row r="2017" spans="1:9" hidden="1">
      <c r="A2017" s="67" t="s">
        <v>295</v>
      </c>
      <c r="B2017" s="68">
        <v>2031</v>
      </c>
      <c r="C2017" s="68">
        <v>2023</v>
      </c>
      <c r="D2017" s="68" t="s">
        <v>308</v>
      </c>
      <c r="E2017" s="68" t="s">
        <v>305</v>
      </c>
      <c r="F2017" s="68" t="s">
        <v>40</v>
      </c>
      <c r="G2017" s="68"/>
      <c r="H2017" s="68"/>
      <c r="I2017" s="69">
        <v>10520.74949</v>
      </c>
    </row>
    <row r="2018" spans="1:9" hidden="1">
      <c r="A2018" s="64" t="s">
        <v>295</v>
      </c>
      <c r="B2018" s="65">
        <v>2031</v>
      </c>
      <c r="C2018" s="65">
        <v>2023</v>
      </c>
      <c r="D2018" s="65" t="s">
        <v>310</v>
      </c>
      <c r="E2018" s="65" t="s">
        <v>294</v>
      </c>
      <c r="F2018" s="65" t="s">
        <v>297</v>
      </c>
      <c r="G2018" s="65"/>
      <c r="H2018" s="65"/>
      <c r="I2018" s="66">
        <v>135.5</v>
      </c>
    </row>
    <row r="2019" spans="1:9" hidden="1">
      <c r="A2019" s="67" t="s">
        <v>295</v>
      </c>
      <c r="B2019" s="68">
        <v>2031</v>
      </c>
      <c r="C2019" s="68">
        <v>2023</v>
      </c>
      <c r="D2019" s="68" t="s">
        <v>310</v>
      </c>
      <c r="E2019" s="68" t="s">
        <v>294</v>
      </c>
      <c r="F2019" s="68" t="s">
        <v>40</v>
      </c>
      <c r="G2019" s="68"/>
      <c r="H2019" s="68"/>
      <c r="I2019" s="69">
        <v>118583.5294180699</v>
      </c>
    </row>
    <row r="2020" spans="1:9" hidden="1">
      <c r="A2020" s="64" t="s">
        <v>295</v>
      </c>
      <c r="B2020" s="65">
        <v>2031</v>
      </c>
      <c r="C2020" s="65">
        <v>2023</v>
      </c>
      <c r="D2020" s="65" t="s">
        <v>310</v>
      </c>
      <c r="E2020" s="65" t="s">
        <v>301</v>
      </c>
      <c r="F2020" s="65" t="s">
        <v>297</v>
      </c>
      <c r="G2020" s="65"/>
      <c r="H2020" s="65"/>
      <c r="I2020" s="66">
        <v>135.5</v>
      </c>
    </row>
    <row r="2021" spans="1:9" hidden="1">
      <c r="A2021" s="67" t="s">
        <v>295</v>
      </c>
      <c r="B2021" s="68">
        <v>2031</v>
      </c>
      <c r="C2021" s="68">
        <v>2023</v>
      </c>
      <c r="D2021" s="68" t="s">
        <v>310</v>
      </c>
      <c r="E2021" s="68" t="s">
        <v>301</v>
      </c>
      <c r="F2021" s="68" t="s">
        <v>40</v>
      </c>
      <c r="G2021" s="68"/>
      <c r="H2021" s="68"/>
      <c r="I2021" s="69">
        <v>123959.7839796496</v>
      </c>
    </row>
    <row r="2022" spans="1:9" hidden="1">
      <c r="A2022" s="64" t="s">
        <v>295</v>
      </c>
      <c r="B2022" s="65">
        <v>2031</v>
      </c>
      <c r="C2022" s="65">
        <v>2023</v>
      </c>
      <c r="D2022" s="65" t="s">
        <v>310</v>
      </c>
      <c r="E2022" s="65" t="s">
        <v>305</v>
      </c>
      <c r="F2022" s="65" t="s">
        <v>40</v>
      </c>
      <c r="G2022" s="65"/>
      <c r="H2022" s="65"/>
      <c r="I2022" s="66">
        <v>1121.2829300000001</v>
      </c>
    </row>
    <row r="2023" spans="1:9" hidden="1">
      <c r="A2023" s="67" t="s">
        <v>295</v>
      </c>
      <c r="B2023" s="68">
        <v>2031</v>
      </c>
      <c r="C2023" s="68">
        <v>2023</v>
      </c>
      <c r="D2023" s="68" t="s">
        <v>311</v>
      </c>
      <c r="E2023" s="68" t="s">
        <v>294</v>
      </c>
      <c r="F2023" s="68" t="s">
        <v>297</v>
      </c>
      <c r="G2023" s="68"/>
      <c r="H2023" s="68"/>
      <c r="I2023" s="69">
        <v>690.6</v>
      </c>
    </row>
    <row r="2024" spans="1:9" hidden="1">
      <c r="A2024" s="64" t="s">
        <v>295</v>
      </c>
      <c r="B2024" s="65">
        <v>2031</v>
      </c>
      <c r="C2024" s="65">
        <v>2023</v>
      </c>
      <c r="D2024" s="65" t="s">
        <v>311</v>
      </c>
      <c r="E2024" s="65" t="s">
        <v>294</v>
      </c>
      <c r="F2024" s="65" t="s">
        <v>40</v>
      </c>
      <c r="G2024" s="65"/>
      <c r="H2024" s="65"/>
      <c r="I2024" s="66">
        <v>137673.12183071731</v>
      </c>
    </row>
    <row r="2025" spans="1:9" hidden="1">
      <c r="A2025" s="67" t="s">
        <v>295</v>
      </c>
      <c r="B2025" s="68">
        <v>2031</v>
      </c>
      <c r="C2025" s="68">
        <v>2023</v>
      </c>
      <c r="D2025" s="68" t="s">
        <v>311</v>
      </c>
      <c r="E2025" s="68" t="s">
        <v>301</v>
      </c>
      <c r="F2025" s="68" t="s">
        <v>297</v>
      </c>
      <c r="G2025" s="68"/>
      <c r="H2025" s="68"/>
      <c r="I2025" s="69">
        <v>690.6</v>
      </c>
    </row>
    <row r="2026" spans="1:9" hidden="1">
      <c r="A2026" s="64" t="s">
        <v>295</v>
      </c>
      <c r="B2026" s="65">
        <v>2031</v>
      </c>
      <c r="C2026" s="65">
        <v>2023</v>
      </c>
      <c r="D2026" s="65" t="s">
        <v>311</v>
      </c>
      <c r="E2026" s="65" t="s">
        <v>301</v>
      </c>
      <c r="F2026" s="65" t="s">
        <v>40</v>
      </c>
      <c r="G2026" s="65"/>
      <c r="H2026" s="65"/>
      <c r="I2026" s="66">
        <v>139779.24791432769</v>
      </c>
    </row>
    <row r="2027" spans="1:9" hidden="1">
      <c r="A2027" s="67" t="s">
        <v>295</v>
      </c>
      <c r="B2027" s="68">
        <v>2031</v>
      </c>
      <c r="C2027" s="68">
        <v>2023</v>
      </c>
      <c r="D2027" s="68" t="s">
        <v>311</v>
      </c>
      <c r="E2027" s="68" t="s">
        <v>305</v>
      </c>
      <c r="F2027" s="68" t="s">
        <v>40</v>
      </c>
      <c r="G2027" s="68"/>
      <c r="H2027" s="68"/>
      <c r="I2027" s="69">
        <v>805.9</v>
      </c>
    </row>
    <row r="2028" spans="1:9" hidden="1">
      <c r="A2028" s="64" t="s">
        <v>295</v>
      </c>
      <c r="B2028" s="65">
        <v>2031</v>
      </c>
      <c r="C2028" s="65">
        <v>2023</v>
      </c>
      <c r="D2028" s="65" t="s">
        <v>312</v>
      </c>
      <c r="E2028" s="65" t="s">
        <v>294</v>
      </c>
      <c r="F2028" s="65" t="s">
        <v>297</v>
      </c>
      <c r="G2028" s="65"/>
      <c r="H2028" s="65"/>
      <c r="I2028" s="66">
        <v>725.38231999999994</v>
      </c>
    </row>
    <row r="2029" spans="1:9" hidden="1">
      <c r="A2029" s="67" t="s">
        <v>295</v>
      </c>
      <c r="B2029" s="68">
        <v>2031</v>
      </c>
      <c r="C2029" s="68">
        <v>2023</v>
      </c>
      <c r="D2029" s="68" t="s">
        <v>312</v>
      </c>
      <c r="E2029" s="68" t="s">
        <v>294</v>
      </c>
      <c r="F2029" s="68" t="s">
        <v>40</v>
      </c>
      <c r="G2029" s="68"/>
      <c r="H2029" s="68"/>
      <c r="I2029" s="69">
        <v>869.28232000000003</v>
      </c>
    </row>
    <row r="2030" spans="1:9" hidden="1">
      <c r="A2030" s="64" t="s">
        <v>295</v>
      </c>
      <c r="B2030" s="65">
        <v>2031</v>
      </c>
      <c r="C2030" s="65">
        <v>2023</v>
      </c>
      <c r="D2030" s="65" t="s">
        <v>312</v>
      </c>
      <c r="E2030" s="65" t="s">
        <v>301</v>
      </c>
      <c r="F2030" s="65" t="s">
        <v>297</v>
      </c>
      <c r="G2030" s="65"/>
      <c r="H2030" s="65"/>
      <c r="I2030" s="66">
        <v>726.08569999999997</v>
      </c>
    </row>
    <row r="2031" spans="1:9" hidden="1">
      <c r="A2031" s="67" t="s">
        <v>295</v>
      </c>
      <c r="B2031" s="68">
        <v>2031</v>
      </c>
      <c r="C2031" s="68">
        <v>2023</v>
      </c>
      <c r="D2031" s="68" t="s">
        <v>312</v>
      </c>
      <c r="E2031" s="68" t="s">
        <v>301</v>
      </c>
      <c r="F2031" s="68" t="s">
        <v>40</v>
      </c>
      <c r="G2031" s="68"/>
      <c r="H2031" s="68"/>
      <c r="I2031" s="69">
        <v>869.98569999999995</v>
      </c>
    </row>
    <row r="2032" spans="1:9" hidden="1">
      <c r="A2032" s="64" t="s">
        <v>295</v>
      </c>
      <c r="B2032" s="65">
        <v>2031</v>
      </c>
      <c r="C2032" s="65">
        <v>2023</v>
      </c>
      <c r="D2032" s="65" t="s">
        <v>313</v>
      </c>
      <c r="E2032" s="65" t="s">
        <v>294</v>
      </c>
      <c r="F2032" s="65" t="s">
        <v>297</v>
      </c>
      <c r="G2032" s="65"/>
      <c r="H2032" s="65"/>
      <c r="I2032" s="66">
        <v>1679815.277062495</v>
      </c>
    </row>
    <row r="2033" spans="1:9" hidden="1">
      <c r="A2033" s="67" t="s">
        <v>295</v>
      </c>
      <c r="B2033" s="68">
        <v>2031</v>
      </c>
      <c r="C2033" s="68">
        <v>2023</v>
      </c>
      <c r="D2033" s="68" t="s">
        <v>313</v>
      </c>
      <c r="E2033" s="68" t="s">
        <v>294</v>
      </c>
      <c r="F2033" s="68" t="s">
        <v>298</v>
      </c>
      <c r="G2033" s="68"/>
      <c r="H2033" s="68"/>
      <c r="I2033" s="69">
        <v>803180.35660235654</v>
      </c>
    </row>
    <row r="2034" spans="1:9" hidden="1">
      <c r="A2034" s="64" t="s">
        <v>295</v>
      </c>
      <c r="B2034" s="65">
        <v>2031</v>
      </c>
      <c r="C2034" s="65">
        <v>2023</v>
      </c>
      <c r="D2034" s="65" t="s">
        <v>313</v>
      </c>
      <c r="E2034" s="65" t="s">
        <v>294</v>
      </c>
      <c r="F2034" s="65" t="s">
        <v>40</v>
      </c>
      <c r="G2034" s="65"/>
      <c r="H2034" s="65"/>
      <c r="I2034" s="66">
        <v>2499692.9328832431</v>
      </c>
    </row>
    <row r="2035" spans="1:9" hidden="1">
      <c r="A2035" s="67" t="s">
        <v>295</v>
      </c>
      <c r="B2035" s="68">
        <v>2031</v>
      </c>
      <c r="C2035" s="68">
        <v>2023</v>
      </c>
      <c r="D2035" s="68" t="s">
        <v>313</v>
      </c>
      <c r="E2035" s="68" t="s">
        <v>301</v>
      </c>
      <c r="F2035" s="68" t="s">
        <v>297</v>
      </c>
      <c r="G2035" s="68"/>
      <c r="H2035" s="68"/>
      <c r="I2035" s="69">
        <v>1817137.7786400369</v>
      </c>
    </row>
    <row r="2036" spans="1:9" hidden="1">
      <c r="A2036" s="64" t="s">
        <v>295</v>
      </c>
      <c r="B2036" s="65">
        <v>2031</v>
      </c>
      <c r="C2036" s="65">
        <v>2023</v>
      </c>
      <c r="D2036" s="65" t="s">
        <v>313</v>
      </c>
      <c r="E2036" s="65" t="s">
        <v>301</v>
      </c>
      <c r="F2036" s="65" t="s">
        <v>298</v>
      </c>
      <c r="G2036" s="65"/>
      <c r="H2036" s="65"/>
      <c r="I2036" s="66">
        <v>897107.61273732467</v>
      </c>
    </row>
    <row r="2037" spans="1:9" hidden="1">
      <c r="A2037" s="67" t="s">
        <v>295</v>
      </c>
      <c r="B2037" s="68">
        <v>2031</v>
      </c>
      <c r="C2037" s="68">
        <v>2023</v>
      </c>
      <c r="D2037" s="68" t="s">
        <v>313</v>
      </c>
      <c r="E2037" s="68" t="s">
        <v>301</v>
      </c>
      <c r="F2037" s="68" t="s">
        <v>40</v>
      </c>
      <c r="G2037" s="68"/>
      <c r="H2037" s="68"/>
      <c r="I2037" s="69">
        <v>2732304.0091119669</v>
      </c>
    </row>
    <row r="2038" spans="1:9" hidden="1">
      <c r="A2038" s="64" t="s">
        <v>295</v>
      </c>
      <c r="B2038" s="65">
        <v>2031</v>
      </c>
      <c r="C2038" s="65">
        <v>2023</v>
      </c>
      <c r="D2038" s="65" t="s">
        <v>313</v>
      </c>
      <c r="E2038" s="65" t="s">
        <v>305</v>
      </c>
      <c r="F2038" s="65" t="s">
        <v>297</v>
      </c>
      <c r="G2038" s="65"/>
      <c r="H2038" s="65"/>
      <c r="I2038" s="66">
        <v>15936.97673</v>
      </c>
    </row>
    <row r="2039" spans="1:9" hidden="1">
      <c r="A2039" s="67" t="s">
        <v>295</v>
      </c>
      <c r="B2039" s="68">
        <v>2031</v>
      </c>
      <c r="C2039" s="68">
        <v>2023</v>
      </c>
      <c r="D2039" s="68" t="s">
        <v>313</v>
      </c>
      <c r="E2039" s="68" t="s">
        <v>305</v>
      </c>
      <c r="F2039" s="68" t="s">
        <v>298</v>
      </c>
      <c r="G2039" s="68"/>
      <c r="H2039" s="68"/>
      <c r="I2039" s="69">
        <v>9265.5131099999999</v>
      </c>
    </row>
    <row r="2040" spans="1:9" hidden="1">
      <c r="A2040" s="64" t="s">
        <v>295</v>
      </c>
      <c r="B2040" s="65">
        <v>2031</v>
      </c>
      <c r="C2040" s="65">
        <v>2023</v>
      </c>
      <c r="D2040" s="65" t="s">
        <v>313</v>
      </c>
      <c r="E2040" s="65" t="s">
        <v>305</v>
      </c>
      <c r="F2040" s="65" t="s">
        <v>40</v>
      </c>
      <c r="G2040" s="65"/>
      <c r="H2040" s="65"/>
      <c r="I2040" s="66">
        <v>198412.58898</v>
      </c>
    </row>
    <row r="2041" spans="1:9" hidden="1">
      <c r="A2041" s="67" t="s">
        <v>295</v>
      </c>
      <c r="B2041" s="68">
        <v>2031</v>
      </c>
      <c r="C2041" s="68">
        <v>2023</v>
      </c>
      <c r="D2041" s="68" t="s">
        <v>314</v>
      </c>
      <c r="E2041" s="68" t="s">
        <v>294</v>
      </c>
      <c r="F2041" s="68" t="s">
        <v>297</v>
      </c>
      <c r="G2041" s="68"/>
      <c r="H2041" s="68"/>
      <c r="I2041" s="69">
        <v>1679815.277062495</v>
      </c>
    </row>
    <row r="2042" spans="1:9" hidden="1">
      <c r="A2042" s="64" t="s">
        <v>295</v>
      </c>
      <c r="B2042" s="65">
        <v>2031</v>
      </c>
      <c r="C2042" s="65">
        <v>2023</v>
      </c>
      <c r="D2042" s="65" t="s">
        <v>314</v>
      </c>
      <c r="E2042" s="65" t="s">
        <v>294</v>
      </c>
      <c r="F2042" s="65" t="s">
        <v>298</v>
      </c>
      <c r="G2042" s="65"/>
      <c r="H2042" s="65"/>
      <c r="I2042" s="66">
        <v>803180.25660235656</v>
      </c>
    </row>
    <row r="2043" spans="1:9" hidden="1">
      <c r="A2043" s="67" t="s">
        <v>295</v>
      </c>
      <c r="B2043" s="68">
        <v>2031</v>
      </c>
      <c r="C2043" s="68">
        <v>2023</v>
      </c>
      <c r="D2043" s="68" t="s">
        <v>314</v>
      </c>
      <c r="E2043" s="68" t="s">
        <v>294</v>
      </c>
      <c r="F2043" s="68" t="s">
        <v>40</v>
      </c>
      <c r="G2043" s="68"/>
      <c r="H2043" s="68"/>
      <c r="I2043" s="69">
        <v>2240266.313955422</v>
      </c>
    </row>
    <row r="2044" spans="1:9" hidden="1">
      <c r="A2044" s="64" t="s">
        <v>295</v>
      </c>
      <c r="B2044" s="65">
        <v>2031</v>
      </c>
      <c r="C2044" s="65">
        <v>2023</v>
      </c>
      <c r="D2044" s="65" t="s">
        <v>314</v>
      </c>
      <c r="E2044" s="65" t="s">
        <v>301</v>
      </c>
      <c r="F2044" s="65" t="s">
        <v>297</v>
      </c>
      <c r="G2044" s="65"/>
      <c r="H2044" s="65"/>
      <c r="I2044" s="66">
        <v>1817137.7786400369</v>
      </c>
    </row>
    <row r="2045" spans="1:9" hidden="1">
      <c r="A2045" s="67" t="s">
        <v>295</v>
      </c>
      <c r="B2045" s="68">
        <v>2031</v>
      </c>
      <c r="C2045" s="68">
        <v>2023</v>
      </c>
      <c r="D2045" s="68" t="s">
        <v>314</v>
      </c>
      <c r="E2045" s="68" t="s">
        <v>301</v>
      </c>
      <c r="F2045" s="68" t="s">
        <v>298</v>
      </c>
      <c r="G2045" s="68"/>
      <c r="H2045" s="68"/>
      <c r="I2045" s="69">
        <v>897107.51273732469</v>
      </c>
    </row>
    <row r="2046" spans="1:9" hidden="1">
      <c r="A2046" s="64" t="s">
        <v>295</v>
      </c>
      <c r="B2046" s="65">
        <v>2031</v>
      </c>
      <c r="C2046" s="65">
        <v>2023</v>
      </c>
      <c r="D2046" s="65" t="s">
        <v>314</v>
      </c>
      <c r="E2046" s="65" t="s">
        <v>301</v>
      </c>
      <c r="F2046" s="65" t="s">
        <v>40</v>
      </c>
      <c r="G2046" s="65"/>
      <c r="H2046" s="65"/>
      <c r="I2046" s="66">
        <v>2494643.5548348879</v>
      </c>
    </row>
    <row r="2047" spans="1:9" hidden="1">
      <c r="A2047" s="67" t="s">
        <v>295</v>
      </c>
      <c r="B2047" s="68">
        <v>2031</v>
      </c>
      <c r="C2047" s="68">
        <v>2023</v>
      </c>
      <c r="D2047" s="68" t="s">
        <v>314</v>
      </c>
      <c r="E2047" s="68" t="s">
        <v>305</v>
      </c>
      <c r="F2047" s="68" t="s">
        <v>297</v>
      </c>
      <c r="G2047" s="68"/>
      <c r="H2047" s="68"/>
      <c r="I2047" s="69">
        <v>15936.97673</v>
      </c>
    </row>
    <row r="2048" spans="1:9" hidden="1">
      <c r="A2048" s="64" t="s">
        <v>295</v>
      </c>
      <c r="B2048" s="65">
        <v>2031</v>
      </c>
      <c r="C2048" s="65">
        <v>2023</v>
      </c>
      <c r="D2048" s="65" t="s">
        <v>314</v>
      </c>
      <c r="E2048" s="65" t="s">
        <v>305</v>
      </c>
      <c r="F2048" s="65" t="s">
        <v>298</v>
      </c>
      <c r="G2048" s="65"/>
      <c r="H2048" s="65"/>
      <c r="I2048" s="66">
        <v>9265.5131099999999</v>
      </c>
    </row>
    <row r="2049" spans="1:9" hidden="1">
      <c r="A2049" s="67" t="s">
        <v>295</v>
      </c>
      <c r="B2049" s="68">
        <v>2031</v>
      </c>
      <c r="C2049" s="68">
        <v>2023</v>
      </c>
      <c r="D2049" s="68" t="s">
        <v>314</v>
      </c>
      <c r="E2049" s="68" t="s">
        <v>305</v>
      </c>
      <c r="F2049" s="68" t="s">
        <v>40</v>
      </c>
      <c r="G2049" s="68"/>
      <c r="H2049" s="68"/>
      <c r="I2049" s="69">
        <v>180264.31967</v>
      </c>
    </row>
    <row r="2050" spans="1:9" hidden="1">
      <c r="A2050" s="64" t="s">
        <v>295</v>
      </c>
      <c r="B2050" s="65">
        <v>2032</v>
      </c>
      <c r="C2050" s="65">
        <v>2023</v>
      </c>
      <c r="D2050" s="65" t="s">
        <v>296</v>
      </c>
      <c r="E2050" s="65" t="s">
        <v>294</v>
      </c>
      <c r="F2050" s="65" t="s">
        <v>297</v>
      </c>
      <c r="G2050" s="65"/>
      <c r="H2050" s="65"/>
      <c r="I2050" s="66">
        <v>1139195.8611843451</v>
      </c>
    </row>
    <row r="2051" spans="1:9" hidden="1">
      <c r="A2051" s="67" t="s">
        <v>295</v>
      </c>
      <c r="B2051" s="68">
        <v>2032</v>
      </c>
      <c r="C2051" s="68">
        <v>2023</v>
      </c>
      <c r="D2051" s="68" t="s">
        <v>296</v>
      </c>
      <c r="E2051" s="68" t="s">
        <v>294</v>
      </c>
      <c r="F2051" s="68" t="s">
        <v>298</v>
      </c>
      <c r="G2051" s="68"/>
      <c r="H2051" s="68"/>
      <c r="I2051" s="69">
        <v>582856.84063449479</v>
      </c>
    </row>
    <row r="2052" spans="1:9" hidden="1">
      <c r="A2052" s="64" t="s">
        <v>295</v>
      </c>
      <c r="B2052" s="65">
        <v>2032</v>
      </c>
      <c r="C2052" s="65">
        <v>2023</v>
      </c>
      <c r="D2052" s="65" t="s">
        <v>296</v>
      </c>
      <c r="E2052" s="65" t="s">
        <v>294</v>
      </c>
      <c r="F2052" s="65" t="s">
        <v>40</v>
      </c>
      <c r="G2052" s="65"/>
      <c r="H2052" s="65"/>
      <c r="I2052" s="66">
        <v>1738923.8434551761</v>
      </c>
    </row>
    <row r="2053" spans="1:9" hidden="1">
      <c r="A2053" s="67" t="s">
        <v>295</v>
      </c>
      <c r="B2053" s="68">
        <v>2032</v>
      </c>
      <c r="C2053" s="68">
        <v>2023</v>
      </c>
      <c r="D2053" s="68" t="s">
        <v>296</v>
      </c>
      <c r="E2053" s="68" t="s">
        <v>301</v>
      </c>
      <c r="F2053" s="68" t="s">
        <v>297</v>
      </c>
      <c r="G2053" s="68"/>
      <c r="H2053" s="68"/>
      <c r="I2053" s="69">
        <v>1267456.992263712</v>
      </c>
    </row>
    <row r="2054" spans="1:9" hidden="1">
      <c r="A2054" s="64" t="s">
        <v>295</v>
      </c>
      <c r="B2054" s="65">
        <v>2032</v>
      </c>
      <c r="C2054" s="65">
        <v>2023</v>
      </c>
      <c r="D2054" s="65" t="s">
        <v>296</v>
      </c>
      <c r="E2054" s="65" t="s">
        <v>301</v>
      </c>
      <c r="F2054" s="65" t="s">
        <v>298</v>
      </c>
      <c r="G2054" s="65"/>
      <c r="H2054" s="65"/>
      <c r="I2054" s="66">
        <v>669621.60151142534</v>
      </c>
    </row>
    <row r="2055" spans="1:9" hidden="1">
      <c r="A2055" s="67" t="s">
        <v>295</v>
      </c>
      <c r="B2055" s="68">
        <v>2032</v>
      </c>
      <c r="C2055" s="68">
        <v>2023</v>
      </c>
      <c r="D2055" s="68" t="s">
        <v>296</v>
      </c>
      <c r="E2055" s="68" t="s">
        <v>301</v>
      </c>
      <c r="F2055" s="68" t="s">
        <v>40</v>
      </c>
      <c r="G2055" s="68"/>
      <c r="H2055" s="68"/>
      <c r="I2055" s="69">
        <v>1955327.926830482</v>
      </c>
    </row>
    <row r="2056" spans="1:9" hidden="1">
      <c r="A2056" s="64" t="s">
        <v>295</v>
      </c>
      <c r="B2056" s="65">
        <v>2032</v>
      </c>
      <c r="C2056" s="65">
        <v>2023</v>
      </c>
      <c r="D2056" s="65" t="s">
        <v>296</v>
      </c>
      <c r="E2056" s="65" t="s">
        <v>305</v>
      </c>
      <c r="F2056" s="65" t="s">
        <v>297</v>
      </c>
      <c r="G2056" s="65"/>
      <c r="H2056" s="65"/>
      <c r="I2056" s="66">
        <v>11268.56177</v>
      </c>
    </row>
    <row r="2057" spans="1:9" hidden="1">
      <c r="A2057" s="67" t="s">
        <v>295</v>
      </c>
      <c r="B2057" s="68">
        <v>2032</v>
      </c>
      <c r="C2057" s="68">
        <v>2023</v>
      </c>
      <c r="D2057" s="68" t="s">
        <v>296</v>
      </c>
      <c r="E2057" s="68" t="s">
        <v>305</v>
      </c>
      <c r="F2057" s="68" t="s">
        <v>298</v>
      </c>
      <c r="G2057" s="68"/>
      <c r="H2057" s="68"/>
      <c r="I2057" s="69">
        <v>8536.2131100000006</v>
      </c>
    </row>
    <row r="2058" spans="1:9" hidden="1">
      <c r="A2058" s="64" t="s">
        <v>295</v>
      </c>
      <c r="B2058" s="65">
        <v>2032</v>
      </c>
      <c r="C2058" s="65">
        <v>2023</v>
      </c>
      <c r="D2058" s="65" t="s">
        <v>296</v>
      </c>
      <c r="E2058" s="65" t="s">
        <v>305</v>
      </c>
      <c r="F2058" s="65" t="s">
        <v>40</v>
      </c>
      <c r="G2058" s="65"/>
      <c r="H2058" s="65"/>
      <c r="I2058" s="66">
        <v>142277.67197</v>
      </c>
    </row>
    <row r="2059" spans="1:9" hidden="1">
      <c r="A2059" s="67" t="s">
        <v>295</v>
      </c>
      <c r="B2059" s="68">
        <v>2032</v>
      </c>
      <c r="C2059" s="68">
        <v>2023</v>
      </c>
      <c r="D2059" s="68" t="s">
        <v>309</v>
      </c>
      <c r="E2059" s="68" t="s">
        <v>294</v>
      </c>
      <c r="F2059" s="68" t="s">
        <v>297</v>
      </c>
      <c r="G2059" s="68"/>
      <c r="H2059" s="68"/>
      <c r="I2059" s="69">
        <v>46734.208905988598</v>
      </c>
    </row>
    <row r="2060" spans="1:9" hidden="1">
      <c r="A2060" s="64" t="s">
        <v>295</v>
      </c>
      <c r="B2060" s="65">
        <v>2032</v>
      </c>
      <c r="C2060" s="65">
        <v>2023</v>
      </c>
      <c r="D2060" s="65" t="s">
        <v>309</v>
      </c>
      <c r="E2060" s="65" t="s">
        <v>294</v>
      </c>
      <c r="F2060" s="65" t="s">
        <v>298</v>
      </c>
      <c r="G2060" s="65"/>
      <c r="H2060" s="65"/>
      <c r="I2060" s="66">
        <v>355255.9471313195</v>
      </c>
    </row>
    <row r="2061" spans="1:9" hidden="1">
      <c r="A2061" s="67" t="s">
        <v>295</v>
      </c>
      <c r="B2061" s="68">
        <v>2032</v>
      </c>
      <c r="C2061" s="68">
        <v>2023</v>
      </c>
      <c r="D2061" s="68" t="s">
        <v>309</v>
      </c>
      <c r="E2061" s="68" t="s">
        <v>294</v>
      </c>
      <c r="F2061" s="68" t="s">
        <v>40</v>
      </c>
      <c r="G2061" s="68"/>
      <c r="H2061" s="68"/>
      <c r="I2061" s="69">
        <v>401990.0361818205</v>
      </c>
    </row>
    <row r="2062" spans="1:9" hidden="1">
      <c r="A2062" s="64" t="s">
        <v>295</v>
      </c>
      <c r="B2062" s="65">
        <v>2032</v>
      </c>
      <c r="C2062" s="65">
        <v>2023</v>
      </c>
      <c r="D2062" s="65" t="s">
        <v>309</v>
      </c>
      <c r="E2062" s="65" t="s">
        <v>301</v>
      </c>
      <c r="F2062" s="65" t="s">
        <v>297</v>
      </c>
      <c r="G2062" s="65"/>
      <c r="H2062" s="65"/>
      <c r="I2062" s="66">
        <v>52677.539778628663</v>
      </c>
    </row>
    <row r="2063" spans="1:9" hidden="1">
      <c r="A2063" s="67" t="s">
        <v>295</v>
      </c>
      <c r="B2063" s="68">
        <v>2032</v>
      </c>
      <c r="C2063" s="68">
        <v>2023</v>
      </c>
      <c r="D2063" s="68" t="s">
        <v>309</v>
      </c>
      <c r="E2063" s="68" t="s">
        <v>301</v>
      </c>
      <c r="F2063" s="68" t="s">
        <v>298</v>
      </c>
      <c r="G2063" s="68"/>
      <c r="H2063" s="68"/>
      <c r="I2063" s="69">
        <v>415858.83028762921</v>
      </c>
    </row>
    <row r="2064" spans="1:9" hidden="1">
      <c r="A2064" s="64" t="s">
        <v>295</v>
      </c>
      <c r="B2064" s="65">
        <v>2032</v>
      </c>
      <c r="C2064" s="65">
        <v>2023</v>
      </c>
      <c r="D2064" s="65" t="s">
        <v>309</v>
      </c>
      <c r="E2064" s="65" t="s">
        <v>301</v>
      </c>
      <c r="F2064" s="65" t="s">
        <v>40</v>
      </c>
      <c r="G2064" s="65"/>
      <c r="H2064" s="65"/>
      <c r="I2064" s="66">
        <v>468536.53007659072</v>
      </c>
    </row>
    <row r="2065" spans="1:9" hidden="1">
      <c r="A2065" s="67" t="s">
        <v>295</v>
      </c>
      <c r="B2065" s="68">
        <v>2032</v>
      </c>
      <c r="C2065" s="68">
        <v>2023</v>
      </c>
      <c r="D2065" s="68" t="s">
        <v>309</v>
      </c>
      <c r="E2065" s="68" t="s">
        <v>305</v>
      </c>
      <c r="F2065" s="68" t="s">
        <v>297</v>
      </c>
      <c r="G2065" s="68"/>
      <c r="H2065" s="68"/>
      <c r="I2065" s="69">
        <v>95.093060000000008</v>
      </c>
    </row>
    <row r="2066" spans="1:9" hidden="1">
      <c r="A2066" s="64" t="s">
        <v>295</v>
      </c>
      <c r="B2066" s="65">
        <v>2032</v>
      </c>
      <c r="C2066" s="65">
        <v>2023</v>
      </c>
      <c r="D2066" s="65" t="s">
        <v>309</v>
      </c>
      <c r="E2066" s="65" t="s">
        <v>305</v>
      </c>
      <c r="F2066" s="65" t="s">
        <v>298</v>
      </c>
      <c r="G2066" s="65"/>
      <c r="H2066" s="65"/>
      <c r="I2066" s="66">
        <v>7073.0131099999999</v>
      </c>
    </row>
    <row r="2067" spans="1:9" hidden="1">
      <c r="A2067" s="67" t="s">
        <v>295</v>
      </c>
      <c r="B2067" s="68">
        <v>2032</v>
      </c>
      <c r="C2067" s="68">
        <v>2023</v>
      </c>
      <c r="D2067" s="68" t="s">
        <v>309</v>
      </c>
      <c r="E2067" s="68" t="s">
        <v>305</v>
      </c>
      <c r="F2067" s="68" t="s">
        <v>40</v>
      </c>
      <c r="G2067" s="68"/>
      <c r="H2067" s="68"/>
      <c r="I2067" s="69">
        <v>48141.606169999999</v>
      </c>
    </row>
    <row r="2068" spans="1:9" hidden="1">
      <c r="A2068" s="64" t="s">
        <v>295</v>
      </c>
      <c r="B2068" s="65">
        <v>2032</v>
      </c>
      <c r="C2068" s="65">
        <v>2023</v>
      </c>
      <c r="D2068" s="65" t="s">
        <v>315</v>
      </c>
      <c r="E2068" s="65" t="s">
        <v>294</v>
      </c>
      <c r="F2068" s="65" t="s">
        <v>297</v>
      </c>
      <c r="G2068" s="65"/>
      <c r="H2068" s="65"/>
      <c r="I2068" s="66">
        <v>101092.5376054618</v>
      </c>
    </row>
    <row r="2069" spans="1:9" hidden="1">
      <c r="A2069" s="67" t="s">
        <v>295</v>
      </c>
      <c r="B2069" s="68">
        <v>2032</v>
      </c>
      <c r="C2069" s="68">
        <v>2023</v>
      </c>
      <c r="D2069" s="68" t="s">
        <v>315</v>
      </c>
      <c r="E2069" s="68" t="s">
        <v>294</v>
      </c>
      <c r="F2069" s="68" t="s">
        <v>298</v>
      </c>
      <c r="G2069" s="68"/>
      <c r="H2069" s="68"/>
      <c r="I2069" s="69">
        <v>208609.1666886156</v>
      </c>
    </row>
    <row r="2070" spans="1:9" hidden="1">
      <c r="A2070" s="64" t="s">
        <v>295</v>
      </c>
      <c r="B2070" s="65">
        <v>2032</v>
      </c>
      <c r="C2070" s="65">
        <v>2023</v>
      </c>
      <c r="D2070" s="65" t="s">
        <v>315</v>
      </c>
      <c r="E2070" s="65" t="s">
        <v>294</v>
      </c>
      <c r="F2070" s="65" t="s">
        <v>40</v>
      </c>
      <c r="G2070" s="65"/>
      <c r="H2070" s="65"/>
      <c r="I2070" s="66">
        <v>309701.34429409198</v>
      </c>
    </row>
    <row r="2071" spans="1:9" hidden="1">
      <c r="A2071" s="67" t="s">
        <v>295</v>
      </c>
      <c r="B2071" s="68">
        <v>2032</v>
      </c>
      <c r="C2071" s="68">
        <v>2023</v>
      </c>
      <c r="D2071" s="68" t="s">
        <v>315</v>
      </c>
      <c r="E2071" s="68" t="s">
        <v>301</v>
      </c>
      <c r="F2071" s="68" t="s">
        <v>297</v>
      </c>
      <c r="G2071" s="68"/>
      <c r="H2071" s="68"/>
      <c r="I2071" s="69">
        <v>105775.56830277821</v>
      </c>
    </row>
    <row r="2072" spans="1:9" hidden="1">
      <c r="A2072" s="64" t="s">
        <v>295</v>
      </c>
      <c r="B2072" s="65">
        <v>2032</v>
      </c>
      <c r="C2072" s="65">
        <v>2023</v>
      </c>
      <c r="D2072" s="65" t="s">
        <v>315</v>
      </c>
      <c r="E2072" s="65" t="s">
        <v>301</v>
      </c>
      <c r="F2072" s="65" t="s">
        <v>298</v>
      </c>
      <c r="G2072" s="65"/>
      <c r="H2072" s="65"/>
      <c r="I2072" s="66">
        <v>233222.01035091939</v>
      </c>
    </row>
    <row r="2073" spans="1:9" hidden="1">
      <c r="A2073" s="67" t="s">
        <v>295</v>
      </c>
      <c r="B2073" s="68">
        <v>2032</v>
      </c>
      <c r="C2073" s="68">
        <v>2023</v>
      </c>
      <c r="D2073" s="68" t="s">
        <v>315</v>
      </c>
      <c r="E2073" s="68" t="s">
        <v>301</v>
      </c>
      <c r="F2073" s="68" t="s">
        <v>40</v>
      </c>
      <c r="G2073" s="68"/>
      <c r="H2073" s="68"/>
      <c r="I2073" s="69">
        <v>338997.21865364391</v>
      </c>
    </row>
    <row r="2074" spans="1:9" hidden="1">
      <c r="A2074" s="64" t="s">
        <v>295</v>
      </c>
      <c r="B2074" s="65">
        <v>2032</v>
      </c>
      <c r="C2074" s="65">
        <v>2023</v>
      </c>
      <c r="D2074" s="65" t="s">
        <v>315</v>
      </c>
      <c r="E2074" s="65" t="s">
        <v>305</v>
      </c>
      <c r="F2074" s="65" t="s">
        <v>297</v>
      </c>
      <c r="G2074" s="65"/>
      <c r="H2074" s="65"/>
      <c r="I2074" s="66">
        <v>1031.7411400000001</v>
      </c>
    </row>
    <row r="2075" spans="1:9" hidden="1">
      <c r="A2075" s="67" t="s">
        <v>295</v>
      </c>
      <c r="B2075" s="68">
        <v>2032</v>
      </c>
      <c r="C2075" s="68">
        <v>2023</v>
      </c>
      <c r="D2075" s="68" t="s">
        <v>315</v>
      </c>
      <c r="E2075" s="68" t="s">
        <v>305</v>
      </c>
      <c r="F2075" s="68" t="s">
        <v>298</v>
      </c>
      <c r="G2075" s="68"/>
      <c r="H2075" s="68"/>
      <c r="I2075" s="69">
        <v>1393.3</v>
      </c>
    </row>
    <row r="2076" spans="1:9" hidden="1">
      <c r="A2076" s="64" t="s">
        <v>295</v>
      </c>
      <c r="B2076" s="65">
        <v>2032</v>
      </c>
      <c r="C2076" s="65">
        <v>2023</v>
      </c>
      <c r="D2076" s="65" t="s">
        <v>315</v>
      </c>
      <c r="E2076" s="65" t="s">
        <v>305</v>
      </c>
      <c r="F2076" s="65" t="s">
        <v>40</v>
      </c>
      <c r="G2076" s="65"/>
      <c r="H2076" s="65"/>
      <c r="I2076" s="66">
        <v>19902.64114</v>
      </c>
    </row>
    <row r="2077" spans="1:9" hidden="1">
      <c r="A2077" s="67" t="s">
        <v>295</v>
      </c>
      <c r="B2077" s="68">
        <v>2032</v>
      </c>
      <c r="C2077" s="68">
        <v>2023</v>
      </c>
      <c r="D2077" s="68" t="s">
        <v>316</v>
      </c>
      <c r="E2077" s="68" t="s">
        <v>294</v>
      </c>
      <c r="F2077" s="68" t="s">
        <v>297</v>
      </c>
      <c r="G2077" s="68"/>
      <c r="H2077" s="68"/>
      <c r="I2077" s="69">
        <v>582943.52438049554</v>
      </c>
    </row>
    <row r="2078" spans="1:9" hidden="1">
      <c r="A2078" s="64" t="s">
        <v>295</v>
      </c>
      <c r="B2078" s="65">
        <v>2032</v>
      </c>
      <c r="C2078" s="65">
        <v>2023</v>
      </c>
      <c r="D2078" s="65" t="s">
        <v>316</v>
      </c>
      <c r="E2078" s="65" t="s">
        <v>294</v>
      </c>
      <c r="F2078" s="65" t="s">
        <v>298</v>
      </c>
      <c r="G2078" s="65"/>
      <c r="H2078" s="65"/>
      <c r="I2078" s="66">
        <v>3561.116279112458</v>
      </c>
    </row>
    <row r="2079" spans="1:9" hidden="1">
      <c r="A2079" s="67" t="s">
        <v>295</v>
      </c>
      <c r="B2079" s="68">
        <v>2032</v>
      </c>
      <c r="C2079" s="68">
        <v>2023</v>
      </c>
      <c r="D2079" s="68" t="s">
        <v>316</v>
      </c>
      <c r="E2079" s="68" t="s">
        <v>294</v>
      </c>
      <c r="F2079" s="68" t="s">
        <v>40</v>
      </c>
      <c r="G2079" s="68"/>
      <c r="H2079" s="68"/>
      <c r="I2079" s="69">
        <v>603375.92215067754</v>
      </c>
    </row>
    <row r="2080" spans="1:9" hidden="1">
      <c r="A2080" s="64" t="s">
        <v>295</v>
      </c>
      <c r="B2080" s="65">
        <v>2032</v>
      </c>
      <c r="C2080" s="65">
        <v>2023</v>
      </c>
      <c r="D2080" s="65" t="s">
        <v>316</v>
      </c>
      <c r="E2080" s="65" t="s">
        <v>301</v>
      </c>
      <c r="F2080" s="65" t="s">
        <v>297</v>
      </c>
      <c r="G2080" s="65"/>
      <c r="H2080" s="65"/>
      <c r="I2080" s="66">
        <v>650139.36631758057</v>
      </c>
    </row>
    <row r="2081" spans="1:9" hidden="1">
      <c r="A2081" s="67" t="s">
        <v>295</v>
      </c>
      <c r="B2081" s="68">
        <v>2032</v>
      </c>
      <c r="C2081" s="68">
        <v>2023</v>
      </c>
      <c r="D2081" s="68" t="s">
        <v>316</v>
      </c>
      <c r="E2081" s="68" t="s">
        <v>301</v>
      </c>
      <c r="F2081" s="68" t="s">
        <v>298</v>
      </c>
      <c r="G2081" s="68"/>
      <c r="H2081" s="68"/>
      <c r="I2081" s="69">
        <v>3725.126537905534</v>
      </c>
    </row>
    <row r="2082" spans="1:9" hidden="1">
      <c r="A2082" s="64" t="s">
        <v>295</v>
      </c>
      <c r="B2082" s="65">
        <v>2032</v>
      </c>
      <c r="C2082" s="65">
        <v>2023</v>
      </c>
      <c r="D2082" s="65" t="s">
        <v>316</v>
      </c>
      <c r="E2082" s="65" t="s">
        <v>301</v>
      </c>
      <c r="F2082" s="65" t="s">
        <v>40</v>
      </c>
      <c r="G2082" s="65"/>
      <c r="H2082" s="65"/>
      <c r="I2082" s="66">
        <v>672113.68586055236</v>
      </c>
    </row>
    <row r="2083" spans="1:9" hidden="1">
      <c r="A2083" s="67" t="s">
        <v>295</v>
      </c>
      <c r="B2083" s="68">
        <v>2032</v>
      </c>
      <c r="C2083" s="68">
        <v>2023</v>
      </c>
      <c r="D2083" s="68" t="s">
        <v>316</v>
      </c>
      <c r="E2083" s="68" t="s">
        <v>305</v>
      </c>
      <c r="F2083" s="68" t="s">
        <v>297</v>
      </c>
      <c r="G2083" s="68"/>
      <c r="H2083" s="68"/>
      <c r="I2083" s="69">
        <v>8187.9815199999994</v>
      </c>
    </row>
    <row r="2084" spans="1:9" hidden="1">
      <c r="A2084" s="64" t="s">
        <v>295</v>
      </c>
      <c r="B2084" s="65">
        <v>2032</v>
      </c>
      <c r="C2084" s="65">
        <v>2023</v>
      </c>
      <c r="D2084" s="65" t="s">
        <v>316</v>
      </c>
      <c r="E2084" s="65" t="s">
        <v>305</v>
      </c>
      <c r="F2084" s="65" t="s">
        <v>298</v>
      </c>
      <c r="G2084" s="65"/>
      <c r="H2084" s="65"/>
      <c r="I2084" s="66">
        <v>0</v>
      </c>
    </row>
    <row r="2085" spans="1:9" hidden="1">
      <c r="A2085" s="67" t="s">
        <v>295</v>
      </c>
      <c r="B2085" s="68">
        <v>2032</v>
      </c>
      <c r="C2085" s="68">
        <v>2023</v>
      </c>
      <c r="D2085" s="68" t="s">
        <v>316</v>
      </c>
      <c r="E2085" s="68" t="s">
        <v>305</v>
      </c>
      <c r="F2085" s="68" t="s">
        <v>40</v>
      </c>
      <c r="G2085" s="68"/>
      <c r="H2085" s="68"/>
      <c r="I2085" s="69">
        <v>36533.978610000013</v>
      </c>
    </row>
    <row r="2086" spans="1:9" hidden="1">
      <c r="A2086" s="64" t="s">
        <v>295</v>
      </c>
      <c r="B2086" s="65">
        <v>2032</v>
      </c>
      <c r="C2086" s="65">
        <v>2023</v>
      </c>
      <c r="D2086" s="65" t="s">
        <v>317</v>
      </c>
      <c r="E2086" s="65" t="s">
        <v>294</v>
      </c>
      <c r="F2086" s="65" t="s">
        <v>297</v>
      </c>
      <c r="G2086" s="65"/>
      <c r="H2086" s="65"/>
      <c r="I2086" s="66">
        <v>149.60859850593911</v>
      </c>
    </row>
    <row r="2087" spans="1:9" hidden="1">
      <c r="A2087" s="67" t="s">
        <v>295</v>
      </c>
      <c r="B2087" s="68">
        <v>2032</v>
      </c>
      <c r="C2087" s="68">
        <v>2023</v>
      </c>
      <c r="D2087" s="68" t="s">
        <v>317</v>
      </c>
      <c r="E2087" s="68" t="s">
        <v>294</v>
      </c>
      <c r="F2087" s="68" t="s">
        <v>298</v>
      </c>
      <c r="G2087" s="68"/>
      <c r="H2087" s="68"/>
      <c r="I2087" s="69">
        <v>0</v>
      </c>
    </row>
    <row r="2088" spans="1:9" hidden="1">
      <c r="A2088" s="64" t="s">
        <v>295</v>
      </c>
      <c r="B2088" s="65">
        <v>2032</v>
      </c>
      <c r="C2088" s="65">
        <v>2023</v>
      </c>
      <c r="D2088" s="65" t="s">
        <v>317</v>
      </c>
      <c r="E2088" s="65" t="s">
        <v>294</v>
      </c>
      <c r="F2088" s="65" t="s">
        <v>40</v>
      </c>
      <c r="G2088" s="65"/>
      <c r="H2088" s="65"/>
      <c r="I2088" s="66">
        <v>17013.369824061589</v>
      </c>
    </row>
    <row r="2089" spans="1:9" hidden="1">
      <c r="A2089" s="67" t="s">
        <v>295</v>
      </c>
      <c r="B2089" s="68">
        <v>2032</v>
      </c>
      <c r="C2089" s="68">
        <v>2023</v>
      </c>
      <c r="D2089" s="68" t="s">
        <v>317</v>
      </c>
      <c r="E2089" s="68" t="s">
        <v>301</v>
      </c>
      <c r="F2089" s="68" t="s">
        <v>297</v>
      </c>
      <c r="G2089" s="68"/>
      <c r="H2089" s="68"/>
      <c r="I2089" s="69">
        <v>159.06832368391869</v>
      </c>
    </row>
    <row r="2090" spans="1:9" hidden="1">
      <c r="A2090" s="64" t="s">
        <v>295</v>
      </c>
      <c r="B2090" s="65">
        <v>2032</v>
      </c>
      <c r="C2090" s="65">
        <v>2023</v>
      </c>
      <c r="D2090" s="65" t="s">
        <v>317</v>
      </c>
      <c r="E2090" s="65" t="s">
        <v>301</v>
      </c>
      <c r="F2090" s="65" t="s">
        <v>298</v>
      </c>
      <c r="G2090" s="65"/>
      <c r="H2090" s="65"/>
      <c r="I2090" s="66">
        <v>0</v>
      </c>
    </row>
    <row r="2091" spans="1:9" hidden="1">
      <c r="A2091" s="67" t="s">
        <v>295</v>
      </c>
      <c r="B2091" s="68">
        <v>2032</v>
      </c>
      <c r="C2091" s="68">
        <v>2023</v>
      </c>
      <c r="D2091" s="68" t="s">
        <v>317</v>
      </c>
      <c r="E2091" s="68" t="s">
        <v>301</v>
      </c>
      <c r="F2091" s="68" t="s">
        <v>40</v>
      </c>
      <c r="G2091" s="68"/>
      <c r="H2091" s="68"/>
      <c r="I2091" s="69">
        <v>18407.48098614526</v>
      </c>
    </row>
    <row r="2092" spans="1:9" hidden="1">
      <c r="A2092" s="64" t="s">
        <v>295</v>
      </c>
      <c r="B2092" s="65">
        <v>2032</v>
      </c>
      <c r="C2092" s="65">
        <v>2023</v>
      </c>
      <c r="D2092" s="65" t="s">
        <v>317</v>
      </c>
      <c r="E2092" s="65" t="s">
        <v>305</v>
      </c>
      <c r="F2092" s="65" t="s">
        <v>297</v>
      </c>
      <c r="G2092" s="65"/>
      <c r="H2092" s="65"/>
      <c r="I2092" s="66">
        <v>1.2959999999999999E-2</v>
      </c>
    </row>
    <row r="2093" spans="1:9" hidden="1">
      <c r="A2093" s="67" t="s">
        <v>295</v>
      </c>
      <c r="B2093" s="68">
        <v>2032</v>
      </c>
      <c r="C2093" s="68">
        <v>2023</v>
      </c>
      <c r="D2093" s="68" t="s">
        <v>317</v>
      </c>
      <c r="E2093" s="68" t="s">
        <v>305</v>
      </c>
      <c r="F2093" s="68" t="s">
        <v>40</v>
      </c>
      <c r="G2093" s="68"/>
      <c r="H2093" s="68"/>
      <c r="I2093" s="69">
        <v>424.51004999999998</v>
      </c>
    </row>
    <row r="2094" spans="1:9" hidden="1">
      <c r="A2094" s="64" t="s">
        <v>295</v>
      </c>
      <c r="B2094" s="65">
        <v>2032</v>
      </c>
      <c r="C2094" s="65">
        <v>2023</v>
      </c>
      <c r="D2094" s="65" t="s">
        <v>318</v>
      </c>
      <c r="E2094" s="65" t="s">
        <v>294</v>
      </c>
      <c r="F2094" s="65" t="s">
        <v>297</v>
      </c>
      <c r="G2094" s="65"/>
      <c r="H2094" s="65"/>
      <c r="I2094" s="66">
        <v>560586.41356964444</v>
      </c>
    </row>
    <row r="2095" spans="1:9" hidden="1">
      <c r="A2095" s="67" t="s">
        <v>295</v>
      </c>
      <c r="B2095" s="68">
        <v>2032</v>
      </c>
      <c r="C2095" s="68">
        <v>2023</v>
      </c>
      <c r="D2095" s="68" t="s">
        <v>318</v>
      </c>
      <c r="E2095" s="68" t="s">
        <v>294</v>
      </c>
      <c r="F2095" s="68" t="s">
        <v>298</v>
      </c>
      <c r="G2095" s="68"/>
      <c r="H2095" s="68"/>
      <c r="I2095" s="69">
        <v>0</v>
      </c>
    </row>
    <row r="2096" spans="1:9" hidden="1">
      <c r="A2096" s="64" t="s">
        <v>295</v>
      </c>
      <c r="B2096" s="65">
        <v>2032</v>
      </c>
      <c r="C2096" s="65">
        <v>2023</v>
      </c>
      <c r="D2096" s="65" t="s">
        <v>318</v>
      </c>
      <c r="E2096" s="65" t="s">
        <v>294</v>
      </c>
      <c r="F2096" s="65" t="s">
        <v>40</v>
      </c>
      <c r="G2096" s="65"/>
      <c r="H2096" s="65"/>
      <c r="I2096" s="66">
        <v>560586.41356964444</v>
      </c>
    </row>
    <row r="2097" spans="1:9" hidden="1">
      <c r="A2097" s="67" t="s">
        <v>295</v>
      </c>
      <c r="B2097" s="68">
        <v>2032</v>
      </c>
      <c r="C2097" s="68">
        <v>2023</v>
      </c>
      <c r="D2097" s="68" t="s">
        <v>318</v>
      </c>
      <c r="E2097" s="68" t="s">
        <v>301</v>
      </c>
      <c r="F2097" s="68" t="s">
        <v>297</v>
      </c>
      <c r="G2097" s="68"/>
      <c r="H2097" s="68"/>
      <c r="I2097" s="69">
        <v>626671.52624738635</v>
      </c>
    </row>
    <row r="2098" spans="1:9" hidden="1">
      <c r="A2098" s="64" t="s">
        <v>295</v>
      </c>
      <c r="B2098" s="65">
        <v>2032</v>
      </c>
      <c r="C2098" s="65">
        <v>2023</v>
      </c>
      <c r="D2098" s="65" t="s">
        <v>318</v>
      </c>
      <c r="E2098" s="65" t="s">
        <v>301</v>
      </c>
      <c r="F2098" s="65" t="s">
        <v>298</v>
      </c>
      <c r="G2098" s="65"/>
      <c r="H2098" s="65"/>
      <c r="I2098" s="66">
        <v>0</v>
      </c>
    </row>
    <row r="2099" spans="1:9" hidden="1">
      <c r="A2099" s="67" t="s">
        <v>295</v>
      </c>
      <c r="B2099" s="68">
        <v>2032</v>
      </c>
      <c r="C2099" s="68">
        <v>2023</v>
      </c>
      <c r="D2099" s="68" t="s">
        <v>318</v>
      </c>
      <c r="E2099" s="68" t="s">
        <v>301</v>
      </c>
      <c r="F2099" s="68" t="s">
        <v>40</v>
      </c>
      <c r="G2099" s="68"/>
      <c r="H2099" s="68"/>
      <c r="I2099" s="69">
        <v>626671.52624738635</v>
      </c>
    </row>
    <row r="2100" spans="1:9" hidden="1">
      <c r="A2100" s="64" t="s">
        <v>295</v>
      </c>
      <c r="B2100" s="65">
        <v>2032</v>
      </c>
      <c r="C2100" s="65">
        <v>2023</v>
      </c>
      <c r="D2100" s="65" t="s">
        <v>318</v>
      </c>
      <c r="E2100" s="65" t="s">
        <v>305</v>
      </c>
      <c r="F2100" s="65" t="s">
        <v>297</v>
      </c>
      <c r="G2100" s="65"/>
      <c r="H2100" s="65"/>
      <c r="I2100" s="66">
        <v>8094.1229300000005</v>
      </c>
    </row>
    <row r="2101" spans="1:9" hidden="1">
      <c r="A2101" s="67" t="s">
        <v>295</v>
      </c>
      <c r="B2101" s="68">
        <v>2032</v>
      </c>
      <c r="C2101" s="68">
        <v>2023</v>
      </c>
      <c r="D2101" s="68" t="s">
        <v>318</v>
      </c>
      <c r="E2101" s="68" t="s">
        <v>305</v>
      </c>
      <c r="F2101" s="68" t="s">
        <v>40</v>
      </c>
      <c r="G2101" s="68"/>
      <c r="H2101" s="68"/>
      <c r="I2101" s="69">
        <v>34461.922930000001</v>
      </c>
    </row>
    <row r="2102" spans="1:9" hidden="1">
      <c r="A2102" s="64" t="s">
        <v>295</v>
      </c>
      <c r="B2102" s="65">
        <v>2032</v>
      </c>
      <c r="C2102" s="65">
        <v>2023</v>
      </c>
      <c r="D2102" s="65" t="s">
        <v>320</v>
      </c>
      <c r="E2102" s="65" t="s">
        <v>294</v>
      </c>
      <c r="F2102" s="65" t="s">
        <v>297</v>
      </c>
      <c r="G2102" s="65"/>
      <c r="H2102" s="65"/>
      <c r="I2102" s="66">
        <v>3400.6701043416201</v>
      </c>
    </row>
    <row r="2103" spans="1:9" hidden="1">
      <c r="A2103" s="67" t="s">
        <v>295</v>
      </c>
      <c r="B2103" s="68">
        <v>2032</v>
      </c>
      <c r="C2103" s="68">
        <v>2023</v>
      </c>
      <c r="D2103" s="68" t="s">
        <v>320</v>
      </c>
      <c r="E2103" s="68" t="s">
        <v>294</v>
      </c>
      <c r="F2103" s="68" t="s">
        <v>298</v>
      </c>
      <c r="G2103" s="68"/>
      <c r="H2103" s="68"/>
      <c r="I2103" s="69">
        <v>0</v>
      </c>
    </row>
    <row r="2104" spans="1:9" hidden="1">
      <c r="A2104" s="64" t="s">
        <v>295</v>
      </c>
      <c r="B2104" s="65">
        <v>2032</v>
      </c>
      <c r="C2104" s="65">
        <v>2023</v>
      </c>
      <c r="D2104" s="65" t="s">
        <v>320</v>
      </c>
      <c r="E2104" s="65" t="s">
        <v>294</v>
      </c>
      <c r="F2104" s="65" t="s">
        <v>40</v>
      </c>
      <c r="G2104" s="65"/>
      <c r="H2104" s="65"/>
      <c r="I2104" s="66">
        <v>3400.6701043416201</v>
      </c>
    </row>
    <row r="2105" spans="1:9" hidden="1">
      <c r="A2105" s="67" t="s">
        <v>295</v>
      </c>
      <c r="B2105" s="68">
        <v>2032</v>
      </c>
      <c r="C2105" s="68">
        <v>2023</v>
      </c>
      <c r="D2105" s="68" t="s">
        <v>320</v>
      </c>
      <c r="E2105" s="68" t="s">
        <v>301</v>
      </c>
      <c r="F2105" s="68" t="s">
        <v>297</v>
      </c>
      <c r="G2105" s="68"/>
      <c r="H2105" s="68"/>
      <c r="I2105" s="69">
        <v>4025.8808619061192</v>
      </c>
    </row>
    <row r="2106" spans="1:9" hidden="1">
      <c r="A2106" s="64" t="s">
        <v>295</v>
      </c>
      <c r="B2106" s="65">
        <v>2032</v>
      </c>
      <c r="C2106" s="65">
        <v>2023</v>
      </c>
      <c r="D2106" s="65" t="s">
        <v>320</v>
      </c>
      <c r="E2106" s="65" t="s">
        <v>301</v>
      </c>
      <c r="F2106" s="65" t="s">
        <v>298</v>
      </c>
      <c r="G2106" s="65"/>
      <c r="H2106" s="65"/>
      <c r="I2106" s="66">
        <v>0</v>
      </c>
    </row>
    <row r="2107" spans="1:9" hidden="1">
      <c r="A2107" s="67" t="s">
        <v>295</v>
      </c>
      <c r="B2107" s="68">
        <v>2032</v>
      </c>
      <c r="C2107" s="68">
        <v>2023</v>
      </c>
      <c r="D2107" s="68" t="s">
        <v>320</v>
      </c>
      <c r="E2107" s="68" t="s">
        <v>301</v>
      </c>
      <c r="F2107" s="68" t="s">
        <v>40</v>
      </c>
      <c r="G2107" s="68"/>
      <c r="H2107" s="68"/>
      <c r="I2107" s="69">
        <v>4025.8808619061192</v>
      </c>
    </row>
    <row r="2108" spans="1:9" hidden="1">
      <c r="A2108" s="64" t="s">
        <v>295</v>
      </c>
      <c r="B2108" s="65">
        <v>2032</v>
      </c>
      <c r="C2108" s="65">
        <v>2023</v>
      </c>
      <c r="D2108" s="65" t="s">
        <v>320</v>
      </c>
      <c r="E2108" s="65" t="s">
        <v>305</v>
      </c>
      <c r="F2108" s="65" t="s">
        <v>297</v>
      </c>
      <c r="G2108" s="65"/>
      <c r="H2108" s="65"/>
      <c r="I2108" s="66">
        <v>36.6</v>
      </c>
    </row>
    <row r="2109" spans="1:9" hidden="1">
      <c r="A2109" s="67" t="s">
        <v>295</v>
      </c>
      <c r="B2109" s="68">
        <v>2032</v>
      </c>
      <c r="C2109" s="68">
        <v>2023</v>
      </c>
      <c r="D2109" s="68" t="s">
        <v>320</v>
      </c>
      <c r="E2109" s="68" t="s">
        <v>305</v>
      </c>
      <c r="F2109" s="68" t="s">
        <v>40</v>
      </c>
      <c r="G2109" s="68"/>
      <c r="H2109" s="68"/>
      <c r="I2109" s="69">
        <v>1049.8</v>
      </c>
    </row>
    <row r="2110" spans="1:9" hidden="1">
      <c r="A2110" s="64" t="s">
        <v>295</v>
      </c>
      <c r="B2110" s="65">
        <v>2032</v>
      </c>
      <c r="C2110" s="65">
        <v>2023</v>
      </c>
      <c r="D2110" s="65" t="s">
        <v>321</v>
      </c>
      <c r="E2110" s="65" t="s">
        <v>294</v>
      </c>
      <c r="F2110" s="65" t="s">
        <v>297</v>
      </c>
      <c r="G2110" s="65"/>
      <c r="H2110" s="65"/>
      <c r="I2110" s="66">
        <v>17535.00442004059</v>
      </c>
    </row>
    <row r="2111" spans="1:9" hidden="1">
      <c r="A2111" s="67" t="s">
        <v>295</v>
      </c>
      <c r="B2111" s="68">
        <v>2032</v>
      </c>
      <c r="C2111" s="68">
        <v>2023</v>
      </c>
      <c r="D2111" s="68" t="s">
        <v>321</v>
      </c>
      <c r="E2111" s="68" t="s">
        <v>294</v>
      </c>
      <c r="F2111" s="68" t="s">
        <v>298</v>
      </c>
      <c r="G2111" s="68"/>
      <c r="H2111" s="68"/>
      <c r="I2111" s="69">
        <v>0</v>
      </c>
    </row>
    <row r="2112" spans="1:9" hidden="1">
      <c r="A2112" s="64" t="s">
        <v>295</v>
      </c>
      <c r="B2112" s="65">
        <v>2032</v>
      </c>
      <c r="C2112" s="65">
        <v>2023</v>
      </c>
      <c r="D2112" s="65" t="s">
        <v>321</v>
      </c>
      <c r="E2112" s="65" t="s">
        <v>294</v>
      </c>
      <c r="F2112" s="65" t="s">
        <v>40</v>
      </c>
      <c r="G2112" s="65"/>
      <c r="H2112" s="65"/>
      <c r="I2112" s="66">
        <v>17535.00426004059</v>
      </c>
    </row>
    <row r="2113" spans="1:9" hidden="1">
      <c r="A2113" s="67" t="s">
        <v>295</v>
      </c>
      <c r="B2113" s="68">
        <v>2032</v>
      </c>
      <c r="C2113" s="68">
        <v>2023</v>
      </c>
      <c r="D2113" s="68" t="s">
        <v>321</v>
      </c>
      <c r="E2113" s="68" t="s">
        <v>301</v>
      </c>
      <c r="F2113" s="68" t="s">
        <v>297</v>
      </c>
      <c r="G2113" s="68"/>
      <c r="H2113" s="68"/>
      <c r="I2113" s="69">
        <v>17798.30034386523</v>
      </c>
    </row>
    <row r="2114" spans="1:9" hidden="1">
      <c r="A2114" s="64" t="s">
        <v>295</v>
      </c>
      <c r="B2114" s="65">
        <v>2032</v>
      </c>
      <c r="C2114" s="65">
        <v>2023</v>
      </c>
      <c r="D2114" s="65" t="s">
        <v>321</v>
      </c>
      <c r="E2114" s="65" t="s">
        <v>301</v>
      </c>
      <c r="F2114" s="65" t="s">
        <v>298</v>
      </c>
      <c r="G2114" s="65"/>
      <c r="H2114" s="65"/>
      <c r="I2114" s="66">
        <v>0</v>
      </c>
    </row>
    <row r="2115" spans="1:9" hidden="1">
      <c r="A2115" s="67" t="s">
        <v>295</v>
      </c>
      <c r="B2115" s="68">
        <v>2032</v>
      </c>
      <c r="C2115" s="68">
        <v>2023</v>
      </c>
      <c r="D2115" s="68" t="s">
        <v>321</v>
      </c>
      <c r="E2115" s="68" t="s">
        <v>301</v>
      </c>
      <c r="F2115" s="68" t="s">
        <v>40</v>
      </c>
      <c r="G2115" s="68"/>
      <c r="H2115" s="68"/>
      <c r="I2115" s="69">
        <v>17798.300183865231</v>
      </c>
    </row>
    <row r="2116" spans="1:9" hidden="1">
      <c r="A2116" s="64" t="s">
        <v>295</v>
      </c>
      <c r="B2116" s="65">
        <v>2032</v>
      </c>
      <c r="C2116" s="65">
        <v>2023</v>
      </c>
      <c r="D2116" s="65" t="s">
        <v>321</v>
      </c>
      <c r="E2116" s="65" t="s">
        <v>305</v>
      </c>
      <c r="F2116" s="65" t="s">
        <v>297</v>
      </c>
      <c r="G2116" s="65"/>
      <c r="H2116" s="65"/>
      <c r="I2116" s="66">
        <v>49.945630000000001</v>
      </c>
    </row>
    <row r="2117" spans="1:9" hidden="1">
      <c r="A2117" s="67" t="s">
        <v>295</v>
      </c>
      <c r="B2117" s="68">
        <v>2032</v>
      </c>
      <c r="C2117" s="68">
        <v>2023</v>
      </c>
      <c r="D2117" s="68" t="s">
        <v>321</v>
      </c>
      <c r="E2117" s="68" t="s">
        <v>305</v>
      </c>
      <c r="F2117" s="68" t="s">
        <v>40</v>
      </c>
      <c r="G2117" s="68"/>
      <c r="H2117" s="68"/>
      <c r="I2117" s="69">
        <v>337.34563000000003</v>
      </c>
    </row>
    <row r="2118" spans="1:9" hidden="1">
      <c r="A2118" s="64" t="s">
        <v>295</v>
      </c>
      <c r="B2118" s="65">
        <v>2032</v>
      </c>
      <c r="C2118" s="65">
        <v>2023</v>
      </c>
      <c r="D2118" s="65" t="s">
        <v>322</v>
      </c>
      <c r="E2118" s="65" t="s">
        <v>294</v>
      </c>
      <c r="F2118" s="65" t="s">
        <v>297</v>
      </c>
      <c r="G2118" s="65"/>
      <c r="H2118" s="65"/>
      <c r="I2118" s="66">
        <v>1260.587817962976</v>
      </c>
    </row>
    <row r="2119" spans="1:9" hidden="1">
      <c r="A2119" s="67" t="s">
        <v>295</v>
      </c>
      <c r="B2119" s="68">
        <v>2032</v>
      </c>
      <c r="C2119" s="68">
        <v>2023</v>
      </c>
      <c r="D2119" s="68" t="s">
        <v>322</v>
      </c>
      <c r="E2119" s="68" t="s">
        <v>294</v>
      </c>
      <c r="F2119" s="68" t="s">
        <v>298</v>
      </c>
      <c r="G2119" s="68"/>
      <c r="H2119" s="68"/>
      <c r="I2119" s="69">
        <v>3568.861024626267</v>
      </c>
    </row>
    <row r="2120" spans="1:9" hidden="1">
      <c r="A2120" s="64" t="s">
        <v>295</v>
      </c>
      <c r="B2120" s="65">
        <v>2032</v>
      </c>
      <c r="C2120" s="65">
        <v>2023</v>
      </c>
      <c r="D2120" s="65" t="s">
        <v>322</v>
      </c>
      <c r="E2120" s="65" t="s">
        <v>294</v>
      </c>
      <c r="F2120" s="65" t="s">
        <v>40</v>
      </c>
      <c r="G2120" s="65"/>
      <c r="H2120" s="65"/>
      <c r="I2120" s="66">
        <v>4829.348832589244</v>
      </c>
    </row>
    <row r="2121" spans="1:9" hidden="1">
      <c r="A2121" s="67" t="s">
        <v>295</v>
      </c>
      <c r="B2121" s="68">
        <v>2032</v>
      </c>
      <c r="C2121" s="68">
        <v>2023</v>
      </c>
      <c r="D2121" s="68" t="s">
        <v>322</v>
      </c>
      <c r="E2121" s="68" t="s">
        <v>301</v>
      </c>
      <c r="F2121" s="68" t="s">
        <v>297</v>
      </c>
      <c r="G2121" s="68"/>
      <c r="H2121" s="68"/>
      <c r="I2121" s="69">
        <v>1473.07559673893</v>
      </c>
    </row>
    <row r="2122" spans="1:9" hidden="1">
      <c r="A2122" s="64" t="s">
        <v>295</v>
      </c>
      <c r="B2122" s="65">
        <v>2032</v>
      </c>
      <c r="C2122" s="65">
        <v>2023</v>
      </c>
      <c r="D2122" s="65" t="s">
        <v>322</v>
      </c>
      <c r="E2122" s="65" t="s">
        <v>301</v>
      </c>
      <c r="F2122" s="65" t="s">
        <v>298</v>
      </c>
      <c r="G2122" s="65"/>
      <c r="H2122" s="65"/>
      <c r="I2122" s="66">
        <v>3726.2264345105032</v>
      </c>
    </row>
    <row r="2123" spans="1:9" hidden="1">
      <c r="A2123" s="67" t="s">
        <v>295</v>
      </c>
      <c r="B2123" s="68">
        <v>2032</v>
      </c>
      <c r="C2123" s="68">
        <v>2023</v>
      </c>
      <c r="D2123" s="68" t="s">
        <v>322</v>
      </c>
      <c r="E2123" s="68" t="s">
        <v>301</v>
      </c>
      <c r="F2123" s="68" t="s">
        <v>40</v>
      </c>
      <c r="G2123" s="68"/>
      <c r="H2123" s="68"/>
      <c r="I2123" s="69">
        <v>5199.2020212494344</v>
      </c>
    </row>
    <row r="2124" spans="1:9" hidden="1">
      <c r="A2124" s="64" t="s">
        <v>295</v>
      </c>
      <c r="B2124" s="65">
        <v>2032</v>
      </c>
      <c r="C2124" s="65">
        <v>2023</v>
      </c>
      <c r="D2124" s="65" t="s">
        <v>322</v>
      </c>
      <c r="E2124" s="65" t="s">
        <v>305</v>
      </c>
      <c r="F2124" s="65" t="s">
        <v>297</v>
      </c>
      <c r="G2124" s="65"/>
      <c r="H2124" s="65"/>
      <c r="I2124" s="66">
        <v>7.2</v>
      </c>
    </row>
    <row r="2125" spans="1:9" hidden="1">
      <c r="A2125" s="67" t="s">
        <v>295</v>
      </c>
      <c r="B2125" s="68">
        <v>2032</v>
      </c>
      <c r="C2125" s="68">
        <v>2023</v>
      </c>
      <c r="D2125" s="68" t="s">
        <v>322</v>
      </c>
      <c r="E2125" s="68" t="s">
        <v>305</v>
      </c>
      <c r="F2125" s="68" t="s">
        <v>40</v>
      </c>
      <c r="G2125" s="68"/>
      <c r="H2125" s="68"/>
      <c r="I2125" s="69">
        <v>260.39999999999998</v>
      </c>
    </row>
    <row r="2126" spans="1:9" hidden="1">
      <c r="A2126" s="64" t="s">
        <v>295</v>
      </c>
      <c r="B2126" s="65">
        <v>2032</v>
      </c>
      <c r="C2126" s="65">
        <v>2023</v>
      </c>
      <c r="D2126" s="65" t="s">
        <v>323</v>
      </c>
      <c r="E2126" s="65" t="s">
        <v>294</v>
      </c>
      <c r="F2126" s="65" t="s">
        <v>297</v>
      </c>
      <c r="G2126" s="65"/>
      <c r="H2126" s="65"/>
      <c r="I2126" s="66">
        <v>352776.37780301122</v>
      </c>
    </row>
    <row r="2127" spans="1:9" hidden="1">
      <c r="A2127" s="67" t="s">
        <v>295</v>
      </c>
      <c r="B2127" s="68">
        <v>2032</v>
      </c>
      <c r="C2127" s="68">
        <v>2023</v>
      </c>
      <c r="D2127" s="68" t="s">
        <v>323</v>
      </c>
      <c r="E2127" s="68" t="s">
        <v>294</v>
      </c>
      <c r="F2127" s="68" t="s">
        <v>298</v>
      </c>
      <c r="G2127" s="68"/>
      <c r="H2127" s="68"/>
      <c r="I2127" s="69">
        <v>1567.611782846519</v>
      </c>
    </row>
    <row r="2128" spans="1:9" hidden="1">
      <c r="A2128" s="64" t="s">
        <v>295</v>
      </c>
      <c r="B2128" s="65">
        <v>2032</v>
      </c>
      <c r="C2128" s="65">
        <v>2023</v>
      </c>
      <c r="D2128" s="65" t="s">
        <v>323</v>
      </c>
      <c r="E2128" s="65" t="s">
        <v>294</v>
      </c>
      <c r="F2128" s="65" t="s">
        <v>40</v>
      </c>
      <c r="G2128" s="65"/>
      <c r="H2128" s="65"/>
      <c r="I2128" s="66">
        <v>354344.34958659811</v>
      </c>
    </row>
    <row r="2129" spans="1:9" hidden="1">
      <c r="A2129" s="67" t="s">
        <v>295</v>
      </c>
      <c r="B2129" s="68">
        <v>2032</v>
      </c>
      <c r="C2129" s="68">
        <v>2023</v>
      </c>
      <c r="D2129" s="68" t="s">
        <v>323</v>
      </c>
      <c r="E2129" s="68" t="s">
        <v>301</v>
      </c>
      <c r="F2129" s="68" t="s">
        <v>297</v>
      </c>
      <c r="G2129" s="68"/>
      <c r="H2129" s="68"/>
      <c r="I2129" s="69">
        <v>401052.68717288942</v>
      </c>
    </row>
    <row r="2130" spans="1:9" hidden="1">
      <c r="A2130" s="64" t="s">
        <v>295</v>
      </c>
      <c r="B2130" s="65">
        <v>2032</v>
      </c>
      <c r="C2130" s="65">
        <v>2023</v>
      </c>
      <c r="D2130" s="65" t="s">
        <v>323</v>
      </c>
      <c r="E2130" s="65" t="s">
        <v>301</v>
      </c>
      <c r="F2130" s="65" t="s">
        <v>298</v>
      </c>
      <c r="G2130" s="65"/>
      <c r="H2130" s="65"/>
      <c r="I2130" s="66">
        <v>1684.5209068062079</v>
      </c>
    </row>
    <row r="2131" spans="1:9" hidden="1">
      <c r="A2131" s="67" t="s">
        <v>295</v>
      </c>
      <c r="B2131" s="68">
        <v>2032</v>
      </c>
      <c r="C2131" s="68">
        <v>2023</v>
      </c>
      <c r="D2131" s="68" t="s">
        <v>323</v>
      </c>
      <c r="E2131" s="68" t="s">
        <v>301</v>
      </c>
      <c r="F2131" s="68" t="s">
        <v>40</v>
      </c>
      <c r="G2131" s="68"/>
      <c r="H2131" s="68"/>
      <c r="I2131" s="69">
        <v>402737.60808969563</v>
      </c>
    </row>
    <row r="2132" spans="1:9" hidden="1">
      <c r="A2132" s="64" t="s">
        <v>295</v>
      </c>
      <c r="B2132" s="65">
        <v>2032</v>
      </c>
      <c r="C2132" s="65">
        <v>2023</v>
      </c>
      <c r="D2132" s="65" t="s">
        <v>323</v>
      </c>
      <c r="E2132" s="65" t="s">
        <v>305</v>
      </c>
      <c r="F2132" s="65" t="s">
        <v>297</v>
      </c>
      <c r="G2132" s="65"/>
      <c r="H2132" s="65"/>
      <c r="I2132" s="66">
        <v>1520.2460599999999</v>
      </c>
    </row>
    <row r="2133" spans="1:9" hidden="1">
      <c r="A2133" s="67" t="s">
        <v>295</v>
      </c>
      <c r="B2133" s="68">
        <v>2032</v>
      </c>
      <c r="C2133" s="68">
        <v>2023</v>
      </c>
      <c r="D2133" s="68" t="s">
        <v>323</v>
      </c>
      <c r="E2133" s="68" t="s">
        <v>305</v>
      </c>
      <c r="F2133" s="68" t="s">
        <v>40</v>
      </c>
      <c r="G2133" s="68"/>
      <c r="H2133" s="68"/>
      <c r="I2133" s="69">
        <v>17778.046060000001</v>
      </c>
    </row>
    <row r="2134" spans="1:9" hidden="1">
      <c r="A2134" s="64" t="s">
        <v>295</v>
      </c>
      <c r="B2134" s="65">
        <v>2032</v>
      </c>
      <c r="C2134" s="65">
        <v>2023</v>
      </c>
      <c r="D2134" s="65" t="s">
        <v>324</v>
      </c>
      <c r="E2134" s="65" t="s">
        <v>294</v>
      </c>
      <c r="F2134" s="65" t="s">
        <v>297</v>
      </c>
      <c r="G2134" s="65"/>
      <c r="H2134" s="65"/>
      <c r="I2134" s="66">
        <v>3595.60637</v>
      </c>
    </row>
    <row r="2135" spans="1:9" hidden="1">
      <c r="A2135" s="67" t="s">
        <v>295</v>
      </c>
      <c r="B2135" s="68">
        <v>2032</v>
      </c>
      <c r="C2135" s="68">
        <v>2023</v>
      </c>
      <c r="D2135" s="68" t="s">
        <v>324</v>
      </c>
      <c r="E2135" s="68" t="s">
        <v>294</v>
      </c>
      <c r="F2135" s="68" t="s">
        <v>298</v>
      </c>
      <c r="G2135" s="68"/>
      <c r="H2135" s="68"/>
      <c r="I2135" s="69">
        <v>0</v>
      </c>
    </row>
    <row r="2136" spans="1:9" hidden="1">
      <c r="A2136" s="64" t="s">
        <v>295</v>
      </c>
      <c r="B2136" s="65">
        <v>2032</v>
      </c>
      <c r="C2136" s="65">
        <v>2023</v>
      </c>
      <c r="D2136" s="65" t="s">
        <v>324</v>
      </c>
      <c r="E2136" s="65" t="s">
        <v>294</v>
      </c>
      <c r="F2136" s="65" t="s">
        <v>40</v>
      </c>
      <c r="G2136" s="65"/>
      <c r="H2136" s="65"/>
      <c r="I2136" s="66">
        <v>3595.60637</v>
      </c>
    </row>
    <row r="2137" spans="1:9" hidden="1">
      <c r="A2137" s="67" t="s">
        <v>295</v>
      </c>
      <c r="B2137" s="68">
        <v>2032</v>
      </c>
      <c r="C2137" s="68">
        <v>2023</v>
      </c>
      <c r="D2137" s="68" t="s">
        <v>324</v>
      </c>
      <c r="E2137" s="68" t="s">
        <v>301</v>
      </c>
      <c r="F2137" s="68" t="s">
        <v>297</v>
      </c>
      <c r="G2137" s="68"/>
      <c r="H2137" s="68"/>
      <c r="I2137" s="69">
        <v>3595.9002</v>
      </c>
    </row>
    <row r="2138" spans="1:9" hidden="1">
      <c r="A2138" s="64" t="s">
        <v>295</v>
      </c>
      <c r="B2138" s="65">
        <v>2032</v>
      </c>
      <c r="C2138" s="65">
        <v>2023</v>
      </c>
      <c r="D2138" s="65" t="s">
        <v>324</v>
      </c>
      <c r="E2138" s="65" t="s">
        <v>301</v>
      </c>
      <c r="F2138" s="65" t="s">
        <v>298</v>
      </c>
      <c r="G2138" s="65"/>
      <c r="H2138" s="65"/>
      <c r="I2138" s="66">
        <v>0</v>
      </c>
    </row>
    <row r="2139" spans="1:9" hidden="1">
      <c r="A2139" s="67" t="s">
        <v>295</v>
      </c>
      <c r="B2139" s="68">
        <v>2032</v>
      </c>
      <c r="C2139" s="68">
        <v>2023</v>
      </c>
      <c r="D2139" s="68" t="s">
        <v>324</v>
      </c>
      <c r="E2139" s="68" t="s">
        <v>301</v>
      </c>
      <c r="F2139" s="68" t="s">
        <v>40</v>
      </c>
      <c r="G2139" s="68"/>
      <c r="H2139" s="68"/>
      <c r="I2139" s="69">
        <v>3595.9002</v>
      </c>
    </row>
    <row r="2140" spans="1:9" hidden="1">
      <c r="A2140" s="64" t="s">
        <v>295</v>
      </c>
      <c r="B2140" s="65">
        <v>2032</v>
      </c>
      <c r="C2140" s="65">
        <v>2023</v>
      </c>
      <c r="D2140" s="65" t="s">
        <v>324</v>
      </c>
      <c r="E2140" s="65" t="s">
        <v>305</v>
      </c>
      <c r="F2140" s="65" t="s">
        <v>297</v>
      </c>
      <c r="G2140" s="65"/>
      <c r="H2140" s="65"/>
      <c r="I2140" s="66">
        <v>4.0999999999999996</v>
      </c>
    </row>
    <row r="2141" spans="1:9" hidden="1">
      <c r="A2141" s="67" t="s">
        <v>295</v>
      </c>
      <c r="B2141" s="68">
        <v>2032</v>
      </c>
      <c r="C2141" s="68">
        <v>2023</v>
      </c>
      <c r="D2141" s="68" t="s">
        <v>324</v>
      </c>
      <c r="E2141" s="68" t="s">
        <v>305</v>
      </c>
      <c r="F2141" s="68" t="s">
        <v>40</v>
      </c>
      <c r="G2141" s="68"/>
      <c r="H2141" s="68"/>
      <c r="I2141" s="69">
        <v>1246.2</v>
      </c>
    </row>
    <row r="2142" spans="1:9" hidden="1">
      <c r="A2142" s="64" t="s">
        <v>295</v>
      </c>
      <c r="B2142" s="65">
        <v>2032</v>
      </c>
      <c r="C2142" s="65">
        <v>2023</v>
      </c>
      <c r="D2142" s="65" t="s">
        <v>325</v>
      </c>
      <c r="E2142" s="65" t="s">
        <v>294</v>
      </c>
      <c r="F2142" s="65" t="s">
        <v>297</v>
      </c>
      <c r="G2142" s="65"/>
      <c r="H2142" s="65"/>
      <c r="I2142" s="66">
        <v>52114.666109387377</v>
      </c>
    </row>
    <row r="2143" spans="1:9" hidden="1">
      <c r="A2143" s="67" t="s">
        <v>295</v>
      </c>
      <c r="B2143" s="68">
        <v>2032</v>
      </c>
      <c r="C2143" s="68">
        <v>2023</v>
      </c>
      <c r="D2143" s="68" t="s">
        <v>325</v>
      </c>
      <c r="E2143" s="68" t="s">
        <v>294</v>
      </c>
      <c r="F2143" s="68" t="s">
        <v>298</v>
      </c>
      <c r="G2143" s="68"/>
      <c r="H2143" s="68"/>
      <c r="I2143" s="69">
        <v>13862.93874260064</v>
      </c>
    </row>
    <row r="2144" spans="1:9" hidden="1">
      <c r="A2144" s="64" t="s">
        <v>295</v>
      </c>
      <c r="B2144" s="65">
        <v>2032</v>
      </c>
      <c r="C2144" s="65">
        <v>2023</v>
      </c>
      <c r="D2144" s="65" t="s">
        <v>325</v>
      </c>
      <c r="E2144" s="65" t="s">
        <v>294</v>
      </c>
      <c r="F2144" s="65" t="s">
        <v>40</v>
      </c>
      <c r="G2144" s="65"/>
      <c r="H2144" s="65"/>
      <c r="I2144" s="66">
        <v>65977.76486198802</v>
      </c>
    </row>
    <row r="2145" spans="1:9" hidden="1">
      <c r="A2145" s="67" t="s">
        <v>295</v>
      </c>
      <c r="B2145" s="68">
        <v>2032</v>
      </c>
      <c r="C2145" s="68">
        <v>2023</v>
      </c>
      <c r="D2145" s="68" t="s">
        <v>325</v>
      </c>
      <c r="E2145" s="68" t="s">
        <v>301</v>
      </c>
      <c r="F2145" s="68" t="s">
        <v>297</v>
      </c>
      <c r="G2145" s="68"/>
      <c r="H2145" s="68"/>
      <c r="I2145" s="69">
        <v>54276.81047183503</v>
      </c>
    </row>
    <row r="2146" spans="1:9" hidden="1">
      <c r="A2146" s="64" t="s">
        <v>295</v>
      </c>
      <c r="B2146" s="65">
        <v>2032</v>
      </c>
      <c r="C2146" s="65">
        <v>2023</v>
      </c>
      <c r="D2146" s="65" t="s">
        <v>325</v>
      </c>
      <c r="E2146" s="65" t="s">
        <v>301</v>
      </c>
      <c r="F2146" s="65" t="s">
        <v>298</v>
      </c>
      <c r="G2146" s="65"/>
      <c r="H2146" s="65"/>
      <c r="I2146" s="66">
        <v>15131.07341816497</v>
      </c>
    </row>
    <row r="2147" spans="1:9" hidden="1">
      <c r="A2147" s="67" t="s">
        <v>295</v>
      </c>
      <c r="B2147" s="68">
        <v>2032</v>
      </c>
      <c r="C2147" s="68">
        <v>2023</v>
      </c>
      <c r="D2147" s="68" t="s">
        <v>325</v>
      </c>
      <c r="E2147" s="68" t="s">
        <v>301</v>
      </c>
      <c r="F2147" s="68" t="s">
        <v>40</v>
      </c>
      <c r="G2147" s="68"/>
      <c r="H2147" s="68"/>
      <c r="I2147" s="69">
        <v>69407.783899999995</v>
      </c>
    </row>
    <row r="2148" spans="1:9" hidden="1">
      <c r="A2148" s="64" t="s">
        <v>295</v>
      </c>
      <c r="B2148" s="65">
        <v>2032</v>
      </c>
      <c r="C2148" s="65">
        <v>2023</v>
      </c>
      <c r="D2148" s="65" t="s">
        <v>325</v>
      </c>
      <c r="E2148" s="65" t="s">
        <v>305</v>
      </c>
      <c r="F2148" s="65" t="s">
        <v>297</v>
      </c>
      <c r="G2148" s="65"/>
      <c r="H2148" s="65"/>
      <c r="I2148" s="66">
        <v>429.2</v>
      </c>
    </row>
    <row r="2149" spans="1:9" hidden="1">
      <c r="A2149" s="67" t="s">
        <v>295</v>
      </c>
      <c r="B2149" s="68">
        <v>2032</v>
      </c>
      <c r="C2149" s="68">
        <v>2023</v>
      </c>
      <c r="D2149" s="68" t="s">
        <v>325</v>
      </c>
      <c r="E2149" s="68" t="s">
        <v>305</v>
      </c>
      <c r="F2149" s="68" t="s">
        <v>298</v>
      </c>
      <c r="G2149" s="68"/>
      <c r="H2149" s="68"/>
      <c r="I2149" s="69">
        <v>69.900000000000006</v>
      </c>
    </row>
    <row r="2150" spans="1:9" hidden="1">
      <c r="A2150" s="64" t="s">
        <v>295</v>
      </c>
      <c r="B2150" s="65">
        <v>2032</v>
      </c>
      <c r="C2150" s="65">
        <v>2023</v>
      </c>
      <c r="D2150" s="65" t="s">
        <v>325</v>
      </c>
      <c r="E2150" s="65" t="s">
        <v>305</v>
      </c>
      <c r="F2150" s="65" t="s">
        <v>40</v>
      </c>
      <c r="G2150" s="65"/>
      <c r="H2150" s="65"/>
      <c r="I2150" s="66">
        <v>18674.900000000001</v>
      </c>
    </row>
    <row r="2151" spans="1:9" hidden="1">
      <c r="A2151" s="67" t="s">
        <v>295</v>
      </c>
      <c r="B2151" s="68">
        <v>2032</v>
      </c>
      <c r="C2151" s="68">
        <v>2023</v>
      </c>
      <c r="D2151" s="68" t="s">
        <v>326</v>
      </c>
      <c r="E2151" s="68" t="s">
        <v>294</v>
      </c>
      <c r="F2151" s="68" t="s">
        <v>297</v>
      </c>
      <c r="G2151" s="68"/>
      <c r="H2151" s="68"/>
      <c r="I2151" s="69">
        <v>0</v>
      </c>
    </row>
    <row r="2152" spans="1:9" hidden="1">
      <c r="A2152" s="64" t="s">
        <v>295</v>
      </c>
      <c r="B2152" s="65">
        <v>2032</v>
      </c>
      <c r="C2152" s="65">
        <v>2023</v>
      </c>
      <c r="D2152" s="65" t="s">
        <v>326</v>
      </c>
      <c r="E2152" s="65" t="s">
        <v>294</v>
      </c>
      <c r="F2152" s="65" t="s">
        <v>298</v>
      </c>
      <c r="G2152" s="65"/>
      <c r="H2152" s="65"/>
      <c r="I2152" s="66">
        <v>0</v>
      </c>
    </row>
    <row r="2153" spans="1:9" hidden="1">
      <c r="A2153" s="67" t="s">
        <v>295</v>
      </c>
      <c r="B2153" s="68">
        <v>2032</v>
      </c>
      <c r="C2153" s="68">
        <v>2023</v>
      </c>
      <c r="D2153" s="68" t="s">
        <v>326</v>
      </c>
      <c r="E2153" s="68" t="s">
        <v>294</v>
      </c>
      <c r="F2153" s="68" t="s">
        <v>40</v>
      </c>
      <c r="G2153" s="68"/>
      <c r="H2153" s="68"/>
      <c r="I2153" s="69">
        <v>0</v>
      </c>
    </row>
    <row r="2154" spans="1:9" hidden="1">
      <c r="A2154" s="64" t="s">
        <v>295</v>
      </c>
      <c r="B2154" s="65">
        <v>2032</v>
      </c>
      <c r="C2154" s="65">
        <v>2023</v>
      </c>
      <c r="D2154" s="65" t="s">
        <v>326</v>
      </c>
      <c r="E2154" s="65" t="s">
        <v>301</v>
      </c>
      <c r="F2154" s="65" t="s">
        <v>297</v>
      </c>
      <c r="G2154" s="65"/>
      <c r="H2154" s="65"/>
      <c r="I2154" s="66">
        <v>0</v>
      </c>
    </row>
    <row r="2155" spans="1:9" hidden="1">
      <c r="A2155" s="67" t="s">
        <v>295</v>
      </c>
      <c r="B2155" s="68">
        <v>2032</v>
      </c>
      <c r="C2155" s="68">
        <v>2023</v>
      </c>
      <c r="D2155" s="68" t="s">
        <v>326</v>
      </c>
      <c r="E2155" s="68" t="s">
        <v>301</v>
      </c>
      <c r="F2155" s="68" t="s">
        <v>298</v>
      </c>
      <c r="G2155" s="68"/>
      <c r="H2155" s="68"/>
      <c r="I2155" s="69">
        <v>0</v>
      </c>
    </row>
    <row r="2156" spans="1:9" hidden="1">
      <c r="A2156" s="64" t="s">
        <v>295</v>
      </c>
      <c r="B2156" s="65">
        <v>2032</v>
      </c>
      <c r="C2156" s="65">
        <v>2023</v>
      </c>
      <c r="D2156" s="65" t="s">
        <v>326</v>
      </c>
      <c r="E2156" s="65" t="s">
        <v>301</v>
      </c>
      <c r="F2156" s="65" t="s">
        <v>40</v>
      </c>
      <c r="G2156" s="65"/>
      <c r="H2156" s="65"/>
      <c r="I2156" s="66">
        <v>0</v>
      </c>
    </row>
    <row r="2157" spans="1:9" hidden="1">
      <c r="A2157" s="67" t="s">
        <v>295</v>
      </c>
      <c r="B2157" s="68">
        <v>2032</v>
      </c>
      <c r="C2157" s="68">
        <v>2023</v>
      </c>
      <c r="D2157" s="68" t="s">
        <v>304</v>
      </c>
      <c r="E2157" s="68" t="s">
        <v>294</v>
      </c>
      <c r="F2157" s="68" t="s">
        <v>297</v>
      </c>
      <c r="G2157" s="68"/>
      <c r="H2157" s="68"/>
      <c r="I2157" s="69">
        <v>57894.881530505438</v>
      </c>
    </row>
    <row r="2158" spans="1:9" hidden="1">
      <c r="A2158" s="64" t="s">
        <v>295</v>
      </c>
      <c r="B2158" s="65">
        <v>2032</v>
      </c>
      <c r="C2158" s="65">
        <v>2023</v>
      </c>
      <c r="D2158" s="65" t="s">
        <v>304</v>
      </c>
      <c r="E2158" s="65" t="s">
        <v>294</v>
      </c>
      <c r="F2158" s="65" t="s">
        <v>298</v>
      </c>
      <c r="G2158" s="65"/>
      <c r="H2158" s="65"/>
      <c r="I2158" s="66">
        <v>190415.6927828622</v>
      </c>
    </row>
    <row r="2159" spans="1:9" hidden="1">
      <c r="A2159" s="67" t="s">
        <v>295</v>
      </c>
      <c r="B2159" s="68">
        <v>2032</v>
      </c>
      <c r="C2159" s="68">
        <v>2023</v>
      </c>
      <c r="D2159" s="68" t="s">
        <v>304</v>
      </c>
      <c r="E2159" s="68" t="s">
        <v>294</v>
      </c>
      <c r="F2159" s="68" t="s">
        <v>40</v>
      </c>
      <c r="G2159" s="68"/>
      <c r="H2159" s="68"/>
      <c r="I2159" s="69">
        <v>248050.6032298347</v>
      </c>
    </row>
    <row r="2160" spans="1:9" hidden="1">
      <c r="A2160" s="64" t="s">
        <v>295</v>
      </c>
      <c r="B2160" s="65">
        <v>2032</v>
      </c>
      <c r="C2160" s="65">
        <v>2023</v>
      </c>
      <c r="D2160" s="65" t="s">
        <v>304</v>
      </c>
      <c r="E2160" s="65" t="s">
        <v>301</v>
      </c>
      <c r="F2160" s="65" t="s">
        <v>297</v>
      </c>
      <c r="G2160" s="65"/>
      <c r="H2160" s="65"/>
      <c r="I2160" s="66">
        <v>60146.242668510611</v>
      </c>
    </row>
    <row r="2161" spans="1:9" hidden="1">
      <c r="A2161" s="67" t="s">
        <v>295</v>
      </c>
      <c r="B2161" s="68">
        <v>2032</v>
      </c>
      <c r="C2161" s="68">
        <v>2023</v>
      </c>
      <c r="D2161" s="68" t="s">
        <v>304</v>
      </c>
      <c r="E2161" s="68" t="s">
        <v>301</v>
      </c>
      <c r="F2161" s="68" t="s">
        <v>298</v>
      </c>
      <c r="G2161" s="68"/>
      <c r="H2161" s="68"/>
      <c r="I2161" s="69">
        <v>200459.98792473541</v>
      </c>
    </row>
    <row r="2162" spans="1:9" hidden="1">
      <c r="A2162" s="64" t="s">
        <v>295</v>
      </c>
      <c r="B2162" s="65">
        <v>2032</v>
      </c>
      <c r="C2162" s="65">
        <v>2023</v>
      </c>
      <c r="D2162" s="65" t="s">
        <v>304</v>
      </c>
      <c r="E2162" s="65" t="s">
        <v>301</v>
      </c>
      <c r="F2162" s="65" t="s">
        <v>40</v>
      </c>
      <c r="G2162" s="65"/>
      <c r="H2162" s="65"/>
      <c r="I2162" s="66">
        <v>260347.1822399114</v>
      </c>
    </row>
    <row r="2163" spans="1:9" hidden="1">
      <c r="A2163" s="67" t="s">
        <v>295</v>
      </c>
      <c r="B2163" s="68">
        <v>2032</v>
      </c>
      <c r="C2163" s="68">
        <v>2023</v>
      </c>
      <c r="D2163" s="68" t="s">
        <v>304</v>
      </c>
      <c r="E2163" s="68" t="s">
        <v>305</v>
      </c>
      <c r="F2163" s="68" t="s">
        <v>297</v>
      </c>
      <c r="G2163" s="68"/>
      <c r="H2163" s="68"/>
      <c r="I2163" s="69">
        <v>1109.4406899999999</v>
      </c>
    </row>
    <row r="2164" spans="1:9" hidden="1">
      <c r="A2164" s="64" t="s">
        <v>295</v>
      </c>
      <c r="B2164" s="65">
        <v>2032</v>
      </c>
      <c r="C2164" s="65">
        <v>2023</v>
      </c>
      <c r="D2164" s="65" t="s">
        <v>304</v>
      </c>
      <c r="E2164" s="65" t="s">
        <v>305</v>
      </c>
      <c r="F2164" s="65" t="s">
        <v>298</v>
      </c>
      <c r="G2164" s="65"/>
      <c r="H2164" s="65"/>
      <c r="I2164" s="66">
        <v>740.4</v>
      </c>
    </row>
    <row r="2165" spans="1:9" hidden="1">
      <c r="A2165" s="67" t="s">
        <v>295</v>
      </c>
      <c r="B2165" s="68">
        <v>2032</v>
      </c>
      <c r="C2165" s="68">
        <v>2023</v>
      </c>
      <c r="D2165" s="68" t="s">
        <v>304</v>
      </c>
      <c r="E2165" s="68" t="s">
        <v>305</v>
      </c>
      <c r="F2165" s="68" t="s">
        <v>40</v>
      </c>
      <c r="G2165" s="68"/>
      <c r="H2165" s="68"/>
      <c r="I2165" s="69">
        <v>16301.04069</v>
      </c>
    </row>
    <row r="2166" spans="1:9" hidden="1">
      <c r="A2166" s="64" t="s">
        <v>295</v>
      </c>
      <c r="B2166" s="65">
        <v>2032</v>
      </c>
      <c r="C2166" s="65">
        <v>2023</v>
      </c>
      <c r="D2166" s="65" t="s">
        <v>306</v>
      </c>
      <c r="E2166" s="65" t="s">
        <v>294</v>
      </c>
      <c r="F2166" s="65" t="s">
        <v>297</v>
      </c>
      <c r="G2166" s="65"/>
      <c r="H2166" s="65"/>
      <c r="I2166" s="66">
        <v>356324.59556526958</v>
      </c>
    </row>
    <row r="2167" spans="1:9" hidden="1">
      <c r="A2167" s="67" t="s">
        <v>295</v>
      </c>
      <c r="B2167" s="68">
        <v>2032</v>
      </c>
      <c r="C2167" s="68">
        <v>2023</v>
      </c>
      <c r="D2167" s="68" t="s">
        <v>306</v>
      </c>
      <c r="E2167" s="68" t="s">
        <v>294</v>
      </c>
      <c r="F2167" s="68" t="s">
        <v>40</v>
      </c>
      <c r="G2167" s="68"/>
      <c r="H2167" s="68"/>
      <c r="I2167" s="69">
        <v>356324.59556526958</v>
      </c>
    </row>
    <row r="2168" spans="1:9" hidden="1">
      <c r="A2168" s="64" t="s">
        <v>295</v>
      </c>
      <c r="B2168" s="65">
        <v>2032</v>
      </c>
      <c r="C2168" s="65">
        <v>2023</v>
      </c>
      <c r="D2168" s="65" t="s">
        <v>306</v>
      </c>
      <c r="E2168" s="65" t="s">
        <v>301</v>
      </c>
      <c r="F2168" s="65" t="s">
        <v>297</v>
      </c>
      <c r="G2168" s="65"/>
      <c r="H2168" s="65"/>
      <c r="I2168" s="66">
        <v>371539.50042589358</v>
      </c>
    </row>
    <row r="2169" spans="1:9" hidden="1">
      <c r="A2169" s="67" t="s">
        <v>295</v>
      </c>
      <c r="B2169" s="68">
        <v>2032</v>
      </c>
      <c r="C2169" s="68">
        <v>2023</v>
      </c>
      <c r="D2169" s="68" t="s">
        <v>306</v>
      </c>
      <c r="E2169" s="68" t="s">
        <v>301</v>
      </c>
      <c r="F2169" s="68" t="s">
        <v>40</v>
      </c>
      <c r="G2169" s="68"/>
      <c r="H2169" s="68"/>
      <c r="I2169" s="69">
        <v>371539.50042589358</v>
      </c>
    </row>
    <row r="2170" spans="1:9" hidden="1">
      <c r="A2170" s="64" t="s">
        <v>295</v>
      </c>
      <c r="B2170" s="65">
        <v>2032</v>
      </c>
      <c r="C2170" s="65">
        <v>2023</v>
      </c>
      <c r="D2170" s="65" t="s">
        <v>306</v>
      </c>
      <c r="E2170" s="65" t="s">
        <v>305</v>
      </c>
      <c r="F2170" s="65" t="s">
        <v>297</v>
      </c>
      <c r="G2170" s="65"/>
      <c r="H2170" s="65"/>
      <c r="I2170" s="66">
        <v>2046.1429599999999</v>
      </c>
    </row>
    <row r="2171" spans="1:9" hidden="1">
      <c r="A2171" s="67" t="s">
        <v>295</v>
      </c>
      <c r="B2171" s="68">
        <v>2032</v>
      </c>
      <c r="C2171" s="68">
        <v>2023</v>
      </c>
      <c r="D2171" s="68" t="s">
        <v>306</v>
      </c>
      <c r="E2171" s="68" t="s">
        <v>305</v>
      </c>
      <c r="F2171" s="68" t="s">
        <v>40</v>
      </c>
      <c r="G2171" s="68"/>
      <c r="H2171" s="68"/>
      <c r="I2171" s="69">
        <v>31312.24296</v>
      </c>
    </row>
    <row r="2172" spans="1:9" hidden="1">
      <c r="A2172" s="64" t="s">
        <v>295</v>
      </c>
      <c r="B2172" s="65">
        <v>2032</v>
      </c>
      <c r="C2172" s="65">
        <v>2023</v>
      </c>
      <c r="D2172" s="65" t="s">
        <v>307</v>
      </c>
      <c r="E2172" s="65" t="s">
        <v>294</v>
      </c>
      <c r="F2172" s="65" t="s">
        <v>40</v>
      </c>
      <c r="G2172" s="65"/>
      <c r="H2172" s="65"/>
      <c r="I2172" s="66">
        <v>-260056.0748668928</v>
      </c>
    </row>
    <row r="2173" spans="1:9" hidden="1">
      <c r="A2173" s="67" t="s">
        <v>295</v>
      </c>
      <c r="B2173" s="68">
        <v>2032</v>
      </c>
      <c r="C2173" s="68">
        <v>2023</v>
      </c>
      <c r="D2173" s="68" t="s">
        <v>307</v>
      </c>
      <c r="E2173" s="68" t="s">
        <v>301</v>
      </c>
      <c r="F2173" s="68" t="s">
        <v>40</v>
      </c>
      <c r="G2173" s="68"/>
      <c r="H2173" s="68"/>
      <c r="I2173" s="69">
        <v>-237571.46877577269</v>
      </c>
    </row>
    <row r="2174" spans="1:9" hidden="1">
      <c r="A2174" s="64" t="s">
        <v>295</v>
      </c>
      <c r="B2174" s="65">
        <v>2032</v>
      </c>
      <c r="C2174" s="65">
        <v>2023</v>
      </c>
      <c r="D2174" s="65" t="s">
        <v>307</v>
      </c>
      <c r="E2174" s="65" t="s">
        <v>305</v>
      </c>
      <c r="F2174" s="65" t="s">
        <v>40</v>
      </c>
      <c r="G2174" s="65"/>
      <c r="H2174" s="65"/>
      <c r="I2174" s="66">
        <v>-17826.500250000001</v>
      </c>
    </row>
    <row r="2175" spans="1:9" hidden="1">
      <c r="A2175" s="67" t="s">
        <v>295</v>
      </c>
      <c r="B2175" s="68">
        <v>2032</v>
      </c>
      <c r="C2175" s="68">
        <v>2023</v>
      </c>
      <c r="D2175" s="68" t="s">
        <v>327</v>
      </c>
      <c r="E2175" s="68" t="s">
        <v>294</v>
      </c>
      <c r="F2175" s="68" t="s">
        <v>40</v>
      </c>
      <c r="G2175" s="68"/>
      <c r="H2175" s="68"/>
      <c r="I2175" s="69">
        <v>-314569.38274127129</v>
      </c>
    </row>
    <row r="2176" spans="1:9" hidden="1">
      <c r="A2176" s="64" t="s">
        <v>295</v>
      </c>
      <c r="B2176" s="65">
        <v>2032</v>
      </c>
      <c r="C2176" s="65">
        <v>2023</v>
      </c>
      <c r="D2176" s="65" t="s">
        <v>327</v>
      </c>
      <c r="E2176" s="65" t="s">
        <v>301</v>
      </c>
      <c r="F2176" s="65" t="s">
        <v>40</v>
      </c>
      <c r="G2176" s="65"/>
      <c r="H2176" s="65"/>
      <c r="I2176" s="66">
        <v>-300718.02436027542</v>
      </c>
    </row>
    <row r="2177" spans="1:9" hidden="1">
      <c r="A2177" s="67" t="s">
        <v>295</v>
      </c>
      <c r="B2177" s="68">
        <v>2032</v>
      </c>
      <c r="C2177" s="68">
        <v>2023</v>
      </c>
      <c r="D2177" s="68" t="s">
        <v>327</v>
      </c>
      <c r="E2177" s="68" t="s">
        <v>305</v>
      </c>
      <c r="F2177" s="68" t="s">
        <v>40</v>
      </c>
      <c r="G2177" s="68"/>
      <c r="H2177" s="68"/>
      <c r="I2177" s="69">
        <v>-19647.680260000001</v>
      </c>
    </row>
    <row r="2178" spans="1:9" hidden="1">
      <c r="A2178" s="64" t="s">
        <v>295</v>
      </c>
      <c r="B2178" s="65">
        <v>2032</v>
      </c>
      <c r="C2178" s="65">
        <v>2023</v>
      </c>
      <c r="D2178" s="65" t="s">
        <v>328</v>
      </c>
      <c r="E2178" s="65" t="s">
        <v>294</v>
      </c>
      <c r="F2178" s="65" t="s">
        <v>40</v>
      </c>
      <c r="G2178" s="65"/>
      <c r="H2178" s="65"/>
      <c r="I2178" s="66">
        <v>29419.134994906279</v>
      </c>
    </row>
    <row r="2179" spans="1:9" hidden="1">
      <c r="A2179" s="67" t="s">
        <v>295</v>
      </c>
      <c r="B2179" s="68">
        <v>2032</v>
      </c>
      <c r="C2179" s="68">
        <v>2023</v>
      </c>
      <c r="D2179" s="68" t="s">
        <v>328</v>
      </c>
      <c r="E2179" s="68" t="s">
        <v>301</v>
      </c>
      <c r="F2179" s="68" t="s">
        <v>40</v>
      </c>
      <c r="G2179" s="68"/>
      <c r="H2179" s="68"/>
      <c r="I2179" s="69">
        <v>34559.427021260053</v>
      </c>
    </row>
    <row r="2180" spans="1:9" hidden="1">
      <c r="A2180" s="64" t="s">
        <v>295</v>
      </c>
      <c r="B2180" s="65">
        <v>2032</v>
      </c>
      <c r="C2180" s="65">
        <v>2023</v>
      </c>
      <c r="D2180" s="65" t="s">
        <v>328</v>
      </c>
      <c r="E2180" s="65" t="s">
        <v>305</v>
      </c>
      <c r="F2180" s="65" t="s">
        <v>40</v>
      </c>
      <c r="G2180" s="65"/>
      <c r="H2180" s="65"/>
      <c r="I2180" s="66">
        <v>-2318.3194899999999</v>
      </c>
    </row>
    <row r="2181" spans="1:9" hidden="1">
      <c r="A2181" s="67" t="s">
        <v>295</v>
      </c>
      <c r="B2181" s="68">
        <v>2032</v>
      </c>
      <c r="C2181" s="68">
        <v>2023</v>
      </c>
      <c r="D2181" s="68" t="s">
        <v>329</v>
      </c>
      <c r="E2181" s="68" t="s">
        <v>294</v>
      </c>
      <c r="F2181" s="68" t="s">
        <v>40</v>
      </c>
      <c r="G2181" s="68"/>
      <c r="H2181" s="68"/>
      <c r="I2181" s="69">
        <v>13750.030941928841</v>
      </c>
    </row>
    <row r="2182" spans="1:9" hidden="1">
      <c r="A2182" s="64" t="s">
        <v>295</v>
      </c>
      <c r="B2182" s="65">
        <v>2032</v>
      </c>
      <c r="C2182" s="65">
        <v>2023</v>
      </c>
      <c r="D2182" s="65" t="s">
        <v>329</v>
      </c>
      <c r="E2182" s="65" t="s">
        <v>301</v>
      </c>
      <c r="F2182" s="65" t="s">
        <v>40</v>
      </c>
      <c r="G2182" s="65"/>
      <c r="H2182" s="65"/>
      <c r="I2182" s="66">
        <v>15024.558812188419</v>
      </c>
    </row>
    <row r="2183" spans="1:9" hidden="1">
      <c r="A2183" s="67" t="s">
        <v>295</v>
      </c>
      <c r="B2183" s="68">
        <v>2032</v>
      </c>
      <c r="C2183" s="68">
        <v>2023</v>
      </c>
      <c r="D2183" s="68" t="s">
        <v>329</v>
      </c>
      <c r="E2183" s="68" t="s">
        <v>305</v>
      </c>
      <c r="F2183" s="68" t="s">
        <v>40</v>
      </c>
      <c r="G2183" s="68"/>
      <c r="H2183" s="68"/>
      <c r="I2183" s="69">
        <v>2309.9550199999999</v>
      </c>
    </row>
    <row r="2184" spans="1:9" hidden="1">
      <c r="A2184" s="64" t="s">
        <v>295</v>
      </c>
      <c r="B2184" s="65">
        <v>2032</v>
      </c>
      <c r="C2184" s="65">
        <v>2023</v>
      </c>
      <c r="D2184" s="65" t="s">
        <v>330</v>
      </c>
      <c r="E2184" s="65" t="s">
        <v>294</v>
      </c>
      <c r="F2184" s="65" t="s">
        <v>40</v>
      </c>
      <c r="G2184" s="65"/>
      <c r="H2184" s="65"/>
      <c r="I2184" s="66">
        <v>13058.315127342959</v>
      </c>
    </row>
    <row r="2185" spans="1:9" hidden="1">
      <c r="A2185" s="67" t="s">
        <v>295</v>
      </c>
      <c r="B2185" s="68">
        <v>2032</v>
      </c>
      <c r="C2185" s="68">
        <v>2023</v>
      </c>
      <c r="D2185" s="68" t="s">
        <v>330</v>
      </c>
      <c r="E2185" s="68" t="s">
        <v>301</v>
      </c>
      <c r="F2185" s="68" t="s">
        <v>40</v>
      </c>
      <c r="G2185" s="68"/>
      <c r="H2185" s="68"/>
      <c r="I2185" s="69">
        <v>13953.071607343731</v>
      </c>
    </row>
    <row r="2186" spans="1:9" hidden="1">
      <c r="A2186" s="64" t="s">
        <v>295</v>
      </c>
      <c r="B2186" s="65">
        <v>2032</v>
      </c>
      <c r="C2186" s="65">
        <v>2023</v>
      </c>
      <c r="D2186" s="65" t="s">
        <v>330</v>
      </c>
      <c r="E2186" s="65" t="s">
        <v>305</v>
      </c>
      <c r="F2186" s="65" t="s">
        <v>40</v>
      </c>
      <c r="G2186" s="65"/>
      <c r="H2186" s="65"/>
      <c r="I2186" s="66">
        <v>765.48648000000003</v>
      </c>
    </row>
    <row r="2187" spans="1:9" hidden="1">
      <c r="A2187" s="67" t="s">
        <v>295</v>
      </c>
      <c r="B2187" s="68">
        <v>2032</v>
      </c>
      <c r="C2187" s="68">
        <v>2023</v>
      </c>
      <c r="D2187" s="68" t="s">
        <v>331</v>
      </c>
      <c r="E2187" s="68" t="s">
        <v>294</v>
      </c>
      <c r="F2187" s="68" t="s">
        <v>40</v>
      </c>
      <c r="G2187" s="68"/>
      <c r="H2187" s="68"/>
      <c r="I2187" s="69">
        <v>32229.868769049081</v>
      </c>
    </row>
    <row r="2188" spans="1:9" hidden="1">
      <c r="A2188" s="64" t="s">
        <v>295</v>
      </c>
      <c r="B2188" s="65">
        <v>2032</v>
      </c>
      <c r="C2188" s="65">
        <v>2023</v>
      </c>
      <c r="D2188" s="65" t="s">
        <v>331</v>
      </c>
      <c r="E2188" s="65" t="s">
        <v>301</v>
      </c>
      <c r="F2188" s="65" t="s">
        <v>40</v>
      </c>
      <c r="G2188" s="65"/>
      <c r="H2188" s="65"/>
      <c r="I2188" s="66">
        <v>32745.508447790249</v>
      </c>
    </row>
    <row r="2189" spans="1:9" hidden="1">
      <c r="A2189" s="67" t="s">
        <v>295</v>
      </c>
      <c r="B2189" s="68">
        <v>2032</v>
      </c>
      <c r="C2189" s="68">
        <v>2023</v>
      </c>
      <c r="D2189" s="68" t="s">
        <v>331</v>
      </c>
      <c r="E2189" s="68" t="s">
        <v>305</v>
      </c>
      <c r="F2189" s="68" t="s">
        <v>40</v>
      </c>
      <c r="G2189" s="68"/>
      <c r="H2189" s="68"/>
      <c r="I2189" s="69">
        <v>2919.3131199999998</v>
      </c>
    </row>
    <row r="2190" spans="1:9" hidden="1">
      <c r="A2190" s="64" t="s">
        <v>295</v>
      </c>
      <c r="B2190" s="65">
        <v>2032</v>
      </c>
      <c r="C2190" s="65">
        <v>2023</v>
      </c>
      <c r="D2190" s="65" t="s">
        <v>332</v>
      </c>
      <c r="E2190" s="65" t="s">
        <v>294</v>
      </c>
      <c r="F2190" s="65" t="s">
        <v>40</v>
      </c>
      <c r="G2190" s="65"/>
      <c r="H2190" s="65"/>
      <c r="I2190" s="66">
        <v>554.66082999999992</v>
      </c>
    </row>
    <row r="2191" spans="1:9" hidden="1">
      <c r="A2191" s="67" t="s">
        <v>295</v>
      </c>
      <c r="B2191" s="68">
        <v>2032</v>
      </c>
      <c r="C2191" s="68">
        <v>2023</v>
      </c>
      <c r="D2191" s="68" t="s">
        <v>332</v>
      </c>
      <c r="E2191" s="68" t="s">
        <v>301</v>
      </c>
      <c r="F2191" s="68" t="s">
        <v>40</v>
      </c>
      <c r="G2191" s="68"/>
      <c r="H2191" s="68"/>
      <c r="I2191" s="69">
        <v>451.15712999999988</v>
      </c>
    </row>
    <row r="2192" spans="1:9" hidden="1">
      <c r="A2192" s="64" t="s">
        <v>295</v>
      </c>
      <c r="B2192" s="65">
        <v>2032</v>
      </c>
      <c r="C2192" s="65">
        <v>2023</v>
      </c>
      <c r="D2192" s="65" t="s">
        <v>332</v>
      </c>
      <c r="E2192" s="65" t="s">
        <v>305</v>
      </c>
      <c r="F2192" s="65" t="s">
        <v>40</v>
      </c>
      <c r="G2192" s="65"/>
      <c r="H2192" s="65"/>
      <c r="I2192" s="66">
        <v>286.86488000000003</v>
      </c>
    </row>
    <row r="2193" spans="1:9" hidden="1">
      <c r="A2193" s="67" t="s">
        <v>295</v>
      </c>
      <c r="B2193" s="68">
        <v>2032</v>
      </c>
      <c r="C2193" s="68">
        <v>2023</v>
      </c>
      <c r="D2193" s="68" t="s">
        <v>333</v>
      </c>
      <c r="E2193" s="68" t="s">
        <v>294</v>
      </c>
      <c r="F2193" s="68" t="s">
        <v>40</v>
      </c>
      <c r="G2193" s="68"/>
      <c r="H2193" s="68"/>
      <c r="I2193" s="69">
        <v>-34177.086649999997</v>
      </c>
    </row>
    <row r="2194" spans="1:9" hidden="1">
      <c r="A2194" s="64" t="s">
        <v>295</v>
      </c>
      <c r="B2194" s="65">
        <v>2032</v>
      </c>
      <c r="C2194" s="65">
        <v>2023</v>
      </c>
      <c r="D2194" s="65" t="s">
        <v>333</v>
      </c>
      <c r="E2194" s="65" t="s">
        <v>301</v>
      </c>
      <c r="F2194" s="65" t="s">
        <v>40</v>
      </c>
      <c r="G2194" s="65"/>
      <c r="H2194" s="65"/>
      <c r="I2194" s="66">
        <v>-33841.296130000002</v>
      </c>
    </row>
    <row r="2195" spans="1:9" hidden="1">
      <c r="A2195" s="67" t="s">
        <v>295</v>
      </c>
      <c r="B2195" s="68">
        <v>2032</v>
      </c>
      <c r="C2195" s="68">
        <v>2023</v>
      </c>
      <c r="D2195" s="68" t="s">
        <v>333</v>
      </c>
      <c r="E2195" s="68" t="s">
        <v>305</v>
      </c>
      <c r="F2195" s="68" t="s">
        <v>40</v>
      </c>
      <c r="G2195" s="68"/>
      <c r="H2195" s="68"/>
      <c r="I2195" s="69">
        <v>-2141.98</v>
      </c>
    </row>
    <row r="2196" spans="1:9" hidden="1">
      <c r="A2196" s="64" t="s">
        <v>295</v>
      </c>
      <c r="B2196" s="65">
        <v>2032</v>
      </c>
      <c r="C2196" s="65">
        <v>2023</v>
      </c>
      <c r="D2196" s="65" t="s">
        <v>334</v>
      </c>
      <c r="E2196" s="65" t="s">
        <v>294</v>
      </c>
      <c r="F2196" s="65" t="s">
        <v>40</v>
      </c>
      <c r="G2196" s="65"/>
      <c r="H2196" s="65"/>
      <c r="I2196" s="66">
        <v>253.85033000000001</v>
      </c>
    </row>
    <row r="2197" spans="1:9" hidden="1">
      <c r="A2197" s="67" t="s">
        <v>295</v>
      </c>
      <c r="B2197" s="68">
        <v>2032</v>
      </c>
      <c r="C2197" s="68">
        <v>2023</v>
      </c>
      <c r="D2197" s="68" t="s">
        <v>334</v>
      </c>
      <c r="E2197" s="68" t="s">
        <v>301</v>
      </c>
      <c r="F2197" s="68" t="s">
        <v>40</v>
      </c>
      <c r="G2197" s="68"/>
      <c r="H2197" s="68"/>
      <c r="I2197" s="69">
        <v>253.85033000000001</v>
      </c>
    </row>
    <row r="2198" spans="1:9" hidden="1">
      <c r="A2198" s="64" t="s">
        <v>295</v>
      </c>
      <c r="B2198" s="65">
        <v>2032</v>
      </c>
      <c r="C2198" s="65">
        <v>2023</v>
      </c>
      <c r="D2198" s="65" t="s">
        <v>308</v>
      </c>
      <c r="E2198" s="65" t="s">
        <v>294</v>
      </c>
      <c r="F2198" s="65" t="s">
        <v>297</v>
      </c>
      <c r="G2198" s="65"/>
      <c r="H2198" s="65"/>
      <c r="I2198" s="66">
        <v>86020.954891734291</v>
      </c>
    </row>
    <row r="2199" spans="1:9" hidden="1">
      <c r="A2199" s="67" t="s">
        <v>295</v>
      </c>
      <c r="B2199" s="68">
        <v>2032</v>
      </c>
      <c r="C2199" s="68">
        <v>2023</v>
      </c>
      <c r="D2199" s="68" t="s">
        <v>308</v>
      </c>
      <c r="E2199" s="68" t="s">
        <v>294</v>
      </c>
      <c r="F2199" s="68" t="s">
        <v>298</v>
      </c>
      <c r="G2199" s="68"/>
      <c r="H2199" s="68"/>
      <c r="I2199" s="69">
        <v>254.7379043729913</v>
      </c>
    </row>
    <row r="2200" spans="1:9" hidden="1">
      <c r="A2200" s="64" t="s">
        <v>295</v>
      </c>
      <c r="B2200" s="65">
        <v>2032</v>
      </c>
      <c r="C2200" s="65">
        <v>2023</v>
      </c>
      <c r="D2200" s="65" t="s">
        <v>308</v>
      </c>
      <c r="E2200" s="65" t="s">
        <v>294</v>
      </c>
      <c r="F2200" s="65" t="s">
        <v>40</v>
      </c>
      <c r="G2200" s="65"/>
      <c r="H2200" s="65"/>
      <c r="I2200" s="66">
        <v>86275.69279610728</v>
      </c>
    </row>
    <row r="2201" spans="1:9" hidden="1">
      <c r="A2201" s="67" t="s">
        <v>295</v>
      </c>
      <c r="B2201" s="68">
        <v>2032</v>
      </c>
      <c r="C2201" s="68">
        <v>2023</v>
      </c>
      <c r="D2201" s="68" t="s">
        <v>308</v>
      </c>
      <c r="E2201" s="68" t="s">
        <v>301</v>
      </c>
      <c r="F2201" s="68" t="s">
        <v>297</v>
      </c>
      <c r="G2201" s="68"/>
      <c r="H2201" s="68"/>
      <c r="I2201" s="69">
        <v>87040.69624173679</v>
      </c>
    </row>
    <row r="2202" spans="1:9" hidden="1">
      <c r="A2202" s="64" t="s">
        <v>295</v>
      </c>
      <c r="B2202" s="65">
        <v>2032</v>
      </c>
      <c r="C2202" s="65">
        <v>2023</v>
      </c>
      <c r="D2202" s="65" t="s">
        <v>308</v>
      </c>
      <c r="E2202" s="65" t="s">
        <v>301</v>
      </c>
      <c r="F2202" s="65" t="s">
        <v>298</v>
      </c>
      <c r="G2202" s="65"/>
      <c r="H2202" s="65"/>
      <c r="I2202" s="66">
        <v>254.73790437404261</v>
      </c>
    </row>
    <row r="2203" spans="1:9" hidden="1">
      <c r="A2203" s="67" t="s">
        <v>295</v>
      </c>
      <c r="B2203" s="68">
        <v>2032</v>
      </c>
      <c r="C2203" s="68">
        <v>2023</v>
      </c>
      <c r="D2203" s="68" t="s">
        <v>308</v>
      </c>
      <c r="E2203" s="68" t="s">
        <v>301</v>
      </c>
      <c r="F2203" s="68" t="s">
        <v>40</v>
      </c>
      <c r="G2203" s="68"/>
      <c r="H2203" s="68"/>
      <c r="I2203" s="69">
        <v>87180.396125900428</v>
      </c>
    </row>
    <row r="2204" spans="1:9" hidden="1">
      <c r="A2204" s="64" t="s">
        <v>295</v>
      </c>
      <c r="B2204" s="65">
        <v>2032</v>
      </c>
      <c r="C2204" s="65">
        <v>2023</v>
      </c>
      <c r="D2204" s="65" t="s">
        <v>308</v>
      </c>
      <c r="E2204" s="65" t="s">
        <v>305</v>
      </c>
      <c r="F2204" s="65" t="s">
        <v>297</v>
      </c>
      <c r="G2204" s="65"/>
      <c r="H2204" s="65"/>
      <c r="I2204" s="66">
        <v>1630.4943699999999</v>
      </c>
    </row>
    <row r="2205" spans="1:9" hidden="1">
      <c r="A2205" s="67" t="s">
        <v>295</v>
      </c>
      <c r="B2205" s="68">
        <v>2032</v>
      </c>
      <c r="C2205" s="68">
        <v>2023</v>
      </c>
      <c r="D2205" s="68" t="s">
        <v>308</v>
      </c>
      <c r="E2205" s="68" t="s">
        <v>305</v>
      </c>
      <c r="F2205" s="68" t="s">
        <v>40</v>
      </c>
      <c r="G2205" s="68"/>
      <c r="H2205" s="68"/>
      <c r="I2205" s="69">
        <v>10493.094370000001</v>
      </c>
    </row>
    <row r="2206" spans="1:9" hidden="1">
      <c r="A2206" s="64" t="s">
        <v>295</v>
      </c>
      <c r="B2206" s="65">
        <v>2032</v>
      </c>
      <c r="C2206" s="65">
        <v>2023</v>
      </c>
      <c r="D2206" s="65" t="s">
        <v>310</v>
      </c>
      <c r="E2206" s="65" t="s">
        <v>294</v>
      </c>
      <c r="F2206" s="65" t="s">
        <v>297</v>
      </c>
      <c r="G2206" s="65"/>
      <c r="H2206" s="65"/>
      <c r="I2206" s="66">
        <v>138.6</v>
      </c>
    </row>
    <row r="2207" spans="1:9" hidden="1">
      <c r="A2207" s="67" t="s">
        <v>295</v>
      </c>
      <c r="B2207" s="68">
        <v>2032</v>
      </c>
      <c r="C2207" s="68">
        <v>2023</v>
      </c>
      <c r="D2207" s="68" t="s">
        <v>310</v>
      </c>
      <c r="E2207" s="68" t="s">
        <v>294</v>
      </c>
      <c r="F2207" s="68" t="s">
        <v>40</v>
      </c>
      <c r="G2207" s="68"/>
      <c r="H2207" s="68"/>
      <c r="I2207" s="69">
        <v>119129.3790795251</v>
      </c>
    </row>
    <row r="2208" spans="1:9" hidden="1">
      <c r="A2208" s="64" t="s">
        <v>295</v>
      </c>
      <c r="B2208" s="65">
        <v>2032</v>
      </c>
      <c r="C2208" s="65">
        <v>2023</v>
      </c>
      <c r="D2208" s="65" t="s">
        <v>310</v>
      </c>
      <c r="E2208" s="65" t="s">
        <v>301</v>
      </c>
      <c r="F2208" s="65" t="s">
        <v>297</v>
      </c>
      <c r="G2208" s="65"/>
      <c r="H2208" s="65"/>
      <c r="I2208" s="66">
        <v>138.6</v>
      </c>
    </row>
    <row r="2209" spans="1:9" hidden="1">
      <c r="A2209" s="67" t="s">
        <v>295</v>
      </c>
      <c r="B2209" s="68">
        <v>2032</v>
      </c>
      <c r="C2209" s="68">
        <v>2023</v>
      </c>
      <c r="D2209" s="68" t="s">
        <v>310</v>
      </c>
      <c r="E2209" s="68" t="s">
        <v>301</v>
      </c>
      <c r="F2209" s="68" t="s">
        <v>40</v>
      </c>
      <c r="G2209" s="68"/>
      <c r="H2209" s="68"/>
      <c r="I2209" s="69">
        <v>124862.62947833911</v>
      </c>
    </row>
    <row r="2210" spans="1:9" hidden="1">
      <c r="A2210" s="64" t="s">
        <v>295</v>
      </c>
      <c r="B2210" s="65">
        <v>2032</v>
      </c>
      <c r="C2210" s="65">
        <v>2023</v>
      </c>
      <c r="D2210" s="65" t="s">
        <v>310</v>
      </c>
      <c r="E2210" s="65" t="s">
        <v>305</v>
      </c>
      <c r="F2210" s="65" t="s">
        <v>40</v>
      </c>
      <c r="G2210" s="65"/>
      <c r="H2210" s="65"/>
      <c r="I2210" s="66">
        <v>1123.8009</v>
      </c>
    </row>
    <row r="2211" spans="1:9" hidden="1">
      <c r="A2211" s="67" t="s">
        <v>295</v>
      </c>
      <c r="B2211" s="68">
        <v>2032</v>
      </c>
      <c r="C2211" s="68">
        <v>2023</v>
      </c>
      <c r="D2211" s="68" t="s">
        <v>311</v>
      </c>
      <c r="E2211" s="68" t="s">
        <v>294</v>
      </c>
      <c r="F2211" s="68" t="s">
        <v>297</v>
      </c>
      <c r="G2211" s="68"/>
      <c r="H2211" s="68"/>
      <c r="I2211" s="69">
        <v>714.1</v>
      </c>
    </row>
    <row r="2212" spans="1:9" hidden="1">
      <c r="A2212" s="64" t="s">
        <v>295</v>
      </c>
      <c r="B2212" s="65">
        <v>2032</v>
      </c>
      <c r="C2212" s="65">
        <v>2023</v>
      </c>
      <c r="D2212" s="65" t="s">
        <v>311</v>
      </c>
      <c r="E2212" s="65" t="s">
        <v>294</v>
      </c>
      <c r="F2212" s="65" t="s">
        <v>40</v>
      </c>
      <c r="G2212" s="65"/>
      <c r="H2212" s="65"/>
      <c r="I2212" s="66">
        <v>138035.30083605839</v>
      </c>
    </row>
    <row r="2213" spans="1:9" hidden="1">
      <c r="A2213" s="67" t="s">
        <v>295</v>
      </c>
      <c r="B2213" s="68">
        <v>2032</v>
      </c>
      <c r="C2213" s="68">
        <v>2023</v>
      </c>
      <c r="D2213" s="68" t="s">
        <v>311</v>
      </c>
      <c r="E2213" s="68" t="s">
        <v>301</v>
      </c>
      <c r="F2213" s="68" t="s">
        <v>297</v>
      </c>
      <c r="G2213" s="68"/>
      <c r="H2213" s="68"/>
      <c r="I2213" s="69">
        <v>714.1</v>
      </c>
    </row>
    <row r="2214" spans="1:9" hidden="1">
      <c r="A2214" s="64" t="s">
        <v>295</v>
      </c>
      <c r="B2214" s="65">
        <v>2032</v>
      </c>
      <c r="C2214" s="65">
        <v>2023</v>
      </c>
      <c r="D2214" s="65" t="s">
        <v>311</v>
      </c>
      <c r="E2214" s="65" t="s">
        <v>301</v>
      </c>
      <c r="F2214" s="65" t="s">
        <v>40</v>
      </c>
      <c r="G2214" s="65"/>
      <c r="H2214" s="65"/>
      <c r="I2214" s="66">
        <v>140161.9442898609</v>
      </c>
    </row>
    <row r="2215" spans="1:9" hidden="1">
      <c r="A2215" s="67" t="s">
        <v>295</v>
      </c>
      <c r="B2215" s="68">
        <v>2032</v>
      </c>
      <c r="C2215" s="68">
        <v>2023</v>
      </c>
      <c r="D2215" s="68" t="s">
        <v>311</v>
      </c>
      <c r="E2215" s="68" t="s">
        <v>305</v>
      </c>
      <c r="F2215" s="68" t="s">
        <v>40</v>
      </c>
      <c r="G2215" s="68"/>
      <c r="H2215" s="68"/>
      <c r="I2215" s="69">
        <v>829.4</v>
      </c>
    </row>
    <row r="2216" spans="1:9" hidden="1">
      <c r="A2216" s="64" t="s">
        <v>295</v>
      </c>
      <c r="B2216" s="65">
        <v>2032</v>
      </c>
      <c r="C2216" s="65">
        <v>2023</v>
      </c>
      <c r="D2216" s="65" t="s">
        <v>312</v>
      </c>
      <c r="E2216" s="65" t="s">
        <v>294</v>
      </c>
      <c r="F2216" s="65" t="s">
        <v>297</v>
      </c>
      <c r="G2216" s="65"/>
      <c r="H2216" s="65"/>
      <c r="I2216" s="66">
        <v>722.13337999999999</v>
      </c>
    </row>
    <row r="2217" spans="1:9" hidden="1">
      <c r="A2217" s="67" t="s">
        <v>295</v>
      </c>
      <c r="B2217" s="68">
        <v>2032</v>
      </c>
      <c r="C2217" s="68">
        <v>2023</v>
      </c>
      <c r="D2217" s="68" t="s">
        <v>312</v>
      </c>
      <c r="E2217" s="68" t="s">
        <v>294</v>
      </c>
      <c r="F2217" s="68" t="s">
        <v>40</v>
      </c>
      <c r="G2217" s="68"/>
      <c r="H2217" s="68"/>
      <c r="I2217" s="69">
        <v>866.03337999999997</v>
      </c>
    </row>
    <row r="2218" spans="1:9" hidden="1">
      <c r="A2218" s="64" t="s">
        <v>295</v>
      </c>
      <c r="B2218" s="65">
        <v>2032</v>
      </c>
      <c r="C2218" s="65">
        <v>2023</v>
      </c>
      <c r="D2218" s="65" t="s">
        <v>312</v>
      </c>
      <c r="E2218" s="65" t="s">
        <v>301</v>
      </c>
      <c r="F2218" s="65" t="s">
        <v>297</v>
      </c>
      <c r="G2218" s="65"/>
      <c r="H2218" s="65"/>
      <c r="I2218" s="66">
        <v>723.13760000000002</v>
      </c>
    </row>
    <row r="2219" spans="1:9" hidden="1">
      <c r="A2219" s="67" t="s">
        <v>295</v>
      </c>
      <c r="B2219" s="68">
        <v>2032</v>
      </c>
      <c r="C2219" s="68">
        <v>2023</v>
      </c>
      <c r="D2219" s="68" t="s">
        <v>312</v>
      </c>
      <c r="E2219" s="68" t="s">
        <v>301</v>
      </c>
      <c r="F2219" s="68" t="s">
        <v>40</v>
      </c>
      <c r="G2219" s="68"/>
      <c r="H2219" s="68"/>
      <c r="I2219" s="69">
        <v>867.0376</v>
      </c>
    </row>
    <row r="2220" spans="1:9" hidden="1">
      <c r="A2220" s="64" t="s">
        <v>295</v>
      </c>
      <c r="B2220" s="65">
        <v>2032</v>
      </c>
      <c r="C2220" s="65">
        <v>2023</v>
      </c>
      <c r="D2220" s="65" t="s">
        <v>313</v>
      </c>
      <c r="E2220" s="65" t="s">
        <v>294</v>
      </c>
      <c r="F2220" s="65" t="s">
        <v>297</v>
      </c>
      <c r="G2220" s="65"/>
      <c r="H2220" s="65"/>
      <c r="I2220" s="66">
        <v>1640383.4484518541</v>
      </c>
    </row>
    <row r="2221" spans="1:9" hidden="1">
      <c r="A2221" s="67" t="s">
        <v>295</v>
      </c>
      <c r="B2221" s="68">
        <v>2032</v>
      </c>
      <c r="C2221" s="68">
        <v>2023</v>
      </c>
      <c r="D2221" s="68" t="s">
        <v>313</v>
      </c>
      <c r="E2221" s="68" t="s">
        <v>294</v>
      </c>
      <c r="F2221" s="68" t="s">
        <v>298</v>
      </c>
      <c r="G2221" s="68"/>
      <c r="H2221" s="68"/>
      <c r="I2221" s="69">
        <v>773527.15135172987</v>
      </c>
    </row>
    <row r="2222" spans="1:9" hidden="1">
      <c r="A2222" s="64" t="s">
        <v>295</v>
      </c>
      <c r="B2222" s="65">
        <v>2032</v>
      </c>
      <c r="C2222" s="65">
        <v>2023</v>
      </c>
      <c r="D2222" s="65" t="s">
        <v>313</v>
      </c>
      <c r="E2222" s="65" t="s">
        <v>294</v>
      </c>
      <c r="F2222" s="65" t="s">
        <v>40</v>
      </c>
      <c r="G2222" s="65"/>
      <c r="H2222" s="65"/>
      <c r="I2222" s="66">
        <v>2430522.410356388</v>
      </c>
    </row>
    <row r="2223" spans="1:9" hidden="1">
      <c r="A2223" s="67" t="s">
        <v>295</v>
      </c>
      <c r="B2223" s="68">
        <v>2032</v>
      </c>
      <c r="C2223" s="68">
        <v>2023</v>
      </c>
      <c r="D2223" s="68" t="s">
        <v>313</v>
      </c>
      <c r="E2223" s="68" t="s">
        <v>301</v>
      </c>
      <c r="F2223" s="68" t="s">
        <v>297</v>
      </c>
      <c r="G2223" s="68"/>
      <c r="H2223" s="68"/>
      <c r="I2223" s="69">
        <v>1786906.1891898529</v>
      </c>
    </row>
    <row r="2224" spans="1:9" hidden="1">
      <c r="A2224" s="64" t="s">
        <v>295</v>
      </c>
      <c r="B2224" s="65">
        <v>2032</v>
      </c>
      <c r="C2224" s="65">
        <v>2023</v>
      </c>
      <c r="D2224" s="65" t="s">
        <v>313</v>
      </c>
      <c r="E2224" s="65" t="s">
        <v>301</v>
      </c>
      <c r="F2224" s="65" t="s">
        <v>298</v>
      </c>
      <c r="G2224" s="65"/>
      <c r="H2224" s="65"/>
      <c r="I2224" s="66">
        <v>870336.52735053468</v>
      </c>
    </row>
    <row r="2225" spans="1:9" hidden="1">
      <c r="A2225" s="67" t="s">
        <v>295</v>
      </c>
      <c r="B2225" s="68">
        <v>2032</v>
      </c>
      <c r="C2225" s="68">
        <v>2023</v>
      </c>
      <c r="D2225" s="68" t="s">
        <v>313</v>
      </c>
      <c r="E2225" s="68" t="s">
        <v>301</v>
      </c>
      <c r="F2225" s="68" t="s">
        <v>40</v>
      </c>
      <c r="G2225" s="68"/>
      <c r="H2225" s="68"/>
      <c r="I2225" s="69">
        <v>2675118.2006621882</v>
      </c>
    </row>
    <row r="2226" spans="1:9" hidden="1">
      <c r="A2226" s="64" t="s">
        <v>295</v>
      </c>
      <c r="B2226" s="65">
        <v>2032</v>
      </c>
      <c r="C2226" s="65">
        <v>2023</v>
      </c>
      <c r="D2226" s="65" t="s">
        <v>313</v>
      </c>
      <c r="E2226" s="65" t="s">
        <v>305</v>
      </c>
      <c r="F2226" s="65" t="s">
        <v>297</v>
      </c>
      <c r="G2226" s="65"/>
      <c r="H2226" s="65"/>
      <c r="I2226" s="66">
        <v>16054.639789999999</v>
      </c>
    </row>
    <row r="2227" spans="1:9" hidden="1">
      <c r="A2227" s="67" t="s">
        <v>295</v>
      </c>
      <c r="B2227" s="68">
        <v>2032</v>
      </c>
      <c r="C2227" s="68">
        <v>2023</v>
      </c>
      <c r="D2227" s="68" t="s">
        <v>313</v>
      </c>
      <c r="E2227" s="68" t="s">
        <v>305</v>
      </c>
      <c r="F2227" s="68" t="s">
        <v>298</v>
      </c>
      <c r="G2227" s="68"/>
      <c r="H2227" s="68"/>
      <c r="I2227" s="69">
        <v>9276.6131100000002</v>
      </c>
    </row>
    <row r="2228" spans="1:9" hidden="1">
      <c r="A2228" s="64" t="s">
        <v>295</v>
      </c>
      <c r="B2228" s="65">
        <v>2032</v>
      </c>
      <c r="C2228" s="65">
        <v>2023</v>
      </c>
      <c r="D2228" s="65" t="s">
        <v>313</v>
      </c>
      <c r="E2228" s="65" t="s">
        <v>305</v>
      </c>
      <c r="F2228" s="65" t="s">
        <v>40</v>
      </c>
      <c r="G2228" s="65"/>
      <c r="H2228" s="65"/>
      <c r="I2228" s="66">
        <v>200383.84998999999</v>
      </c>
    </row>
    <row r="2229" spans="1:9" hidden="1">
      <c r="A2229" s="67" t="s">
        <v>295</v>
      </c>
      <c r="B2229" s="68">
        <v>2032</v>
      </c>
      <c r="C2229" s="68">
        <v>2023</v>
      </c>
      <c r="D2229" s="68" t="s">
        <v>314</v>
      </c>
      <c r="E2229" s="68" t="s">
        <v>294</v>
      </c>
      <c r="F2229" s="68" t="s">
        <v>297</v>
      </c>
      <c r="G2229" s="68"/>
      <c r="H2229" s="68"/>
      <c r="I2229" s="69">
        <v>1640383.5484518539</v>
      </c>
    </row>
    <row r="2230" spans="1:9" hidden="1">
      <c r="A2230" s="64" t="s">
        <v>295</v>
      </c>
      <c r="B2230" s="65">
        <v>2032</v>
      </c>
      <c r="C2230" s="65">
        <v>2023</v>
      </c>
      <c r="D2230" s="65" t="s">
        <v>314</v>
      </c>
      <c r="E2230" s="65" t="s">
        <v>294</v>
      </c>
      <c r="F2230" s="65" t="s">
        <v>298</v>
      </c>
      <c r="G2230" s="65"/>
      <c r="H2230" s="65"/>
      <c r="I2230" s="66">
        <v>773527.15135172987</v>
      </c>
    </row>
    <row r="2231" spans="1:9" hidden="1">
      <c r="A2231" s="67" t="s">
        <v>295</v>
      </c>
      <c r="B2231" s="68">
        <v>2032</v>
      </c>
      <c r="C2231" s="68">
        <v>2023</v>
      </c>
      <c r="D2231" s="68" t="s">
        <v>314</v>
      </c>
      <c r="E2231" s="68" t="s">
        <v>294</v>
      </c>
      <c r="F2231" s="68" t="s">
        <v>40</v>
      </c>
      <c r="G2231" s="68"/>
      <c r="H2231" s="68"/>
      <c r="I2231" s="69">
        <v>2170466.7754894951</v>
      </c>
    </row>
    <row r="2232" spans="1:9" hidden="1">
      <c r="A2232" s="64" t="s">
        <v>295</v>
      </c>
      <c r="B2232" s="65">
        <v>2032</v>
      </c>
      <c r="C2232" s="65">
        <v>2023</v>
      </c>
      <c r="D2232" s="65" t="s">
        <v>314</v>
      </c>
      <c r="E2232" s="65" t="s">
        <v>301</v>
      </c>
      <c r="F2232" s="65" t="s">
        <v>297</v>
      </c>
      <c r="G2232" s="65"/>
      <c r="H2232" s="65"/>
      <c r="I2232" s="66">
        <v>1786906.289189853</v>
      </c>
    </row>
    <row r="2233" spans="1:9" hidden="1">
      <c r="A2233" s="67" t="s">
        <v>295</v>
      </c>
      <c r="B2233" s="68">
        <v>2032</v>
      </c>
      <c r="C2233" s="68">
        <v>2023</v>
      </c>
      <c r="D2233" s="68" t="s">
        <v>314</v>
      </c>
      <c r="E2233" s="68" t="s">
        <v>301</v>
      </c>
      <c r="F2233" s="68" t="s">
        <v>298</v>
      </c>
      <c r="G2233" s="68"/>
      <c r="H2233" s="68"/>
      <c r="I2233" s="69">
        <v>870336.52735053468</v>
      </c>
    </row>
    <row r="2234" spans="1:9" hidden="1">
      <c r="A2234" s="64" t="s">
        <v>295</v>
      </c>
      <c r="B2234" s="65">
        <v>2032</v>
      </c>
      <c r="C2234" s="65">
        <v>2023</v>
      </c>
      <c r="D2234" s="65" t="s">
        <v>314</v>
      </c>
      <c r="E2234" s="65" t="s">
        <v>301</v>
      </c>
      <c r="F2234" s="65" t="s">
        <v>40</v>
      </c>
      <c r="G2234" s="65"/>
      <c r="H2234" s="65"/>
      <c r="I2234" s="66">
        <v>2437538.4033764149</v>
      </c>
    </row>
    <row r="2235" spans="1:9" hidden="1">
      <c r="A2235" s="67" t="s">
        <v>295</v>
      </c>
      <c r="B2235" s="68">
        <v>2032</v>
      </c>
      <c r="C2235" s="68">
        <v>2023</v>
      </c>
      <c r="D2235" s="68" t="s">
        <v>314</v>
      </c>
      <c r="E2235" s="68" t="s">
        <v>305</v>
      </c>
      <c r="F2235" s="68" t="s">
        <v>297</v>
      </c>
      <c r="G2235" s="68"/>
      <c r="H2235" s="68"/>
      <c r="I2235" s="69">
        <v>16054.639789999999</v>
      </c>
    </row>
    <row r="2236" spans="1:9" hidden="1">
      <c r="A2236" s="64" t="s">
        <v>295</v>
      </c>
      <c r="B2236" s="65">
        <v>2032</v>
      </c>
      <c r="C2236" s="65">
        <v>2023</v>
      </c>
      <c r="D2236" s="65" t="s">
        <v>314</v>
      </c>
      <c r="E2236" s="65" t="s">
        <v>305</v>
      </c>
      <c r="F2236" s="65" t="s">
        <v>298</v>
      </c>
      <c r="G2236" s="65"/>
      <c r="H2236" s="65"/>
      <c r="I2236" s="66">
        <v>9276.6131100000002</v>
      </c>
    </row>
    <row r="2237" spans="1:9" hidden="1">
      <c r="A2237" s="67" t="s">
        <v>295</v>
      </c>
      <c r="B2237" s="68">
        <v>2032</v>
      </c>
      <c r="C2237" s="68">
        <v>2023</v>
      </c>
      <c r="D2237" s="68" t="s">
        <v>314</v>
      </c>
      <c r="E2237" s="68" t="s">
        <v>305</v>
      </c>
      <c r="F2237" s="68" t="s">
        <v>40</v>
      </c>
      <c r="G2237" s="68"/>
      <c r="H2237" s="68"/>
      <c r="I2237" s="69">
        <v>182865.86973999999</v>
      </c>
    </row>
    <row r="2238" spans="1:9" hidden="1">
      <c r="A2238" s="64" t="s">
        <v>295</v>
      </c>
      <c r="B2238" s="65">
        <v>2033</v>
      </c>
      <c r="C2238" s="65">
        <v>2023</v>
      </c>
      <c r="D2238" s="65" t="s">
        <v>296</v>
      </c>
      <c r="E2238" s="65" t="s">
        <v>294</v>
      </c>
      <c r="F2238" s="65" t="s">
        <v>297</v>
      </c>
      <c r="G2238" s="65"/>
      <c r="H2238" s="65"/>
      <c r="I2238" s="66">
        <v>1105855.862206093</v>
      </c>
    </row>
    <row r="2239" spans="1:9" hidden="1">
      <c r="A2239" s="67" t="s">
        <v>295</v>
      </c>
      <c r="B2239" s="68">
        <v>2033</v>
      </c>
      <c r="C2239" s="68">
        <v>2023</v>
      </c>
      <c r="D2239" s="68" t="s">
        <v>296</v>
      </c>
      <c r="E2239" s="68" t="s">
        <v>294</v>
      </c>
      <c r="F2239" s="68" t="s">
        <v>298</v>
      </c>
      <c r="G2239" s="68"/>
      <c r="H2239" s="68"/>
      <c r="I2239" s="69">
        <v>558802.54417825339</v>
      </c>
    </row>
    <row r="2240" spans="1:9" hidden="1">
      <c r="A2240" s="64" t="s">
        <v>295</v>
      </c>
      <c r="B2240" s="65">
        <v>2033</v>
      </c>
      <c r="C2240" s="65">
        <v>2023</v>
      </c>
      <c r="D2240" s="65" t="s">
        <v>296</v>
      </c>
      <c r="E2240" s="65" t="s">
        <v>294</v>
      </c>
      <c r="F2240" s="65" t="s">
        <v>40</v>
      </c>
      <c r="G2240" s="65"/>
      <c r="H2240" s="65"/>
      <c r="I2240" s="66">
        <v>1681447.4882206609</v>
      </c>
    </row>
    <row r="2241" spans="1:9" hidden="1">
      <c r="A2241" s="67" t="s">
        <v>295</v>
      </c>
      <c r="B2241" s="68">
        <v>2033</v>
      </c>
      <c r="C2241" s="68">
        <v>2023</v>
      </c>
      <c r="D2241" s="68" t="s">
        <v>296</v>
      </c>
      <c r="E2241" s="68" t="s">
        <v>301</v>
      </c>
      <c r="F2241" s="68" t="s">
        <v>297</v>
      </c>
      <c r="G2241" s="68"/>
      <c r="H2241" s="68"/>
      <c r="I2241" s="69">
        <v>1241445.9489868099</v>
      </c>
    </row>
    <row r="2242" spans="1:9" hidden="1">
      <c r="A2242" s="64" t="s">
        <v>295</v>
      </c>
      <c r="B2242" s="65">
        <v>2033</v>
      </c>
      <c r="C2242" s="65">
        <v>2023</v>
      </c>
      <c r="D2242" s="65" t="s">
        <v>296</v>
      </c>
      <c r="E2242" s="65" t="s">
        <v>301</v>
      </c>
      <c r="F2242" s="65" t="s">
        <v>298</v>
      </c>
      <c r="G2242" s="65"/>
      <c r="H2242" s="65"/>
      <c r="I2242" s="66">
        <v>647688.58847491734</v>
      </c>
    </row>
    <row r="2243" spans="1:9" hidden="1">
      <c r="A2243" s="67" t="s">
        <v>295</v>
      </c>
      <c r="B2243" s="68">
        <v>2033</v>
      </c>
      <c r="C2243" s="68">
        <v>2023</v>
      </c>
      <c r="D2243" s="68" t="s">
        <v>296</v>
      </c>
      <c r="E2243" s="68" t="s">
        <v>301</v>
      </c>
      <c r="F2243" s="68" t="s">
        <v>40</v>
      </c>
      <c r="G2243" s="68"/>
      <c r="H2243" s="68"/>
      <c r="I2243" s="69">
        <v>1907316.0541839451</v>
      </c>
    </row>
    <row r="2244" spans="1:9" hidden="1">
      <c r="A2244" s="64" t="s">
        <v>295</v>
      </c>
      <c r="B2244" s="65">
        <v>2033</v>
      </c>
      <c r="C2244" s="65">
        <v>2023</v>
      </c>
      <c r="D2244" s="65" t="s">
        <v>296</v>
      </c>
      <c r="E2244" s="65" t="s">
        <v>305</v>
      </c>
      <c r="F2244" s="65" t="s">
        <v>297</v>
      </c>
      <c r="G2244" s="65"/>
      <c r="H2244" s="65"/>
      <c r="I2244" s="66">
        <v>11366.161760000001</v>
      </c>
    </row>
    <row r="2245" spans="1:9" hidden="1">
      <c r="A2245" s="67" t="s">
        <v>295</v>
      </c>
      <c r="B2245" s="68">
        <v>2033</v>
      </c>
      <c r="C2245" s="68">
        <v>2023</v>
      </c>
      <c r="D2245" s="68" t="s">
        <v>296</v>
      </c>
      <c r="E2245" s="68" t="s">
        <v>305</v>
      </c>
      <c r="F2245" s="68" t="s">
        <v>298</v>
      </c>
      <c r="G2245" s="68"/>
      <c r="H2245" s="68"/>
      <c r="I2245" s="69">
        <v>8544.813110000001</v>
      </c>
    </row>
    <row r="2246" spans="1:9" hidden="1">
      <c r="A2246" s="64" t="s">
        <v>295</v>
      </c>
      <c r="B2246" s="65">
        <v>2033</v>
      </c>
      <c r="C2246" s="65">
        <v>2023</v>
      </c>
      <c r="D2246" s="65" t="s">
        <v>296</v>
      </c>
      <c r="E2246" s="65" t="s">
        <v>305</v>
      </c>
      <c r="F2246" s="65" t="s">
        <v>40</v>
      </c>
      <c r="G2246" s="65"/>
      <c r="H2246" s="65"/>
      <c r="I2246" s="66">
        <v>143713.76991</v>
      </c>
    </row>
    <row r="2247" spans="1:9" hidden="1">
      <c r="A2247" s="67" t="s">
        <v>295</v>
      </c>
      <c r="B2247" s="68">
        <v>2033</v>
      </c>
      <c r="C2247" s="68">
        <v>2023</v>
      </c>
      <c r="D2247" s="68" t="s">
        <v>309</v>
      </c>
      <c r="E2247" s="68" t="s">
        <v>294</v>
      </c>
      <c r="F2247" s="68" t="s">
        <v>297</v>
      </c>
      <c r="G2247" s="68"/>
      <c r="H2247" s="68"/>
      <c r="I2247" s="69">
        <v>45003.45634458329</v>
      </c>
    </row>
    <row r="2248" spans="1:9" hidden="1">
      <c r="A2248" s="64" t="s">
        <v>295</v>
      </c>
      <c r="B2248" s="65">
        <v>2033</v>
      </c>
      <c r="C2248" s="65">
        <v>2023</v>
      </c>
      <c r="D2248" s="65" t="s">
        <v>309</v>
      </c>
      <c r="E2248" s="65" t="s">
        <v>294</v>
      </c>
      <c r="F2248" s="65" t="s">
        <v>298</v>
      </c>
      <c r="G2248" s="65"/>
      <c r="H2248" s="65"/>
      <c r="I2248" s="66">
        <v>337052.16199873789</v>
      </c>
    </row>
    <row r="2249" spans="1:9" hidden="1">
      <c r="A2249" s="67" t="s">
        <v>295</v>
      </c>
      <c r="B2249" s="68">
        <v>2033</v>
      </c>
      <c r="C2249" s="68">
        <v>2023</v>
      </c>
      <c r="D2249" s="68" t="s">
        <v>309</v>
      </c>
      <c r="E2249" s="68" t="s">
        <v>294</v>
      </c>
      <c r="F2249" s="68" t="s">
        <v>40</v>
      </c>
      <c r="G2249" s="68"/>
      <c r="H2249" s="68"/>
      <c r="I2249" s="69">
        <v>382055.53847783362</v>
      </c>
    </row>
    <row r="2250" spans="1:9" hidden="1">
      <c r="A2250" s="64" t="s">
        <v>295</v>
      </c>
      <c r="B2250" s="65">
        <v>2033</v>
      </c>
      <c r="C2250" s="65">
        <v>2023</v>
      </c>
      <c r="D2250" s="65" t="s">
        <v>309</v>
      </c>
      <c r="E2250" s="65" t="s">
        <v>301</v>
      </c>
      <c r="F2250" s="65" t="s">
        <v>297</v>
      </c>
      <c r="G2250" s="65"/>
      <c r="H2250" s="65"/>
      <c r="I2250" s="66">
        <v>51540.13151400115</v>
      </c>
    </row>
    <row r="2251" spans="1:9" hidden="1">
      <c r="A2251" s="67" t="s">
        <v>295</v>
      </c>
      <c r="B2251" s="68">
        <v>2033</v>
      </c>
      <c r="C2251" s="68">
        <v>2023</v>
      </c>
      <c r="D2251" s="68" t="s">
        <v>309</v>
      </c>
      <c r="E2251" s="68" t="s">
        <v>301</v>
      </c>
      <c r="F2251" s="68" t="s">
        <v>298</v>
      </c>
      <c r="G2251" s="68"/>
      <c r="H2251" s="68"/>
      <c r="I2251" s="69">
        <v>399738.29203629948</v>
      </c>
    </row>
    <row r="2252" spans="1:9" hidden="1">
      <c r="A2252" s="64" t="s">
        <v>295</v>
      </c>
      <c r="B2252" s="65">
        <v>2033</v>
      </c>
      <c r="C2252" s="65">
        <v>2023</v>
      </c>
      <c r="D2252" s="65" t="s">
        <v>309</v>
      </c>
      <c r="E2252" s="65" t="s">
        <v>301</v>
      </c>
      <c r="F2252" s="65" t="s">
        <v>40</v>
      </c>
      <c r="G2252" s="65"/>
      <c r="H2252" s="65"/>
      <c r="I2252" s="66">
        <v>451278.36355080007</v>
      </c>
    </row>
    <row r="2253" spans="1:9" hidden="1">
      <c r="A2253" s="67" t="s">
        <v>295</v>
      </c>
      <c r="B2253" s="68">
        <v>2033</v>
      </c>
      <c r="C2253" s="68">
        <v>2023</v>
      </c>
      <c r="D2253" s="68" t="s">
        <v>309</v>
      </c>
      <c r="E2253" s="68" t="s">
        <v>305</v>
      </c>
      <c r="F2253" s="68" t="s">
        <v>297</v>
      </c>
      <c r="G2253" s="68"/>
      <c r="H2253" s="68"/>
      <c r="I2253" s="69">
        <v>90.093060000000008</v>
      </c>
    </row>
    <row r="2254" spans="1:9" hidden="1">
      <c r="A2254" s="64" t="s">
        <v>295</v>
      </c>
      <c r="B2254" s="65">
        <v>2033</v>
      </c>
      <c r="C2254" s="65">
        <v>2023</v>
      </c>
      <c r="D2254" s="65" t="s">
        <v>309</v>
      </c>
      <c r="E2254" s="65" t="s">
        <v>305</v>
      </c>
      <c r="F2254" s="65" t="s">
        <v>298</v>
      </c>
      <c r="G2254" s="65"/>
      <c r="H2254" s="65"/>
      <c r="I2254" s="66">
        <v>7073.0131099999999</v>
      </c>
    </row>
    <row r="2255" spans="1:9" hidden="1">
      <c r="A2255" s="67" t="s">
        <v>295</v>
      </c>
      <c r="B2255" s="68">
        <v>2033</v>
      </c>
      <c r="C2255" s="68">
        <v>2023</v>
      </c>
      <c r="D2255" s="68" t="s">
        <v>309</v>
      </c>
      <c r="E2255" s="68" t="s">
        <v>305</v>
      </c>
      <c r="F2255" s="68" t="s">
        <v>40</v>
      </c>
      <c r="G2255" s="68"/>
      <c r="H2255" s="68"/>
      <c r="I2255" s="69">
        <v>48136.606169999999</v>
      </c>
    </row>
    <row r="2256" spans="1:9" hidden="1">
      <c r="A2256" s="64" t="s">
        <v>295</v>
      </c>
      <c r="B2256" s="65">
        <v>2033</v>
      </c>
      <c r="C2256" s="65">
        <v>2023</v>
      </c>
      <c r="D2256" s="65" t="s">
        <v>315</v>
      </c>
      <c r="E2256" s="65" t="s">
        <v>294</v>
      </c>
      <c r="F2256" s="65" t="s">
        <v>297</v>
      </c>
      <c r="G2256" s="65"/>
      <c r="H2256" s="65"/>
      <c r="I2256" s="66">
        <v>99955.700172258832</v>
      </c>
    </row>
    <row r="2257" spans="1:9" hidden="1">
      <c r="A2257" s="67" t="s">
        <v>295</v>
      </c>
      <c r="B2257" s="68">
        <v>2033</v>
      </c>
      <c r="C2257" s="68">
        <v>2023</v>
      </c>
      <c r="D2257" s="68" t="s">
        <v>315</v>
      </c>
      <c r="E2257" s="68" t="s">
        <v>294</v>
      </c>
      <c r="F2257" s="68" t="s">
        <v>298</v>
      </c>
      <c r="G2257" s="68"/>
      <c r="H2257" s="68"/>
      <c r="I2257" s="69">
        <v>203091.64611166189</v>
      </c>
    </row>
    <row r="2258" spans="1:9" hidden="1">
      <c r="A2258" s="64" t="s">
        <v>295</v>
      </c>
      <c r="B2258" s="65">
        <v>2033</v>
      </c>
      <c r="C2258" s="65">
        <v>2023</v>
      </c>
      <c r="D2258" s="65" t="s">
        <v>315</v>
      </c>
      <c r="E2258" s="65" t="s">
        <v>294</v>
      </c>
      <c r="F2258" s="65" t="s">
        <v>40</v>
      </c>
      <c r="G2258" s="65"/>
      <c r="H2258" s="65"/>
      <c r="I2258" s="66">
        <v>303047.50629394251</v>
      </c>
    </row>
    <row r="2259" spans="1:9" hidden="1">
      <c r="A2259" s="67" t="s">
        <v>295</v>
      </c>
      <c r="B2259" s="68">
        <v>2033</v>
      </c>
      <c r="C2259" s="68">
        <v>2023</v>
      </c>
      <c r="D2259" s="68" t="s">
        <v>315</v>
      </c>
      <c r="E2259" s="68" t="s">
        <v>301</v>
      </c>
      <c r="F2259" s="68" t="s">
        <v>297</v>
      </c>
      <c r="G2259" s="68"/>
      <c r="H2259" s="68"/>
      <c r="I2259" s="69">
        <v>104969.836438775</v>
      </c>
    </row>
    <row r="2260" spans="1:9" hidden="1">
      <c r="A2260" s="64" t="s">
        <v>295</v>
      </c>
      <c r="B2260" s="65">
        <v>2033</v>
      </c>
      <c r="C2260" s="65">
        <v>2023</v>
      </c>
      <c r="D2260" s="65" t="s">
        <v>315</v>
      </c>
      <c r="E2260" s="65" t="s">
        <v>301</v>
      </c>
      <c r="F2260" s="65" t="s">
        <v>298</v>
      </c>
      <c r="G2260" s="65"/>
      <c r="H2260" s="65"/>
      <c r="I2260" s="66">
        <v>227616.42998265411</v>
      </c>
    </row>
    <row r="2261" spans="1:9" hidden="1">
      <c r="A2261" s="67" t="s">
        <v>295</v>
      </c>
      <c r="B2261" s="68">
        <v>2033</v>
      </c>
      <c r="C2261" s="68">
        <v>2023</v>
      </c>
      <c r="D2261" s="68" t="s">
        <v>315</v>
      </c>
      <c r="E2261" s="68" t="s">
        <v>301</v>
      </c>
      <c r="F2261" s="68" t="s">
        <v>40</v>
      </c>
      <c r="G2261" s="68"/>
      <c r="H2261" s="68"/>
      <c r="I2261" s="69">
        <v>332586.42643134849</v>
      </c>
    </row>
    <row r="2262" spans="1:9" hidden="1">
      <c r="A2262" s="64" t="s">
        <v>295</v>
      </c>
      <c r="B2262" s="65">
        <v>2033</v>
      </c>
      <c r="C2262" s="65">
        <v>2023</v>
      </c>
      <c r="D2262" s="65" t="s">
        <v>315</v>
      </c>
      <c r="E2262" s="65" t="s">
        <v>305</v>
      </c>
      <c r="F2262" s="65" t="s">
        <v>297</v>
      </c>
      <c r="G2262" s="65"/>
      <c r="H2262" s="65"/>
      <c r="I2262" s="66">
        <v>1041.14114</v>
      </c>
    </row>
    <row r="2263" spans="1:9" hidden="1">
      <c r="A2263" s="67" t="s">
        <v>295</v>
      </c>
      <c r="B2263" s="68">
        <v>2033</v>
      </c>
      <c r="C2263" s="68">
        <v>2023</v>
      </c>
      <c r="D2263" s="68" t="s">
        <v>315</v>
      </c>
      <c r="E2263" s="68" t="s">
        <v>305</v>
      </c>
      <c r="F2263" s="68" t="s">
        <v>298</v>
      </c>
      <c r="G2263" s="68"/>
      <c r="H2263" s="68"/>
      <c r="I2263" s="69">
        <v>1401.9</v>
      </c>
    </row>
    <row r="2264" spans="1:9" hidden="1">
      <c r="A2264" s="64" t="s">
        <v>295</v>
      </c>
      <c r="B2264" s="65">
        <v>2033</v>
      </c>
      <c r="C2264" s="65">
        <v>2023</v>
      </c>
      <c r="D2264" s="65" t="s">
        <v>315</v>
      </c>
      <c r="E2264" s="65" t="s">
        <v>305</v>
      </c>
      <c r="F2264" s="65" t="s">
        <v>40</v>
      </c>
      <c r="G2264" s="65"/>
      <c r="H2264" s="65"/>
      <c r="I2264" s="66">
        <v>20148.741139999998</v>
      </c>
    </row>
    <row r="2265" spans="1:9" hidden="1">
      <c r="A2265" s="67" t="s">
        <v>295</v>
      </c>
      <c r="B2265" s="68">
        <v>2033</v>
      </c>
      <c r="C2265" s="68">
        <v>2023</v>
      </c>
      <c r="D2265" s="68" t="s">
        <v>316</v>
      </c>
      <c r="E2265" s="68" t="s">
        <v>294</v>
      </c>
      <c r="F2265" s="68" t="s">
        <v>297</v>
      </c>
      <c r="G2265" s="68"/>
      <c r="H2265" s="68"/>
      <c r="I2265" s="69">
        <v>565105.90261159558</v>
      </c>
    </row>
    <row r="2266" spans="1:9" hidden="1">
      <c r="A2266" s="64" t="s">
        <v>295</v>
      </c>
      <c r="B2266" s="65">
        <v>2033</v>
      </c>
      <c r="C2266" s="65">
        <v>2023</v>
      </c>
      <c r="D2266" s="65" t="s">
        <v>316</v>
      </c>
      <c r="E2266" s="65" t="s">
        <v>294</v>
      </c>
      <c r="F2266" s="65" t="s">
        <v>298</v>
      </c>
      <c r="G2266" s="65"/>
      <c r="H2266" s="65"/>
      <c r="I2266" s="66">
        <v>3501.016688013412</v>
      </c>
    </row>
    <row r="2267" spans="1:9" hidden="1">
      <c r="A2267" s="67" t="s">
        <v>295</v>
      </c>
      <c r="B2267" s="68">
        <v>2033</v>
      </c>
      <c r="C2267" s="68">
        <v>2023</v>
      </c>
      <c r="D2267" s="68" t="s">
        <v>316</v>
      </c>
      <c r="E2267" s="68" t="s">
        <v>294</v>
      </c>
      <c r="F2267" s="68" t="s">
        <v>40</v>
      </c>
      <c r="G2267" s="68"/>
      <c r="H2267" s="68"/>
      <c r="I2267" s="69">
        <v>585395.86099027947</v>
      </c>
    </row>
    <row r="2268" spans="1:9" hidden="1">
      <c r="A2268" s="64" t="s">
        <v>295</v>
      </c>
      <c r="B2268" s="65">
        <v>2033</v>
      </c>
      <c r="C2268" s="65">
        <v>2023</v>
      </c>
      <c r="D2268" s="65" t="s">
        <v>316</v>
      </c>
      <c r="E2268" s="65" t="s">
        <v>301</v>
      </c>
      <c r="F2268" s="65" t="s">
        <v>297</v>
      </c>
      <c r="G2268" s="65"/>
      <c r="H2268" s="65"/>
      <c r="I2268" s="66">
        <v>635928.67137748573</v>
      </c>
    </row>
    <row r="2269" spans="1:9" hidden="1">
      <c r="A2269" s="67" t="s">
        <v>295</v>
      </c>
      <c r="B2269" s="68">
        <v>2033</v>
      </c>
      <c r="C2269" s="68">
        <v>2023</v>
      </c>
      <c r="D2269" s="68" t="s">
        <v>316</v>
      </c>
      <c r="E2269" s="68" t="s">
        <v>301</v>
      </c>
      <c r="F2269" s="68" t="s">
        <v>298</v>
      </c>
      <c r="G2269" s="68"/>
      <c r="H2269" s="68"/>
      <c r="I2269" s="69">
        <v>3692.4378378959759</v>
      </c>
    </row>
    <row r="2270" spans="1:9" hidden="1">
      <c r="A2270" s="64" t="s">
        <v>295</v>
      </c>
      <c r="B2270" s="65">
        <v>2033</v>
      </c>
      <c r="C2270" s="65">
        <v>2023</v>
      </c>
      <c r="D2270" s="65" t="s">
        <v>316</v>
      </c>
      <c r="E2270" s="65" t="s">
        <v>301</v>
      </c>
      <c r="F2270" s="65" t="s">
        <v>40</v>
      </c>
      <c r="G2270" s="65"/>
      <c r="H2270" s="65"/>
      <c r="I2270" s="66">
        <v>657802.56589718116</v>
      </c>
    </row>
    <row r="2271" spans="1:9" hidden="1">
      <c r="A2271" s="67" t="s">
        <v>295</v>
      </c>
      <c r="B2271" s="68">
        <v>2033</v>
      </c>
      <c r="C2271" s="68">
        <v>2023</v>
      </c>
      <c r="D2271" s="68" t="s">
        <v>316</v>
      </c>
      <c r="E2271" s="68" t="s">
        <v>305</v>
      </c>
      <c r="F2271" s="68" t="s">
        <v>297</v>
      </c>
      <c r="G2271" s="68"/>
      <c r="H2271" s="68"/>
      <c r="I2271" s="69">
        <v>8291.0815000000002</v>
      </c>
    </row>
    <row r="2272" spans="1:9" hidden="1">
      <c r="A2272" s="64" t="s">
        <v>295</v>
      </c>
      <c r="B2272" s="65">
        <v>2033</v>
      </c>
      <c r="C2272" s="65">
        <v>2023</v>
      </c>
      <c r="D2272" s="65" t="s">
        <v>316</v>
      </c>
      <c r="E2272" s="65" t="s">
        <v>305</v>
      </c>
      <c r="F2272" s="65" t="s">
        <v>298</v>
      </c>
      <c r="G2272" s="65"/>
      <c r="H2272" s="65"/>
      <c r="I2272" s="66">
        <v>0</v>
      </c>
    </row>
    <row r="2273" spans="1:9" hidden="1">
      <c r="A2273" s="67" t="s">
        <v>295</v>
      </c>
      <c r="B2273" s="68">
        <v>2033</v>
      </c>
      <c r="C2273" s="68">
        <v>2023</v>
      </c>
      <c r="D2273" s="68" t="s">
        <v>316</v>
      </c>
      <c r="E2273" s="68" t="s">
        <v>305</v>
      </c>
      <c r="F2273" s="68" t="s">
        <v>40</v>
      </c>
      <c r="G2273" s="68"/>
      <c r="H2273" s="68"/>
      <c r="I2273" s="69">
        <v>37529.476540000003</v>
      </c>
    </row>
    <row r="2274" spans="1:9" hidden="1">
      <c r="A2274" s="64" t="s">
        <v>295</v>
      </c>
      <c r="B2274" s="65">
        <v>2033</v>
      </c>
      <c r="C2274" s="65">
        <v>2023</v>
      </c>
      <c r="D2274" s="65" t="s">
        <v>317</v>
      </c>
      <c r="E2274" s="65" t="s">
        <v>294</v>
      </c>
      <c r="F2274" s="65" t="s">
        <v>297</v>
      </c>
      <c r="G2274" s="65"/>
      <c r="H2274" s="65"/>
      <c r="I2274" s="66">
        <v>148.15793218844959</v>
      </c>
    </row>
    <row r="2275" spans="1:9" hidden="1">
      <c r="A2275" s="67" t="s">
        <v>295</v>
      </c>
      <c r="B2275" s="68">
        <v>2033</v>
      </c>
      <c r="C2275" s="68">
        <v>2023</v>
      </c>
      <c r="D2275" s="68" t="s">
        <v>317</v>
      </c>
      <c r="E2275" s="68" t="s">
        <v>294</v>
      </c>
      <c r="F2275" s="68" t="s">
        <v>298</v>
      </c>
      <c r="G2275" s="68"/>
      <c r="H2275" s="68"/>
      <c r="I2275" s="69">
        <v>0</v>
      </c>
    </row>
    <row r="2276" spans="1:9" hidden="1">
      <c r="A2276" s="64" t="s">
        <v>295</v>
      </c>
      <c r="B2276" s="65">
        <v>2033</v>
      </c>
      <c r="C2276" s="65">
        <v>2023</v>
      </c>
      <c r="D2276" s="65" t="s">
        <v>317</v>
      </c>
      <c r="E2276" s="65" t="s">
        <v>294</v>
      </c>
      <c r="F2276" s="65" t="s">
        <v>40</v>
      </c>
      <c r="G2276" s="65"/>
      <c r="H2276" s="65"/>
      <c r="I2276" s="66">
        <v>16926.066839706618</v>
      </c>
    </row>
    <row r="2277" spans="1:9" hidden="1">
      <c r="A2277" s="67" t="s">
        <v>295</v>
      </c>
      <c r="B2277" s="68">
        <v>2033</v>
      </c>
      <c r="C2277" s="68">
        <v>2023</v>
      </c>
      <c r="D2277" s="68" t="s">
        <v>317</v>
      </c>
      <c r="E2277" s="68" t="s">
        <v>301</v>
      </c>
      <c r="F2277" s="68" t="s">
        <v>297</v>
      </c>
      <c r="G2277" s="68"/>
      <c r="H2277" s="68"/>
      <c r="I2277" s="69">
        <v>157.86547451262231</v>
      </c>
    </row>
    <row r="2278" spans="1:9" hidden="1">
      <c r="A2278" s="64" t="s">
        <v>295</v>
      </c>
      <c r="B2278" s="65">
        <v>2033</v>
      </c>
      <c r="C2278" s="65">
        <v>2023</v>
      </c>
      <c r="D2278" s="65" t="s">
        <v>317</v>
      </c>
      <c r="E2278" s="65" t="s">
        <v>301</v>
      </c>
      <c r="F2278" s="65" t="s">
        <v>298</v>
      </c>
      <c r="G2278" s="65"/>
      <c r="H2278" s="65"/>
      <c r="I2278" s="66">
        <v>0</v>
      </c>
    </row>
    <row r="2279" spans="1:9" hidden="1">
      <c r="A2279" s="67" t="s">
        <v>295</v>
      </c>
      <c r="B2279" s="68">
        <v>2033</v>
      </c>
      <c r="C2279" s="68">
        <v>2023</v>
      </c>
      <c r="D2279" s="68" t="s">
        <v>317</v>
      </c>
      <c r="E2279" s="68" t="s">
        <v>301</v>
      </c>
      <c r="F2279" s="68" t="s">
        <v>40</v>
      </c>
      <c r="G2279" s="68"/>
      <c r="H2279" s="68"/>
      <c r="I2279" s="69">
        <v>18337.776109215749</v>
      </c>
    </row>
    <row r="2280" spans="1:9" hidden="1">
      <c r="A2280" s="64" t="s">
        <v>295</v>
      </c>
      <c r="B2280" s="65">
        <v>2033</v>
      </c>
      <c r="C2280" s="65">
        <v>2023</v>
      </c>
      <c r="D2280" s="65" t="s">
        <v>317</v>
      </c>
      <c r="E2280" s="65" t="s">
        <v>305</v>
      </c>
      <c r="F2280" s="65" t="s">
        <v>297</v>
      </c>
      <c r="G2280" s="65"/>
      <c r="H2280" s="65"/>
      <c r="I2280" s="66">
        <v>1.294E-2</v>
      </c>
    </row>
    <row r="2281" spans="1:9" hidden="1">
      <c r="A2281" s="67" t="s">
        <v>295</v>
      </c>
      <c r="B2281" s="68">
        <v>2033</v>
      </c>
      <c r="C2281" s="68">
        <v>2023</v>
      </c>
      <c r="D2281" s="68" t="s">
        <v>317</v>
      </c>
      <c r="E2281" s="68" t="s">
        <v>305</v>
      </c>
      <c r="F2281" s="68" t="s">
        <v>40</v>
      </c>
      <c r="G2281" s="68"/>
      <c r="H2281" s="68"/>
      <c r="I2281" s="69">
        <v>437.70799</v>
      </c>
    </row>
    <row r="2282" spans="1:9" hidden="1">
      <c r="A2282" s="64" t="s">
        <v>295</v>
      </c>
      <c r="B2282" s="65">
        <v>2033</v>
      </c>
      <c r="C2282" s="65">
        <v>2023</v>
      </c>
      <c r="D2282" s="65" t="s">
        <v>318</v>
      </c>
      <c r="E2282" s="65" t="s">
        <v>294</v>
      </c>
      <c r="F2282" s="65" t="s">
        <v>297</v>
      </c>
      <c r="G2282" s="65"/>
      <c r="H2282" s="65"/>
      <c r="I2282" s="66">
        <v>542878.85085697612</v>
      </c>
    </row>
    <row r="2283" spans="1:9" hidden="1">
      <c r="A2283" s="67" t="s">
        <v>295</v>
      </c>
      <c r="B2283" s="68">
        <v>2033</v>
      </c>
      <c r="C2283" s="68">
        <v>2023</v>
      </c>
      <c r="D2283" s="68" t="s">
        <v>318</v>
      </c>
      <c r="E2283" s="68" t="s">
        <v>294</v>
      </c>
      <c r="F2283" s="68" t="s">
        <v>298</v>
      </c>
      <c r="G2283" s="68"/>
      <c r="H2283" s="68"/>
      <c r="I2283" s="69">
        <v>0</v>
      </c>
    </row>
    <row r="2284" spans="1:9" hidden="1">
      <c r="A2284" s="64" t="s">
        <v>295</v>
      </c>
      <c r="B2284" s="65">
        <v>2033</v>
      </c>
      <c r="C2284" s="65">
        <v>2023</v>
      </c>
      <c r="D2284" s="65" t="s">
        <v>318</v>
      </c>
      <c r="E2284" s="65" t="s">
        <v>294</v>
      </c>
      <c r="F2284" s="65" t="s">
        <v>40</v>
      </c>
      <c r="G2284" s="65"/>
      <c r="H2284" s="65"/>
      <c r="I2284" s="66">
        <v>542878.85085697612</v>
      </c>
    </row>
    <row r="2285" spans="1:9" hidden="1">
      <c r="A2285" s="67" t="s">
        <v>295</v>
      </c>
      <c r="B2285" s="68">
        <v>2033</v>
      </c>
      <c r="C2285" s="68">
        <v>2023</v>
      </c>
      <c r="D2285" s="68" t="s">
        <v>318</v>
      </c>
      <c r="E2285" s="68" t="s">
        <v>301</v>
      </c>
      <c r="F2285" s="68" t="s">
        <v>297</v>
      </c>
      <c r="G2285" s="68"/>
      <c r="H2285" s="68"/>
      <c r="I2285" s="69">
        <v>612552.44779747468</v>
      </c>
    </row>
    <row r="2286" spans="1:9" hidden="1">
      <c r="A2286" s="64" t="s">
        <v>295</v>
      </c>
      <c r="B2286" s="65">
        <v>2033</v>
      </c>
      <c r="C2286" s="65">
        <v>2023</v>
      </c>
      <c r="D2286" s="65" t="s">
        <v>318</v>
      </c>
      <c r="E2286" s="65" t="s">
        <v>301</v>
      </c>
      <c r="F2286" s="65" t="s">
        <v>298</v>
      </c>
      <c r="G2286" s="65"/>
      <c r="H2286" s="65"/>
      <c r="I2286" s="66">
        <v>0</v>
      </c>
    </row>
    <row r="2287" spans="1:9" hidden="1">
      <c r="A2287" s="67" t="s">
        <v>295</v>
      </c>
      <c r="B2287" s="68">
        <v>2033</v>
      </c>
      <c r="C2287" s="68">
        <v>2023</v>
      </c>
      <c r="D2287" s="68" t="s">
        <v>318</v>
      </c>
      <c r="E2287" s="68" t="s">
        <v>301</v>
      </c>
      <c r="F2287" s="68" t="s">
        <v>40</v>
      </c>
      <c r="G2287" s="68"/>
      <c r="H2287" s="68"/>
      <c r="I2287" s="69">
        <v>612552.44779747468</v>
      </c>
    </row>
    <row r="2288" spans="1:9" hidden="1">
      <c r="A2288" s="64" t="s">
        <v>295</v>
      </c>
      <c r="B2288" s="65">
        <v>2033</v>
      </c>
      <c r="C2288" s="65">
        <v>2023</v>
      </c>
      <c r="D2288" s="65" t="s">
        <v>318</v>
      </c>
      <c r="E2288" s="65" t="s">
        <v>305</v>
      </c>
      <c r="F2288" s="65" t="s">
        <v>297</v>
      </c>
      <c r="G2288" s="65"/>
      <c r="H2288" s="65"/>
      <c r="I2288" s="66">
        <v>8196.8229300000003</v>
      </c>
    </row>
    <row r="2289" spans="1:9" hidden="1">
      <c r="A2289" s="67" t="s">
        <v>295</v>
      </c>
      <c r="B2289" s="68">
        <v>2033</v>
      </c>
      <c r="C2289" s="68">
        <v>2023</v>
      </c>
      <c r="D2289" s="68" t="s">
        <v>318</v>
      </c>
      <c r="E2289" s="68" t="s">
        <v>305</v>
      </c>
      <c r="F2289" s="68" t="s">
        <v>40</v>
      </c>
      <c r="G2289" s="68"/>
      <c r="H2289" s="68"/>
      <c r="I2289" s="69">
        <v>35392.622929999998</v>
      </c>
    </row>
    <row r="2290" spans="1:9" hidden="1">
      <c r="A2290" s="64" t="s">
        <v>295</v>
      </c>
      <c r="B2290" s="65">
        <v>2033</v>
      </c>
      <c r="C2290" s="65">
        <v>2023</v>
      </c>
      <c r="D2290" s="65" t="s">
        <v>320</v>
      </c>
      <c r="E2290" s="65" t="s">
        <v>294</v>
      </c>
      <c r="F2290" s="65" t="s">
        <v>297</v>
      </c>
      <c r="G2290" s="65"/>
      <c r="H2290" s="65"/>
      <c r="I2290" s="66">
        <v>3411.7146918606891</v>
      </c>
    </row>
    <row r="2291" spans="1:9" hidden="1">
      <c r="A2291" s="67" t="s">
        <v>295</v>
      </c>
      <c r="B2291" s="68">
        <v>2033</v>
      </c>
      <c r="C2291" s="68">
        <v>2023</v>
      </c>
      <c r="D2291" s="68" t="s">
        <v>320</v>
      </c>
      <c r="E2291" s="68" t="s">
        <v>294</v>
      </c>
      <c r="F2291" s="68" t="s">
        <v>298</v>
      </c>
      <c r="G2291" s="68"/>
      <c r="H2291" s="68"/>
      <c r="I2291" s="69">
        <v>0</v>
      </c>
    </row>
    <row r="2292" spans="1:9" hidden="1">
      <c r="A2292" s="64" t="s">
        <v>295</v>
      </c>
      <c r="B2292" s="65">
        <v>2033</v>
      </c>
      <c r="C2292" s="65">
        <v>2023</v>
      </c>
      <c r="D2292" s="65" t="s">
        <v>320</v>
      </c>
      <c r="E2292" s="65" t="s">
        <v>294</v>
      </c>
      <c r="F2292" s="65" t="s">
        <v>40</v>
      </c>
      <c r="G2292" s="65"/>
      <c r="H2292" s="65"/>
      <c r="I2292" s="66">
        <v>3411.7146918606891</v>
      </c>
    </row>
    <row r="2293" spans="1:9" hidden="1">
      <c r="A2293" s="67" t="s">
        <v>295</v>
      </c>
      <c r="B2293" s="68">
        <v>2033</v>
      </c>
      <c r="C2293" s="68">
        <v>2023</v>
      </c>
      <c r="D2293" s="68" t="s">
        <v>320</v>
      </c>
      <c r="E2293" s="68" t="s">
        <v>301</v>
      </c>
      <c r="F2293" s="68" t="s">
        <v>297</v>
      </c>
      <c r="G2293" s="68"/>
      <c r="H2293" s="68"/>
      <c r="I2293" s="69">
        <v>4071.6472778187772</v>
      </c>
    </row>
    <row r="2294" spans="1:9" hidden="1">
      <c r="A2294" s="64" t="s">
        <v>295</v>
      </c>
      <c r="B2294" s="65">
        <v>2033</v>
      </c>
      <c r="C2294" s="65">
        <v>2023</v>
      </c>
      <c r="D2294" s="65" t="s">
        <v>320</v>
      </c>
      <c r="E2294" s="65" t="s">
        <v>301</v>
      </c>
      <c r="F2294" s="65" t="s">
        <v>298</v>
      </c>
      <c r="G2294" s="65"/>
      <c r="H2294" s="65"/>
      <c r="I2294" s="66">
        <v>0</v>
      </c>
    </row>
    <row r="2295" spans="1:9" hidden="1">
      <c r="A2295" s="67" t="s">
        <v>295</v>
      </c>
      <c r="B2295" s="68">
        <v>2033</v>
      </c>
      <c r="C2295" s="68">
        <v>2023</v>
      </c>
      <c r="D2295" s="68" t="s">
        <v>320</v>
      </c>
      <c r="E2295" s="68" t="s">
        <v>301</v>
      </c>
      <c r="F2295" s="68" t="s">
        <v>40</v>
      </c>
      <c r="G2295" s="68"/>
      <c r="H2295" s="68"/>
      <c r="I2295" s="69">
        <v>4071.6472778187772</v>
      </c>
    </row>
    <row r="2296" spans="1:9" hidden="1">
      <c r="A2296" s="64" t="s">
        <v>295</v>
      </c>
      <c r="B2296" s="65">
        <v>2033</v>
      </c>
      <c r="C2296" s="65">
        <v>2023</v>
      </c>
      <c r="D2296" s="65" t="s">
        <v>320</v>
      </c>
      <c r="E2296" s="65" t="s">
        <v>305</v>
      </c>
      <c r="F2296" s="65" t="s">
        <v>297</v>
      </c>
      <c r="G2296" s="65"/>
      <c r="H2296" s="65"/>
      <c r="I2296" s="66">
        <v>37</v>
      </c>
    </row>
    <row r="2297" spans="1:9" hidden="1">
      <c r="A2297" s="67" t="s">
        <v>295</v>
      </c>
      <c r="B2297" s="68">
        <v>2033</v>
      </c>
      <c r="C2297" s="68">
        <v>2023</v>
      </c>
      <c r="D2297" s="68" t="s">
        <v>320</v>
      </c>
      <c r="E2297" s="68" t="s">
        <v>305</v>
      </c>
      <c r="F2297" s="68" t="s">
        <v>40</v>
      </c>
      <c r="G2297" s="68"/>
      <c r="H2297" s="68"/>
      <c r="I2297" s="69">
        <v>1084.4000000000001</v>
      </c>
    </row>
    <row r="2298" spans="1:9" hidden="1">
      <c r="A2298" s="64" t="s">
        <v>295</v>
      </c>
      <c r="B2298" s="65">
        <v>2033</v>
      </c>
      <c r="C2298" s="65">
        <v>2023</v>
      </c>
      <c r="D2298" s="65" t="s">
        <v>321</v>
      </c>
      <c r="E2298" s="65" t="s">
        <v>294</v>
      </c>
      <c r="F2298" s="65" t="s">
        <v>297</v>
      </c>
      <c r="G2298" s="65"/>
      <c r="H2298" s="65"/>
      <c r="I2298" s="66">
        <v>17411.338672852151</v>
      </c>
    </row>
    <row r="2299" spans="1:9" hidden="1">
      <c r="A2299" s="67" t="s">
        <v>295</v>
      </c>
      <c r="B2299" s="68">
        <v>2033</v>
      </c>
      <c r="C2299" s="68">
        <v>2023</v>
      </c>
      <c r="D2299" s="68" t="s">
        <v>321</v>
      </c>
      <c r="E2299" s="68" t="s">
        <v>294</v>
      </c>
      <c r="F2299" s="68" t="s">
        <v>298</v>
      </c>
      <c r="G2299" s="68"/>
      <c r="H2299" s="68"/>
      <c r="I2299" s="69">
        <v>0</v>
      </c>
    </row>
    <row r="2300" spans="1:9" hidden="1">
      <c r="A2300" s="64" t="s">
        <v>295</v>
      </c>
      <c r="B2300" s="65">
        <v>2033</v>
      </c>
      <c r="C2300" s="65">
        <v>2023</v>
      </c>
      <c r="D2300" s="65" t="s">
        <v>321</v>
      </c>
      <c r="E2300" s="65" t="s">
        <v>294</v>
      </c>
      <c r="F2300" s="65" t="s">
        <v>40</v>
      </c>
      <c r="G2300" s="65"/>
      <c r="H2300" s="65"/>
      <c r="I2300" s="66">
        <v>17411.338512852151</v>
      </c>
    </row>
    <row r="2301" spans="1:9" hidden="1">
      <c r="A2301" s="67" t="s">
        <v>295</v>
      </c>
      <c r="B2301" s="68">
        <v>2033</v>
      </c>
      <c r="C2301" s="68">
        <v>2023</v>
      </c>
      <c r="D2301" s="68" t="s">
        <v>321</v>
      </c>
      <c r="E2301" s="68" t="s">
        <v>301</v>
      </c>
      <c r="F2301" s="68" t="s">
        <v>297</v>
      </c>
      <c r="G2301" s="68"/>
      <c r="H2301" s="68"/>
      <c r="I2301" s="69">
        <v>17674.011485797851</v>
      </c>
    </row>
    <row r="2302" spans="1:9" hidden="1">
      <c r="A2302" s="64" t="s">
        <v>295</v>
      </c>
      <c r="B2302" s="65">
        <v>2033</v>
      </c>
      <c r="C2302" s="65">
        <v>2023</v>
      </c>
      <c r="D2302" s="65" t="s">
        <v>321</v>
      </c>
      <c r="E2302" s="65" t="s">
        <v>301</v>
      </c>
      <c r="F2302" s="65" t="s">
        <v>298</v>
      </c>
      <c r="G2302" s="65"/>
      <c r="H2302" s="65"/>
      <c r="I2302" s="66">
        <v>0</v>
      </c>
    </row>
    <row r="2303" spans="1:9" hidden="1">
      <c r="A2303" s="67" t="s">
        <v>295</v>
      </c>
      <c r="B2303" s="68">
        <v>2033</v>
      </c>
      <c r="C2303" s="68">
        <v>2023</v>
      </c>
      <c r="D2303" s="68" t="s">
        <v>321</v>
      </c>
      <c r="E2303" s="68" t="s">
        <v>301</v>
      </c>
      <c r="F2303" s="68" t="s">
        <v>40</v>
      </c>
      <c r="G2303" s="68"/>
      <c r="H2303" s="68"/>
      <c r="I2303" s="69">
        <v>17674.011325797848</v>
      </c>
    </row>
    <row r="2304" spans="1:9" hidden="1">
      <c r="A2304" s="64" t="s">
        <v>295</v>
      </c>
      <c r="B2304" s="65">
        <v>2033</v>
      </c>
      <c r="C2304" s="65">
        <v>2023</v>
      </c>
      <c r="D2304" s="65" t="s">
        <v>321</v>
      </c>
      <c r="E2304" s="65" t="s">
        <v>305</v>
      </c>
      <c r="F2304" s="65" t="s">
        <v>297</v>
      </c>
      <c r="G2304" s="65"/>
      <c r="H2304" s="65"/>
      <c r="I2304" s="66">
        <v>49.945630000000001</v>
      </c>
    </row>
    <row r="2305" spans="1:9" hidden="1">
      <c r="A2305" s="67" t="s">
        <v>295</v>
      </c>
      <c r="B2305" s="68">
        <v>2033</v>
      </c>
      <c r="C2305" s="68">
        <v>2023</v>
      </c>
      <c r="D2305" s="68" t="s">
        <v>321</v>
      </c>
      <c r="E2305" s="68" t="s">
        <v>305</v>
      </c>
      <c r="F2305" s="68" t="s">
        <v>40</v>
      </c>
      <c r="G2305" s="68"/>
      <c r="H2305" s="68"/>
      <c r="I2305" s="69">
        <v>346.44562999999999</v>
      </c>
    </row>
    <row r="2306" spans="1:9" hidden="1">
      <c r="A2306" s="64" t="s">
        <v>295</v>
      </c>
      <c r="B2306" s="65">
        <v>2033</v>
      </c>
      <c r="C2306" s="65">
        <v>2023</v>
      </c>
      <c r="D2306" s="65" t="s">
        <v>322</v>
      </c>
      <c r="E2306" s="65" t="s">
        <v>294</v>
      </c>
      <c r="F2306" s="65" t="s">
        <v>297</v>
      </c>
      <c r="G2306" s="65"/>
      <c r="H2306" s="65"/>
      <c r="I2306" s="66">
        <v>1254.532867718124</v>
      </c>
    </row>
    <row r="2307" spans="1:9" hidden="1">
      <c r="A2307" s="67" t="s">
        <v>295</v>
      </c>
      <c r="B2307" s="68">
        <v>2033</v>
      </c>
      <c r="C2307" s="68">
        <v>2023</v>
      </c>
      <c r="D2307" s="68" t="s">
        <v>322</v>
      </c>
      <c r="E2307" s="68" t="s">
        <v>294</v>
      </c>
      <c r="F2307" s="68" t="s">
        <v>298</v>
      </c>
      <c r="G2307" s="68"/>
      <c r="H2307" s="68"/>
      <c r="I2307" s="69">
        <v>3512.6339511657411</v>
      </c>
    </row>
    <row r="2308" spans="1:9" hidden="1">
      <c r="A2308" s="64" t="s">
        <v>295</v>
      </c>
      <c r="B2308" s="65">
        <v>2033</v>
      </c>
      <c r="C2308" s="65">
        <v>2023</v>
      </c>
      <c r="D2308" s="65" t="s">
        <v>322</v>
      </c>
      <c r="E2308" s="65" t="s">
        <v>294</v>
      </c>
      <c r="F2308" s="65" t="s">
        <v>40</v>
      </c>
      <c r="G2308" s="65"/>
      <c r="H2308" s="65"/>
      <c r="I2308" s="66">
        <v>4767.1668088838651</v>
      </c>
    </row>
    <row r="2309" spans="1:9" hidden="1">
      <c r="A2309" s="67" t="s">
        <v>295</v>
      </c>
      <c r="B2309" s="68">
        <v>2033</v>
      </c>
      <c r="C2309" s="68">
        <v>2023</v>
      </c>
      <c r="D2309" s="68" t="s">
        <v>322</v>
      </c>
      <c r="E2309" s="68" t="s">
        <v>301</v>
      </c>
      <c r="F2309" s="68" t="s">
        <v>297</v>
      </c>
      <c r="G2309" s="68"/>
      <c r="H2309" s="68"/>
      <c r="I2309" s="69">
        <v>1471.4952258818971</v>
      </c>
    </row>
    <row r="2310" spans="1:9" hidden="1">
      <c r="A2310" s="64" t="s">
        <v>295</v>
      </c>
      <c r="B2310" s="65">
        <v>2033</v>
      </c>
      <c r="C2310" s="65">
        <v>2023</v>
      </c>
      <c r="D2310" s="65" t="s">
        <v>322</v>
      </c>
      <c r="E2310" s="65" t="s">
        <v>301</v>
      </c>
      <c r="F2310" s="65" t="s">
        <v>298</v>
      </c>
      <c r="G2310" s="65"/>
      <c r="H2310" s="65"/>
      <c r="I2310" s="66">
        <v>3694.2448909922518</v>
      </c>
    </row>
    <row r="2311" spans="1:9" hidden="1">
      <c r="A2311" s="67" t="s">
        <v>295</v>
      </c>
      <c r="B2311" s="68">
        <v>2033</v>
      </c>
      <c r="C2311" s="68">
        <v>2023</v>
      </c>
      <c r="D2311" s="68" t="s">
        <v>322</v>
      </c>
      <c r="E2311" s="68" t="s">
        <v>301</v>
      </c>
      <c r="F2311" s="68" t="s">
        <v>40</v>
      </c>
      <c r="G2311" s="68"/>
      <c r="H2311" s="68"/>
      <c r="I2311" s="69">
        <v>5165.740116874149</v>
      </c>
    </row>
    <row r="2312" spans="1:9" hidden="1">
      <c r="A2312" s="64" t="s">
        <v>295</v>
      </c>
      <c r="B2312" s="65">
        <v>2033</v>
      </c>
      <c r="C2312" s="65">
        <v>2023</v>
      </c>
      <c r="D2312" s="65" t="s">
        <v>322</v>
      </c>
      <c r="E2312" s="65" t="s">
        <v>305</v>
      </c>
      <c r="F2312" s="65" t="s">
        <v>297</v>
      </c>
      <c r="G2312" s="65"/>
      <c r="H2312" s="65"/>
      <c r="I2312" s="66">
        <v>7.2</v>
      </c>
    </row>
    <row r="2313" spans="1:9" hidden="1">
      <c r="A2313" s="67" t="s">
        <v>295</v>
      </c>
      <c r="B2313" s="68">
        <v>2033</v>
      </c>
      <c r="C2313" s="68">
        <v>2023</v>
      </c>
      <c r="D2313" s="68" t="s">
        <v>322</v>
      </c>
      <c r="E2313" s="68" t="s">
        <v>305</v>
      </c>
      <c r="F2313" s="68" t="s">
        <v>40</v>
      </c>
      <c r="G2313" s="68"/>
      <c r="H2313" s="68"/>
      <c r="I2313" s="69">
        <v>268.3</v>
      </c>
    </row>
    <row r="2314" spans="1:9" hidden="1">
      <c r="A2314" s="64" t="s">
        <v>295</v>
      </c>
      <c r="B2314" s="65">
        <v>2033</v>
      </c>
      <c r="C2314" s="65">
        <v>2023</v>
      </c>
      <c r="D2314" s="65" t="s">
        <v>323</v>
      </c>
      <c r="E2314" s="65" t="s">
        <v>294</v>
      </c>
      <c r="F2314" s="65" t="s">
        <v>297</v>
      </c>
      <c r="G2314" s="65"/>
      <c r="H2314" s="65"/>
      <c r="I2314" s="66">
        <v>340709.16978904582</v>
      </c>
    </row>
    <row r="2315" spans="1:9" hidden="1">
      <c r="A2315" s="67" t="s">
        <v>295</v>
      </c>
      <c r="B2315" s="68">
        <v>2033</v>
      </c>
      <c r="C2315" s="68">
        <v>2023</v>
      </c>
      <c r="D2315" s="68" t="s">
        <v>323</v>
      </c>
      <c r="E2315" s="68" t="s">
        <v>294</v>
      </c>
      <c r="F2315" s="68" t="s">
        <v>298</v>
      </c>
      <c r="G2315" s="68"/>
      <c r="H2315" s="68"/>
      <c r="I2315" s="69">
        <v>1528.6262485043969</v>
      </c>
    </row>
    <row r="2316" spans="1:9" hidden="1">
      <c r="A2316" s="64" t="s">
        <v>295</v>
      </c>
      <c r="B2316" s="65">
        <v>2033</v>
      </c>
      <c r="C2316" s="65">
        <v>2023</v>
      </c>
      <c r="D2316" s="65" t="s">
        <v>323</v>
      </c>
      <c r="E2316" s="65" t="s">
        <v>294</v>
      </c>
      <c r="F2316" s="65" t="s">
        <v>40</v>
      </c>
      <c r="G2316" s="65"/>
      <c r="H2316" s="65"/>
      <c r="I2316" s="66">
        <v>342238.03602866078</v>
      </c>
    </row>
    <row r="2317" spans="1:9" hidden="1">
      <c r="A2317" s="67" t="s">
        <v>295</v>
      </c>
      <c r="B2317" s="68">
        <v>2033</v>
      </c>
      <c r="C2317" s="68">
        <v>2023</v>
      </c>
      <c r="D2317" s="68" t="s">
        <v>323</v>
      </c>
      <c r="E2317" s="68" t="s">
        <v>301</v>
      </c>
      <c r="F2317" s="68" t="s">
        <v>297</v>
      </c>
      <c r="G2317" s="68"/>
      <c r="H2317" s="68"/>
      <c r="I2317" s="69">
        <v>391637.22314471292</v>
      </c>
    </row>
    <row r="2318" spans="1:9" hidden="1">
      <c r="A2318" s="64" t="s">
        <v>295</v>
      </c>
      <c r="B2318" s="65">
        <v>2033</v>
      </c>
      <c r="C2318" s="65">
        <v>2023</v>
      </c>
      <c r="D2318" s="65" t="s">
        <v>323</v>
      </c>
      <c r="E2318" s="65" t="s">
        <v>301</v>
      </c>
      <c r="F2318" s="65" t="s">
        <v>298</v>
      </c>
      <c r="G2318" s="65"/>
      <c r="H2318" s="65"/>
      <c r="I2318" s="66">
        <v>1652.404919902697</v>
      </c>
    </row>
    <row r="2319" spans="1:9" hidden="1">
      <c r="A2319" s="67" t="s">
        <v>295</v>
      </c>
      <c r="B2319" s="68">
        <v>2033</v>
      </c>
      <c r="C2319" s="68">
        <v>2023</v>
      </c>
      <c r="D2319" s="68" t="s">
        <v>323</v>
      </c>
      <c r="E2319" s="68" t="s">
        <v>301</v>
      </c>
      <c r="F2319" s="68" t="s">
        <v>40</v>
      </c>
      <c r="G2319" s="68"/>
      <c r="H2319" s="68"/>
      <c r="I2319" s="69">
        <v>393289.92806461558</v>
      </c>
    </row>
    <row r="2320" spans="1:9" hidden="1">
      <c r="A2320" s="64" t="s">
        <v>295</v>
      </c>
      <c r="B2320" s="65">
        <v>2033</v>
      </c>
      <c r="C2320" s="65">
        <v>2023</v>
      </c>
      <c r="D2320" s="65" t="s">
        <v>323</v>
      </c>
      <c r="E2320" s="65" t="s">
        <v>305</v>
      </c>
      <c r="F2320" s="65" t="s">
        <v>297</v>
      </c>
      <c r="G2320" s="65"/>
      <c r="H2320" s="65"/>
      <c r="I2320" s="66">
        <v>1510.44606</v>
      </c>
    </row>
    <row r="2321" spans="1:9" hidden="1">
      <c r="A2321" s="67" t="s">
        <v>295</v>
      </c>
      <c r="B2321" s="68">
        <v>2033</v>
      </c>
      <c r="C2321" s="68">
        <v>2023</v>
      </c>
      <c r="D2321" s="68" t="s">
        <v>323</v>
      </c>
      <c r="E2321" s="68" t="s">
        <v>305</v>
      </c>
      <c r="F2321" s="68" t="s">
        <v>40</v>
      </c>
      <c r="G2321" s="68"/>
      <c r="H2321" s="68"/>
      <c r="I2321" s="69">
        <v>17977.746060000001</v>
      </c>
    </row>
    <row r="2322" spans="1:9" hidden="1">
      <c r="A2322" s="64" t="s">
        <v>295</v>
      </c>
      <c r="B2322" s="65">
        <v>2033</v>
      </c>
      <c r="C2322" s="65">
        <v>2023</v>
      </c>
      <c r="D2322" s="65" t="s">
        <v>324</v>
      </c>
      <c r="E2322" s="65" t="s">
        <v>294</v>
      </c>
      <c r="F2322" s="65" t="s">
        <v>297</v>
      </c>
      <c r="G2322" s="65"/>
      <c r="H2322" s="65"/>
      <c r="I2322" s="66">
        <v>3581.6391199999998</v>
      </c>
    </row>
    <row r="2323" spans="1:9" hidden="1">
      <c r="A2323" s="67" t="s">
        <v>295</v>
      </c>
      <c r="B2323" s="68">
        <v>2033</v>
      </c>
      <c r="C2323" s="68">
        <v>2023</v>
      </c>
      <c r="D2323" s="68" t="s">
        <v>324</v>
      </c>
      <c r="E2323" s="68" t="s">
        <v>294</v>
      </c>
      <c r="F2323" s="68" t="s">
        <v>298</v>
      </c>
      <c r="G2323" s="68"/>
      <c r="H2323" s="68"/>
      <c r="I2323" s="69">
        <v>0</v>
      </c>
    </row>
    <row r="2324" spans="1:9" hidden="1">
      <c r="A2324" s="64" t="s">
        <v>295</v>
      </c>
      <c r="B2324" s="65">
        <v>2033</v>
      </c>
      <c r="C2324" s="65">
        <v>2023</v>
      </c>
      <c r="D2324" s="65" t="s">
        <v>324</v>
      </c>
      <c r="E2324" s="65" t="s">
        <v>294</v>
      </c>
      <c r="F2324" s="65" t="s">
        <v>40</v>
      </c>
      <c r="G2324" s="65"/>
      <c r="H2324" s="65"/>
      <c r="I2324" s="66">
        <v>3581.6391199999998</v>
      </c>
    </row>
    <row r="2325" spans="1:9" hidden="1">
      <c r="A2325" s="67" t="s">
        <v>295</v>
      </c>
      <c r="B2325" s="68">
        <v>2033</v>
      </c>
      <c r="C2325" s="68">
        <v>2023</v>
      </c>
      <c r="D2325" s="68" t="s">
        <v>324</v>
      </c>
      <c r="E2325" s="68" t="s">
        <v>301</v>
      </c>
      <c r="F2325" s="68" t="s">
        <v>297</v>
      </c>
      <c r="G2325" s="68"/>
      <c r="H2325" s="68"/>
      <c r="I2325" s="69">
        <v>3581.9038</v>
      </c>
    </row>
    <row r="2326" spans="1:9" hidden="1">
      <c r="A2326" s="64" t="s">
        <v>295</v>
      </c>
      <c r="B2326" s="65">
        <v>2033</v>
      </c>
      <c r="C2326" s="65">
        <v>2023</v>
      </c>
      <c r="D2326" s="65" t="s">
        <v>324</v>
      </c>
      <c r="E2326" s="65" t="s">
        <v>301</v>
      </c>
      <c r="F2326" s="65" t="s">
        <v>298</v>
      </c>
      <c r="G2326" s="65"/>
      <c r="H2326" s="65"/>
      <c r="I2326" s="66">
        <v>0</v>
      </c>
    </row>
    <row r="2327" spans="1:9" hidden="1">
      <c r="A2327" s="67" t="s">
        <v>295</v>
      </c>
      <c r="B2327" s="68">
        <v>2033</v>
      </c>
      <c r="C2327" s="68">
        <v>2023</v>
      </c>
      <c r="D2327" s="68" t="s">
        <v>324</v>
      </c>
      <c r="E2327" s="68" t="s">
        <v>301</v>
      </c>
      <c r="F2327" s="68" t="s">
        <v>40</v>
      </c>
      <c r="G2327" s="68"/>
      <c r="H2327" s="68"/>
      <c r="I2327" s="69">
        <v>3581.9038</v>
      </c>
    </row>
    <row r="2328" spans="1:9" hidden="1">
      <c r="A2328" s="64" t="s">
        <v>295</v>
      </c>
      <c r="B2328" s="65">
        <v>2033</v>
      </c>
      <c r="C2328" s="65">
        <v>2023</v>
      </c>
      <c r="D2328" s="65" t="s">
        <v>324</v>
      </c>
      <c r="E2328" s="65" t="s">
        <v>305</v>
      </c>
      <c r="F2328" s="65" t="s">
        <v>297</v>
      </c>
      <c r="G2328" s="65"/>
      <c r="H2328" s="65"/>
      <c r="I2328" s="66">
        <v>4.0999999999999996</v>
      </c>
    </row>
    <row r="2329" spans="1:9" hidden="1">
      <c r="A2329" s="67" t="s">
        <v>295</v>
      </c>
      <c r="B2329" s="68">
        <v>2033</v>
      </c>
      <c r="C2329" s="68">
        <v>2023</v>
      </c>
      <c r="D2329" s="68" t="s">
        <v>324</v>
      </c>
      <c r="E2329" s="68" t="s">
        <v>305</v>
      </c>
      <c r="F2329" s="68" t="s">
        <v>40</v>
      </c>
      <c r="G2329" s="68"/>
      <c r="H2329" s="68"/>
      <c r="I2329" s="69">
        <v>1246.2</v>
      </c>
    </row>
    <row r="2330" spans="1:9" hidden="1">
      <c r="A2330" s="64" t="s">
        <v>295</v>
      </c>
      <c r="B2330" s="65">
        <v>2033</v>
      </c>
      <c r="C2330" s="65">
        <v>2023</v>
      </c>
      <c r="D2330" s="65" t="s">
        <v>325</v>
      </c>
      <c r="E2330" s="65" t="s">
        <v>294</v>
      </c>
      <c r="F2330" s="65" t="s">
        <v>297</v>
      </c>
      <c r="G2330" s="65"/>
      <c r="H2330" s="65"/>
      <c r="I2330" s="66">
        <v>51561.034178609203</v>
      </c>
    </row>
    <row r="2331" spans="1:9" hidden="1">
      <c r="A2331" s="67" t="s">
        <v>295</v>
      </c>
      <c r="B2331" s="68">
        <v>2033</v>
      </c>
      <c r="C2331" s="68">
        <v>2023</v>
      </c>
      <c r="D2331" s="68" t="s">
        <v>325</v>
      </c>
      <c r="E2331" s="68" t="s">
        <v>294</v>
      </c>
      <c r="F2331" s="68" t="s">
        <v>298</v>
      </c>
      <c r="G2331" s="68"/>
      <c r="H2331" s="68"/>
      <c r="I2331" s="69">
        <v>13628.7531213358</v>
      </c>
    </row>
    <row r="2332" spans="1:9" hidden="1">
      <c r="A2332" s="64" t="s">
        <v>295</v>
      </c>
      <c r="B2332" s="65">
        <v>2033</v>
      </c>
      <c r="C2332" s="65">
        <v>2023</v>
      </c>
      <c r="D2332" s="65" t="s">
        <v>325</v>
      </c>
      <c r="E2332" s="65" t="s">
        <v>294</v>
      </c>
      <c r="F2332" s="65" t="s">
        <v>40</v>
      </c>
      <c r="G2332" s="65"/>
      <c r="H2332" s="65"/>
      <c r="I2332" s="66">
        <v>65189.827309944987</v>
      </c>
    </row>
    <row r="2333" spans="1:9" hidden="1">
      <c r="A2333" s="67" t="s">
        <v>295</v>
      </c>
      <c r="B2333" s="68">
        <v>2033</v>
      </c>
      <c r="C2333" s="68">
        <v>2023</v>
      </c>
      <c r="D2333" s="68" t="s">
        <v>325</v>
      </c>
      <c r="E2333" s="68" t="s">
        <v>301</v>
      </c>
      <c r="F2333" s="68" t="s">
        <v>297</v>
      </c>
      <c r="G2333" s="68"/>
      <c r="H2333" s="68"/>
      <c r="I2333" s="69">
        <v>53849.302721835033</v>
      </c>
    </row>
    <row r="2334" spans="1:9" hidden="1">
      <c r="A2334" s="64" t="s">
        <v>295</v>
      </c>
      <c r="B2334" s="65">
        <v>2033</v>
      </c>
      <c r="C2334" s="65">
        <v>2023</v>
      </c>
      <c r="D2334" s="65" t="s">
        <v>325</v>
      </c>
      <c r="E2334" s="65" t="s">
        <v>301</v>
      </c>
      <c r="F2334" s="65" t="s">
        <v>298</v>
      </c>
      <c r="G2334" s="65"/>
      <c r="H2334" s="65"/>
      <c r="I2334" s="66">
        <v>14988.863688164971</v>
      </c>
    </row>
    <row r="2335" spans="1:9" hidden="1">
      <c r="A2335" s="67" t="s">
        <v>295</v>
      </c>
      <c r="B2335" s="68">
        <v>2033</v>
      </c>
      <c r="C2335" s="68">
        <v>2023</v>
      </c>
      <c r="D2335" s="68" t="s">
        <v>325</v>
      </c>
      <c r="E2335" s="68" t="s">
        <v>301</v>
      </c>
      <c r="F2335" s="68" t="s">
        <v>40</v>
      </c>
      <c r="G2335" s="68"/>
      <c r="H2335" s="68"/>
      <c r="I2335" s="69">
        <v>68838.166419999994</v>
      </c>
    </row>
    <row r="2336" spans="1:9" hidden="1">
      <c r="A2336" s="64" t="s">
        <v>295</v>
      </c>
      <c r="B2336" s="65">
        <v>2033</v>
      </c>
      <c r="C2336" s="65">
        <v>2023</v>
      </c>
      <c r="D2336" s="65" t="s">
        <v>325</v>
      </c>
      <c r="E2336" s="65" t="s">
        <v>305</v>
      </c>
      <c r="F2336" s="65" t="s">
        <v>297</v>
      </c>
      <c r="G2336" s="65"/>
      <c r="H2336" s="65"/>
      <c r="I2336" s="66">
        <v>429.4</v>
      </c>
    </row>
    <row r="2337" spans="1:9" hidden="1">
      <c r="A2337" s="67" t="s">
        <v>295</v>
      </c>
      <c r="B2337" s="68">
        <v>2033</v>
      </c>
      <c r="C2337" s="68">
        <v>2023</v>
      </c>
      <c r="D2337" s="68" t="s">
        <v>325</v>
      </c>
      <c r="E2337" s="68" t="s">
        <v>305</v>
      </c>
      <c r="F2337" s="68" t="s">
        <v>298</v>
      </c>
      <c r="G2337" s="68"/>
      <c r="H2337" s="68"/>
      <c r="I2337" s="69">
        <v>69.900000000000006</v>
      </c>
    </row>
    <row r="2338" spans="1:9" hidden="1">
      <c r="A2338" s="64" t="s">
        <v>295</v>
      </c>
      <c r="B2338" s="65">
        <v>2033</v>
      </c>
      <c r="C2338" s="65">
        <v>2023</v>
      </c>
      <c r="D2338" s="65" t="s">
        <v>325</v>
      </c>
      <c r="E2338" s="65" t="s">
        <v>305</v>
      </c>
      <c r="F2338" s="65" t="s">
        <v>40</v>
      </c>
      <c r="G2338" s="65"/>
      <c r="H2338" s="65"/>
      <c r="I2338" s="66">
        <v>18675.099999999999</v>
      </c>
    </row>
    <row r="2339" spans="1:9" hidden="1">
      <c r="A2339" s="67" t="s">
        <v>295</v>
      </c>
      <c r="B2339" s="68">
        <v>2033</v>
      </c>
      <c r="C2339" s="68">
        <v>2023</v>
      </c>
      <c r="D2339" s="68" t="s">
        <v>326</v>
      </c>
      <c r="E2339" s="68" t="s">
        <v>294</v>
      </c>
      <c r="F2339" s="68" t="s">
        <v>297</v>
      </c>
      <c r="G2339" s="68"/>
      <c r="H2339" s="68"/>
      <c r="I2339" s="69">
        <v>0</v>
      </c>
    </row>
    <row r="2340" spans="1:9" hidden="1">
      <c r="A2340" s="64" t="s">
        <v>295</v>
      </c>
      <c r="B2340" s="65">
        <v>2033</v>
      </c>
      <c r="C2340" s="65">
        <v>2023</v>
      </c>
      <c r="D2340" s="65" t="s">
        <v>326</v>
      </c>
      <c r="E2340" s="65" t="s">
        <v>294</v>
      </c>
      <c r="F2340" s="65" t="s">
        <v>298</v>
      </c>
      <c r="G2340" s="65"/>
      <c r="H2340" s="65"/>
      <c r="I2340" s="66">
        <v>0</v>
      </c>
    </row>
    <row r="2341" spans="1:9" hidden="1">
      <c r="A2341" s="67" t="s">
        <v>295</v>
      </c>
      <c r="B2341" s="68">
        <v>2033</v>
      </c>
      <c r="C2341" s="68">
        <v>2023</v>
      </c>
      <c r="D2341" s="68" t="s">
        <v>326</v>
      </c>
      <c r="E2341" s="68" t="s">
        <v>294</v>
      </c>
      <c r="F2341" s="68" t="s">
        <v>40</v>
      </c>
      <c r="G2341" s="68"/>
      <c r="H2341" s="68"/>
      <c r="I2341" s="69">
        <v>0</v>
      </c>
    </row>
    <row r="2342" spans="1:9" hidden="1">
      <c r="A2342" s="64" t="s">
        <v>295</v>
      </c>
      <c r="B2342" s="65">
        <v>2033</v>
      </c>
      <c r="C2342" s="65">
        <v>2023</v>
      </c>
      <c r="D2342" s="65" t="s">
        <v>326</v>
      </c>
      <c r="E2342" s="65" t="s">
        <v>301</v>
      </c>
      <c r="F2342" s="65" t="s">
        <v>297</v>
      </c>
      <c r="G2342" s="65"/>
      <c r="H2342" s="65"/>
      <c r="I2342" s="66">
        <v>0</v>
      </c>
    </row>
    <row r="2343" spans="1:9" hidden="1">
      <c r="A2343" s="67" t="s">
        <v>295</v>
      </c>
      <c r="B2343" s="68">
        <v>2033</v>
      </c>
      <c r="C2343" s="68">
        <v>2023</v>
      </c>
      <c r="D2343" s="68" t="s">
        <v>326</v>
      </c>
      <c r="E2343" s="68" t="s">
        <v>301</v>
      </c>
      <c r="F2343" s="68" t="s">
        <v>298</v>
      </c>
      <c r="G2343" s="68"/>
      <c r="H2343" s="68"/>
      <c r="I2343" s="69">
        <v>0</v>
      </c>
    </row>
    <row r="2344" spans="1:9" hidden="1">
      <c r="A2344" s="64" t="s">
        <v>295</v>
      </c>
      <c r="B2344" s="65">
        <v>2033</v>
      </c>
      <c r="C2344" s="65">
        <v>2023</v>
      </c>
      <c r="D2344" s="65" t="s">
        <v>326</v>
      </c>
      <c r="E2344" s="65" t="s">
        <v>301</v>
      </c>
      <c r="F2344" s="65" t="s">
        <v>40</v>
      </c>
      <c r="G2344" s="65"/>
      <c r="H2344" s="65"/>
      <c r="I2344" s="66">
        <v>0</v>
      </c>
    </row>
    <row r="2345" spans="1:9" hidden="1">
      <c r="A2345" s="67" t="s">
        <v>295</v>
      </c>
      <c r="B2345" s="68">
        <v>2033</v>
      </c>
      <c r="C2345" s="68">
        <v>2023</v>
      </c>
      <c r="D2345" s="68" t="s">
        <v>304</v>
      </c>
      <c r="E2345" s="68" t="s">
        <v>294</v>
      </c>
      <c r="F2345" s="68" t="s">
        <v>297</v>
      </c>
      <c r="G2345" s="68"/>
      <c r="H2345" s="68"/>
      <c r="I2345" s="69">
        <v>55868.599920076522</v>
      </c>
    </row>
    <row r="2346" spans="1:9" hidden="1">
      <c r="A2346" s="64" t="s">
        <v>295</v>
      </c>
      <c r="B2346" s="65">
        <v>2033</v>
      </c>
      <c r="C2346" s="65">
        <v>2023</v>
      </c>
      <c r="D2346" s="65" t="s">
        <v>304</v>
      </c>
      <c r="E2346" s="65" t="s">
        <v>294</v>
      </c>
      <c r="F2346" s="65" t="s">
        <v>298</v>
      </c>
      <c r="G2346" s="65"/>
      <c r="H2346" s="65"/>
      <c r="I2346" s="66">
        <v>186491.56458728921</v>
      </c>
    </row>
    <row r="2347" spans="1:9" hidden="1">
      <c r="A2347" s="67" t="s">
        <v>295</v>
      </c>
      <c r="B2347" s="68">
        <v>2033</v>
      </c>
      <c r="C2347" s="68">
        <v>2023</v>
      </c>
      <c r="D2347" s="68" t="s">
        <v>304</v>
      </c>
      <c r="E2347" s="68" t="s">
        <v>294</v>
      </c>
      <c r="F2347" s="68" t="s">
        <v>40</v>
      </c>
      <c r="G2347" s="68"/>
      <c r="H2347" s="68"/>
      <c r="I2347" s="69">
        <v>242100.1155920637</v>
      </c>
    </row>
    <row r="2348" spans="1:9" hidden="1">
      <c r="A2348" s="64" t="s">
        <v>295</v>
      </c>
      <c r="B2348" s="65">
        <v>2033</v>
      </c>
      <c r="C2348" s="65">
        <v>2023</v>
      </c>
      <c r="D2348" s="65" t="s">
        <v>304</v>
      </c>
      <c r="E2348" s="65" t="s">
        <v>301</v>
      </c>
      <c r="F2348" s="65" t="s">
        <v>297</v>
      </c>
      <c r="G2348" s="65"/>
      <c r="H2348" s="65"/>
      <c r="I2348" s="66">
        <v>58243.241884700772</v>
      </c>
    </row>
    <row r="2349" spans="1:9" hidden="1">
      <c r="A2349" s="67" t="s">
        <v>295</v>
      </c>
      <c r="B2349" s="68">
        <v>2033</v>
      </c>
      <c r="C2349" s="68">
        <v>2023</v>
      </c>
      <c r="D2349" s="68" t="s">
        <v>304</v>
      </c>
      <c r="E2349" s="68" t="s">
        <v>301</v>
      </c>
      <c r="F2349" s="68" t="s">
        <v>298</v>
      </c>
      <c r="G2349" s="68"/>
      <c r="H2349" s="68"/>
      <c r="I2349" s="69">
        <v>196503.79926980991</v>
      </c>
    </row>
    <row r="2350" spans="1:9" hidden="1">
      <c r="A2350" s="64" t="s">
        <v>295</v>
      </c>
      <c r="B2350" s="65">
        <v>2033</v>
      </c>
      <c r="C2350" s="65">
        <v>2023</v>
      </c>
      <c r="D2350" s="65" t="s">
        <v>304</v>
      </c>
      <c r="E2350" s="65" t="s">
        <v>301</v>
      </c>
      <c r="F2350" s="65" t="s">
        <v>40</v>
      </c>
      <c r="G2350" s="65"/>
      <c r="H2350" s="65"/>
      <c r="I2350" s="66">
        <v>254488.19332951409</v>
      </c>
    </row>
    <row r="2351" spans="1:9" hidden="1">
      <c r="A2351" s="67" t="s">
        <v>295</v>
      </c>
      <c r="B2351" s="68">
        <v>2033</v>
      </c>
      <c r="C2351" s="68">
        <v>2023</v>
      </c>
      <c r="D2351" s="68" t="s">
        <v>304</v>
      </c>
      <c r="E2351" s="68" t="s">
        <v>305</v>
      </c>
      <c r="F2351" s="68" t="s">
        <v>297</v>
      </c>
      <c r="G2351" s="68"/>
      <c r="H2351" s="68"/>
      <c r="I2351" s="69">
        <v>1118.49945</v>
      </c>
    </row>
    <row r="2352" spans="1:9" hidden="1">
      <c r="A2352" s="64" t="s">
        <v>295</v>
      </c>
      <c r="B2352" s="65">
        <v>2033</v>
      </c>
      <c r="C2352" s="65">
        <v>2023</v>
      </c>
      <c r="D2352" s="65" t="s">
        <v>304</v>
      </c>
      <c r="E2352" s="65" t="s">
        <v>305</v>
      </c>
      <c r="F2352" s="65" t="s">
        <v>298</v>
      </c>
      <c r="G2352" s="65"/>
      <c r="H2352" s="65"/>
      <c r="I2352" s="66">
        <v>742.9</v>
      </c>
    </row>
    <row r="2353" spans="1:9" hidden="1">
      <c r="A2353" s="67" t="s">
        <v>295</v>
      </c>
      <c r="B2353" s="68">
        <v>2033</v>
      </c>
      <c r="C2353" s="68">
        <v>2023</v>
      </c>
      <c r="D2353" s="68" t="s">
        <v>304</v>
      </c>
      <c r="E2353" s="68" t="s">
        <v>305</v>
      </c>
      <c r="F2353" s="68" t="s">
        <v>40</v>
      </c>
      <c r="G2353" s="68"/>
      <c r="H2353" s="68"/>
      <c r="I2353" s="69">
        <v>16431.099450000002</v>
      </c>
    </row>
    <row r="2354" spans="1:9" hidden="1">
      <c r="A2354" s="64" t="s">
        <v>295</v>
      </c>
      <c r="B2354" s="65">
        <v>2033</v>
      </c>
      <c r="C2354" s="65">
        <v>2023</v>
      </c>
      <c r="D2354" s="65" t="s">
        <v>306</v>
      </c>
      <c r="E2354" s="65" t="s">
        <v>294</v>
      </c>
      <c r="F2354" s="65" t="s">
        <v>297</v>
      </c>
      <c r="G2354" s="65"/>
      <c r="H2354" s="65"/>
      <c r="I2354" s="66">
        <v>355246.04335152038</v>
      </c>
    </row>
    <row r="2355" spans="1:9" hidden="1">
      <c r="A2355" s="67" t="s">
        <v>295</v>
      </c>
      <c r="B2355" s="68">
        <v>2033</v>
      </c>
      <c r="C2355" s="68">
        <v>2023</v>
      </c>
      <c r="D2355" s="68" t="s">
        <v>306</v>
      </c>
      <c r="E2355" s="68" t="s">
        <v>294</v>
      </c>
      <c r="F2355" s="68" t="s">
        <v>40</v>
      </c>
      <c r="G2355" s="68"/>
      <c r="H2355" s="68"/>
      <c r="I2355" s="69">
        <v>355246.04335152038</v>
      </c>
    </row>
    <row r="2356" spans="1:9" hidden="1">
      <c r="A2356" s="64" t="s">
        <v>295</v>
      </c>
      <c r="B2356" s="65">
        <v>2033</v>
      </c>
      <c r="C2356" s="65">
        <v>2023</v>
      </c>
      <c r="D2356" s="65" t="s">
        <v>306</v>
      </c>
      <c r="E2356" s="65" t="s">
        <v>301</v>
      </c>
      <c r="F2356" s="65" t="s">
        <v>297</v>
      </c>
      <c r="G2356" s="65"/>
      <c r="H2356" s="65"/>
      <c r="I2356" s="66">
        <v>370647.40866783092</v>
      </c>
    </row>
    <row r="2357" spans="1:9" hidden="1">
      <c r="A2357" s="67" t="s">
        <v>295</v>
      </c>
      <c r="B2357" s="68">
        <v>2033</v>
      </c>
      <c r="C2357" s="68">
        <v>2023</v>
      </c>
      <c r="D2357" s="68" t="s">
        <v>306</v>
      </c>
      <c r="E2357" s="68" t="s">
        <v>301</v>
      </c>
      <c r="F2357" s="68" t="s">
        <v>40</v>
      </c>
      <c r="G2357" s="68"/>
      <c r="H2357" s="68"/>
      <c r="I2357" s="69">
        <v>370647.40866783092</v>
      </c>
    </row>
    <row r="2358" spans="1:9" hidden="1">
      <c r="A2358" s="64" t="s">
        <v>295</v>
      </c>
      <c r="B2358" s="65">
        <v>2033</v>
      </c>
      <c r="C2358" s="65">
        <v>2023</v>
      </c>
      <c r="D2358" s="65" t="s">
        <v>306</v>
      </c>
      <c r="E2358" s="65" t="s">
        <v>305</v>
      </c>
      <c r="F2358" s="65" t="s">
        <v>297</v>
      </c>
      <c r="G2358" s="65"/>
      <c r="H2358" s="65"/>
      <c r="I2358" s="66">
        <v>2048.8363199999999</v>
      </c>
    </row>
    <row r="2359" spans="1:9" hidden="1">
      <c r="A2359" s="67" t="s">
        <v>295</v>
      </c>
      <c r="B2359" s="68">
        <v>2033</v>
      </c>
      <c r="C2359" s="68">
        <v>2023</v>
      </c>
      <c r="D2359" s="68" t="s">
        <v>306</v>
      </c>
      <c r="E2359" s="68" t="s">
        <v>305</v>
      </c>
      <c r="F2359" s="68" t="s">
        <v>40</v>
      </c>
      <c r="G2359" s="68"/>
      <c r="H2359" s="68"/>
      <c r="I2359" s="69">
        <v>31745.036319999999</v>
      </c>
    </row>
    <row r="2360" spans="1:9" hidden="1">
      <c r="A2360" s="64" t="s">
        <v>295</v>
      </c>
      <c r="B2360" s="65">
        <v>2033</v>
      </c>
      <c r="C2360" s="65">
        <v>2023</v>
      </c>
      <c r="D2360" s="65" t="s">
        <v>307</v>
      </c>
      <c r="E2360" s="65" t="s">
        <v>294</v>
      </c>
      <c r="F2360" s="65" t="s">
        <v>40</v>
      </c>
      <c r="G2360" s="65"/>
      <c r="H2360" s="65"/>
      <c r="I2360" s="66">
        <v>-259325.364639181</v>
      </c>
    </row>
    <row r="2361" spans="1:9" hidden="1">
      <c r="A2361" s="67" t="s">
        <v>295</v>
      </c>
      <c r="B2361" s="68">
        <v>2033</v>
      </c>
      <c r="C2361" s="68">
        <v>2023</v>
      </c>
      <c r="D2361" s="68" t="s">
        <v>307</v>
      </c>
      <c r="E2361" s="68" t="s">
        <v>301</v>
      </c>
      <c r="F2361" s="68" t="s">
        <v>40</v>
      </c>
      <c r="G2361" s="68"/>
      <c r="H2361" s="68"/>
      <c r="I2361" s="69">
        <v>-233341.2407995378</v>
      </c>
    </row>
    <row r="2362" spans="1:9" hidden="1">
      <c r="A2362" s="64" t="s">
        <v>295</v>
      </c>
      <c r="B2362" s="65">
        <v>2033</v>
      </c>
      <c r="C2362" s="65">
        <v>2023</v>
      </c>
      <c r="D2362" s="65" t="s">
        <v>307</v>
      </c>
      <c r="E2362" s="65" t="s">
        <v>305</v>
      </c>
      <c r="F2362" s="65" t="s">
        <v>40</v>
      </c>
      <c r="G2362" s="65"/>
      <c r="H2362" s="65"/>
      <c r="I2362" s="66">
        <v>-17287.35269</v>
      </c>
    </row>
    <row r="2363" spans="1:9" hidden="1">
      <c r="A2363" s="67" t="s">
        <v>295</v>
      </c>
      <c r="B2363" s="68">
        <v>2033</v>
      </c>
      <c r="C2363" s="68">
        <v>2023</v>
      </c>
      <c r="D2363" s="68" t="s">
        <v>327</v>
      </c>
      <c r="E2363" s="68" t="s">
        <v>294</v>
      </c>
      <c r="F2363" s="68" t="s">
        <v>40</v>
      </c>
      <c r="G2363" s="68"/>
      <c r="H2363" s="68"/>
      <c r="I2363" s="69">
        <v>-315634.29725976847</v>
      </c>
    </row>
    <row r="2364" spans="1:9" hidden="1">
      <c r="A2364" s="64" t="s">
        <v>295</v>
      </c>
      <c r="B2364" s="65">
        <v>2033</v>
      </c>
      <c r="C2364" s="65">
        <v>2023</v>
      </c>
      <c r="D2364" s="65" t="s">
        <v>327</v>
      </c>
      <c r="E2364" s="65" t="s">
        <v>301</v>
      </c>
      <c r="F2364" s="65" t="s">
        <v>40</v>
      </c>
      <c r="G2364" s="65"/>
      <c r="H2364" s="65"/>
      <c r="I2364" s="66">
        <v>-298642.99378141639</v>
      </c>
    </row>
    <row r="2365" spans="1:9" hidden="1">
      <c r="A2365" s="67" t="s">
        <v>295</v>
      </c>
      <c r="B2365" s="68">
        <v>2033</v>
      </c>
      <c r="C2365" s="68">
        <v>2023</v>
      </c>
      <c r="D2365" s="68" t="s">
        <v>327</v>
      </c>
      <c r="E2365" s="68" t="s">
        <v>305</v>
      </c>
      <c r="F2365" s="68" t="s">
        <v>40</v>
      </c>
      <c r="G2365" s="68"/>
      <c r="H2365" s="68"/>
      <c r="I2365" s="69">
        <v>-19377.761630000001</v>
      </c>
    </row>
    <row r="2366" spans="1:9" hidden="1">
      <c r="A2366" s="64" t="s">
        <v>295</v>
      </c>
      <c r="B2366" s="65">
        <v>2033</v>
      </c>
      <c r="C2366" s="65">
        <v>2023</v>
      </c>
      <c r="D2366" s="65" t="s">
        <v>328</v>
      </c>
      <c r="E2366" s="65" t="s">
        <v>294</v>
      </c>
      <c r="F2366" s="65" t="s">
        <v>40</v>
      </c>
      <c r="G2366" s="65"/>
      <c r="H2366" s="65"/>
      <c r="I2366" s="66">
        <v>28903.188492880319</v>
      </c>
    </row>
    <row r="2367" spans="1:9" hidden="1">
      <c r="A2367" s="67" t="s">
        <v>295</v>
      </c>
      <c r="B2367" s="68">
        <v>2033</v>
      </c>
      <c r="C2367" s="68">
        <v>2023</v>
      </c>
      <c r="D2367" s="68" t="s">
        <v>328</v>
      </c>
      <c r="E2367" s="68" t="s">
        <v>301</v>
      </c>
      <c r="F2367" s="68" t="s">
        <v>40</v>
      </c>
      <c r="G2367" s="68"/>
      <c r="H2367" s="68"/>
      <c r="I2367" s="69">
        <v>34358.171724632091</v>
      </c>
    </row>
    <row r="2368" spans="1:9" hidden="1">
      <c r="A2368" s="64" t="s">
        <v>295</v>
      </c>
      <c r="B2368" s="65">
        <v>2033</v>
      </c>
      <c r="C2368" s="65">
        <v>2023</v>
      </c>
      <c r="D2368" s="65" t="s">
        <v>328</v>
      </c>
      <c r="E2368" s="65" t="s">
        <v>305</v>
      </c>
      <c r="F2368" s="65" t="s">
        <v>40</v>
      </c>
      <c r="G2368" s="65"/>
      <c r="H2368" s="65"/>
      <c r="I2368" s="66">
        <v>-2306.2166200000001</v>
      </c>
    </row>
    <row r="2369" spans="1:9" hidden="1">
      <c r="A2369" s="67" t="s">
        <v>295</v>
      </c>
      <c r="B2369" s="68">
        <v>2033</v>
      </c>
      <c r="C2369" s="68">
        <v>2023</v>
      </c>
      <c r="D2369" s="68" t="s">
        <v>329</v>
      </c>
      <c r="E2369" s="68" t="s">
        <v>294</v>
      </c>
      <c r="F2369" s="68" t="s">
        <v>40</v>
      </c>
      <c r="G2369" s="68"/>
      <c r="H2369" s="68"/>
      <c r="I2369" s="69">
        <v>15626.06191443165</v>
      </c>
    </row>
    <row r="2370" spans="1:9" hidden="1">
      <c r="A2370" s="64" t="s">
        <v>295</v>
      </c>
      <c r="B2370" s="65">
        <v>2033</v>
      </c>
      <c r="C2370" s="65">
        <v>2023</v>
      </c>
      <c r="D2370" s="65" t="s">
        <v>329</v>
      </c>
      <c r="E2370" s="65" t="s">
        <v>301</v>
      </c>
      <c r="F2370" s="65" t="s">
        <v>40</v>
      </c>
      <c r="G2370" s="65"/>
      <c r="H2370" s="65"/>
      <c r="I2370" s="66">
        <v>16894.31544524393</v>
      </c>
    </row>
    <row r="2371" spans="1:9" hidden="1">
      <c r="A2371" s="67" t="s">
        <v>295</v>
      </c>
      <c r="B2371" s="68">
        <v>2033</v>
      </c>
      <c r="C2371" s="68">
        <v>2023</v>
      </c>
      <c r="D2371" s="68" t="s">
        <v>329</v>
      </c>
      <c r="E2371" s="68" t="s">
        <v>305</v>
      </c>
      <c r="F2371" s="68" t="s">
        <v>40</v>
      </c>
      <c r="G2371" s="68"/>
      <c r="H2371" s="68"/>
      <c r="I2371" s="69">
        <v>2534.0836399999998</v>
      </c>
    </row>
    <row r="2372" spans="1:9" hidden="1">
      <c r="A2372" s="64" t="s">
        <v>295</v>
      </c>
      <c r="B2372" s="65">
        <v>2033</v>
      </c>
      <c r="C2372" s="65">
        <v>2023</v>
      </c>
      <c r="D2372" s="65" t="s">
        <v>330</v>
      </c>
      <c r="E2372" s="65" t="s">
        <v>294</v>
      </c>
      <c r="F2372" s="65" t="s">
        <v>40</v>
      </c>
      <c r="G2372" s="65"/>
      <c r="H2372" s="65"/>
      <c r="I2372" s="66">
        <v>12923.046260779271</v>
      </c>
    </row>
    <row r="2373" spans="1:9" hidden="1">
      <c r="A2373" s="67" t="s">
        <v>295</v>
      </c>
      <c r="B2373" s="68">
        <v>2033</v>
      </c>
      <c r="C2373" s="68">
        <v>2023</v>
      </c>
      <c r="D2373" s="68" t="s">
        <v>330</v>
      </c>
      <c r="E2373" s="68" t="s">
        <v>301</v>
      </c>
      <c r="F2373" s="68" t="s">
        <v>40</v>
      </c>
      <c r="G2373" s="68"/>
      <c r="H2373" s="68"/>
      <c r="I2373" s="69">
        <v>13845.15103077682</v>
      </c>
    </row>
    <row r="2374" spans="1:9" hidden="1">
      <c r="A2374" s="64" t="s">
        <v>295</v>
      </c>
      <c r="B2374" s="65">
        <v>2033</v>
      </c>
      <c r="C2374" s="65">
        <v>2023</v>
      </c>
      <c r="D2374" s="65" t="s">
        <v>330</v>
      </c>
      <c r="E2374" s="65" t="s">
        <v>305</v>
      </c>
      <c r="F2374" s="65" t="s">
        <v>40</v>
      </c>
      <c r="G2374" s="65"/>
      <c r="H2374" s="65"/>
      <c r="I2374" s="66">
        <v>765.48648000000003</v>
      </c>
    </row>
    <row r="2375" spans="1:9" hidden="1">
      <c r="A2375" s="67" t="s">
        <v>295</v>
      </c>
      <c r="B2375" s="68">
        <v>2033</v>
      </c>
      <c r="C2375" s="68">
        <v>2023</v>
      </c>
      <c r="D2375" s="68" t="s">
        <v>331</v>
      </c>
      <c r="E2375" s="68" t="s">
        <v>294</v>
      </c>
      <c r="F2375" s="68" t="s">
        <v>40</v>
      </c>
      <c r="G2375" s="68"/>
      <c r="H2375" s="68"/>
      <c r="I2375" s="69">
        <v>32037.54421098992</v>
      </c>
    </row>
    <row r="2376" spans="1:9" hidden="1">
      <c r="A2376" s="64" t="s">
        <v>295</v>
      </c>
      <c r="B2376" s="65">
        <v>2033</v>
      </c>
      <c r="C2376" s="65">
        <v>2023</v>
      </c>
      <c r="D2376" s="65" t="s">
        <v>331</v>
      </c>
      <c r="E2376" s="65" t="s">
        <v>301</v>
      </c>
      <c r="F2376" s="65" t="s">
        <v>40</v>
      </c>
      <c r="G2376" s="65"/>
      <c r="H2376" s="65"/>
      <c r="I2376" s="66">
        <v>32539.73201460909</v>
      </c>
    </row>
    <row r="2377" spans="1:9" hidden="1">
      <c r="A2377" s="67" t="s">
        <v>295</v>
      </c>
      <c r="B2377" s="68">
        <v>2033</v>
      </c>
      <c r="C2377" s="68">
        <v>2023</v>
      </c>
      <c r="D2377" s="68" t="s">
        <v>331</v>
      </c>
      <c r="E2377" s="68" t="s">
        <v>305</v>
      </c>
      <c r="F2377" s="68" t="s">
        <v>40</v>
      </c>
      <c r="G2377" s="68"/>
      <c r="H2377" s="68"/>
      <c r="I2377" s="69">
        <v>2944.6530699999998</v>
      </c>
    </row>
    <row r="2378" spans="1:9" hidden="1">
      <c r="A2378" s="64" t="s">
        <v>295</v>
      </c>
      <c r="B2378" s="65">
        <v>2033</v>
      </c>
      <c r="C2378" s="65">
        <v>2023</v>
      </c>
      <c r="D2378" s="65" t="s">
        <v>332</v>
      </c>
      <c r="E2378" s="65" t="s">
        <v>294</v>
      </c>
      <c r="F2378" s="65" t="s">
        <v>40</v>
      </c>
      <c r="G2378" s="65"/>
      <c r="H2378" s="65"/>
      <c r="I2378" s="66">
        <v>544.13162000000011</v>
      </c>
    </row>
    <row r="2379" spans="1:9" hidden="1">
      <c r="A2379" s="67" t="s">
        <v>295</v>
      </c>
      <c r="B2379" s="68">
        <v>2033</v>
      </c>
      <c r="C2379" s="68">
        <v>2023</v>
      </c>
      <c r="D2379" s="68" t="s">
        <v>332</v>
      </c>
      <c r="E2379" s="68" t="s">
        <v>301</v>
      </c>
      <c r="F2379" s="68" t="s">
        <v>40</v>
      </c>
      <c r="G2379" s="68"/>
      <c r="H2379" s="68"/>
      <c r="I2379" s="69">
        <v>435.23077000000012</v>
      </c>
    </row>
    <row r="2380" spans="1:9" hidden="1">
      <c r="A2380" s="64" t="s">
        <v>295</v>
      </c>
      <c r="B2380" s="65">
        <v>2033</v>
      </c>
      <c r="C2380" s="65">
        <v>2023</v>
      </c>
      <c r="D2380" s="65" t="s">
        <v>332</v>
      </c>
      <c r="E2380" s="65" t="s">
        <v>305</v>
      </c>
      <c r="F2380" s="65" t="s">
        <v>40</v>
      </c>
      <c r="G2380" s="65"/>
      <c r="H2380" s="65"/>
      <c r="I2380" s="66">
        <v>245.98237</v>
      </c>
    </row>
    <row r="2381" spans="1:9" hidden="1">
      <c r="A2381" s="67" t="s">
        <v>295</v>
      </c>
      <c r="B2381" s="68">
        <v>2033</v>
      </c>
      <c r="C2381" s="68">
        <v>2023</v>
      </c>
      <c r="D2381" s="68" t="s">
        <v>333</v>
      </c>
      <c r="E2381" s="68" t="s">
        <v>294</v>
      </c>
      <c r="F2381" s="68" t="s">
        <v>40</v>
      </c>
      <c r="G2381" s="68"/>
      <c r="H2381" s="68"/>
      <c r="I2381" s="69">
        <v>-33372.342620000003</v>
      </c>
    </row>
    <row r="2382" spans="1:9" hidden="1">
      <c r="A2382" s="64" t="s">
        <v>295</v>
      </c>
      <c r="B2382" s="65">
        <v>2033</v>
      </c>
      <c r="C2382" s="65">
        <v>2023</v>
      </c>
      <c r="D2382" s="65" t="s">
        <v>333</v>
      </c>
      <c r="E2382" s="65" t="s">
        <v>301</v>
      </c>
      <c r="F2382" s="65" t="s">
        <v>40</v>
      </c>
      <c r="G2382" s="65"/>
      <c r="H2382" s="65"/>
      <c r="I2382" s="66">
        <v>-33024.603369999997</v>
      </c>
    </row>
    <row r="2383" spans="1:9" hidden="1">
      <c r="A2383" s="67" t="s">
        <v>295</v>
      </c>
      <c r="B2383" s="68">
        <v>2033</v>
      </c>
      <c r="C2383" s="68">
        <v>2023</v>
      </c>
      <c r="D2383" s="68" t="s">
        <v>333</v>
      </c>
      <c r="E2383" s="68" t="s">
        <v>305</v>
      </c>
      <c r="F2383" s="68" t="s">
        <v>40</v>
      </c>
      <c r="G2383" s="68"/>
      <c r="H2383" s="68"/>
      <c r="I2383" s="69">
        <v>-2093.52</v>
      </c>
    </row>
    <row r="2384" spans="1:9" hidden="1">
      <c r="A2384" s="64" t="s">
        <v>295</v>
      </c>
      <c r="B2384" s="65">
        <v>2033</v>
      </c>
      <c r="C2384" s="65">
        <v>2023</v>
      </c>
      <c r="D2384" s="65" t="s">
        <v>334</v>
      </c>
      <c r="E2384" s="65" t="s">
        <v>294</v>
      </c>
      <c r="F2384" s="65" t="s">
        <v>40</v>
      </c>
      <c r="G2384" s="65"/>
      <c r="H2384" s="65"/>
      <c r="I2384" s="66">
        <v>253.85033000000001</v>
      </c>
    </row>
    <row r="2385" spans="1:9" hidden="1">
      <c r="A2385" s="67" t="s">
        <v>295</v>
      </c>
      <c r="B2385" s="68">
        <v>2033</v>
      </c>
      <c r="C2385" s="68">
        <v>2023</v>
      </c>
      <c r="D2385" s="68" t="s">
        <v>334</v>
      </c>
      <c r="E2385" s="68" t="s">
        <v>301</v>
      </c>
      <c r="F2385" s="68" t="s">
        <v>40</v>
      </c>
      <c r="G2385" s="68"/>
      <c r="H2385" s="68"/>
      <c r="I2385" s="69">
        <v>253.85033000000001</v>
      </c>
    </row>
    <row r="2386" spans="1:9" hidden="1">
      <c r="A2386" s="64" t="s">
        <v>295</v>
      </c>
      <c r="B2386" s="65">
        <v>2033</v>
      </c>
      <c r="C2386" s="65">
        <v>2023</v>
      </c>
      <c r="D2386" s="65" t="s">
        <v>308</v>
      </c>
      <c r="E2386" s="65" t="s">
        <v>294</v>
      </c>
      <c r="F2386" s="65" t="s">
        <v>297</v>
      </c>
      <c r="G2386" s="65"/>
      <c r="H2386" s="65"/>
      <c r="I2386" s="66">
        <v>83428.629686180124</v>
      </c>
    </row>
    <row r="2387" spans="1:9" hidden="1">
      <c r="A2387" s="67" t="s">
        <v>295</v>
      </c>
      <c r="B2387" s="68">
        <v>2033</v>
      </c>
      <c r="C2387" s="68">
        <v>2023</v>
      </c>
      <c r="D2387" s="68" t="s">
        <v>308</v>
      </c>
      <c r="E2387" s="68" t="s">
        <v>294</v>
      </c>
      <c r="F2387" s="68" t="s">
        <v>298</v>
      </c>
      <c r="G2387" s="68"/>
      <c r="H2387" s="68"/>
      <c r="I2387" s="69">
        <v>251.48278798080079</v>
      </c>
    </row>
    <row r="2388" spans="1:9" hidden="1">
      <c r="A2388" s="64" t="s">
        <v>295</v>
      </c>
      <c r="B2388" s="65">
        <v>2033</v>
      </c>
      <c r="C2388" s="65">
        <v>2023</v>
      </c>
      <c r="D2388" s="65" t="s">
        <v>308</v>
      </c>
      <c r="E2388" s="65" t="s">
        <v>294</v>
      </c>
      <c r="F2388" s="65" t="s">
        <v>40</v>
      </c>
      <c r="G2388" s="65"/>
      <c r="H2388" s="65"/>
      <c r="I2388" s="66">
        <v>83680.112474160924</v>
      </c>
    </row>
    <row r="2389" spans="1:9" hidden="1">
      <c r="A2389" s="67" t="s">
        <v>295</v>
      </c>
      <c r="B2389" s="68">
        <v>2033</v>
      </c>
      <c r="C2389" s="68">
        <v>2023</v>
      </c>
      <c r="D2389" s="68" t="s">
        <v>308</v>
      </c>
      <c r="E2389" s="68" t="s">
        <v>301</v>
      </c>
      <c r="F2389" s="68" t="s">
        <v>297</v>
      </c>
      <c r="G2389" s="68"/>
      <c r="H2389" s="68"/>
      <c r="I2389" s="69">
        <v>84443.321226183878</v>
      </c>
    </row>
    <row r="2390" spans="1:9" hidden="1">
      <c r="A2390" s="64" t="s">
        <v>295</v>
      </c>
      <c r="B2390" s="65">
        <v>2033</v>
      </c>
      <c r="C2390" s="65">
        <v>2023</v>
      </c>
      <c r="D2390" s="65" t="s">
        <v>308</v>
      </c>
      <c r="E2390" s="65" t="s">
        <v>301</v>
      </c>
      <c r="F2390" s="65" t="s">
        <v>298</v>
      </c>
      <c r="G2390" s="65"/>
      <c r="H2390" s="65"/>
      <c r="I2390" s="66">
        <v>251.48278798237769</v>
      </c>
    </row>
    <row r="2391" spans="1:9" hidden="1">
      <c r="A2391" s="67" t="s">
        <v>295</v>
      </c>
      <c r="B2391" s="68">
        <v>2033</v>
      </c>
      <c r="C2391" s="68">
        <v>2023</v>
      </c>
      <c r="D2391" s="68" t="s">
        <v>308</v>
      </c>
      <c r="E2391" s="68" t="s">
        <v>301</v>
      </c>
      <c r="F2391" s="68" t="s">
        <v>40</v>
      </c>
      <c r="G2391" s="68"/>
      <c r="H2391" s="68"/>
      <c r="I2391" s="69">
        <v>84581.235983850653</v>
      </c>
    </row>
    <row r="2392" spans="1:9" hidden="1">
      <c r="A2392" s="64" t="s">
        <v>295</v>
      </c>
      <c r="B2392" s="65">
        <v>2033</v>
      </c>
      <c r="C2392" s="65">
        <v>2023</v>
      </c>
      <c r="D2392" s="65" t="s">
        <v>308</v>
      </c>
      <c r="E2392" s="65" t="s">
        <v>305</v>
      </c>
      <c r="F2392" s="65" t="s">
        <v>297</v>
      </c>
      <c r="G2392" s="65"/>
      <c r="H2392" s="65"/>
      <c r="I2392" s="66">
        <v>1638.5032699999999</v>
      </c>
    </row>
    <row r="2393" spans="1:9" hidden="1">
      <c r="A2393" s="67" t="s">
        <v>295</v>
      </c>
      <c r="B2393" s="68">
        <v>2033</v>
      </c>
      <c r="C2393" s="68">
        <v>2023</v>
      </c>
      <c r="D2393" s="68" t="s">
        <v>308</v>
      </c>
      <c r="E2393" s="68" t="s">
        <v>305</v>
      </c>
      <c r="F2393" s="68" t="s">
        <v>40</v>
      </c>
      <c r="G2393" s="68"/>
      <c r="H2393" s="68"/>
      <c r="I2393" s="69">
        <v>10464.80327</v>
      </c>
    </row>
    <row r="2394" spans="1:9" hidden="1">
      <c r="A2394" s="64" t="s">
        <v>295</v>
      </c>
      <c r="B2394" s="65">
        <v>2033</v>
      </c>
      <c r="C2394" s="65">
        <v>2023</v>
      </c>
      <c r="D2394" s="65" t="s">
        <v>310</v>
      </c>
      <c r="E2394" s="65" t="s">
        <v>294</v>
      </c>
      <c r="F2394" s="65" t="s">
        <v>297</v>
      </c>
      <c r="G2394" s="65"/>
      <c r="H2394" s="65"/>
      <c r="I2394" s="66">
        <v>141.69999999999999</v>
      </c>
    </row>
    <row r="2395" spans="1:9" hidden="1">
      <c r="A2395" s="67" t="s">
        <v>295</v>
      </c>
      <c r="B2395" s="68">
        <v>2033</v>
      </c>
      <c r="C2395" s="68">
        <v>2023</v>
      </c>
      <c r="D2395" s="68" t="s">
        <v>310</v>
      </c>
      <c r="E2395" s="68" t="s">
        <v>294</v>
      </c>
      <c r="F2395" s="68" t="s">
        <v>40</v>
      </c>
      <c r="G2395" s="68"/>
      <c r="H2395" s="68"/>
      <c r="I2395" s="69">
        <v>119664.8984866348</v>
      </c>
    </row>
    <row r="2396" spans="1:9" hidden="1">
      <c r="A2396" s="64" t="s">
        <v>295</v>
      </c>
      <c r="B2396" s="65">
        <v>2033</v>
      </c>
      <c r="C2396" s="65">
        <v>2023</v>
      </c>
      <c r="D2396" s="65" t="s">
        <v>310</v>
      </c>
      <c r="E2396" s="65" t="s">
        <v>301</v>
      </c>
      <c r="F2396" s="65" t="s">
        <v>297</v>
      </c>
      <c r="G2396" s="65"/>
      <c r="H2396" s="65"/>
      <c r="I2396" s="66">
        <v>141.69999999999999</v>
      </c>
    </row>
    <row r="2397" spans="1:9" hidden="1">
      <c r="A2397" s="67" t="s">
        <v>295</v>
      </c>
      <c r="B2397" s="68">
        <v>2033</v>
      </c>
      <c r="C2397" s="68">
        <v>2023</v>
      </c>
      <c r="D2397" s="68" t="s">
        <v>310</v>
      </c>
      <c r="E2397" s="68" t="s">
        <v>301</v>
      </c>
      <c r="F2397" s="68" t="s">
        <v>40</v>
      </c>
      <c r="G2397" s="68"/>
      <c r="H2397" s="68"/>
      <c r="I2397" s="69">
        <v>125755.19662702861</v>
      </c>
    </row>
    <row r="2398" spans="1:9" hidden="1">
      <c r="A2398" s="64" t="s">
        <v>295</v>
      </c>
      <c r="B2398" s="65">
        <v>2033</v>
      </c>
      <c r="C2398" s="65">
        <v>2023</v>
      </c>
      <c r="D2398" s="65" t="s">
        <v>310</v>
      </c>
      <c r="E2398" s="65" t="s">
        <v>305</v>
      </c>
      <c r="F2398" s="65" t="s">
        <v>40</v>
      </c>
      <c r="G2398" s="65"/>
      <c r="H2398" s="65"/>
      <c r="I2398" s="66">
        <v>1126.3188700000001</v>
      </c>
    </row>
    <row r="2399" spans="1:9" hidden="1">
      <c r="A2399" s="67" t="s">
        <v>295</v>
      </c>
      <c r="B2399" s="68">
        <v>2033</v>
      </c>
      <c r="C2399" s="68">
        <v>2023</v>
      </c>
      <c r="D2399" s="68" t="s">
        <v>311</v>
      </c>
      <c r="E2399" s="68" t="s">
        <v>294</v>
      </c>
      <c r="F2399" s="68" t="s">
        <v>297</v>
      </c>
      <c r="G2399" s="68"/>
      <c r="H2399" s="68"/>
      <c r="I2399" s="69">
        <v>737.5</v>
      </c>
    </row>
    <row r="2400" spans="1:9" hidden="1">
      <c r="A2400" s="64" t="s">
        <v>295</v>
      </c>
      <c r="B2400" s="65">
        <v>2033</v>
      </c>
      <c r="C2400" s="65">
        <v>2023</v>
      </c>
      <c r="D2400" s="65" t="s">
        <v>311</v>
      </c>
      <c r="E2400" s="65" t="s">
        <v>294</v>
      </c>
      <c r="F2400" s="65" t="s">
        <v>40</v>
      </c>
      <c r="G2400" s="65"/>
      <c r="H2400" s="65"/>
      <c r="I2400" s="66">
        <v>138397.84111139961</v>
      </c>
    </row>
    <row r="2401" spans="1:9" hidden="1">
      <c r="A2401" s="67" t="s">
        <v>295</v>
      </c>
      <c r="B2401" s="68">
        <v>2033</v>
      </c>
      <c r="C2401" s="68">
        <v>2023</v>
      </c>
      <c r="D2401" s="68" t="s">
        <v>311</v>
      </c>
      <c r="E2401" s="68" t="s">
        <v>301</v>
      </c>
      <c r="F2401" s="68" t="s">
        <v>297</v>
      </c>
      <c r="G2401" s="68"/>
      <c r="H2401" s="68"/>
      <c r="I2401" s="69">
        <v>737.5</v>
      </c>
    </row>
    <row r="2402" spans="1:9" hidden="1">
      <c r="A2402" s="64" t="s">
        <v>295</v>
      </c>
      <c r="B2402" s="65">
        <v>2033</v>
      </c>
      <c r="C2402" s="65">
        <v>2023</v>
      </c>
      <c r="D2402" s="65" t="s">
        <v>311</v>
      </c>
      <c r="E2402" s="65" t="s">
        <v>301</v>
      </c>
      <c r="F2402" s="65" t="s">
        <v>40</v>
      </c>
      <c r="G2402" s="65"/>
      <c r="H2402" s="65"/>
      <c r="I2402" s="66">
        <v>140545.00195539411</v>
      </c>
    </row>
    <row r="2403" spans="1:9" hidden="1">
      <c r="A2403" s="67" t="s">
        <v>295</v>
      </c>
      <c r="B2403" s="68">
        <v>2033</v>
      </c>
      <c r="C2403" s="68">
        <v>2023</v>
      </c>
      <c r="D2403" s="68" t="s">
        <v>311</v>
      </c>
      <c r="E2403" s="68" t="s">
        <v>305</v>
      </c>
      <c r="F2403" s="68" t="s">
        <v>40</v>
      </c>
      <c r="G2403" s="68"/>
      <c r="H2403" s="68"/>
      <c r="I2403" s="69">
        <v>852.8</v>
      </c>
    </row>
    <row r="2404" spans="1:9" hidden="1">
      <c r="A2404" s="64" t="s">
        <v>295</v>
      </c>
      <c r="B2404" s="65">
        <v>2033</v>
      </c>
      <c r="C2404" s="65">
        <v>2023</v>
      </c>
      <c r="D2404" s="65" t="s">
        <v>312</v>
      </c>
      <c r="E2404" s="65" t="s">
        <v>294</v>
      </c>
      <c r="F2404" s="65" t="s">
        <v>297</v>
      </c>
      <c r="G2404" s="65"/>
      <c r="H2404" s="65"/>
      <c r="I2404" s="66">
        <v>718.48444999999992</v>
      </c>
    </row>
    <row r="2405" spans="1:9" hidden="1">
      <c r="A2405" s="67" t="s">
        <v>295</v>
      </c>
      <c r="B2405" s="68">
        <v>2033</v>
      </c>
      <c r="C2405" s="68">
        <v>2023</v>
      </c>
      <c r="D2405" s="68" t="s">
        <v>312</v>
      </c>
      <c r="E2405" s="68" t="s">
        <v>294</v>
      </c>
      <c r="F2405" s="68" t="s">
        <v>40</v>
      </c>
      <c r="G2405" s="68"/>
      <c r="H2405" s="68"/>
      <c r="I2405" s="69">
        <v>862.38445000000002</v>
      </c>
    </row>
    <row r="2406" spans="1:9" hidden="1">
      <c r="A2406" s="64" t="s">
        <v>295</v>
      </c>
      <c r="B2406" s="65">
        <v>2033</v>
      </c>
      <c r="C2406" s="65">
        <v>2023</v>
      </c>
      <c r="D2406" s="65" t="s">
        <v>312</v>
      </c>
      <c r="E2406" s="65" t="s">
        <v>301</v>
      </c>
      <c r="F2406" s="65" t="s">
        <v>297</v>
      </c>
      <c r="G2406" s="65"/>
      <c r="H2406" s="65"/>
      <c r="I2406" s="66">
        <v>719.48951999999997</v>
      </c>
    </row>
    <row r="2407" spans="1:9" hidden="1">
      <c r="A2407" s="67" t="s">
        <v>295</v>
      </c>
      <c r="B2407" s="68">
        <v>2033</v>
      </c>
      <c r="C2407" s="68">
        <v>2023</v>
      </c>
      <c r="D2407" s="68" t="s">
        <v>312</v>
      </c>
      <c r="E2407" s="68" t="s">
        <v>301</v>
      </c>
      <c r="F2407" s="68" t="s">
        <v>40</v>
      </c>
      <c r="G2407" s="68"/>
      <c r="H2407" s="68"/>
      <c r="I2407" s="69">
        <v>863.38952000000006</v>
      </c>
    </row>
    <row r="2408" spans="1:9" hidden="1">
      <c r="A2408" s="64" t="s">
        <v>295</v>
      </c>
      <c r="B2408" s="65">
        <v>2033</v>
      </c>
      <c r="C2408" s="65">
        <v>2023</v>
      </c>
      <c r="D2408" s="65" t="s">
        <v>313</v>
      </c>
      <c r="E2408" s="65" t="s">
        <v>294</v>
      </c>
      <c r="F2408" s="65" t="s">
        <v>297</v>
      </c>
      <c r="G2408" s="65"/>
      <c r="H2408" s="65"/>
      <c r="I2408" s="66">
        <v>1601338.1507738701</v>
      </c>
    </row>
    <row r="2409" spans="1:9" hidden="1">
      <c r="A2409" s="67" t="s">
        <v>295</v>
      </c>
      <c r="B2409" s="68">
        <v>2033</v>
      </c>
      <c r="C2409" s="68">
        <v>2023</v>
      </c>
      <c r="D2409" s="68" t="s">
        <v>313</v>
      </c>
      <c r="E2409" s="68" t="s">
        <v>294</v>
      </c>
      <c r="F2409" s="68" t="s">
        <v>298</v>
      </c>
      <c r="G2409" s="68"/>
      <c r="H2409" s="68"/>
      <c r="I2409" s="69">
        <v>745545.41155352339</v>
      </c>
    </row>
    <row r="2410" spans="1:9" hidden="1">
      <c r="A2410" s="64" t="s">
        <v>295</v>
      </c>
      <c r="B2410" s="65">
        <v>2033</v>
      </c>
      <c r="C2410" s="65">
        <v>2023</v>
      </c>
      <c r="D2410" s="65" t="s">
        <v>313</v>
      </c>
      <c r="E2410" s="65" t="s">
        <v>294</v>
      </c>
      <c r="F2410" s="65" t="s">
        <v>40</v>
      </c>
      <c r="G2410" s="65"/>
      <c r="H2410" s="65"/>
      <c r="I2410" s="66">
        <v>2363412.8552784058</v>
      </c>
    </row>
    <row r="2411" spans="1:9" hidden="1">
      <c r="A2411" s="67" t="s">
        <v>295</v>
      </c>
      <c r="B2411" s="68">
        <v>2033</v>
      </c>
      <c r="C2411" s="68">
        <v>2023</v>
      </c>
      <c r="D2411" s="68" t="s">
        <v>313</v>
      </c>
      <c r="E2411" s="68" t="s">
        <v>301</v>
      </c>
      <c r="F2411" s="68" t="s">
        <v>297</v>
      </c>
      <c r="G2411" s="68"/>
      <c r="H2411" s="68"/>
      <c r="I2411" s="69">
        <v>1755499.5903055251</v>
      </c>
    </row>
    <row r="2412" spans="1:9" hidden="1">
      <c r="A2412" s="64" t="s">
        <v>295</v>
      </c>
      <c r="B2412" s="65">
        <v>2033</v>
      </c>
      <c r="C2412" s="65">
        <v>2023</v>
      </c>
      <c r="D2412" s="65" t="s">
        <v>313</v>
      </c>
      <c r="E2412" s="65" t="s">
        <v>301</v>
      </c>
      <c r="F2412" s="65" t="s">
        <v>298</v>
      </c>
      <c r="G2412" s="65"/>
      <c r="H2412" s="65"/>
      <c r="I2412" s="66">
        <v>844443.97053270962</v>
      </c>
    </row>
    <row r="2413" spans="1:9" hidden="1">
      <c r="A2413" s="67" t="s">
        <v>295</v>
      </c>
      <c r="B2413" s="68">
        <v>2033</v>
      </c>
      <c r="C2413" s="68">
        <v>2023</v>
      </c>
      <c r="D2413" s="68" t="s">
        <v>313</v>
      </c>
      <c r="E2413" s="68" t="s">
        <v>301</v>
      </c>
      <c r="F2413" s="68" t="s">
        <v>40</v>
      </c>
      <c r="G2413" s="68"/>
      <c r="H2413" s="68"/>
      <c r="I2413" s="69">
        <v>2617752.656085141</v>
      </c>
    </row>
    <row r="2414" spans="1:9" hidden="1">
      <c r="A2414" s="64" t="s">
        <v>295</v>
      </c>
      <c r="B2414" s="65">
        <v>2033</v>
      </c>
      <c r="C2414" s="65">
        <v>2023</v>
      </c>
      <c r="D2414" s="65" t="s">
        <v>313</v>
      </c>
      <c r="E2414" s="65" t="s">
        <v>305</v>
      </c>
      <c r="F2414" s="65" t="s">
        <v>297</v>
      </c>
      <c r="G2414" s="65"/>
      <c r="H2414" s="65"/>
      <c r="I2414" s="66">
        <v>16172.1008</v>
      </c>
    </row>
    <row r="2415" spans="1:9" hidden="1">
      <c r="A2415" s="67" t="s">
        <v>295</v>
      </c>
      <c r="B2415" s="68">
        <v>2033</v>
      </c>
      <c r="C2415" s="68">
        <v>2023</v>
      </c>
      <c r="D2415" s="68" t="s">
        <v>313</v>
      </c>
      <c r="E2415" s="68" t="s">
        <v>305</v>
      </c>
      <c r="F2415" s="68" t="s">
        <v>298</v>
      </c>
      <c r="G2415" s="68"/>
      <c r="H2415" s="68"/>
      <c r="I2415" s="69">
        <v>9287.7131100000006</v>
      </c>
    </row>
    <row r="2416" spans="1:9" hidden="1">
      <c r="A2416" s="64" t="s">
        <v>295</v>
      </c>
      <c r="B2416" s="65">
        <v>2033</v>
      </c>
      <c r="C2416" s="65">
        <v>2023</v>
      </c>
      <c r="D2416" s="65" t="s">
        <v>313</v>
      </c>
      <c r="E2416" s="65" t="s">
        <v>305</v>
      </c>
      <c r="F2416" s="65" t="s">
        <v>40</v>
      </c>
      <c r="G2416" s="65"/>
      <c r="H2416" s="65"/>
      <c r="I2416" s="66">
        <v>202354.70895</v>
      </c>
    </row>
    <row r="2417" spans="1:9" hidden="1">
      <c r="A2417" s="67" t="s">
        <v>295</v>
      </c>
      <c r="B2417" s="68">
        <v>2033</v>
      </c>
      <c r="C2417" s="68">
        <v>2023</v>
      </c>
      <c r="D2417" s="68" t="s">
        <v>314</v>
      </c>
      <c r="E2417" s="68" t="s">
        <v>294</v>
      </c>
      <c r="F2417" s="68" t="s">
        <v>297</v>
      </c>
      <c r="G2417" s="68"/>
      <c r="H2417" s="68"/>
      <c r="I2417" s="69">
        <v>1601338.05077387</v>
      </c>
    </row>
    <row r="2418" spans="1:9" hidden="1">
      <c r="A2418" s="64" t="s">
        <v>295</v>
      </c>
      <c r="B2418" s="65">
        <v>2033</v>
      </c>
      <c r="C2418" s="65">
        <v>2023</v>
      </c>
      <c r="D2418" s="65" t="s">
        <v>314</v>
      </c>
      <c r="E2418" s="65" t="s">
        <v>294</v>
      </c>
      <c r="F2418" s="65" t="s">
        <v>298</v>
      </c>
      <c r="G2418" s="65"/>
      <c r="H2418" s="65"/>
      <c r="I2418" s="66">
        <v>745545.41155352339</v>
      </c>
    </row>
    <row r="2419" spans="1:9" hidden="1">
      <c r="A2419" s="67" t="s">
        <v>295</v>
      </c>
      <c r="B2419" s="68">
        <v>2033</v>
      </c>
      <c r="C2419" s="68">
        <v>2023</v>
      </c>
      <c r="D2419" s="68" t="s">
        <v>314</v>
      </c>
      <c r="E2419" s="68" t="s">
        <v>294</v>
      </c>
      <c r="F2419" s="68" t="s">
        <v>40</v>
      </c>
      <c r="G2419" s="68"/>
      <c r="H2419" s="68"/>
      <c r="I2419" s="69">
        <v>2104087.5506092249</v>
      </c>
    </row>
    <row r="2420" spans="1:9" hidden="1">
      <c r="A2420" s="64" t="s">
        <v>295</v>
      </c>
      <c r="B2420" s="65">
        <v>2033</v>
      </c>
      <c r="C2420" s="65">
        <v>2023</v>
      </c>
      <c r="D2420" s="65" t="s">
        <v>314</v>
      </c>
      <c r="E2420" s="65" t="s">
        <v>301</v>
      </c>
      <c r="F2420" s="65" t="s">
        <v>297</v>
      </c>
      <c r="G2420" s="65"/>
      <c r="H2420" s="65"/>
      <c r="I2420" s="66">
        <v>1755499.490305525</v>
      </c>
    </row>
    <row r="2421" spans="1:9" hidden="1">
      <c r="A2421" s="67" t="s">
        <v>295</v>
      </c>
      <c r="B2421" s="68">
        <v>2033</v>
      </c>
      <c r="C2421" s="68">
        <v>2023</v>
      </c>
      <c r="D2421" s="68" t="s">
        <v>314</v>
      </c>
      <c r="E2421" s="68" t="s">
        <v>301</v>
      </c>
      <c r="F2421" s="68" t="s">
        <v>298</v>
      </c>
      <c r="G2421" s="68"/>
      <c r="H2421" s="68"/>
      <c r="I2421" s="69">
        <v>844443.97053270962</v>
      </c>
    </row>
    <row r="2422" spans="1:9" hidden="1">
      <c r="A2422" s="64" t="s">
        <v>295</v>
      </c>
      <c r="B2422" s="65">
        <v>2033</v>
      </c>
      <c r="C2422" s="65">
        <v>2023</v>
      </c>
      <c r="D2422" s="65" t="s">
        <v>314</v>
      </c>
      <c r="E2422" s="65" t="s">
        <v>301</v>
      </c>
      <c r="F2422" s="65" t="s">
        <v>40</v>
      </c>
      <c r="G2422" s="65"/>
      <c r="H2422" s="65"/>
      <c r="I2422" s="66">
        <v>2384402.8773956029</v>
      </c>
    </row>
    <row r="2423" spans="1:9" hidden="1">
      <c r="A2423" s="67" t="s">
        <v>295</v>
      </c>
      <c r="B2423" s="68">
        <v>2033</v>
      </c>
      <c r="C2423" s="68">
        <v>2023</v>
      </c>
      <c r="D2423" s="68" t="s">
        <v>314</v>
      </c>
      <c r="E2423" s="68" t="s">
        <v>305</v>
      </c>
      <c r="F2423" s="68" t="s">
        <v>297</v>
      </c>
      <c r="G2423" s="68"/>
      <c r="H2423" s="68"/>
      <c r="I2423" s="69">
        <v>16172.1008</v>
      </c>
    </row>
    <row r="2424" spans="1:9" hidden="1">
      <c r="A2424" s="64" t="s">
        <v>295</v>
      </c>
      <c r="B2424" s="65">
        <v>2033</v>
      </c>
      <c r="C2424" s="65">
        <v>2023</v>
      </c>
      <c r="D2424" s="65" t="s">
        <v>314</v>
      </c>
      <c r="E2424" s="65" t="s">
        <v>305</v>
      </c>
      <c r="F2424" s="65" t="s">
        <v>298</v>
      </c>
      <c r="G2424" s="65"/>
      <c r="H2424" s="65"/>
      <c r="I2424" s="66">
        <v>9287.7131100000006</v>
      </c>
    </row>
    <row r="2425" spans="1:9" hidden="1">
      <c r="A2425" s="67" t="s">
        <v>295</v>
      </c>
      <c r="B2425" s="68">
        <v>2033</v>
      </c>
      <c r="C2425" s="68">
        <v>2023</v>
      </c>
      <c r="D2425" s="68" t="s">
        <v>314</v>
      </c>
      <c r="E2425" s="68" t="s">
        <v>305</v>
      </c>
      <c r="F2425" s="68" t="s">
        <v>40</v>
      </c>
      <c r="G2425" s="68"/>
      <c r="H2425" s="68"/>
      <c r="I2425" s="69">
        <v>185376.63626</v>
      </c>
    </row>
    <row r="2426" spans="1:9" hidden="1">
      <c r="A2426" s="64" t="s">
        <v>295</v>
      </c>
      <c r="B2426" s="65">
        <v>2034</v>
      </c>
      <c r="C2426" s="65">
        <v>2023</v>
      </c>
      <c r="D2426" s="65" t="s">
        <v>296</v>
      </c>
      <c r="E2426" s="65" t="s">
        <v>294</v>
      </c>
      <c r="F2426" s="65" t="s">
        <v>297</v>
      </c>
      <c r="G2426" s="65"/>
      <c r="H2426" s="65"/>
      <c r="I2426" s="66">
        <v>1072880.9809382751</v>
      </c>
    </row>
    <row r="2427" spans="1:9" hidden="1">
      <c r="A2427" s="67" t="s">
        <v>295</v>
      </c>
      <c r="B2427" s="68">
        <v>2034</v>
      </c>
      <c r="C2427" s="68">
        <v>2023</v>
      </c>
      <c r="D2427" s="68" t="s">
        <v>296</v>
      </c>
      <c r="E2427" s="68" t="s">
        <v>294</v>
      </c>
      <c r="F2427" s="68" t="s">
        <v>298</v>
      </c>
      <c r="G2427" s="68"/>
      <c r="H2427" s="68"/>
      <c r="I2427" s="69">
        <v>535957.48427578132</v>
      </c>
    </row>
    <row r="2428" spans="1:9" hidden="1">
      <c r="A2428" s="64" t="s">
        <v>295</v>
      </c>
      <c r="B2428" s="65">
        <v>2034</v>
      </c>
      <c r="C2428" s="65">
        <v>2023</v>
      </c>
      <c r="D2428" s="65" t="s">
        <v>296</v>
      </c>
      <c r="E2428" s="65" t="s">
        <v>294</v>
      </c>
      <c r="F2428" s="65" t="s">
        <v>40</v>
      </c>
      <c r="G2428" s="65"/>
      <c r="H2428" s="65"/>
      <c r="I2428" s="66">
        <v>1625545.244421286</v>
      </c>
    </row>
    <row r="2429" spans="1:9" hidden="1">
      <c r="A2429" s="67" t="s">
        <v>295</v>
      </c>
      <c r="B2429" s="68">
        <v>2034</v>
      </c>
      <c r="C2429" s="68">
        <v>2023</v>
      </c>
      <c r="D2429" s="68" t="s">
        <v>296</v>
      </c>
      <c r="E2429" s="68" t="s">
        <v>301</v>
      </c>
      <c r="F2429" s="68" t="s">
        <v>297</v>
      </c>
      <c r="G2429" s="68"/>
      <c r="H2429" s="68"/>
      <c r="I2429" s="69">
        <v>1215176.8018714141</v>
      </c>
    </row>
    <row r="2430" spans="1:9" hidden="1">
      <c r="A2430" s="64" t="s">
        <v>295</v>
      </c>
      <c r="B2430" s="65">
        <v>2034</v>
      </c>
      <c r="C2430" s="65">
        <v>2023</v>
      </c>
      <c r="D2430" s="65" t="s">
        <v>296</v>
      </c>
      <c r="E2430" s="65" t="s">
        <v>301</v>
      </c>
      <c r="F2430" s="65" t="s">
        <v>298</v>
      </c>
      <c r="G2430" s="65"/>
      <c r="H2430" s="65"/>
      <c r="I2430" s="66">
        <v>627211.05121003464</v>
      </c>
    </row>
    <row r="2431" spans="1:9" hidden="1">
      <c r="A2431" s="67" t="s">
        <v>295</v>
      </c>
      <c r="B2431" s="68">
        <v>2034</v>
      </c>
      <c r="C2431" s="68">
        <v>2023</v>
      </c>
      <c r="D2431" s="68" t="s">
        <v>296</v>
      </c>
      <c r="E2431" s="68" t="s">
        <v>301</v>
      </c>
      <c r="F2431" s="68" t="s">
        <v>40</v>
      </c>
      <c r="G2431" s="68"/>
      <c r="H2431" s="68"/>
      <c r="I2431" s="69">
        <v>1860501.489210539</v>
      </c>
    </row>
    <row r="2432" spans="1:9" hidden="1">
      <c r="A2432" s="64" t="s">
        <v>295</v>
      </c>
      <c r="B2432" s="65">
        <v>2034</v>
      </c>
      <c r="C2432" s="65">
        <v>2023</v>
      </c>
      <c r="D2432" s="65" t="s">
        <v>296</v>
      </c>
      <c r="E2432" s="65" t="s">
        <v>305</v>
      </c>
      <c r="F2432" s="65" t="s">
        <v>297</v>
      </c>
      <c r="G2432" s="65"/>
      <c r="H2432" s="65"/>
      <c r="I2432" s="66">
        <v>11463.76175</v>
      </c>
    </row>
    <row r="2433" spans="1:9" hidden="1">
      <c r="A2433" s="67" t="s">
        <v>295</v>
      </c>
      <c r="B2433" s="68">
        <v>2034</v>
      </c>
      <c r="C2433" s="68">
        <v>2023</v>
      </c>
      <c r="D2433" s="68" t="s">
        <v>296</v>
      </c>
      <c r="E2433" s="68" t="s">
        <v>305</v>
      </c>
      <c r="F2433" s="68" t="s">
        <v>298</v>
      </c>
      <c r="G2433" s="68"/>
      <c r="H2433" s="68"/>
      <c r="I2433" s="69">
        <v>8553.4131099999995</v>
      </c>
    </row>
    <row r="2434" spans="1:9" hidden="1">
      <c r="A2434" s="64" t="s">
        <v>295</v>
      </c>
      <c r="B2434" s="65">
        <v>2034</v>
      </c>
      <c r="C2434" s="65">
        <v>2023</v>
      </c>
      <c r="D2434" s="65" t="s">
        <v>296</v>
      </c>
      <c r="E2434" s="65" t="s">
        <v>305</v>
      </c>
      <c r="F2434" s="65" t="s">
        <v>40</v>
      </c>
      <c r="G2434" s="65"/>
      <c r="H2434" s="65"/>
      <c r="I2434" s="66">
        <v>145149.96784999999</v>
      </c>
    </row>
    <row r="2435" spans="1:9" hidden="1">
      <c r="A2435" s="67" t="s">
        <v>295</v>
      </c>
      <c r="B2435" s="68">
        <v>2034</v>
      </c>
      <c r="C2435" s="68">
        <v>2023</v>
      </c>
      <c r="D2435" s="68" t="s">
        <v>309</v>
      </c>
      <c r="E2435" s="68" t="s">
        <v>294</v>
      </c>
      <c r="F2435" s="68" t="s">
        <v>297</v>
      </c>
      <c r="G2435" s="68"/>
      <c r="H2435" s="68"/>
      <c r="I2435" s="69">
        <v>43362.18358763391</v>
      </c>
    </row>
    <row r="2436" spans="1:9" hidden="1">
      <c r="A2436" s="64" t="s">
        <v>295</v>
      </c>
      <c r="B2436" s="65">
        <v>2034</v>
      </c>
      <c r="C2436" s="65">
        <v>2023</v>
      </c>
      <c r="D2436" s="65" t="s">
        <v>309</v>
      </c>
      <c r="E2436" s="65" t="s">
        <v>294</v>
      </c>
      <c r="F2436" s="65" t="s">
        <v>298</v>
      </c>
      <c r="G2436" s="65"/>
      <c r="H2436" s="65"/>
      <c r="I2436" s="66">
        <v>319447.53352967207</v>
      </c>
    </row>
    <row r="2437" spans="1:9" hidden="1">
      <c r="A2437" s="67" t="s">
        <v>295</v>
      </c>
      <c r="B2437" s="68">
        <v>2034</v>
      </c>
      <c r="C2437" s="68">
        <v>2023</v>
      </c>
      <c r="D2437" s="68" t="s">
        <v>309</v>
      </c>
      <c r="E2437" s="68" t="s">
        <v>294</v>
      </c>
      <c r="F2437" s="68" t="s">
        <v>40</v>
      </c>
      <c r="G2437" s="68"/>
      <c r="H2437" s="68"/>
      <c r="I2437" s="69">
        <v>362809.57727181847</v>
      </c>
    </row>
    <row r="2438" spans="1:9" hidden="1">
      <c r="A2438" s="64" t="s">
        <v>295</v>
      </c>
      <c r="B2438" s="65">
        <v>2034</v>
      </c>
      <c r="C2438" s="65">
        <v>2023</v>
      </c>
      <c r="D2438" s="65" t="s">
        <v>309</v>
      </c>
      <c r="E2438" s="65" t="s">
        <v>301</v>
      </c>
      <c r="F2438" s="65" t="s">
        <v>297</v>
      </c>
      <c r="G2438" s="65"/>
      <c r="H2438" s="65"/>
      <c r="I2438" s="66">
        <v>50232.523408657747</v>
      </c>
    </row>
    <row r="2439" spans="1:9" hidden="1">
      <c r="A2439" s="67" t="s">
        <v>295</v>
      </c>
      <c r="B2439" s="68">
        <v>2034</v>
      </c>
      <c r="C2439" s="68">
        <v>2023</v>
      </c>
      <c r="D2439" s="68" t="s">
        <v>309</v>
      </c>
      <c r="E2439" s="68" t="s">
        <v>301</v>
      </c>
      <c r="F2439" s="68" t="s">
        <v>298</v>
      </c>
      <c r="G2439" s="68"/>
      <c r="H2439" s="68"/>
      <c r="I2439" s="69">
        <v>384146.63817977189</v>
      </c>
    </row>
    <row r="2440" spans="1:9" hidden="1">
      <c r="A2440" s="64" t="s">
        <v>295</v>
      </c>
      <c r="B2440" s="65">
        <v>2034</v>
      </c>
      <c r="C2440" s="65">
        <v>2023</v>
      </c>
      <c r="D2440" s="65" t="s">
        <v>309</v>
      </c>
      <c r="E2440" s="65" t="s">
        <v>301</v>
      </c>
      <c r="F2440" s="65" t="s">
        <v>40</v>
      </c>
      <c r="G2440" s="65"/>
      <c r="H2440" s="65"/>
      <c r="I2440" s="66">
        <v>434379.08161909552</v>
      </c>
    </row>
    <row r="2441" spans="1:9" hidden="1">
      <c r="A2441" s="67" t="s">
        <v>295</v>
      </c>
      <c r="B2441" s="68">
        <v>2034</v>
      </c>
      <c r="C2441" s="68">
        <v>2023</v>
      </c>
      <c r="D2441" s="68" t="s">
        <v>309</v>
      </c>
      <c r="E2441" s="68" t="s">
        <v>305</v>
      </c>
      <c r="F2441" s="68" t="s">
        <v>297</v>
      </c>
      <c r="G2441" s="68"/>
      <c r="H2441" s="68"/>
      <c r="I2441" s="69">
        <v>84.99306</v>
      </c>
    </row>
    <row r="2442" spans="1:9" hidden="1">
      <c r="A2442" s="64" t="s">
        <v>295</v>
      </c>
      <c r="B2442" s="65">
        <v>2034</v>
      </c>
      <c r="C2442" s="65">
        <v>2023</v>
      </c>
      <c r="D2442" s="65" t="s">
        <v>309</v>
      </c>
      <c r="E2442" s="65" t="s">
        <v>305</v>
      </c>
      <c r="F2442" s="65" t="s">
        <v>298</v>
      </c>
      <c r="G2442" s="65"/>
      <c r="H2442" s="65"/>
      <c r="I2442" s="66">
        <v>7073.0131099999999</v>
      </c>
    </row>
    <row r="2443" spans="1:9" hidden="1">
      <c r="A2443" s="67" t="s">
        <v>295</v>
      </c>
      <c r="B2443" s="68">
        <v>2034</v>
      </c>
      <c r="C2443" s="68">
        <v>2023</v>
      </c>
      <c r="D2443" s="68" t="s">
        <v>309</v>
      </c>
      <c r="E2443" s="68" t="s">
        <v>305</v>
      </c>
      <c r="F2443" s="68" t="s">
        <v>40</v>
      </c>
      <c r="G2443" s="68"/>
      <c r="H2443" s="68"/>
      <c r="I2443" s="69">
        <v>48131.506170000001</v>
      </c>
    </row>
    <row r="2444" spans="1:9" hidden="1">
      <c r="A2444" s="64" t="s">
        <v>295</v>
      </c>
      <c r="B2444" s="65">
        <v>2034</v>
      </c>
      <c r="C2444" s="65">
        <v>2023</v>
      </c>
      <c r="D2444" s="65" t="s">
        <v>315</v>
      </c>
      <c r="E2444" s="65" t="s">
        <v>294</v>
      </c>
      <c r="F2444" s="65" t="s">
        <v>297</v>
      </c>
      <c r="G2444" s="65"/>
      <c r="H2444" s="65"/>
      <c r="I2444" s="66">
        <v>98990.278810198346</v>
      </c>
    </row>
    <row r="2445" spans="1:9" hidden="1">
      <c r="A2445" s="67" t="s">
        <v>295</v>
      </c>
      <c r="B2445" s="68">
        <v>2034</v>
      </c>
      <c r="C2445" s="68">
        <v>2023</v>
      </c>
      <c r="D2445" s="68" t="s">
        <v>315</v>
      </c>
      <c r="E2445" s="68" t="s">
        <v>294</v>
      </c>
      <c r="F2445" s="68" t="s">
        <v>298</v>
      </c>
      <c r="G2445" s="68"/>
      <c r="H2445" s="68"/>
      <c r="I2445" s="69">
        <v>198173.26229287771</v>
      </c>
    </row>
    <row r="2446" spans="1:9" hidden="1">
      <c r="A2446" s="64" t="s">
        <v>295</v>
      </c>
      <c r="B2446" s="65">
        <v>2034</v>
      </c>
      <c r="C2446" s="65">
        <v>2023</v>
      </c>
      <c r="D2446" s="65" t="s">
        <v>315</v>
      </c>
      <c r="E2446" s="65" t="s">
        <v>294</v>
      </c>
      <c r="F2446" s="65" t="s">
        <v>40</v>
      </c>
      <c r="G2446" s="65"/>
      <c r="H2446" s="65"/>
      <c r="I2446" s="66">
        <v>297163.52109310508</v>
      </c>
    </row>
    <row r="2447" spans="1:9" hidden="1">
      <c r="A2447" s="67" t="s">
        <v>295</v>
      </c>
      <c r="B2447" s="68">
        <v>2034</v>
      </c>
      <c r="C2447" s="68">
        <v>2023</v>
      </c>
      <c r="D2447" s="68" t="s">
        <v>315</v>
      </c>
      <c r="E2447" s="68" t="s">
        <v>301</v>
      </c>
      <c r="F2447" s="68" t="s">
        <v>297</v>
      </c>
      <c r="G2447" s="68"/>
      <c r="H2447" s="68"/>
      <c r="I2447" s="69">
        <v>104266.8746570418</v>
      </c>
    </row>
    <row r="2448" spans="1:9" hidden="1">
      <c r="A2448" s="64" t="s">
        <v>295</v>
      </c>
      <c r="B2448" s="65">
        <v>2034</v>
      </c>
      <c r="C2448" s="65">
        <v>2023</v>
      </c>
      <c r="D2448" s="65" t="s">
        <v>315</v>
      </c>
      <c r="E2448" s="65" t="s">
        <v>301</v>
      </c>
      <c r="F2448" s="65" t="s">
        <v>298</v>
      </c>
      <c r="G2448" s="65"/>
      <c r="H2448" s="65"/>
      <c r="I2448" s="66">
        <v>222931.44981123621</v>
      </c>
    </row>
    <row r="2449" spans="1:9" hidden="1">
      <c r="A2449" s="67" t="s">
        <v>295</v>
      </c>
      <c r="B2449" s="68">
        <v>2034</v>
      </c>
      <c r="C2449" s="68">
        <v>2023</v>
      </c>
      <c r="D2449" s="68" t="s">
        <v>315</v>
      </c>
      <c r="E2449" s="68" t="s">
        <v>301</v>
      </c>
      <c r="F2449" s="68" t="s">
        <v>40</v>
      </c>
      <c r="G2449" s="68"/>
      <c r="H2449" s="68"/>
      <c r="I2449" s="69">
        <v>327198.30445817037</v>
      </c>
    </row>
    <row r="2450" spans="1:9" hidden="1">
      <c r="A2450" s="64" t="s">
        <v>295</v>
      </c>
      <c r="B2450" s="65">
        <v>2034</v>
      </c>
      <c r="C2450" s="65">
        <v>2023</v>
      </c>
      <c r="D2450" s="65" t="s">
        <v>315</v>
      </c>
      <c r="E2450" s="65" t="s">
        <v>305</v>
      </c>
      <c r="F2450" s="65" t="s">
        <v>297</v>
      </c>
      <c r="G2450" s="65"/>
      <c r="H2450" s="65"/>
      <c r="I2450" s="66">
        <v>1050.4411399999999</v>
      </c>
    </row>
    <row r="2451" spans="1:9" hidden="1">
      <c r="A2451" s="67" t="s">
        <v>295</v>
      </c>
      <c r="B2451" s="68">
        <v>2034</v>
      </c>
      <c r="C2451" s="68">
        <v>2023</v>
      </c>
      <c r="D2451" s="68" t="s">
        <v>315</v>
      </c>
      <c r="E2451" s="68" t="s">
        <v>305</v>
      </c>
      <c r="F2451" s="68" t="s">
        <v>298</v>
      </c>
      <c r="G2451" s="68"/>
      <c r="H2451" s="68"/>
      <c r="I2451" s="69">
        <v>1410.6</v>
      </c>
    </row>
    <row r="2452" spans="1:9" hidden="1">
      <c r="A2452" s="64" t="s">
        <v>295</v>
      </c>
      <c r="B2452" s="65">
        <v>2034</v>
      </c>
      <c r="C2452" s="65">
        <v>2023</v>
      </c>
      <c r="D2452" s="65" t="s">
        <v>315</v>
      </c>
      <c r="E2452" s="65" t="s">
        <v>305</v>
      </c>
      <c r="F2452" s="65" t="s">
        <v>40</v>
      </c>
      <c r="G2452" s="65"/>
      <c r="H2452" s="65"/>
      <c r="I2452" s="66">
        <v>20394.741139999998</v>
      </c>
    </row>
    <row r="2453" spans="1:9" hidden="1">
      <c r="A2453" s="67" t="s">
        <v>295</v>
      </c>
      <c r="B2453" s="68">
        <v>2034</v>
      </c>
      <c r="C2453" s="68">
        <v>2023</v>
      </c>
      <c r="D2453" s="68" t="s">
        <v>316</v>
      </c>
      <c r="E2453" s="68" t="s">
        <v>294</v>
      </c>
      <c r="F2453" s="68" t="s">
        <v>297</v>
      </c>
      <c r="G2453" s="68"/>
      <c r="H2453" s="68"/>
      <c r="I2453" s="69">
        <v>547421.74256315047</v>
      </c>
    </row>
    <row r="2454" spans="1:9" hidden="1">
      <c r="A2454" s="64" t="s">
        <v>295</v>
      </c>
      <c r="B2454" s="65">
        <v>2034</v>
      </c>
      <c r="C2454" s="65">
        <v>2023</v>
      </c>
      <c r="D2454" s="65" t="s">
        <v>316</v>
      </c>
      <c r="E2454" s="65" t="s">
        <v>294</v>
      </c>
      <c r="F2454" s="65" t="s">
        <v>298</v>
      </c>
      <c r="G2454" s="65"/>
      <c r="H2454" s="65"/>
      <c r="I2454" s="66">
        <v>3445.626686914366</v>
      </c>
    </row>
    <row r="2455" spans="1:9" hidden="1">
      <c r="A2455" s="67" t="s">
        <v>295</v>
      </c>
      <c r="B2455" s="68">
        <v>2034</v>
      </c>
      <c r="C2455" s="68">
        <v>2023</v>
      </c>
      <c r="D2455" s="68" t="s">
        <v>316</v>
      </c>
      <c r="E2455" s="68" t="s">
        <v>294</v>
      </c>
      <c r="F2455" s="68" t="s">
        <v>40</v>
      </c>
      <c r="G2455" s="68"/>
      <c r="H2455" s="68"/>
      <c r="I2455" s="69">
        <v>567574.22830127215</v>
      </c>
    </row>
    <row r="2456" spans="1:9" hidden="1">
      <c r="A2456" s="64" t="s">
        <v>295</v>
      </c>
      <c r="B2456" s="65">
        <v>2034</v>
      </c>
      <c r="C2456" s="65">
        <v>2023</v>
      </c>
      <c r="D2456" s="65" t="s">
        <v>316</v>
      </c>
      <c r="E2456" s="65" t="s">
        <v>301</v>
      </c>
      <c r="F2456" s="65" t="s">
        <v>297</v>
      </c>
      <c r="G2456" s="65"/>
      <c r="H2456" s="65"/>
      <c r="I2456" s="66">
        <v>621534.53445739101</v>
      </c>
    </row>
    <row r="2457" spans="1:9" hidden="1">
      <c r="A2457" s="67" t="s">
        <v>295</v>
      </c>
      <c r="B2457" s="68">
        <v>2034</v>
      </c>
      <c r="C2457" s="68">
        <v>2023</v>
      </c>
      <c r="D2457" s="68" t="s">
        <v>316</v>
      </c>
      <c r="E2457" s="68" t="s">
        <v>301</v>
      </c>
      <c r="F2457" s="68" t="s">
        <v>298</v>
      </c>
      <c r="G2457" s="68"/>
      <c r="H2457" s="68"/>
      <c r="I2457" s="69">
        <v>3657.1681778864181</v>
      </c>
    </row>
    <row r="2458" spans="1:9" hidden="1">
      <c r="A2458" s="64" t="s">
        <v>295</v>
      </c>
      <c r="B2458" s="65">
        <v>2034</v>
      </c>
      <c r="C2458" s="65">
        <v>2023</v>
      </c>
      <c r="D2458" s="65" t="s">
        <v>316</v>
      </c>
      <c r="E2458" s="65" t="s">
        <v>301</v>
      </c>
      <c r="F2458" s="65" t="s">
        <v>40</v>
      </c>
      <c r="G2458" s="65"/>
      <c r="H2458" s="65"/>
      <c r="I2458" s="66">
        <v>643305.45872380992</v>
      </c>
    </row>
    <row r="2459" spans="1:9" hidden="1">
      <c r="A2459" s="67" t="s">
        <v>295</v>
      </c>
      <c r="B2459" s="68">
        <v>2034</v>
      </c>
      <c r="C2459" s="68">
        <v>2023</v>
      </c>
      <c r="D2459" s="68" t="s">
        <v>316</v>
      </c>
      <c r="E2459" s="68" t="s">
        <v>305</v>
      </c>
      <c r="F2459" s="68" t="s">
        <v>297</v>
      </c>
      <c r="G2459" s="68"/>
      <c r="H2459" s="68"/>
      <c r="I2459" s="69">
        <v>8394.0814900000005</v>
      </c>
    </row>
    <row r="2460" spans="1:9" hidden="1">
      <c r="A2460" s="64" t="s">
        <v>295</v>
      </c>
      <c r="B2460" s="65">
        <v>2034</v>
      </c>
      <c r="C2460" s="65">
        <v>2023</v>
      </c>
      <c r="D2460" s="65" t="s">
        <v>316</v>
      </c>
      <c r="E2460" s="65" t="s">
        <v>305</v>
      </c>
      <c r="F2460" s="65" t="s">
        <v>298</v>
      </c>
      <c r="G2460" s="65"/>
      <c r="H2460" s="65"/>
      <c r="I2460" s="66">
        <v>0</v>
      </c>
    </row>
    <row r="2461" spans="1:9" hidden="1">
      <c r="A2461" s="67" t="s">
        <v>295</v>
      </c>
      <c r="B2461" s="68">
        <v>2034</v>
      </c>
      <c r="C2461" s="68">
        <v>2023</v>
      </c>
      <c r="D2461" s="68" t="s">
        <v>316</v>
      </c>
      <c r="E2461" s="68" t="s">
        <v>305</v>
      </c>
      <c r="F2461" s="68" t="s">
        <v>40</v>
      </c>
      <c r="G2461" s="68"/>
      <c r="H2461" s="68"/>
      <c r="I2461" s="69">
        <v>38524.874479999999</v>
      </c>
    </row>
    <row r="2462" spans="1:9" hidden="1">
      <c r="A2462" s="64" t="s">
        <v>295</v>
      </c>
      <c r="B2462" s="65">
        <v>2034</v>
      </c>
      <c r="C2462" s="65">
        <v>2023</v>
      </c>
      <c r="D2462" s="65" t="s">
        <v>317</v>
      </c>
      <c r="E2462" s="65" t="s">
        <v>294</v>
      </c>
      <c r="F2462" s="65" t="s">
        <v>297</v>
      </c>
      <c r="G2462" s="65"/>
      <c r="H2462" s="65"/>
      <c r="I2462" s="66">
        <v>146.8070306878048</v>
      </c>
    </row>
    <row r="2463" spans="1:9" hidden="1">
      <c r="A2463" s="67" t="s">
        <v>295</v>
      </c>
      <c r="B2463" s="68">
        <v>2034</v>
      </c>
      <c r="C2463" s="68">
        <v>2023</v>
      </c>
      <c r="D2463" s="68" t="s">
        <v>317</v>
      </c>
      <c r="E2463" s="68" t="s">
        <v>294</v>
      </c>
      <c r="F2463" s="68" t="s">
        <v>298</v>
      </c>
      <c r="G2463" s="68"/>
      <c r="H2463" s="68"/>
      <c r="I2463" s="69">
        <v>0</v>
      </c>
    </row>
    <row r="2464" spans="1:9" hidden="1">
      <c r="A2464" s="64" t="s">
        <v>295</v>
      </c>
      <c r="B2464" s="65">
        <v>2034</v>
      </c>
      <c r="C2464" s="65">
        <v>2023</v>
      </c>
      <c r="D2464" s="65" t="s">
        <v>317</v>
      </c>
      <c r="E2464" s="65" t="s">
        <v>294</v>
      </c>
      <c r="F2464" s="65" t="s">
        <v>40</v>
      </c>
      <c r="G2464" s="65"/>
      <c r="H2464" s="65"/>
      <c r="I2464" s="66">
        <v>16838.52077110434</v>
      </c>
    </row>
    <row r="2465" spans="1:9" hidden="1">
      <c r="A2465" s="67" t="s">
        <v>295</v>
      </c>
      <c r="B2465" s="68">
        <v>2034</v>
      </c>
      <c r="C2465" s="68">
        <v>2023</v>
      </c>
      <c r="D2465" s="68" t="s">
        <v>317</v>
      </c>
      <c r="E2465" s="68" t="s">
        <v>301</v>
      </c>
      <c r="F2465" s="68" t="s">
        <v>297</v>
      </c>
      <c r="G2465" s="68"/>
      <c r="H2465" s="68"/>
      <c r="I2465" s="69">
        <v>156.66301534132589</v>
      </c>
    </row>
    <row r="2466" spans="1:9" hidden="1">
      <c r="A2466" s="64" t="s">
        <v>295</v>
      </c>
      <c r="B2466" s="65">
        <v>2034</v>
      </c>
      <c r="C2466" s="65">
        <v>2023</v>
      </c>
      <c r="D2466" s="65" t="s">
        <v>317</v>
      </c>
      <c r="E2466" s="65" t="s">
        <v>301</v>
      </c>
      <c r="F2466" s="65" t="s">
        <v>298</v>
      </c>
      <c r="G2466" s="65"/>
      <c r="H2466" s="65"/>
      <c r="I2466" s="66">
        <v>0</v>
      </c>
    </row>
    <row r="2467" spans="1:9" hidden="1">
      <c r="A2467" s="67" t="s">
        <v>295</v>
      </c>
      <c r="B2467" s="68">
        <v>2034</v>
      </c>
      <c r="C2467" s="68">
        <v>2023</v>
      </c>
      <c r="D2467" s="68" t="s">
        <v>317</v>
      </c>
      <c r="E2467" s="68" t="s">
        <v>301</v>
      </c>
      <c r="F2467" s="68" t="s">
        <v>40</v>
      </c>
      <c r="G2467" s="68"/>
      <c r="H2467" s="68"/>
      <c r="I2467" s="69">
        <v>18268.007352286229</v>
      </c>
    </row>
    <row r="2468" spans="1:9" hidden="1">
      <c r="A2468" s="64" t="s">
        <v>295</v>
      </c>
      <c r="B2468" s="65">
        <v>2034</v>
      </c>
      <c r="C2468" s="65">
        <v>2023</v>
      </c>
      <c r="D2468" s="65" t="s">
        <v>317</v>
      </c>
      <c r="E2468" s="65" t="s">
        <v>305</v>
      </c>
      <c r="F2468" s="65" t="s">
        <v>297</v>
      </c>
      <c r="G2468" s="65"/>
      <c r="H2468" s="65"/>
      <c r="I2468" s="66">
        <v>1.2930000000000001E-2</v>
      </c>
    </row>
    <row r="2469" spans="1:9" hidden="1">
      <c r="A2469" s="67" t="s">
        <v>295</v>
      </c>
      <c r="B2469" s="68">
        <v>2034</v>
      </c>
      <c r="C2469" s="68">
        <v>2023</v>
      </c>
      <c r="D2469" s="68" t="s">
        <v>317</v>
      </c>
      <c r="E2469" s="68" t="s">
        <v>305</v>
      </c>
      <c r="F2469" s="68" t="s">
        <v>40</v>
      </c>
      <c r="G2469" s="68"/>
      <c r="H2469" s="68"/>
      <c r="I2469" s="69">
        <v>450.90591999999998</v>
      </c>
    </row>
    <row r="2470" spans="1:9" hidden="1">
      <c r="A2470" s="64" t="s">
        <v>295</v>
      </c>
      <c r="B2470" s="65">
        <v>2034</v>
      </c>
      <c r="C2470" s="65">
        <v>2023</v>
      </c>
      <c r="D2470" s="65" t="s">
        <v>318</v>
      </c>
      <c r="E2470" s="65" t="s">
        <v>294</v>
      </c>
      <c r="F2470" s="65" t="s">
        <v>297</v>
      </c>
      <c r="G2470" s="65"/>
      <c r="H2470" s="65"/>
      <c r="I2470" s="66">
        <v>525324.35250928893</v>
      </c>
    </row>
    <row r="2471" spans="1:9" hidden="1">
      <c r="A2471" s="67" t="s">
        <v>295</v>
      </c>
      <c r="B2471" s="68">
        <v>2034</v>
      </c>
      <c r="C2471" s="68">
        <v>2023</v>
      </c>
      <c r="D2471" s="68" t="s">
        <v>318</v>
      </c>
      <c r="E2471" s="68" t="s">
        <v>294</v>
      </c>
      <c r="F2471" s="68" t="s">
        <v>298</v>
      </c>
      <c r="G2471" s="68"/>
      <c r="H2471" s="68"/>
      <c r="I2471" s="69">
        <v>0</v>
      </c>
    </row>
    <row r="2472" spans="1:9" hidden="1">
      <c r="A2472" s="64" t="s">
        <v>295</v>
      </c>
      <c r="B2472" s="65">
        <v>2034</v>
      </c>
      <c r="C2472" s="65">
        <v>2023</v>
      </c>
      <c r="D2472" s="65" t="s">
        <v>318</v>
      </c>
      <c r="E2472" s="65" t="s">
        <v>294</v>
      </c>
      <c r="F2472" s="65" t="s">
        <v>40</v>
      </c>
      <c r="G2472" s="65"/>
      <c r="H2472" s="65"/>
      <c r="I2472" s="66">
        <v>525324.35250928893</v>
      </c>
    </row>
    <row r="2473" spans="1:9" hidden="1">
      <c r="A2473" s="67" t="s">
        <v>295</v>
      </c>
      <c r="B2473" s="68">
        <v>2034</v>
      </c>
      <c r="C2473" s="68">
        <v>2023</v>
      </c>
      <c r="D2473" s="68" t="s">
        <v>318</v>
      </c>
      <c r="E2473" s="68" t="s">
        <v>301</v>
      </c>
      <c r="F2473" s="68" t="s">
        <v>297</v>
      </c>
      <c r="G2473" s="68"/>
      <c r="H2473" s="68"/>
      <c r="I2473" s="69">
        <v>598250.1871075629</v>
      </c>
    </row>
    <row r="2474" spans="1:9" hidden="1">
      <c r="A2474" s="64" t="s">
        <v>295</v>
      </c>
      <c r="B2474" s="65">
        <v>2034</v>
      </c>
      <c r="C2474" s="65">
        <v>2023</v>
      </c>
      <c r="D2474" s="65" t="s">
        <v>318</v>
      </c>
      <c r="E2474" s="65" t="s">
        <v>301</v>
      </c>
      <c r="F2474" s="65" t="s">
        <v>298</v>
      </c>
      <c r="G2474" s="65"/>
      <c r="H2474" s="65"/>
      <c r="I2474" s="66">
        <v>0</v>
      </c>
    </row>
    <row r="2475" spans="1:9" hidden="1">
      <c r="A2475" s="67" t="s">
        <v>295</v>
      </c>
      <c r="B2475" s="68">
        <v>2034</v>
      </c>
      <c r="C2475" s="68">
        <v>2023</v>
      </c>
      <c r="D2475" s="68" t="s">
        <v>318</v>
      </c>
      <c r="E2475" s="68" t="s">
        <v>301</v>
      </c>
      <c r="F2475" s="68" t="s">
        <v>40</v>
      </c>
      <c r="G2475" s="68"/>
      <c r="H2475" s="68"/>
      <c r="I2475" s="69">
        <v>598250.1871075629</v>
      </c>
    </row>
    <row r="2476" spans="1:9" hidden="1">
      <c r="A2476" s="64" t="s">
        <v>295</v>
      </c>
      <c r="B2476" s="65">
        <v>2034</v>
      </c>
      <c r="C2476" s="65">
        <v>2023</v>
      </c>
      <c r="D2476" s="65" t="s">
        <v>318</v>
      </c>
      <c r="E2476" s="65" t="s">
        <v>305</v>
      </c>
      <c r="F2476" s="65" t="s">
        <v>297</v>
      </c>
      <c r="G2476" s="65"/>
      <c r="H2476" s="65"/>
      <c r="I2476" s="66">
        <v>8299.5229299999992</v>
      </c>
    </row>
    <row r="2477" spans="1:9" hidden="1">
      <c r="A2477" s="67" t="s">
        <v>295</v>
      </c>
      <c r="B2477" s="68">
        <v>2034</v>
      </c>
      <c r="C2477" s="68">
        <v>2023</v>
      </c>
      <c r="D2477" s="68" t="s">
        <v>318</v>
      </c>
      <c r="E2477" s="68" t="s">
        <v>305</v>
      </c>
      <c r="F2477" s="68" t="s">
        <v>40</v>
      </c>
      <c r="G2477" s="68"/>
      <c r="H2477" s="68"/>
      <c r="I2477" s="69">
        <v>36323.422930000001</v>
      </c>
    </row>
    <row r="2478" spans="1:9" hidden="1">
      <c r="A2478" s="64" t="s">
        <v>295</v>
      </c>
      <c r="B2478" s="65">
        <v>2034</v>
      </c>
      <c r="C2478" s="65">
        <v>2023</v>
      </c>
      <c r="D2478" s="65" t="s">
        <v>320</v>
      </c>
      <c r="E2478" s="65" t="s">
        <v>294</v>
      </c>
      <c r="F2478" s="65" t="s">
        <v>297</v>
      </c>
      <c r="G2478" s="65"/>
      <c r="H2478" s="65"/>
      <c r="I2478" s="66">
        <v>3421.985809379757</v>
      </c>
    </row>
    <row r="2479" spans="1:9" hidden="1">
      <c r="A2479" s="67" t="s">
        <v>295</v>
      </c>
      <c r="B2479" s="68">
        <v>2034</v>
      </c>
      <c r="C2479" s="68">
        <v>2023</v>
      </c>
      <c r="D2479" s="68" t="s">
        <v>320</v>
      </c>
      <c r="E2479" s="68" t="s">
        <v>294</v>
      </c>
      <c r="F2479" s="68" t="s">
        <v>298</v>
      </c>
      <c r="G2479" s="68"/>
      <c r="H2479" s="68"/>
      <c r="I2479" s="69">
        <v>0</v>
      </c>
    </row>
    <row r="2480" spans="1:9" hidden="1">
      <c r="A2480" s="64" t="s">
        <v>295</v>
      </c>
      <c r="B2480" s="65">
        <v>2034</v>
      </c>
      <c r="C2480" s="65">
        <v>2023</v>
      </c>
      <c r="D2480" s="65" t="s">
        <v>320</v>
      </c>
      <c r="E2480" s="65" t="s">
        <v>294</v>
      </c>
      <c r="F2480" s="65" t="s">
        <v>40</v>
      </c>
      <c r="G2480" s="65"/>
      <c r="H2480" s="65"/>
      <c r="I2480" s="66">
        <v>3421.985809379757</v>
      </c>
    </row>
    <row r="2481" spans="1:9" hidden="1">
      <c r="A2481" s="67" t="s">
        <v>295</v>
      </c>
      <c r="B2481" s="68">
        <v>2034</v>
      </c>
      <c r="C2481" s="68">
        <v>2023</v>
      </c>
      <c r="D2481" s="68" t="s">
        <v>320</v>
      </c>
      <c r="E2481" s="68" t="s">
        <v>301</v>
      </c>
      <c r="F2481" s="68" t="s">
        <v>297</v>
      </c>
      <c r="G2481" s="68"/>
      <c r="H2481" s="68"/>
      <c r="I2481" s="69">
        <v>4116.3718337314349</v>
      </c>
    </row>
    <row r="2482" spans="1:9" hidden="1">
      <c r="A2482" s="64" t="s">
        <v>295</v>
      </c>
      <c r="B2482" s="65">
        <v>2034</v>
      </c>
      <c r="C2482" s="65">
        <v>2023</v>
      </c>
      <c r="D2482" s="65" t="s">
        <v>320</v>
      </c>
      <c r="E2482" s="65" t="s">
        <v>301</v>
      </c>
      <c r="F2482" s="65" t="s">
        <v>298</v>
      </c>
      <c r="G2482" s="65"/>
      <c r="H2482" s="65"/>
      <c r="I2482" s="66">
        <v>0</v>
      </c>
    </row>
    <row r="2483" spans="1:9" hidden="1">
      <c r="A2483" s="67" t="s">
        <v>295</v>
      </c>
      <c r="B2483" s="68">
        <v>2034</v>
      </c>
      <c r="C2483" s="68">
        <v>2023</v>
      </c>
      <c r="D2483" s="68" t="s">
        <v>320</v>
      </c>
      <c r="E2483" s="68" t="s">
        <v>301</v>
      </c>
      <c r="F2483" s="68" t="s">
        <v>40</v>
      </c>
      <c r="G2483" s="68"/>
      <c r="H2483" s="68"/>
      <c r="I2483" s="69">
        <v>4116.3718337314349</v>
      </c>
    </row>
    <row r="2484" spans="1:9" hidden="1">
      <c r="A2484" s="64" t="s">
        <v>295</v>
      </c>
      <c r="B2484" s="65">
        <v>2034</v>
      </c>
      <c r="C2484" s="65">
        <v>2023</v>
      </c>
      <c r="D2484" s="65" t="s">
        <v>320</v>
      </c>
      <c r="E2484" s="65" t="s">
        <v>305</v>
      </c>
      <c r="F2484" s="65" t="s">
        <v>297</v>
      </c>
      <c r="G2484" s="65"/>
      <c r="H2484" s="65"/>
      <c r="I2484" s="66">
        <v>37.299999999999997</v>
      </c>
    </row>
    <row r="2485" spans="1:9" hidden="1">
      <c r="A2485" s="67" t="s">
        <v>295</v>
      </c>
      <c r="B2485" s="68">
        <v>2034</v>
      </c>
      <c r="C2485" s="68">
        <v>2023</v>
      </c>
      <c r="D2485" s="68" t="s">
        <v>320</v>
      </c>
      <c r="E2485" s="68" t="s">
        <v>305</v>
      </c>
      <c r="F2485" s="68" t="s">
        <v>40</v>
      </c>
      <c r="G2485" s="68"/>
      <c r="H2485" s="68"/>
      <c r="I2485" s="69">
        <v>1118.8</v>
      </c>
    </row>
    <row r="2486" spans="1:9" hidden="1">
      <c r="A2486" s="64" t="s">
        <v>295</v>
      </c>
      <c r="B2486" s="65">
        <v>2034</v>
      </c>
      <c r="C2486" s="65">
        <v>2023</v>
      </c>
      <c r="D2486" s="65" t="s">
        <v>321</v>
      </c>
      <c r="E2486" s="65" t="s">
        <v>294</v>
      </c>
      <c r="F2486" s="65" t="s">
        <v>297</v>
      </c>
      <c r="G2486" s="65"/>
      <c r="H2486" s="65"/>
      <c r="I2486" s="66">
        <v>17287.787972872451</v>
      </c>
    </row>
    <row r="2487" spans="1:9" hidden="1">
      <c r="A2487" s="67" t="s">
        <v>295</v>
      </c>
      <c r="B2487" s="68">
        <v>2034</v>
      </c>
      <c r="C2487" s="68">
        <v>2023</v>
      </c>
      <c r="D2487" s="68" t="s">
        <v>321</v>
      </c>
      <c r="E2487" s="68" t="s">
        <v>294</v>
      </c>
      <c r="F2487" s="68" t="s">
        <v>298</v>
      </c>
      <c r="G2487" s="68"/>
      <c r="H2487" s="68"/>
      <c r="I2487" s="69">
        <v>0</v>
      </c>
    </row>
    <row r="2488" spans="1:9" hidden="1">
      <c r="A2488" s="64" t="s">
        <v>295</v>
      </c>
      <c r="B2488" s="65">
        <v>2034</v>
      </c>
      <c r="C2488" s="65">
        <v>2023</v>
      </c>
      <c r="D2488" s="65" t="s">
        <v>321</v>
      </c>
      <c r="E2488" s="65" t="s">
        <v>294</v>
      </c>
      <c r="F2488" s="65" t="s">
        <v>40</v>
      </c>
      <c r="G2488" s="65"/>
      <c r="H2488" s="65"/>
      <c r="I2488" s="66">
        <v>17287.787812872451</v>
      </c>
    </row>
    <row r="2489" spans="1:9" hidden="1">
      <c r="A2489" s="67" t="s">
        <v>295</v>
      </c>
      <c r="B2489" s="68">
        <v>2034</v>
      </c>
      <c r="C2489" s="68">
        <v>2023</v>
      </c>
      <c r="D2489" s="68" t="s">
        <v>321</v>
      </c>
      <c r="E2489" s="68" t="s">
        <v>301</v>
      </c>
      <c r="F2489" s="68" t="s">
        <v>297</v>
      </c>
      <c r="G2489" s="68"/>
      <c r="H2489" s="68"/>
      <c r="I2489" s="69">
        <v>17549.946447730461</v>
      </c>
    </row>
    <row r="2490" spans="1:9" hidden="1">
      <c r="A2490" s="64" t="s">
        <v>295</v>
      </c>
      <c r="B2490" s="65">
        <v>2034</v>
      </c>
      <c r="C2490" s="65">
        <v>2023</v>
      </c>
      <c r="D2490" s="65" t="s">
        <v>321</v>
      </c>
      <c r="E2490" s="65" t="s">
        <v>301</v>
      </c>
      <c r="F2490" s="65" t="s">
        <v>298</v>
      </c>
      <c r="G2490" s="65"/>
      <c r="H2490" s="65"/>
      <c r="I2490" s="66">
        <v>0</v>
      </c>
    </row>
    <row r="2491" spans="1:9" hidden="1">
      <c r="A2491" s="67" t="s">
        <v>295</v>
      </c>
      <c r="B2491" s="68">
        <v>2034</v>
      </c>
      <c r="C2491" s="68">
        <v>2023</v>
      </c>
      <c r="D2491" s="68" t="s">
        <v>321</v>
      </c>
      <c r="E2491" s="68" t="s">
        <v>301</v>
      </c>
      <c r="F2491" s="68" t="s">
        <v>40</v>
      </c>
      <c r="G2491" s="68"/>
      <c r="H2491" s="68"/>
      <c r="I2491" s="69">
        <v>17549.946287730461</v>
      </c>
    </row>
    <row r="2492" spans="1:9" hidden="1">
      <c r="A2492" s="64" t="s">
        <v>295</v>
      </c>
      <c r="B2492" s="65">
        <v>2034</v>
      </c>
      <c r="C2492" s="65">
        <v>2023</v>
      </c>
      <c r="D2492" s="65" t="s">
        <v>321</v>
      </c>
      <c r="E2492" s="65" t="s">
        <v>305</v>
      </c>
      <c r="F2492" s="65" t="s">
        <v>297</v>
      </c>
      <c r="G2492" s="65"/>
      <c r="H2492" s="65"/>
      <c r="I2492" s="66">
        <v>49.945630000000001</v>
      </c>
    </row>
    <row r="2493" spans="1:9" hidden="1">
      <c r="A2493" s="67" t="s">
        <v>295</v>
      </c>
      <c r="B2493" s="68">
        <v>2034</v>
      </c>
      <c r="C2493" s="68">
        <v>2023</v>
      </c>
      <c r="D2493" s="68" t="s">
        <v>321</v>
      </c>
      <c r="E2493" s="68" t="s">
        <v>305</v>
      </c>
      <c r="F2493" s="68" t="s">
        <v>40</v>
      </c>
      <c r="G2493" s="68"/>
      <c r="H2493" s="68"/>
      <c r="I2493" s="69">
        <v>355.44562999999999</v>
      </c>
    </row>
    <row r="2494" spans="1:9" hidden="1">
      <c r="A2494" s="64" t="s">
        <v>295</v>
      </c>
      <c r="B2494" s="65">
        <v>2034</v>
      </c>
      <c r="C2494" s="65">
        <v>2023</v>
      </c>
      <c r="D2494" s="65" t="s">
        <v>322</v>
      </c>
      <c r="E2494" s="65" t="s">
        <v>294</v>
      </c>
      <c r="F2494" s="65" t="s">
        <v>297</v>
      </c>
      <c r="G2494" s="65"/>
      <c r="H2494" s="65"/>
      <c r="I2494" s="66">
        <v>1249.4339209215491</v>
      </c>
    </row>
    <row r="2495" spans="1:9" hidden="1">
      <c r="A2495" s="67" t="s">
        <v>295</v>
      </c>
      <c r="B2495" s="68">
        <v>2034</v>
      </c>
      <c r="C2495" s="68">
        <v>2023</v>
      </c>
      <c r="D2495" s="68" t="s">
        <v>322</v>
      </c>
      <c r="E2495" s="68" t="s">
        <v>294</v>
      </c>
      <c r="F2495" s="68" t="s">
        <v>298</v>
      </c>
      <c r="G2495" s="68"/>
      <c r="H2495" s="68"/>
      <c r="I2495" s="69">
        <v>3461.1164677052138</v>
      </c>
    </row>
    <row r="2496" spans="1:9" hidden="1">
      <c r="A2496" s="64" t="s">
        <v>295</v>
      </c>
      <c r="B2496" s="65">
        <v>2034</v>
      </c>
      <c r="C2496" s="65">
        <v>2023</v>
      </c>
      <c r="D2496" s="65" t="s">
        <v>322</v>
      </c>
      <c r="E2496" s="65" t="s">
        <v>294</v>
      </c>
      <c r="F2496" s="65" t="s">
        <v>40</v>
      </c>
      <c r="G2496" s="65"/>
      <c r="H2496" s="65"/>
      <c r="I2496" s="66">
        <v>4710.450388626763</v>
      </c>
    </row>
    <row r="2497" spans="1:9" hidden="1">
      <c r="A2497" s="67" t="s">
        <v>295</v>
      </c>
      <c r="B2497" s="68">
        <v>2034</v>
      </c>
      <c r="C2497" s="68">
        <v>2023</v>
      </c>
      <c r="D2497" s="68" t="s">
        <v>322</v>
      </c>
      <c r="E2497" s="68" t="s">
        <v>301</v>
      </c>
      <c r="F2497" s="68" t="s">
        <v>297</v>
      </c>
      <c r="G2497" s="68"/>
      <c r="H2497" s="68"/>
      <c r="I2497" s="69">
        <v>1470.172755024864</v>
      </c>
    </row>
    <row r="2498" spans="1:9" hidden="1">
      <c r="A2498" s="64" t="s">
        <v>295</v>
      </c>
      <c r="B2498" s="65">
        <v>2034</v>
      </c>
      <c r="C2498" s="65">
        <v>2023</v>
      </c>
      <c r="D2498" s="65" t="s">
        <v>322</v>
      </c>
      <c r="E2498" s="65" t="s">
        <v>301</v>
      </c>
      <c r="F2498" s="65" t="s">
        <v>298</v>
      </c>
      <c r="G2498" s="65"/>
      <c r="H2498" s="65"/>
      <c r="I2498" s="66">
        <v>3659.6823874740021</v>
      </c>
    </row>
    <row r="2499" spans="1:9" hidden="1">
      <c r="A2499" s="67" t="s">
        <v>295</v>
      </c>
      <c r="B2499" s="68">
        <v>2034</v>
      </c>
      <c r="C2499" s="68">
        <v>2023</v>
      </c>
      <c r="D2499" s="68" t="s">
        <v>322</v>
      </c>
      <c r="E2499" s="68" t="s">
        <v>301</v>
      </c>
      <c r="F2499" s="68" t="s">
        <v>40</v>
      </c>
      <c r="G2499" s="68"/>
      <c r="H2499" s="68"/>
      <c r="I2499" s="69">
        <v>5129.755142498866</v>
      </c>
    </row>
    <row r="2500" spans="1:9" hidden="1">
      <c r="A2500" s="64" t="s">
        <v>295</v>
      </c>
      <c r="B2500" s="65">
        <v>2034</v>
      </c>
      <c r="C2500" s="65">
        <v>2023</v>
      </c>
      <c r="D2500" s="65" t="s">
        <v>322</v>
      </c>
      <c r="E2500" s="65" t="s">
        <v>305</v>
      </c>
      <c r="F2500" s="65" t="s">
        <v>297</v>
      </c>
      <c r="G2500" s="65"/>
      <c r="H2500" s="65"/>
      <c r="I2500" s="66">
        <v>7.2</v>
      </c>
    </row>
    <row r="2501" spans="1:9" hidden="1">
      <c r="A2501" s="67" t="s">
        <v>295</v>
      </c>
      <c r="B2501" s="68">
        <v>2034</v>
      </c>
      <c r="C2501" s="68">
        <v>2023</v>
      </c>
      <c r="D2501" s="68" t="s">
        <v>322</v>
      </c>
      <c r="E2501" s="68" t="s">
        <v>305</v>
      </c>
      <c r="F2501" s="68" t="s">
        <v>40</v>
      </c>
      <c r="G2501" s="68"/>
      <c r="H2501" s="68"/>
      <c r="I2501" s="69">
        <v>276.3</v>
      </c>
    </row>
    <row r="2502" spans="1:9" hidden="1">
      <c r="A2502" s="64" t="s">
        <v>295</v>
      </c>
      <c r="B2502" s="65">
        <v>2034</v>
      </c>
      <c r="C2502" s="65">
        <v>2023</v>
      </c>
      <c r="D2502" s="65" t="s">
        <v>323</v>
      </c>
      <c r="E2502" s="65" t="s">
        <v>294</v>
      </c>
      <c r="F2502" s="65" t="s">
        <v>297</v>
      </c>
      <c r="G2502" s="65"/>
      <c r="H2502" s="65"/>
      <c r="I2502" s="66">
        <v>328585.33135227632</v>
      </c>
    </row>
    <row r="2503" spans="1:9" hidden="1">
      <c r="A2503" s="67" t="s">
        <v>295</v>
      </c>
      <c r="B2503" s="68">
        <v>2034</v>
      </c>
      <c r="C2503" s="68">
        <v>2023</v>
      </c>
      <c r="D2503" s="68" t="s">
        <v>323</v>
      </c>
      <c r="E2503" s="68" t="s">
        <v>294</v>
      </c>
      <c r="F2503" s="68" t="s">
        <v>298</v>
      </c>
      <c r="G2503" s="68"/>
      <c r="H2503" s="68"/>
      <c r="I2503" s="69">
        <v>1491.058759401101</v>
      </c>
    </row>
    <row r="2504" spans="1:9" hidden="1">
      <c r="A2504" s="64" t="s">
        <v>295</v>
      </c>
      <c r="B2504" s="65">
        <v>2034</v>
      </c>
      <c r="C2504" s="65">
        <v>2023</v>
      </c>
      <c r="D2504" s="65" t="s">
        <v>323</v>
      </c>
      <c r="E2504" s="65" t="s">
        <v>294</v>
      </c>
      <c r="F2504" s="65" t="s">
        <v>40</v>
      </c>
      <c r="G2504" s="65"/>
      <c r="H2504" s="65"/>
      <c r="I2504" s="66">
        <v>330076.51012315822</v>
      </c>
    </row>
    <row r="2505" spans="1:9" hidden="1">
      <c r="A2505" s="67" t="s">
        <v>295</v>
      </c>
      <c r="B2505" s="68">
        <v>2034</v>
      </c>
      <c r="C2505" s="68">
        <v>2023</v>
      </c>
      <c r="D2505" s="68" t="s">
        <v>323</v>
      </c>
      <c r="E2505" s="68" t="s">
        <v>301</v>
      </c>
      <c r="F2505" s="68" t="s">
        <v>297</v>
      </c>
      <c r="G2505" s="68"/>
      <c r="H2505" s="68"/>
      <c r="I2505" s="69">
        <v>382211.14592648821</v>
      </c>
    </row>
    <row r="2506" spans="1:9" hidden="1">
      <c r="A2506" s="64" t="s">
        <v>295</v>
      </c>
      <c r="B2506" s="65">
        <v>2034</v>
      </c>
      <c r="C2506" s="65">
        <v>2023</v>
      </c>
      <c r="D2506" s="65" t="s">
        <v>323</v>
      </c>
      <c r="E2506" s="65" t="s">
        <v>301</v>
      </c>
      <c r="F2506" s="65" t="s">
        <v>298</v>
      </c>
      <c r="G2506" s="65"/>
      <c r="H2506" s="65"/>
      <c r="I2506" s="66">
        <v>1622.8798529751859</v>
      </c>
    </row>
    <row r="2507" spans="1:9" hidden="1">
      <c r="A2507" s="67" t="s">
        <v>295</v>
      </c>
      <c r="B2507" s="68">
        <v>2034</v>
      </c>
      <c r="C2507" s="68">
        <v>2023</v>
      </c>
      <c r="D2507" s="68" t="s">
        <v>323</v>
      </c>
      <c r="E2507" s="68" t="s">
        <v>301</v>
      </c>
      <c r="F2507" s="68" t="s">
        <v>40</v>
      </c>
      <c r="G2507" s="68"/>
      <c r="H2507" s="68"/>
      <c r="I2507" s="69">
        <v>383834.1257894634</v>
      </c>
    </row>
    <row r="2508" spans="1:9" hidden="1">
      <c r="A2508" s="64" t="s">
        <v>295</v>
      </c>
      <c r="B2508" s="65">
        <v>2034</v>
      </c>
      <c r="C2508" s="65">
        <v>2023</v>
      </c>
      <c r="D2508" s="65" t="s">
        <v>323</v>
      </c>
      <c r="E2508" s="65" t="s">
        <v>305</v>
      </c>
      <c r="F2508" s="65" t="s">
        <v>297</v>
      </c>
      <c r="G2508" s="65"/>
      <c r="H2508" s="65"/>
      <c r="I2508" s="66">
        <v>1500.64606</v>
      </c>
    </row>
    <row r="2509" spans="1:9" hidden="1">
      <c r="A2509" s="67" t="s">
        <v>295</v>
      </c>
      <c r="B2509" s="68">
        <v>2034</v>
      </c>
      <c r="C2509" s="68">
        <v>2023</v>
      </c>
      <c r="D2509" s="68" t="s">
        <v>323</v>
      </c>
      <c r="E2509" s="68" t="s">
        <v>305</v>
      </c>
      <c r="F2509" s="68" t="s">
        <v>40</v>
      </c>
      <c r="G2509" s="68"/>
      <c r="H2509" s="68"/>
      <c r="I2509" s="69">
        <v>18177.446059999998</v>
      </c>
    </row>
    <row r="2510" spans="1:9" hidden="1">
      <c r="A2510" s="64" t="s">
        <v>295</v>
      </c>
      <c r="B2510" s="65">
        <v>2034</v>
      </c>
      <c r="C2510" s="65">
        <v>2023</v>
      </c>
      <c r="D2510" s="65" t="s">
        <v>324</v>
      </c>
      <c r="E2510" s="65" t="s">
        <v>294</v>
      </c>
      <c r="F2510" s="65" t="s">
        <v>297</v>
      </c>
      <c r="G2510" s="65"/>
      <c r="H2510" s="65"/>
      <c r="I2510" s="66">
        <v>3566.4691899999998</v>
      </c>
    </row>
    <row r="2511" spans="1:9" hidden="1">
      <c r="A2511" s="67" t="s">
        <v>295</v>
      </c>
      <c r="B2511" s="68">
        <v>2034</v>
      </c>
      <c r="C2511" s="68">
        <v>2023</v>
      </c>
      <c r="D2511" s="68" t="s">
        <v>324</v>
      </c>
      <c r="E2511" s="68" t="s">
        <v>294</v>
      </c>
      <c r="F2511" s="68" t="s">
        <v>298</v>
      </c>
      <c r="G2511" s="68"/>
      <c r="H2511" s="68"/>
      <c r="I2511" s="69">
        <v>0</v>
      </c>
    </row>
    <row r="2512" spans="1:9" hidden="1">
      <c r="A2512" s="64" t="s">
        <v>295</v>
      </c>
      <c r="B2512" s="65">
        <v>2034</v>
      </c>
      <c r="C2512" s="65">
        <v>2023</v>
      </c>
      <c r="D2512" s="65" t="s">
        <v>324</v>
      </c>
      <c r="E2512" s="65" t="s">
        <v>294</v>
      </c>
      <c r="F2512" s="65" t="s">
        <v>40</v>
      </c>
      <c r="G2512" s="65"/>
      <c r="H2512" s="65"/>
      <c r="I2512" s="66">
        <v>3566.4691899999998</v>
      </c>
    </row>
    <row r="2513" spans="1:9" hidden="1">
      <c r="A2513" s="67" t="s">
        <v>295</v>
      </c>
      <c r="B2513" s="68">
        <v>2034</v>
      </c>
      <c r="C2513" s="68">
        <v>2023</v>
      </c>
      <c r="D2513" s="68" t="s">
        <v>324</v>
      </c>
      <c r="E2513" s="68" t="s">
        <v>301</v>
      </c>
      <c r="F2513" s="68" t="s">
        <v>297</v>
      </c>
      <c r="G2513" s="68"/>
      <c r="H2513" s="68"/>
      <c r="I2513" s="69">
        <v>3566.80737</v>
      </c>
    </row>
    <row r="2514" spans="1:9" hidden="1">
      <c r="A2514" s="64" t="s">
        <v>295</v>
      </c>
      <c r="B2514" s="65">
        <v>2034</v>
      </c>
      <c r="C2514" s="65">
        <v>2023</v>
      </c>
      <c r="D2514" s="65" t="s">
        <v>324</v>
      </c>
      <c r="E2514" s="65" t="s">
        <v>301</v>
      </c>
      <c r="F2514" s="65" t="s">
        <v>298</v>
      </c>
      <c r="G2514" s="65"/>
      <c r="H2514" s="65"/>
      <c r="I2514" s="66">
        <v>0</v>
      </c>
    </row>
    <row r="2515" spans="1:9" hidden="1">
      <c r="A2515" s="67" t="s">
        <v>295</v>
      </c>
      <c r="B2515" s="68">
        <v>2034</v>
      </c>
      <c r="C2515" s="68">
        <v>2023</v>
      </c>
      <c r="D2515" s="68" t="s">
        <v>324</v>
      </c>
      <c r="E2515" s="68" t="s">
        <v>301</v>
      </c>
      <c r="F2515" s="68" t="s">
        <v>40</v>
      </c>
      <c r="G2515" s="68"/>
      <c r="H2515" s="68"/>
      <c r="I2515" s="69">
        <v>3566.80737</v>
      </c>
    </row>
    <row r="2516" spans="1:9" hidden="1">
      <c r="A2516" s="64" t="s">
        <v>295</v>
      </c>
      <c r="B2516" s="65">
        <v>2034</v>
      </c>
      <c r="C2516" s="65">
        <v>2023</v>
      </c>
      <c r="D2516" s="65" t="s">
        <v>324</v>
      </c>
      <c r="E2516" s="65" t="s">
        <v>305</v>
      </c>
      <c r="F2516" s="65" t="s">
        <v>297</v>
      </c>
      <c r="G2516" s="65"/>
      <c r="H2516" s="65"/>
      <c r="I2516" s="66">
        <v>4.0999999999999996</v>
      </c>
    </row>
    <row r="2517" spans="1:9" hidden="1">
      <c r="A2517" s="67" t="s">
        <v>295</v>
      </c>
      <c r="B2517" s="68">
        <v>2034</v>
      </c>
      <c r="C2517" s="68">
        <v>2023</v>
      </c>
      <c r="D2517" s="68" t="s">
        <v>324</v>
      </c>
      <c r="E2517" s="68" t="s">
        <v>305</v>
      </c>
      <c r="F2517" s="68" t="s">
        <v>40</v>
      </c>
      <c r="G2517" s="68"/>
      <c r="H2517" s="68"/>
      <c r="I2517" s="69">
        <v>1246.2</v>
      </c>
    </row>
    <row r="2518" spans="1:9" hidden="1">
      <c r="A2518" s="64" t="s">
        <v>295</v>
      </c>
      <c r="B2518" s="65">
        <v>2034</v>
      </c>
      <c r="C2518" s="65">
        <v>2023</v>
      </c>
      <c r="D2518" s="65" t="s">
        <v>325</v>
      </c>
      <c r="E2518" s="65" t="s">
        <v>294</v>
      </c>
      <c r="F2518" s="65" t="s">
        <v>297</v>
      </c>
      <c r="G2518" s="65"/>
      <c r="H2518" s="65"/>
      <c r="I2518" s="66">
        <v>51015.795415015818</v>
      </c>
    </row>
    <row r="2519" spans="1:9" hidden="1">
      <c r="A2519" s="67" t="s">
        <v>295</v>
      </c>
      <c r="B2519" s="68">
        <v>2034</v>
      </c>
      <c r="C2519" s="68">
        <v>2023</v>
      </c>
      <c r="D2519" s="68" t="s">
        <v>325</v>
      </c>
      <c r="E2519" s="68" t="s">
        <v>294</v>
      </c>
      <c r="F2519" s="68" t="s">
        <v>298</v>
      </c>
      <c r="G2519" s="68"/>
      <c r="H2519" s="68"/>
      <c r="I2519" s="69">
        <v>13400.183016916</v>
      </c>
    </row>
    <row r="2520" spans="1:9" hidden="1">
      <c r="A2520" s="64" t="s">
        <v>295</v>
      </c>
      <c r="B2520" s="65">
        <v>2034</v>
      </c>
      <c r="C2520" s="65">
        <v>2023</v>
      </c>
      <c r="D2520" s="65" t="s">
        <v>325</v>
      </c>
      <c r="E2520" s="65" t="s">
        <v>294</v>
      </c>
      <c r="F2520" s="65" t="s">
        <v>40</v>
      </c>
      <c r="G2520" s="65"/>
      <c r="H2520" s="65"/>
      <c r="I2520" s="66">
        <v>64415.898431931819</v>
      </c>
    </row>
    <row r="2521" spans="1:9" hidden="1">
      <c r="A2521" s="67" t="s">
        <v>295</v>
      </c>
      <c r="B2521" s="68">
        <v>2034</v>
      </c>
      <c r="C2521" s="68">
        <v>2023</v>
      </c>
      <c r="D2521" s="68" t="s">
        <v>325</v>
      </c>
      <c r="E2521" s="68" t="s">
        <v>301</v>
      </c>
      <c r="F2521" s="68" t="s">
        <v>297</v>
      </c>
      <c r="G2521" s="68"/>
      <c r="H2521" s="68"/>
      <c r="I2521" s="69">
        <v>53425.776051835033</v>
      </c>
    </row>
    <row r="2522" spans="1:9" hidden="1">
      <c r="A2522" s="64" t="s">
        <v>295</v>
      </c>
      <c r="B2522" s="65">
        <v>2034</v>
      </c>
      <c r="C2522" s="65">
        <v>2023</v>
      </c>
      <c r="D2522" s="65" t="s">
        <v>325</v>
      </c>
      <c r="E2522" s="65" t="s">
        <v>301</v>
      </c>
      <c r="F2522" s="65" t="s">
        <v>298</v>
      </c>
      <c r="G2522" s="65"/>
      <c r="H2522" s="65"/>
      <c r="I2522" s="66">
        <v>14853.03516816497</v>
      </c>
    </row>
    <row r="2523" spans="1:9" hidden="1">
      <c r="A2523" s="67" t="s">
        <v>295</v>
      </c>
      <c r="B2523" s="68">
        <v>2034</v>
      </c>
      <c r="C2523" s="68">
        <v>2023</v>
      </c>
      <c r="D2523" s="68" t="s">
        <v>325</v>
      </c>
      <c r="E2523" s="68" t="s">
        <v>301</v>
      </c>
      <c r="F2523" s="68" t="s">
        <v>40</v>
      </c>
      <c r="G2523" s="68"/>
      <c r="H2523" s="68"/>
      <c r="I2523" s="69">
        <v>68278.711219999997</v>
      </c>
    </row>
    <row r="2524" spans="1:9" hidden="1">
      <c r="A2524" s="64" t="s">
        <v>295</v>
      </c>
      <c r="B2524" s="65">
        <v>2034</v>
      </c>
      <c r="C2524" s="65">
        <v>2023</v>
      </c>
      <c r="D2524" s="65" t="s">
        <v>325</v>
      </c>
      <c r="E2524" s="65" t="s">
        <v>305</v>
      </c>
      <c r="F2524" s="65" t="s">
        <v>297</v>
      </c>
      <c r="G2524" s="65"/>
      <c r="H2524" s="65"/>
      <c r="I2524" s="66">
        <v>429.5</v>
      </c>
    </row>
    <row r="2525" spans="1:9" hidden="1">
      <c r="A2525" s="67" t="s">
        <v>295</v>
      </c>
      <c r="B2525" s="68">
        <v>2034</v>
      </c>
      <c r="C2525" s="68">
        <v>2023</v>
      </c>
      <c r="D2525" s="68" t="s">
        <v>325</v>
      </c>
      <c r="E2525" s="68" t="s">
        <v>305</v>
      </c>
      <c r="F2525" s="68" t="s">
        <v>298</v>
      </c>
      <c r="G2525" s="68"/>
      <c r="H2525" s="68"/>
      <c r="I2525" s="69">
        <v>69.900000000000006</v>
      </c>
    </row>
    <row r="2526" spans="1:9" hidden="1">
      <c r="A2526" s="64" t="s">
        <v>295</v>
      </c>
      <c r="B2526" s="65">
        <v>2034</v>
      </c>
      <c r="C2526" s="65">
        <v>2023</v>
      </c>
      <c r="D2526" s="65" t="s">
        <v>325</v>
      </c>
      <c r="E2526" s="65" t="s">
        <v>305</v>
      </c>
      <c r="F2526" s="65" t="s">
        <v>40</v>
      </c>
      <c r="G2526" s="65"/>
      <c r="H2526" s="65"/>
      <c r="I2526" s="66">
        <v>18675.2</v>
      </c>
    </row>
    <row r="2527" spans="1:9" hidden="1">
      <c r="A2527" s="67" t="s">
        <v>295</v>
      </c>
      <c r="B2527" s="68">
        <v>2034</v>
      </c>
      <c r="C2527" s="68">
        <v>2023</v>
      </c>
      <c r="D2527" s="68" t="s">
        <v>326</v>
      </c>
      <c r="E2527" s="68" t="s">
        <v>294</v>
      </c>
      <c r="F2527" s="68" t="s">
        <v>297</v>
      </c>
      <c r="G2527" s="68"/>
      <c r="H2527" s="68"/>
      <c r="I2527" s="69">
        <v>0</v>
      </c>
    </row>
    <row r="2528" spans="1:9" hidden="1">
      <c r="A2528" s="64" t="s">
        <v>295</v>
      </c>
      <c r="B2528" s="65">
        <v>2034</v>
      </c>
      <c r="C2528" s="65">
        <v>2023</v>
      </c>
      <c r="D2528" s="65" t="s">
        <v>326</v>
      </c>
      <c r="E2528" s="65" t="s">
        <v>294</v>
      </c>
      <c r="F2528" s="65" t="s">
        <v>298</v>
      </c>
      <c r="G2528" s="65"/>
      <c r="H2528" s="65"/>
      <c r="I2528" s="66">
        <v>0</v>
      </c>
    </row>
    <row r="2529" spans="1:9" hidden="1">
      <c r="A2529" s="67" t="s">
        <v>295</v>
      </c>
      <c r="B2529" s="68">
        <v>2034</v>
      </c>
      <c r="C2529" s="68">
        <v>2023</v>
      </c>
      <c r="D2529" s="68" t="s">
        <v>326</v>
      </c>
      <c r="E2529" s="68" t="s">
        <v>294</v>
      </c>
      <c r="F2529" s="68" t="s">
        <v>40</v>
      </c>
      <c r="G2529" s="68"/>
      <c r="H2529" s="68"/>
      <c r="I2529" s="69">
        <v>0</v>
      </c>
    </row>
    <row r="2530" spans="1:9" hidden="1">
      <c r="A2530" s="64" t="s">
        <v>295</v>
      </c>
      <c r="B2530" s="65">
        <v>2034</v>
      </c>
      <c r="C2530" s="65">
        <v>2023</v>
      </c>
      <c r="D2530" s="65" t="s">
        <v>326</v>
      </c>
      <c r="E2530" s="65" t="s">
        <v>301</v>
      </c>
      <c r="F2530" s="65" t="s">
        <v>297</v>
      </c>
      <c r="G2530" s="65"/>
      <c r="H2530" s="65"/>
      <c r="I2530" s="66">
        <v>0</v>
      </c>
    </row>
    <row r="2531" spans="1:9" hidden="1">
      <c r="A2531" s="67" t="s">
        <v>295</v>
      </c>
      <c r="B2531" s="68">
        <v>2034</v>
      </c>
      <c r="C2531" s="68">
        <v>2023</v>
      </c>
      <c r="D2531" s="68" t="s">
        <v>326</v>
      </c>
      <c r="E2531" s="68" t="s">
        <v>301</v>
      </c>
      <c r="F2531" s="68" t="s">
        <v>298</v>
      </c>
      <c r="G2531" s="68"/>
      <c r="H2531" s="68"/>
      <c r="I2531" s="69">
        <v>0</v>
      </c>
    </row>
    <row r="2532" spans="1:9" hidden="1">
      <c r="A2532" s="64" t="s">
        <v>295</v>
      </c>
      <c r="B2532" s="65">
        <v>2034</v>
      </c>
      <c r="C2532" s="65">
        <v>2023</v>
      </c>
      <c r="D2532" s="65" t="s">
        <v>326</v>
      </c>
      <c r="E2532" s="65" t="s">
        <v>301</v>
      </c>
      <c r="F2532" s="65" t="s">
        <v>40</v>
      </c>
      <c r="G2532" s="65"/>
      <c r="H2532" s="65"/>
      <c r="I2532" s="66">
        <v>0</v>
      </c>
    </row>
    <row r="2533" spans="1:9" hidden="1">
      <c r="A2533" s="67" t="s">
        <v>295</v>
      </c>
      <c r="B2533" s="68">
        <v>2034</v>
      </c>
      <c r="C2533" s="68">
        <v>2023</v>
      </c>
      <c r="D2533" s="68" t="s">
        <v>304</v>
      </c>
      <c r="E2533" s="68" t="s">
        <v>294</v>
      </c>
      <c r="F2533" s="68" t="s">
        <v>297</v>
      </c>
      <c r="G2533" s="68"/>
      <c r="H2533" s="68"/>
      <c r="I2533" s="69">
        <v>53845.851323589908</v>
      </c>
    </row>
    <row r="2534" spans="1:9" hidden="1">
      <c r="A2534" s="64" t="s">
        <v>295</v>
      </c>
      <c r="B2534" s="65">
        <v>2034</v>
      </c>
      <c r="C2534" s="65">
        <v>2023</v>
      </c>
      <c r="D2534" s="65" t="s">
        <v>304</v>
      </c>
      <c r="E2534" s="65" t="s">
        <v>294</v>
      </c>
      <c r="F2534" s="65" t="s">
        <v>298</v>
      </c>
      <c r="G2534" s="65"/>
      <c r="H2534" s="65"/>
      <c r="I2534" s="66">
        <v>182737.8420363219</v>
      </c>
    </row>
    <row r="2535" spans="1:9" hidden="1">
      <c r="A2535" s="67" t="s">
        <v>295</v>
      </c>
      <c r="B2535" s="68">
        <v>2034</v>
      </c>
      <c r="C2535" s="68">
        <v>2023</v>
      </c>
      <c r="D2535" s="68" t="s">
        <v>304</v>
      </c>
      <c r="E2535" s="68" t="s">
        <v>294</v>
      </c>
      <c r="F2535" s="68" t="s">
        <v>40</v>
      </c>
      <c r="G2535" s="68"/>
      <c r="H2535" s="68"/>
      <c r="I2535" s="69">
        <v>236323.6666428406</v>
      </c>
    </row>
    <row r="2536" spans="1:9" hidden="1">
      <c r="A2536" s="64" t="s">
        <v>295</v>
      </c>
      <c r="B2536" s="65">
        <v>2034</v>
      </c>
      <c r="C2536" s="65">
        <v>2023</v>
      </c>
      <c r="D2536" s="65" t="s">
        <v>304</v>
      </c>
      <c r="E2536" s="65" t="s">
        <v>301</v>
      </c>
      <c r="F2536" s="65" t="s">
        <v>297</v>
      </c>
      <c r="G2536" s="65"/>
      <c r="H2536" s="65"/>
      <c r="I2536" s="66">
        <v>56435.212460890929</v>
      </c>
    </row>
    <row r="2537" spans="1:9" hidden="1">
      <c r="A2537" s="67" t="s">
        <v>295</v>
      </c>
      <c r="B2537" s="68">
        <v>2034</v>
      </c>
      <c r="C2537" s="68">
        <v>2023</v>
      </c>
      <c r="D2537" s="68" t="s">
        <v>304</v>
      </c>
      <c r="E2537" s="68" t="s">
        <v>301</v>
      </c>
      <c r="F2537" s="68" t="s">
        <v>298</v>
      </c>
      <c r="G2537" s="68"/>
      <c r="H2537" s="68"/>
      <c r="I2537" s="69">
        <v>192713.35232488441</v>
      </c>
    </row>
    <row r="2538" spans="1:9" hidden="1">
      <c r="A2538" s="64" t="s">
        <v>295</v>
      </c>
      <c r="B2538" s="65">
        <v>2034</v>
      </c>
      <c r="C2538" s="65">
        <v>2023</v>
      </c>
      <c r="D2538" s="65" t="s">
        <v>304</v>
      </c>
      <c r="E2538" s="65" t="s">
        <v>301</v>
      </c>
      <c r="F2538" s="65" t="s">
        <v>40</v>
      </c>
      <c r="G2538" s="65"/>
      <c r="H2538" s="65"/>
      <c r="I2538" s="66">
        <v>248889.21750911689</v>
      </c>
    </row>
    <row r="2539" spans="1:9" hidden="1">
      <c r="A2539" s="67" t="s">
        <v>295</v>
      </c>
      <c r="B2539" s="68">
        <v>2034</v>
      </c>
      <c r="C2539" s="68">
        <v>2023</v>
      </c>
      <c r="D2539" s="68" t="s">
        <v>304</v>
      </c>
      <c r="E2539" s="68" t="s">
        <v>305</v>
      </c>
      <c r="F2539" s="68" t="s">
        <v>297</v>
      </c>
      <c r="G2539" s="68"/>
      <c r="H2539" s="68"/>
      <c r="I2539" s="69">
        <v>1127.26819</v>
      </c>
    </row>
    <row r="2540" spans="1:9" hidden="1">
      <c r="A2540" s="64" t="s">
        <v>295</v>
      </c>
      <c r="B2540" s="65">
        <v>2034</v>
      </c>
      <c r="C2540" s="65">
        <v>2023</v>
      </c>
      <c r="D2540" s="65" t="s">
        <v>304</v>
      </c>
      <c r="E2540" s="65" t="s">
        <v>305</v>
      </c>
      <c r="F2540" s="65" t="s">
        <v>298</v>
      </c>
      <c r="G2540" s="65"/>
      <c r="H2540" s="65"/>
      <c r="I2540" s="66">
        <v>745.4</v>
      </c>
    </row>
    <row r="2541" spans="1:9" hidden="1">
      <c r="A2541" s="67" t="s">
        <v>295</v>
      </c>
      <c r="B2541" s="68">
        <v>2034</v>
      </c>
      <c r="C2541" s="68">
        <v>2023</v>
      </c>
      <c r="D2541" s="68" t="s">
        <v>304</v>
      </c>
      <c r="E2541" s="68" t="s">
        <v>305</v>
      </c>
      <c r="F2541" s="68" t="s">
        <v>40</v>
      </c>
      <c r="G2541" s="68"/>
      <c r="H2541" s="68"/>
      <c r="I2541" s="69">
        <v>16561.068190000002</v>
      </c>
    </row>
    <row r="2542" spans="1:9" hidden="1">
      <c r="A2542" s="64" t="s">
        <v>295</v>
      </c>
      <c r="B2542" s="65">
        <v>2034</v>
      </c>
      <c r="C2542" s="65">
        <v>2023</v>
      </c>
      <c r="D2542" s="65" t="s">
        <v>306</v>
      </c>
      <c r="E2542" s="65" t="s">
        <v>294</v>
      </c>
      <c r="F2542" s="65" t="s">
        <v>297</v>
      </c>
      <c r="G2542" s="65"/>
      <c r="H2542" s="65"/>
      <c r="I2542" s="66">
        <v>354173.93399860541</v>
      </c>
    </row>
    <row r="2543" spans="1:9" hidden="1">
      <c r="A2543" s="67" t="s">
        <v>295</v>
      </c>
      <c r="B2543" s="68">
        <v>2034</v>
      </c>
      <c r="C2543" s="68">
        <v>2023</v>
      </c>
      <c r="D2543" s="68" t="s">
        <v>306</v>
      </c>
      <c r="E2543" s="68" t="s">
        <v>294</v>
      </c>
      <c r="F2543" s="68" t="s">
        <v>40</v>
      </c>
      <c r="G2543" s="68"/>
      <c r="H2543" s="68"/>
      <c r="I2543" s="69">
        <v>354173.93399860541</v>
      </c>
    </row>
    <row r="2544" spans="1:9" hidden="1">
      <c r="A2544" s="64" t="s">
        <v>295</v>
      </c>
      <c r="B2544" s="65">
        <v>2034</v>
      </c>
      <c r="C2544" s="65">
        <v>2023</v>
      </c>
      <c r="D2544" s="65" t="s">
        <v>306</v>
      </c>
      <c r="E2544" s="65" t="s">
        <v>301</v>
      </c>
      <c r="F2544" s="65" t="s">
        <v>297</v>
      </c>
      <c r="G2544" s="65"/>
      <c r="H2544" s="65"/>
      <c r="I2544" s="66">
        <v>369766.54277077783</v>
      </c>
    </row>
    <row r="2545" spans="1:9" hidden="1">
      <c r="A2545" s="67" t="s">
        <v>295</v>
      </c>
      <c r="B2545" s="68">
        <v>2034</v>
      </c>
      <c r="C2545" s="68">
        <v>2023</v>
      </c>
      <c r="D2545" s="68" t="s">
        <v>306</v>
      </c>
      <c r="E2545" s="68" t="s">
        <v>301</v>
      </c>
      <c r="F2545" s="68" t="s">
        <v>40</v>
      </c>
      <c r="G2545" s="68"/>
      <c r="H2545" s="68"/>
      <c r="I2545" s="69">
        <v>369766.54277077783</v>
      </c>
    </row>
    <row r="2546" spans="1:9" hidden="1">
      <c r="A2546" s="64" t="s">
        <v>295</v>
      </c>
      <c r="B2546" s="65">
        <v>2034</v>
      </c>
      <c r="C2546" s="65">
        <v>2023</v>
      </c>
      <c r="D2546" s="65" t="s">
        <v>306</v>
      </c>
      <c r="E2546" s="65" t="s">
        <v>305</v>
      </c>
      <c r="F2546" s="65" t="s">
        <v>297</v>
      </c>
      <c r="G2546" s="65"/>
      <c r="H2546" s="65"/>
      <c r="I2546" s="66">
        <v>2051.8330299999998</v>
      </c>
    </row>
    <row r="2547" spans="1:9" hidden="1">
      <c r="A2547" s="67" t="s">
        <v>295</v>
      </c>
      <c r="B2547" s="68">
        <v>2034</v>
      </c>
      <c r="C2547" s="68">
        <v>2023</v>
      </c>
      <c r="D2547" s="68" t="s">
        <v>306</v>
      </c>
      <c r="E2547" s="68" t="s">
        <v>305</v>
      </c>
      <c r="F2547" s="68" t="s">
        <v>40</v>
      </c>
      <c r="G2547" s="68"/>
      <c r="H2547" s="68"/>
      <c r="I2547" s="69">
        <v>32178.133030000001</v>
      </c>
    </row>
    <row r="2548" spans="1:9" hidden="1">
      <c r="A2548" s="64" t="s">
        <v>295</v>
      </c>
      <c r="B2548" s="65">
        <v>2034</v>
      </c>
      <c r="C2548" s="65">
        <v>2023</v>
      </c>
      <c r="D2548" s="65" t="s">
        <v>307</v>
      </c>
      <c r="E2548" s="65" t="s">
        <v>294</v>
      </c>
      <c r="F2548" s="65" t="s">
        <v>40</v>
      </c>
      <c r="G2548" s="65"/>
      <c r="H2548" s="65"/>
      <c r="I2548" s="66">
        <v>-257190.32969433541</v>
      </c>
    </row>
    <row r="2549" spans="1:9" hidden="1">
      <c r="A2549" s="67" t="s">
        <v>295</v>
      </c>
      <c r="B2549" s="68">
        <v>2034</v>
      </c>
      <c r="C2549" s="68">
        <v>2023</v>
      </c>
      <c r="D2549" s="68" t="s">
        <v>307</v>
      </c>
      <c r="E2549" s="68" t="s">
        <v>301</v>
      </c>
      <c r="F2549" s="68" t="s">
        <v>40</v>
      </c>
      <c r="G2549" s="68"/>
      <c r="H2549" s="68"/>
      <c r="I2549" s="69">
        <v>-231840.98626121509</v>
      </c>
    </row>
    <row r="2550" spans="1:9" hidden="1">
      <c r="A2550" s="64" t="s">
        <v>295</v>
      </c>
      <c r="B2550" s="65">
        <v>2034</v>
      </c>
      <c r="C2550" s="65">
        <v>2023</v>
      </c>
      <c r="D2550" s="65" t="s">
        <v>307</v>
      </c>
      <c r="E2550" s="65" t="s">
        <v>305</v>
      </c>
      <c r="F2550" s="65" t="s">
        <v>40</v>
      </c>
      <c r="G2550" s="65"/>
      <c r="H2550" s="65"/>
      <c r="I2550" s="66">
        <v>-16654.423279999999</v>
      </c>
    </row>
    <row r="2551" spans="1:9" hidden="1">
      <c r="A2551" s="67" t="s">
        <v>295</v>
      </c>
      <c r="B2551" s="68">
        <v>2034</v>
      </c>
      <c r="C2551" s="68">
        <v>2023</v>
      </c>
      <c r="D2551" s="68" t="s">
        <v>327</v>
      </c>
      <c r="E2551" s="68" t="s">
        <v>294</v>
      </c>
      <c r="F2551" s="68" t="s">
        <v>40</v>
      </c>
      <c r="G2551" s="68"/>
      <c r="H2551" s="68"/>
      <c r="I2551" s="69">
        <v>-311641.70644942869</v>
      </c>
    </row>
    <row r="2552" spans="1:9" hidden="1">
      <c r="A2552" s="64" t="s">
        <v>295</v>
      </c>
      <c r="B2552" s="65">
        <v>2034</v>
      </c>
      <c r="C2552" s="65">
        <v>2023</v>
      </c>
      <c r="D2552" s="65" t="s">
        <v>327</v>
      </c>
      <c r="E2552" s="65" t="s">
        <v>301</v>
      </c>
      <c r="F2552" s="65" t="s">
        <v>40</v>
      </c>
      <c r="G2552" s="65"/>
      <c r="H2552" s="65"/>
      <c r="I2552" s="66">
        <v>-295572.53656194819</v>
      </c>
    </row>
    <row r="2553" spans="1:9" hidden="1">
      <c r="A2553" s="67" t="s">
        <v>295</v>
      </c>
      <c r="B2553" s="68">
        <v>2034</v>
      </c>
      <c r="C2553" s="68">
        <v>2023</v>
      </c>
      <c r="D2553" s="68" t="s">
        <v>327</v>
      </c>
      <c r="E2553" s="68" t="s">
        <v>305</v>
      </c>
      <c r="F2553" s="68" t="s">
        <v>40</v>
      </c>
      <c r="G2553" s="68"/>
      <c r="H2553" s="68"/>
      <c r="I2553" s="69">
        <v>-19109.942070000001</v>
      </c>
    </row>
    <row r="2554" spans="1:9" hidden="1">
      <c r="A2554" s="64" t="s">
        <v>295</v>
      </c>
      <c r="B2554" s="65">
        <v>2034</v>
      </c>
      <c r="C2554" s="65">
        <v>2023</v>
      </c>
      <c r="D2554" s="65" t="s">
        <v>328</v>
      </c>
      <c r="E2554" s="65" t="s">
        <v>294</v>
      </c>
      <c r="F2554" s="65" t="s">
        <v>40</v>
      </c>
      <c r="G2554" s="65"/>
      <c r="H2554" s="65"/>
      <c r="I2554" s="66">
        <v>28492.659461372779</v>
      </c>
    </row>
    <row r="2555" spans="1:9" hidden="1">
      <c r="A2555" s="67" t="s">
        <v>295</v>
      </c>
      <c r="B2555" s="68">
        <v>2034</v>
      </c>
      <c r="C2555" s="68">
        <v>2023</v>
      </c>
      <c r="D2555" s="68" t="s">
        <v>328</v>
      </c>
      <c r="E2555" s="68" t="s">
        <v>301</v>
      </c>
      <c r="F2555" s="68" t="s">
        <v>40</v>
      </c>
      <c r="G2555" s="68"/>
      <c r="H2555" s="68"/>
      <c r="I2555" s="69">
        <v>34217.399409185477</v>
      </c>
    </row>
    <row r="2556" spans="1:9" hidden="1">
      <c r="A2556" s="64" t="s">
        <v>295</v>
      </c>
      <c r="B2556" s="65">
        <v>2034</v>
      </c>
      <c r="C2556" s="65">
        <v>2023</v>
      </c>
      <c r="D2556" s="65" t="s">
        <v>328</v>
      </c>
      <c r="E2556" s="65" t="s">
        <v>305</v>
      </c>
      <c r="F2556" s="65" t="s">
        <v>40</v>
      </c>
      <c r="G2556" s="65"/>
      <c r="H2556" s="65"/>
      <c r="I2556" s="66">
        <v>-2294.1154000000001</v>
      </c>
    </row>
    <row r="2557" spans="1:9" hidden="1">
      <c r="A2557" s="67" t="s">
        <v>295</v>
      </c>
      <c r="B2557" s="68">
        <v>2034</v>
      </c>
      <c r="C2557" s="68">
        <v>2023</v>
      </c>
      <c r="D2557" s="68" t="s">
        <v>329</v>
      </c>
      <c r="E2557" s="68" t="s">
        <v>294</v>
      </c>
      <c r="F2557" s="68" t="s">
        <v>40</v>
      </c>
      <c r="G2557" s="68"/>
      <c r="H2557" s="68"/>
      <c r="I2557" s="69">
        <v>16193.06219402766</v>
      </c>
    </row>
    <row r="2558" spans="1:9" hidden="1">
      <c r="A2558" s="64" t="s">
        <v>295</v>
      </c>
      <c r="B2558" s="65">
        <v>2034</v>
      </c>
      <c r="C2558" s="65">
        <v>2023</v>
      </c>
      <c r="D2558" s="65" t="s">
        <v>329</v>
      </c>
      <c r="E2558" s="65" t="s">
        <v>301</v>
      </c>
      <c r="F2558" s="65" t="s">
        <v>40</v>
      </c>
      <c r="G2558" s="65"/>
      <c r="H2558" s="65"/>
      <c r="I2558" s="66">
        <v>17495.542819180981</v>
      </c>
    </row>
    <row r="2559" spans="1:9" hidden="1">
      <c r="A2559" s="67" t="s">
        <v>295</v>
      </c>
      <c r="B2559" s="68">
        <v>2034</v>
      </c>
      <c r="C2559" s="68">
        <v>2023</v>
      </c>
      <c r="D2559" s="68" t="s">
        <v>329</v>
      </c>
      <c r="E2559" s="68" t="s">
        <v>305</v>
      </c>
      <c r="F2559" s="68" t="s">
        <v>40</v>
      </c>
      <c r="G2559" s="68"/>
      <c r="H2559" s="68"/>
      <c r="I2559" s="69">
        <v>2762.64212</v>
      </c>
    </row>
    <row r="2560" spans="1:9" hidden="1">
      <c r="A2560" s="64" t="s">
        <v>295</v>
      </c>
      <c r="B2560" s="65">
        <v>2034</v>
      </c>
      <c r="C2560" s="65">
        <v>2023</v>
      </c>
      <c r="D2560" s="65" t="s">
        <v>330</v>
      </c>
      <c r="E2560" s="65" t="s">
        <v>294</v>
      </c>
      <c r="F2560" s="65" t="s">
        <v>40</v>
      </c>
      <c r="G2560" s="65"/>
      <c r="H2560" s="65"/>
      <c r="I2560" s="66">
        <v>12753.46555307941</v>
      </c>
    </row>
    <row r="2561" spans="1:9" hidden="1">
      <c r="A2561" s="67" t="s">
        <v>295</v>
      </c>
      <c r="B2561" s="68">
        <v>2034</v>
      </c>
      <c r="C2561" s="68">
        <v>2023</v>
      </c>
      <c r="D2561" s="68" t="s">
        <v>330</v>
      </c>
      <c r="E2561" s="68" t="s">
        <v>301</v>
      </c>
      <c r="F2561" s="68" t="s">
        <v>40</v>
      </c>
      <c r="G2561" s="68"/>
      <c r="H2561" s="68"/>
      <c r="I2561" s="69">
        <v>13694.699653080581</v>
      </c>
    </row>
    <row r="2562" spans="1:9" hidden="1">
      <c r="A2562" s="64" t="s">
        <v>295</v>
      </c>
      <c r="B2562" s="65">
        <v>2034</v>
      </c>
      <c r="C2562" s="65">
        <v>2023</v>
      </c>
      <c r="D2562" s="65" t="s">
        <v>330</v>
      </c>
      <c r="E2562" s="65" t="s">
        <v>305</v>
      </c>
      <c r="F2562" s="65" t="s">
        <v>40</v>
      </c>
      <c r="G2562" s="65"/>
      <c r="H2562" s="65"/>
      <c r="I2562" s="66">
        <v>765.48648000000003</v>
      </c>
    </row>
    <row r="2563" spans="1:9" hidden="1">
      <c r="A2563" s="67" t="s">
        <v>295</v>
      </c>
      <c r="B2563" s="68">
        <v>2034</v>
      </c>
      <c r="C2563" s="68">
        <v>2023</v>
      </c>
      <c r="D2563" s="68" t="s">
        <v>331</v>
      </c>
      <c r="E2563" s="68" t="s">
        <v>294</v>
      </c>
      <c r="F2563" s="68" t="s">
        <v>40</v>
      </c>
      <c r="G2563" s="68"/>
      <c r="H2563" s="68"/>
      <c r="I2563" s="69">
        <v>31878.741492614419</v>
      </c>
    </row>
    <row r="2564" spans="1:9" hidden="1">
      <c r="A2564" s="64" t="s">
        <v>295</v>
      </c>
      <c r="B2564" s="65">
        <v>2034</v>
      </c>
      <c r="C2564" s="65">
        <v>2023</v>
      </c>
      <c r="D2564" s="65" t="s">
        <v>331</v>
      </c>
      <c r="E2564" s="65" t="s">
        <v>301</v>
      </c>
      <c r="F2564" s="65" t="s">
        <v>40</v>
      </c>
      <c r="G2564" s="65"/>
      <c r="H2564" s="65"/>
      <c r="I2564" s="66">
        <v>32370.68249411905</v>
      </c>
    </row>
    <row r="2565" spans="1:9" hidden="1">
      <c r="A2565" s="67" t="s">
        <v>295</v>
      </c>
      <c r="B2565" s="68">
        <v>2034</v>
      </c>
      <c r="C2565" s="68">
        <v>2023</v>
      </c>
      <c r="D2565" s="68" t="s">
        <v>331</v>
      </c>
      <c r="E2565" s="68" t="s">
        <v>305</v>
      </c>
      <c r="F2565" s="68" t="s">
        <v>40</v>
      </c>
      <c r="G2565" s="68"/>
      <c r="H2565" s="68"/>
      <c r="I2565" s="69">
        <v>2970.3615500000001</v>
      </c>
    </row>
    <row r="2566" spans="1:9" hidden="1">
      <c r="A2566" s="64" t="s">
        <v>295</v>
      </c>
      <c r="B2566" s="65">
        <v>2034</v>
      </c>
      <c r="C2566" s="65">
        <v>2023</v>
      </c>
      <c r="D2566" s="65" t="s">
        <v>332</v>
      </c>
      <c r="E2566" s="65" t="s">
        <v>294</v>
      </c>
      <c r="F2566" s="65" t="s">
        <v>40</v>
      </c>
      <c r="G2566" s="65"/>
      <c r="H2566" s="65"/>
      <c r="I2566" s="66">
        <v>538.74317000000008</v>
      </c>
    </row>
    <row r="2567" spans="1:9" hidden="1">
      <c r="A2567" s="67" t="s">
        <v>295</v>
      </c>
      <c r="B2567" s="68">
        <v>2034</v>
      </c>
      <c r="C2567" s="68">
        <v>2023</v>
      </c>
      <c r="D2567" s="68" t="s">
        <v>332</v>
      </c>
      <c r="E2567" s="68" t="s">
        <v>301</v>
      </c>
      <c r="F2567" s="68" t="s">
        <v>40</v>
      </c>
      <c r="G2567" s="68"/>
      <c r="H2567" s="68"/>
      <c r="I2567" s="69">
        <v>424.54518999999999</v>
      </c>
    </row>
    <row r="2568" spans="1:9" hidden="1">
      <c r="A2568" s="64" t="s">
        <v>295</v>
      </c>
      <c r="B2568" s="65">
        <v>2034</v>
      </c>
      <c r="C2568" s="65">
        <v>2023</v>
      </c>
      <c r="D2568" s="65" t="s">
        <v>332</v>
      </c>
      <c r="E2568" s="65" t="s">
        <v>305</v>
      </c>
      <c r="F2568" s="65" t="s">
        <v>40</v>
      </c>
      <c r="G2568" s="65"/>
      <c r="H2568" s="65"/>
      <c r="I2568" s="66">
        <v>297.38405</v>
      </c>
    </row>
    <row r="2569" spans="1:9" hidden="1">
      <c r="A2569" s="67" t="s">
        <v>295</v>
      </c>
      <c r="B2569" s="68">
        <v>2034</v>
      </c>
      <c r="C2569" s="68">
        <v>2023</v>
      </c>
      <c r="D2569" s="68" t="s">
        <v>333</v>
      </c>
      <c r="E2569" s="68" t="s">
        <v>294</v>
      </c>
      <c r="F2569" s="68" t="s">
        <v>40</v>
      </c>
      <c r="G2569" s="68"/>
      <c r="H2569" s="68"/>
      <c r="I2569" s="69">
        <v>-35015.636129999999</v>
      </c>
    </row>
    <row r="2570" spans="1:9" hidden="1">
      <c r="A2570" s="64" t="s">
        <v>295</v>
      </c>
      <c r="B2570" s="65">
        <v>2034</v>
      </c>
      <c r="C2570" s="65">
        <v>2023</v>
      </c>
      <c r="D2570" s="65" t="s">
        <v>333</v>
      </c>
      <c r="E2570" s="65" t="s">
        <v>301</v>
      </c>
      <c r="F2570" s="65" t="s">
        <v>40</v>
      </c>
      <c r="G2570" s="65"/>
      <c r="H2570" s="65"/>
      <c r="I2570" s="66">
        <v>-34718.830650000004</v>
      </c>
    </row>
    <row r="2571" spans="1:9" hidden="1">
      <c r="A2571" s="67" t="s">
        <v>295</v>
      </c>
      <c r="B2571" s="68">
        <v>2034</v>
      </c>
      <c r="C2571" s="68">
        <v>2023</v>
      </c>
      <c r="D2571" s="68" t="s">
        <v>333</v>
      </c>
      <c r="E2571" s="68" t="s">
        <v>305</v>
      </c>
      <c r="F2571" s="68" t="s">
        <v>40</v>
      </c>
      <c r="G2571" s="68"/>
      <c r="H2571" s="68"/>
      <c r="I2571" s="69">
        <v>-2046.26</v>
      </c>
    </row>
    <row r="2572" spans="1:9" hidden="1">
      <c r="A2572" s="64" t="s">
        <v>295</v>
      </c>
      <c r="B2572" s="65">
        <v>2034</v>
      </c>
      <c r="C2572" s="65">
        <v>2023</v>
      </c>
      <c r="D2572" s="65" t="s">
        <v>334</v>
      </c>
      <c r="E2572" s="65" t="s">
        <v>294</v>
      </c>
      <c r="F2572" s="65" t="s">
        <v>40</v>
      </c>
      <c r="G2572" s="65"/>
      <c r="H2572" s="65"/>
      <c r="I2572" s="66">
        <v>253.85033000000001</v>
      </c>
    </row>
    <row r="2573" spans="1:9" hidden="1">
      <c r="A2573" s="67" t="s">
        <v>295</v>
      </c>
      <c r="B2573" s="68">
        <v>2034</v>
      </c>
      <c r="C2573" s="68">
        <v>2023</v>
      </c>
      <c r="D2573" s="68" t="s">
        <v>334</v>
      </c>
      <c r="E2573" s="68" t="s">
        <v>301</v>
      </c>
      <c r="F2573" s="68" t="s">
        <v>40</v>
      </c>
      <c r="G2573" s="68"/>
      <c r="H2573" s="68"/>
      <c r="I2573" s="69">
        <v>253.85033000000001</v>
      </c>
    </row>
    <row r="2574" spans="1:9" hidden="1">
      <c r="A2574" s="64" t="s">
        <v>295</v>
      </c>
      <c r="B2574" s="65">
        <v>2034</v>
      </c>
      <c r="C2574" s="65">
        <v>2023</v>
      </c>
      <c r="D2574" s="65" t="s">
        <v>308</v>
      </c>
      <c r="E2574" s="65" t="s">
        <v>294</v>
      </c>
      <c r="F2574" s="65" t="s">
        <v>297</v>
      </c>
      <c r="G2574" s="65"/>
      <c r="H2574" s="65"/>
      <c r="I2574" s="66">
        <v>80875.092720625951</v>
      </c>
    </row>
    <row r="2575" spans="1:9" hidden="1">
      <c r="A2575" s="67" t="s">
        <v>295</v>
      </c>
      <c r="B2575" s="68">
        <v>2034</v>
      </c>
      <c r="C2575" s="68">
        <v>2023</v>
      </c>
      <c r="D2575" s="68" t="s">
        <v>308</v>
      </c>
      <c r="E2575" s="68" t="s">
        <v>294</v>
      </c>
      <c r="F2575" s="68" t="s">
        <v>298</v>
      </c>
      <c r="G2575" s="68"/>
      <c r="H2575" s="68"/>
      <c r="I2575" s="69">
        <v>248.22767158861029</v>
      </c>
    </row>
    <row r="2576" spans="1:9" hidden="1">
      <c r="A2576" s="64" t="s">
        <v>295</v>
      </c>
      <c r="B2576" s="65">
        <v>2034</v>
      </c>
      <c r="C2576" s="65">
        <v>2023</v>
      </c>
      <c r="D2576" s="65" t="s">
        <v>308</v>
      </c>
      <c r="E2576" s="65" t="s">
        <v>294</v>
      </c>
      <c r="F2576" s="65" t="s">
        <v>40</v>
      </c>
      <c r="G2576" s="65"/>
      <c r="H2576" s="65"/>
      <c r="I2576" s="66">
        <v>81123.320392214562</v>
      </c>
    </row>
    <row r="2577" spans="1:9" hidden="1">
      <c r="A2577" s="67" t="s">
        <v>295</v>
      </c>
      <c r="B2577" s="68">
        <v>2034</v>
      </c>
      <c r="C2577" s="68">
        <v>2023</v>
      </c>
      <c r="D2577" s="68" t="s">
        <v>308</v>
      </c>
      <c r="E2577" s="68" t="s">
        <v>301</v>
      </c>
      <c r="F2577" s="68" t="s">
        <v>297</v>
      </c>
      <c r="G2577" s="68"/>
      <c r="H2577" s="68"/>
      <c r="I2577" s="69">
        <v>81891.498560630964</v>
      </c>
    </row>
    <row r="2578" spans="1:9" hidden="1">
      <c r="A2578" s="64" t="s">
        <v>295</v>
      </c>
      <c r="B2578" s="65">
        <v>2034</v>
      </c>
      <c r="C2578" s="65">
        <v>2023</v>
      </c>
      <c r="D2578" s="65" t="s">
        <v>308</v>
      </c>
      <c r="E2578" s="65" t="s">
        <v>301</v>
      </c>
      <c r="F2578" s="65" t="s">
        <v>298</v>
      </c>
      <c r="G2578" s="65"/>
      <c r="H2578" s="65"/>
      <c r="I2578" s="66">
        <v>248.2276715907129</v>
      </c>
    </row>
    <row r="2579" spans="1:9" hidden="1">
      <c r="A2579" s="67" t="s">
        <v>295</v>
      </c>
      <c r="B2579" s="68">
        <v>2034</v>
      </c>
      <c r="C2579" s="68">
        <v>2023</v>
      </c>
      <c r="D2579" s="68" t="s">
        <v>308</v>
      </c>
      <c r="E2579" s="68" t="s">
        <v>301</v>
      </c>
      <c r="F2579" s="68" t="s">
        <v>40</v>
      </c>
      <c r="G2579" s="68"/>
      <c r="H2579" s="68"/>
      <c r="I2579" s="69">
        <v>82027.628191800861</v>
      </c>
    </row>
    <row r="2580" spans="1:9" hidden="1">
      <c r="A2580" s="64" t="s">
        <v>295</v>
      </c>
      <c r="B2580" s="65">
        <v>2034</v>
      </c>
      <c r="C2580" s="65">
        <v>2023</v>
      </c>
      <c r="D2580" s="65" t="s">
        <v>308</v>
      </c>
      <c r="E2580" s="65" t="s">
        <v>305</v>
      </c>
      <c r="F2580" s="65" t="s">
        <v>297</v>
      </c>
      <c r="G2580" s="65"/>
      <c r="H2580" s="65"/>
      <c r="I2580" s="66">
        <v>1646.16158</v>
      </c>
    </row>
    <row r="2581" spans="1:9" hidden="1">
      <c r="A2581" s="67" t="s">
        <v>295</v>
      </c>
      <c r="B2581" s="68">
        <v>2034</v>
      </c>
      <c r="C2581" s="68">
        <v>2023</v>
      </c>
      <c r="D2581" s="68" t="s">
        <v>308</v>
      </c>
      <c r="E2581" s="68" t="s">
        <v>305</v>
      </c>
      <c r="F2581" s="68" t="s">
        <v>40</v>
      </c>
      <c r="G2581" s="68"/>
      <c r="H2581" s="68"/>
      <c r="I2581" s="69">
        <v>10436.16158</v>
      </c>
    </row>
    <row r="2582" spans="1:9" hidden="1">
      <c r="A2582" s="64" t="s">
        <v>295</v>
      </c>
      <c r="B2582" s="65">
        <v>2034</v>
      </c>
      <c r="C2582" s="65">
        <v>2023</v>
      </c>
      <c r="D2582" s="65" t="s">
        <v>310</v>
      </c>
      <c r="E2582" s="65" t="s">
        <v>294</v>
      </c>
      <c r="F2582" s="65" t="s">
        <v>297</v>
      </c>
      <c r="G2582" s="65"/>
      <c r="H2582" s="65"/>
      <c r="I2582" s="66">
        <v>144.69999999999999</v>
      </c>
    </row>
    <row r="2583" spans="1:9" hidden="1">
      <c r="A2583" s="67" t="s">
        <v>295</v>
      </c>
      <c r="B2583" s="68">
        <v>2034</v>
      </c>
      <c r="C2583" s="68">
        <v>2023</v>
      </c>
      <c r="D2583" s="68" t="s">
        <v>310</v>
      </c>
      <c r="E2583" s="68" t="s">
        <v>294</v>
      </c>
      <c r="F2583" s="68" t="s">
        <v>40</v>
      </c>
      <c r="G2583" s="68"/>
      <c r="H2583" s="68"/>
      <c r="I2583" s="69">
        <v>120190.5150337446</v>
      </c>
    </row>
    <row r="2584" spans="1:9" hidden="1">
      <c r="A2584" s="64" t="s">
        <v>295</v>
      </c>
      <c r="B2584" s="65">
        <v>2034</v>
      </c>
      <c r="C2584" s="65">
        <v>2023</v>
      </c>
      <c r="D2584" s="65" t="s">
        <v>310</v>
      </c>
      <c r="E2584" s="65" t="s">
        <v>301</v>
      </c>
      <c r="F2584" s="65" t="s">
        <v>297</v>
      </c>
      <c r="G2584" s="65"/>
      <c r="H2584" s="65"/>
      <c r="I2584" s="66">
        <v>144.69999999999999</v>
      </c>
    </row>
    <row r="2585" spans="1:9" hidden="1">
      <c r="A2585" s="67" t="s">
        <v>295</v>
      </c>
      <c r="B2585" s="68">
        <v>2034</v>
      </c>
      <c r="C2585" s="68">
        <v>2023</v>
      </c>
      <c r="D2585" s="68" t="s">
        <v>310</v>
      </c>
      <c r="E2585" s="68" t="s">
        <v>301</v>
      </c>
      <c r="F2585" s="68" t="s">
        <v>40</v>
      </c>
      <c r="G2585" s="68"/>
      <c r="H2585" s="68"/>
      <c r="I2585" s="69">
        <v>126637.8576347894</v>
      </c>
    </row>
    <row r="2586" spans="1:9" hidden="1">
      <c r="A2586" s="64" t="s">
        <v>295</v>
      </c>
      <c r="B2586" s="65">
        <v>2034</v>
      </c>
      <c r="C2586" s="65">
        <v>2023</v>
      </c>
      <c r="D2586" s="65" t="s">
        <v>310</v>
      </c>
      <c r="E2586" s="65" t="s">
        <v>305</v>
      </c>
      <c r="F2586" s="65" t="s">
        <v>40</v>
      </c>
      <c r="G2586" s="65"/>
      <c r="H2586" s="65"/>
      <c r="I2586" s="66">
        <v>1128.73684</v>
      </c>
    </row>
    <row r="2587" spans="1:9" hidden="1">
      <c r="A2587" s="67" t="s">
        <v>295</v>
      </c>
      <c r="B2587" s="68">
        <v>2034</v>
      </c>
      <c r="C2587" s="68">
        <v>2023</v>
      </c>
      <c r="D2587" s="68" t="s">
        <v>311</v>
      </c>
      <c r="E2587" s="68" t="s">
        <v>294</v>
      </c>
      <c r="F2587" s="68" t="s">
        <v>297</v>
      </c>
      <c r="G2587" s="68"/>
      <c r="H2587" s="68"/>
      <c r="I2587" s="69">
        <v>761</v>
      </c>
    </row>
    <row r="2588" spans="1:9" hidden="1">
      <c r="A2588" s="64" t="s">
        <v>295</v>
      </c>
      <c r="B2588" s="65">
        <v>2034</v>
      </c>
      <c r="C2588" s="65">
        <v>2023</v>
      </c>
      <c r="D2588" s="65" t="s">
        <v>311</v>
      </c>
      <c r="E2588" s="65" t="s">
        <v>294</v>
      </c>
      <c r="F2588" s="65" t="s">
        <v>40</v>
      </c>
      <c r="G2588" s="65"/>
      <c r="H2588" s="65"/>
      <c r="I2588" s="66">
        <v>138761.34966674069</v>
      </c>
    </row>
    <row r="2589" spans="1:9" hidden="1">
      <c r="A2589" s="67" t="s">
        <v>295</v>
      </c>
      <c r="B2589" s="68">
        <v>2034</v>
      </c>
      <c r="C2589" s="68">
        <v>2023</v>
      </c>
      <c r="D2589" s="68" t="s">
        <v>311</v>
      </c>
      <c r="E2589" s="68" t="s">
        <v>301</v>
      </c>
      <c r="F2589" s="68" t="s">
        <v>297</v>
      </c>
      <c r="G2589" s="68"/>
      <c r="H2589" s="68"/>
      <c r="I2589" s="69">
        <v>761</v>
      </c>
    </row>
    <row r="2590" spans="1:9" hidden="1">
      <c r="A2590" s="64" t="s">
        <v>295</v>
      </c>
      <c r="B2590" s="65">
        <v>2034</v>
      </c>
      <c r="C2590" s="65">
        <v>2023</v>
      </c>
      <c r="D2590" s="65" t="s">
        <v>311</v>
      </c>
      <c r="E2590" s="65" t="s">
        <v>301</v>
      </c>
      <c r="F2590" s="65" t="s">
        <v>40</v>
      </c>
      <c r="G2590" s="65"/>
      <c r="H2590" s="65"/>
      <c r="I2590" s="66">
        <v>140929.02788092729</v>
      </c>
    </row>
    <row r="2591" spans="1:9" hidden="1">
      <c r="A2591" s="67" t="s">
        <v>295</v>
      </c>
      <c r="B2591" s="68">
        <v>2034</v>
      </c>
      <c r="C2591" s="68">
        <v>2023</v>
      </c>
      <c r="D2591" s="68" t="s">
        <v>311</v>
      </c>
      <c r="E2591" s="68" t="s">
        <v>305</v>
      </c>
      <c r="F2591" s="68" t="s">
        <v>40</v>
      </c>
      <c r="G2591" s="68"/>
      <c r="H2591" s="68"/>
      <c r="I2591" s="69">
        <v>876.3</v>
      </c>
    </row>
    <row r="2592" spans="1:9" hidden="1">
      <c r="A2592" s="64" t="s">
        <v>295</v>
      </c>
      <c r="B2592" s="65">
        <v>2034</v>
      </c>
      <c r="C2592" s="65">
        <v>2023</v>
      </c>
      <c r="D2592" s="65" t="s">
        <v>312</v>
      </c>
      <c r="E2592" s="65" t="s">
        <v>294</v>
      </c>
      <c r="F2592" s="65" t="s">
        <v>297</v>
      </c>
      <c r="G2592" s="65"/>
      <c r="H2592" s="65"/>
      <c r="I2592" s="66">
        <v>714.93552</v>
      </c>
    </row>
    <row r="2593" spans="1:9" hidden="1">
      <c r="A2593" s="67" t="s">
        <v>295</v>
      </c>
      <c r="B2593" s="68">
        <v>2034</v>
      </c>
      <c r="C2593" s="68">
        <v>2023</v>
      </c>
      <c r="D2593" s="68" t="s">
        <v>312</v>
      </c>
      <c r="E2593" s="68" t="s">
        <v>294</v>
      </c>
      <c r="F2593" s="68" t="s">
        <v>40</v>
      </c>
      <c r="G2593" s="68"/>
      <c r="H2593" s="68"/>
      <c r="I2593" s="69">
        <v>858.83552000000009</v>
      </c>
    </row>
    <row r="2594" spans="1:9" hidden="1">
      <c r="A2594" s="64" t="s">
        <v>295</v>
      </c>
      <c r="B2594" s="65">
        <v>2034</v>
      </c>
      <c r="C2594" s="65">
        <v>2023</v>
      </c>
      <c r="D2594" s="65" t="s">
        <v>312</v>
      </c>
      <c r="E2594" s="65" t="s">
        <v>301</v>
      </c>
      <c r="F2594" s="65" t="s">
        <v>297</v>
      </c>
      <c r="G2594" s="65"/>
      <c r="H2594" s="65"/>
      <c r="I2594" s="66">
        <v>715.94142999999997</v>
      </c>
    </row>
    <row r="2595" spans="1:9" hidden="1">
      <c r="A2595" s="67" t="s">
        <v>295</v>
      </c>
      <c r="B2595" s="68">
        <v>2034</v>
      </c>
      <c r="C2595" s="68">
        <v>2023</v>
      </c>
      <c r="D2595" s="68" t="s">
        <v>312</v>
      </c>
      <c r="E2595" s="68" t="s">
        <v>301</v>
      </c>
      <c r="F2595" s="68" t="s">
        <v>40</v>
      </c>
      <c r="G2595" s="68"/>
      <c r="H2595" s="68"/>
      <c r="I2595" s="69">
        <v>859.84143000000006</v>
      </c>
    </row>
    <row r="2596" spans="1:9" hidden="1">
      <c r="A2596" s="64" t="s">
        <v>295</v>
      </c>
      <c r="B2596" s="65">
        <v>2034</v>
      </c>
      <c r="C2596" s="65">
        <v>2023</v>
      </c>
      <c r="D2596" s="65" t="s">
        <v>313</v>
      </c>
      <c r="E2596" s="65" t="s">
        <v>294</v>
      </c>
      <c r="F2596" s="65" t="s">
        <v>297</v>
      </c>
      <c r="G2596" s="65"/>
      <c r="H2596" s="65"/>
      <c r="I2596" s="66">
        <v>1562706.7398110961</v>
      </c>
    </row>
    <row r="2597" spans="1:9" hidden="1">
      <c r="A2597" s="67" t="s">
        <v>295</v>
      </c>
      <c r="B2597" s="68">
        <v>2034</v>
      </c>
      <c r="C2597" s="68">
        <v>2023</v>
      </c>
      <c r="D2597" s="68" t="s">
        <v>313</v>
      </c>
      <c r="E2597" s="68" t="s">
        <v>294</v>
      </c>
      <c r="F2597" s="68" t="s">
        <v>298</v>
      </c>
      <c r="G2597" s="68"/>
      <c r="H2597" s="68"/>
      <c r="I2597" s="69">
        <v>718943.41401369183</v>
      </c>
    </row>
    <row r="2598" spans="1:9" hidden="1">
      <c r="A2598" s="64" t="s">
        <v>295</v>
      </c>
      <c r="B2598" s="65">
        <v>2034</v>
      </c>
      <c r="C2598" s="65">
        <v>2023</v>
      </c>
      <c r="D2598" s="65" t="s">
        <v>313</v>
      </c>
      <c r="E2598" s="65" t="s">
        <v>294</v>
      </c>
      <c r="F2598" s="65" t="s">
        <v>40</v>
      </c>
      <c r="G2598" s="65"/>
      <c r="H2598" s="65"/>
      <c r="I2598" s="66">
        <v>2298097.1862849458</v>
      </c>
    </row>
    <row r="2599" spans="1:9" hidden="1">
      <c r="A2599" s="67" t="s">
        <v>295</v>
      </c>
      <c r="B2599" s="68">
        <v>2034</v>
      </c>
      <c r="C2599" s="68">
        <v>2023</v>
      </c>
      <c r="D2599" s="68" t="s">
        <v>313</v>
      </c>
      <c r="E2599" s="68" t="s">
        <v>301</v>
      </c>
      <c r="F2599" s="68" t="s">
        <v>297</v>
      </c>
      <c r="G2599" s="68"/>
      <c r="H2599" s="68"/>
      <c r="I2599" s="69">
        <v>1723985.837123713</v>
      </c>
    </row>
    <row r="2600" spans="1:9" hidden="1">
      <c r="A2600" s="64" t="s">
        <v>295</v>
      </c>
      <c r="B2600" s="65">
        <v>2034</v>
      </c>
      <c r="C2600" s="65">
        <v>2023</v>
      </c>
      <c r="D2600" s="65" t="s">
        <v>313</v>
      </c>
      <c r="E2600" s="65" t="s">
        <v>301</v>
      </c>
      <c r="F2600" s="65" t="s">
        <v>298</v>
      </c>
      <c r="G2600" s="65"/>
      <c r="H2600" s="65"/>
      <c r="I2600" s="66">
        <v>820172.63121650985</v>
      </c>
    </row>
    <row r="2601" spans="1:9" hidden="1">
      <c r="A2601" s="67" t="s">
        <v>295</v>
      </c>
      <c r="B2601" s="68">
        <v>2034</v>
      </c>
      <c r="C2601" s="68">
        <v>2023</v>
      </c>
      <c r="D2601" s="68" t="s">
        <v>313</v>
      </c>
      <c r="E2601" s="68" t="s">
        <v>301</v>
      </c>
      <c r="F2601" s="68" t="s">
        <v>40</v>
      </c>
      <c r="G2601" s="68"/>
      <c r="H2601" s="68"/>
      <c r="I2601" s="69">
        <v>2561901.0745122349</v>
      </c>
    </row>
    <row r="2602" spans="1:9" hidden="1">
      <c r="A2602" s="64" t="s">
        <v>295</v>
      </c>
      <c r="B2602" s="65">
        <v>2034</v>
      </c>
      <c r="C2602" s="65">
        <v>2023</v>
      </c>
      <c r="D2602" s="65" t="s">
        <v>313</v>
      </c>
      <c r="E2602" s="65" t="s">
        <v>305</v>
      </c>
      <c r="F2602" s="65" t="s">
        <v>297</v>
      </c>
      <c r="G2602" s="65"/>
      <c r="H2602" s="65"/>
      <c r="I2602" s="66">
        <v>16289.02455</v>
      </c>
    </row>
    <row r="2603" spans="1:9" hidden="1">
      <c r="A2603" s="67" t="s">
        <v>295</v>
      </c>
      <c r="B2603" s="68">
        <v>2034</v>
      </c>
      <c r="C2603" s="68">
        <v>2023</v>
      </c>
      <c r="D2603" s="68" t="s">
        <v>313</v>
      </c>
      <c r="E2603" s="68" t="s">
        <v>305</v>
      </c>
      <c r="F2603" s="68" t="s">
        <v>298</v>
      </c>
      <c r="G2603" s="68"/>
      <c r="H2603" s="68"/>
      <c r="I2603" s="69">
        <v>9298.8131099999991</v>
      </c>
    </row>
    <row r="2604" spans="1:9" hidden="1">
      <c r="A2604" s="64" t="s">
        <v>295</v>
      </c>
      <c r="B2604" s="65">
        <v>2034</v>
      </c>
      <c r="C2604" s="65">
        <v>2023</v>
      </c>
      <c r="D2604" s="65" t="s">
        <v>313</v>
      </c>
      <c r="E2604" s="65" t="s">
        <v>305</v>
      </c>
      <c r="F2604" s="65" t="s">
        <v>40</v>
      </c>
      <c r="G2604" s="65"/>
      <c r="H2604" s="65"/>
      <c r="I2604" s="66">
        <v>204325.33064999999</v>
      </c>
    </row>
    <row r="2605" spans="1:9" hidden="1">
      <c r="A2605" s="67" t="s">
        <v>295</v>
      </c>
      <c r="B2605" s="68">
        <v>2034</v>
      </c>
      <c r="C2605" s="68">
        <v>2023</v>
      </c>
      <c r="D2605" s="68" t="s">
        <v>314</v>
      </c>
      <c r="E2605" s="68" t="s">
        <v>294</v>
      </c>
      <c r="F2605" s="68" t="s">
        <v>297</v>
      </c>
      <c r="G2605" s="68"/>
      <c r="H2605" s="68"/>
      <c r="I2605" s="69">
        <v>1562706.839811096</v>
      </c>
    </row>
    <row r="2606" spans="1:9" hidden="1">
      <c r="A2606" s="64" t="s">
        <v>295</v>
      </c>
      <c r="B2606" s="65">
        <v>2034</v>
      </c>
      <c r="C2606" s="65">
        <v>2023</v>
      </c>
      <c r="D2606" s="65" t="s">
        <v>314</v>
      </c>
      <c r="E2606" s="65" t="s">
        <v>294</v>
      </c>
      <c r="F2606" s="65" t="s">
        <v>298</v>
      </c>
      <c r="G2606" s="65"/>
      <c r="H2606" s="65"/>
      <c r="I2606" s="66">
        <v>718943.41401369171</v>
      </c>
    </row>
    <row r="2607" spans="1:9" hidden="1">
      <c r="A2607" s="67" t="s">
        <v>295</v>
      </c>
      <c r="B2607" s="68">
        <v>2034</v>
      </c>
      <c r="C2607" s="68">
        <v>2023</v>
      </c>
      <c r="D2607" s="68" t="s">
        <v>314</v>
      </c>
      <c r="E2607" s="68" t="s">
        <v>294</v>
      </c>
      <c r="F2607" s="68" t="s">
        <v>40</v>
      </c>
      <c r="G2607" s="68"/>
      <c r="H2607" s="68"/>
      <c r="I2607" s="69">
        <v>2040907.036580611</v>
      </c>
    </row>
    <row r="2608" spans="1:9" hidden="1">
      <c r="A2608" s="64" t="s">
        <v>295</v>
      </c>
      <c r="B2608" s="65">
        <v>2034</v>
      </c>
      <c r="C2608" s="65">
        <v>2023</v>
      </c>
      <c r="D2608" s="65" t="s">
        <v>314</v>
      </c>
      <c r="E2608" s="65" t="s">
        <v>301</v>
      </c>
      <c r="F2608" s="65" t="s">
        <v>297</v>
      </c>
      <c r="G2608" s="65"/>
      <c r="H2608" s="65"/>
      <c r="I2608" s="66">
        <v>1723985.9371237131</v>
      </c>
    </row>
    <row r="2609" spans="1:9" hidden="1">
      <c r="A2609" s="67" t="s">
        <v>295</v>
      </c>
      <c r="B2609" s="68">
        <v>2034</v>
      </c>
      <c r="C2609" s="68">
        <v>2023</v>
      </c>
      <c r="D2609" s="68" t="s">
        <v>314</v>
      </c>
      <c r="E2609" s="68" t="s">
        <v>301</v>
      </c>
      <c r="F2609" s="68" t="s">
        <v>298</v>
      </c>
      <c r="G2609" s="68"/>
      <c r="H2609" s="68"/>
      <c r="I2609" s="69">
        <v>820172.63121650985</v>
      </c>
    </row>
    <row r="2610" spans="1:9" hidden="1">
      <c r="A2610" s="64" t="s">
        <v>295</v>
      </c>
      <c r="B2610" s="65">
        <v>2034</v>
      </c>
      <c r="C2610" s="65">
        <v>2023</v>
      </c>
      <c r="D2610" s="65" t="s">
        <v>314</v>
      </c>
      <c r="E2610" s="65" t="s">
        <v>301</v>
      </c>
      <c r="F2610" s="65" t="s">
        <v>40</v>
      </c>
      <c r="G2610" s="65"/>
      <c r="H2610" s="65"/>
      <c r="I2610" s="66">
        <v>2330051.67701102</v>
      </c>
    </row>
    <row r="2611" spans="1:9" hidden="1">
      <c r="A2611" s="67" t="s">
        <v>295</v>
      </c>
      <c r="B2611" s="68">
        <v>2034</v>
      </c>
      <c r="C2611" s="68">
        <v>2023</v>
      </c>
      <c r="D2611" s="68" t="s">
        <v>314</v>
      </c>
      <c r="E2611" s="68" t="s">
        <v>305</v>
      </c>
      <c r="F2611" s="68" t="s">
        <v>297</v>
      </c>
      <c r="G2611" s="68"/>
      <c r="H2611" s="68"/>
      <c r="I2611" s="69">
        <v>16289.02455</v>
      </c>
    </row>
    <row r="2612" spans="1:9" hidden="1">
      <c r="A2612" s="64" t="s">
        <v>295</v>
      </c>
      <c r="B2612" s="65">
        <v>2034</v>
      </c>
      <c r="C2612" s="65">
        <v>2023</v>
      </c>
      <c r="D2612" s="65" t="s">
        <v>314</v>
      </c>
      <c r="E2612" s="65" t="s">
        <v>305</v>
      </c>
      <c r="F2612" s="65" t="s">
        <v>298</v>
      </c>
      <c r="G2612" s="65"/>
      <c r="H2612" s="65"/>
      <c r="I2612" s="66">
        <v>9298.8131099999991</v>
      </c>
    </row>
    <row r="2613" spans="1:9" hidden="1">
      <c r="A2613" s="67" t="s">
        <v>295</v>
      </c>
      <c r="B2613" s="68">
        <v>2034</v>
      </c>
      <c r="C2613" s="68">
        <v>2023</v>
      </c>
      <c r="D2613" s="68" t="s">
        <v>314</v>
      </c>
      <c r="E2613" s="68" t="s">
        <v>305</v>
      </c>
      <c r="F2613" s="68" t="s">
        <v>40</v>
      </c>
      <c r="G2613" s="68"/>
      <c r="H2613" s="68"/>
      <c r="I2613" s="69">
        <v>187980.94737000001</v>
      </c>
    </row>
    <row r="2614" spans="1:9" hidden="1">
      <c r="A2614" s="64" t="s">
        <v>295</v>
      </c>
      <c r="B2614" s="65">
        <v>2035</v>
      </c>
      <c r="C2614" s="65">
        <v>2023</v>
      </c>
      <c r="D2614" s="65" t="s">
        <v>296</v>
      </c>
      <c r="E2614" s="65" t="s">
        <v>294</v>
      </c>
      <c r="F2614" s="65" t="s">
        <v>297</v>
      </c>
      <c r="G2614" s="65"/>
      <c r="H2614" s="65"/>
      <c r="I2614" s="66">
        <v>1039686.260694192</v>
      </c>
    </row>
    <row r="2615" spans="1:9" hidden="1">
      <c r="A2615" s="67" t="s">
        <v>295</v>
      </c>
      <c r="B2615" s="68">
        <v>2035</v>
      </c>
      <c r="C2615" s="68">
        <v>2023</v>
      </c>
      <c r="D2615" s="68" t="s">
        <v>296</v>
      </c>
      <c r="E2615" s="68" t="s">
        <v>294</v>
      </c>
      <c r="F2615" s="68" t="s">
        <v>298</v>
      </c>
      <c r="G2615" s="68"/>
      <c r="H2615" s="68"/>
      <c r="I2615" s="69">
        <v>511714.28943524871</v>
      </c>
    </row>
    <row r="2616" spans="1:9" hidden="1">
      <c r="A2616" s="64" t="s">
        <v>295</v>
      </c>
      <c r="B2616" s="65">
        <v>2035</v>
      </c>
      <c r="C2616" s="65">
        <v>2023</v>
      </c>
      <c r="D2616" s="65" t="s">
        <v>296</v>
      </c>
      <c r="E2616" s="65" t="s">
        <v>294</v>
      </c>
      <c r="F2616" s="65" t="s">
        <v>40</v>
      </c>
      <c r="G2616" s="65"/>
      <c r="H2616" s="65"/>
      <c r="I2616" s="66">
        <v>1568025.1932875849</v>
      </c>
    </row>
    <row r="2617" spans="1:9" hidden="1">
      <c r="A2617" s="67" t="s">
        <v>295</v>
      </c>
      <c r="B2617" s="68">
        <v>2035</v>
      </c>
      <c r="C2617" s="68">
        <v>2023</v>
      </c>
      <c r="D2617" s="68" t="s">
        <v>296</v>
      </c>
      <c r="E2617" s="68" t="s">
        <v>301</v>
      </c>
      <c r="F2617" s="68" t="s">
        <v>297</v>
      </c>
      <c r="G2617" s="68"/>
      <c r="H2617" s="68"/>
      <c r="I2617" s="69">
        <v>1188668.3430078111</v>
      </c>
    </row>
    <row r="2618" spans="1:9" hidden="1">
      <c r="A2618" s="64" t="s">
        <v>295</v>
      </c>
      <c r="B2618" s="65">
        <v>2035</v>
      </c>
      <c r="C2618" s="65">
        <v>2023</v>
      </c>
      <c r="D2618" s="65" t="s">
        <v>296</v>
      </c>
      <c r="E2618" s="65" t="s">
        <v>301</v>
      </c>
      <c r="F2618" s="65" t="s">
        <v>298</v>
      </c>
      <c r="G2618" s="65"/>
      <c r="H2618" s="65"/>
      <c r="I2618" s="66">
        <v>606911.92282512074</v>
      </c>
    </row>
    <row r="2619" spans="1:9" hidden="1">
      <c r="A2619" s="67" t="s">
        <v>295</v>
      </c>
      <c r="B2619" s="68">
        <v>2035</v>
      </c>
      <c r="C2619" s="68">
        <v>2023</v>
      </c>
      <c r="D2619" s="68" t="s">
        <v>296</v>
      </c>
      <c r="E2619" s="68" t="s">
        <v>301</v>
      </c>
      <c r="F2619" s="68" t="s">
        <v>40</v>
      </c>
      <c r="G2619" s="68"/>
      <c r="H2619" s="68"/>
      <c r="I2619" s="69">
        <v>1813626.4879589509</v>
      </c>
    </row>
    <row r="2620" spans="1:9" hidden="1">
      <c r="A2620" s="64" t="s">
        <v>295</v>
      </c>
      <c r="B2620" s="65">
        <v>2035</v>
      </c>
      <c r="C2620" s="65">
        <v>2023</v>
      </c>
      <c r="D2620" s="65" t="s">
        <v>296</v>
      </c>
      <c r="E2620" s="65" t="s">
        <v>305</v>
      </c>
      <c r="F2620" s="65" t="s">
        <v>297</v>
      </c>
      <c r="G2620" s="65"/>
      <c r="H2620" s="65"/>
      <c r="I2620" s="66">
        <v>11569.972599999999</v>
      </c>
    </row>
    <row r="2621" spans="1:9" hidden="1">
      <c r="A2621" s="67" t="s">
        <v>295</v>
      </c>
      <c r="B2621" s="68">
        <v>2035</v>
      </c>
      <c r="C2621" s="68">
        <v>2023</v>
      </c>
      <c r="D2621" s="68" t="s">
        <v>296</v>
      </c>
      <c r="E2621" s="68" t="s">
        <v>305</v>
      </c>
      <c r="F2621" s="68" t="s">
        <v>298</v>
      </c>
      <c r="G2621" s="68"/>
      <c r="H2621" s="68"/>
      <c r="I2621" s="69">
        <v>8606.1566300000013</v>
      </c>
    </row>
    <row r="2622" spans="1:9" hidden="1">
      <c r="A2622" s="64" t="s">
        <v>295</v>
      </c>
      <c r="B2622" s="65">
        <v>2035</v>
      </c>
      <c r="C2622" s="65">
        <v>2023</v>
      </c>
      <c r="D2622" s="65" t="s">
        <v>296</v>
      </c>
      <c r="E2622" s="65" t="s">
        <v>305</v>
      </c>
      <c r="F2622" s="65" t="s">
        <v>40</v>
      </c>
      <c r="G2622" s="65"/>
      <c r="H2622" s="65"/>
      <c r="I2622" s="66">
        <v>146638.92017</v>
      </c>
    </row>
    <row r="2623" spans="1:9" hidden="1">
      <c r="A2623" s="67" t="s">
        <v>295</v>
      </c>
      <c r="B2623" s="68">
        <v>2035</v>
      </c>
      <c r="C2623" s="68">
        <v>2023</v>
      </c>
      <c r="D2623" s="68" t="s">
        <v>309</v>
      </c>
      <c r="E2623" s="68" t="s">
        <v>294</v>
      </c>
      <c r="F2623" s="68" t="s">
        <v>297</v>
      </c>
      <c r="G2623" s="68"/>
      <c r="H2623" s="68"/>
      <c r="I2623" s="69">
        <v>41750.485812409977</v>
      </c>
    </row>
    <row r="2624" spans="1:9" hidden="1">
      <c r="A2624" s="64" t="s">
        <v>295</v>
      </c>
      <c r="B2624" s="65">
        <v>2035</v>
      </c>
      <c r="C2624" s="65">
        <v>2023</v>
      </c>
      <c r="D2624" s="65" t="s">
        <v>309</v>
      </c>
      <c r="E2624" s="65" t="s">
        <v>294</v>
      </c>
      <c r="F2624" s="65" t="s">
        <v>298</v>
      </c>
      <c r="G2624" s="65"/>
      <c r="H2624" s="65"/>
      <c r="I2624" s="66">
        <v>300591.00818462978</v>
      </c>
    </row>
    <row r="2625" spans="1:9" hidden="1">
      <c r="A2625" s="67" t="s">
        <v>295</v>
      </c>
      <c r="B2625" s="68">
        <v>2035</v>
      </c>
      <c r="C2625" s="68">
        <v>2023</v>
      </c>
      <c r="D2625" s="68" t="s">
        <v>309</v>
      </c>
      <c r="E2625" s="68" t="s">
        <v>294</v>
      </c>
      <c r="F2625" s="68" t="s">
        <v>40</v>
      </c>
      <c r="G2625" s="68"/>
      <c r="H2625" s="68"/>
      <c r="I2625" s="69">
        <v>342341.49415155221</v>
      </c>
    </row>
    <row r="2626" spans="1:9" hidden="1">
      <c r="A2626" s="64" t="s">
        <v>295</v>
      </c>
      <c r="B2626" s="65">
        <v>2035</v>
      </c>
      <c r="C2626" s="65">
        <v>2023</v>
      </c>
      <c r="D2626" s="65" t="s">
        <v>309</v>
      </c>
      <c r="E2626" s="65" t="s">
        <v>301</v>
      </c>
      <c r="F2626" s="65" t="s">
        <v>297</v>
      </c>
      <c r="G2626" s="65"/>
      <c r="H2626" s="65"/>
      <c r="I2626" s="66">
        <v>48947.434253314343</v>
      </c>
    </row>
    <row r="2627" spans="1:9" hidden="1">
      <c r="A2627" s="67" t="s">
        <v>295</v>
      </c>
      <c r="B2627" s="68">
        <v>2035</v>
      </c>
      <c r="C2627" s="68">
        <v>2023</v>
      </c>
      <c r="D2627" s="68" t="s">
        <v>309</v>
      </c>
      <c r="E2627" s="68" t="s">
        <v>301</v>
      </c>
      <c r="F2627" s="68" t="s">
        <v>298</v>
      </c>
      <c r="G2627" s="68"/>
      <c r="H2627" s="68"/>
      <c r="I2627" s="69">
        <v>368609.46473324421</v>
      </c>
    </row>
    <row r="2628" spans="1:9" hidden="1">
      <c r="A2628" s="64" t="s">
        <v>295</v>
      </c>
      <c r="B2628" s="65">
        <v>2035</v>
      </c>
      <c r="C2628" s="65">
        <v>2023</v>
      </c>
      <c r="D2628" s="65" t="s">
        <v>309</v>
      </c>
      <c r="E2628" s="65" t="s">
        <v>301</v>
      </c>
      <c r="F2628" s="65" t="s">
        <v>40</v>
      </c>
      <c r="G2628" s="65"/>
      <c r="H2628" s="65"/>
      <c r="I2628" s="66">
        <v>417557.19901739078</v>
      </c>
    </row>
    <row r="2629" spans="1:9" hidden="1">
      <c r="A2629" s="67" t="s">
        <v>295</v>
      </c>
      <c r="B2629" s="68">
        <v>2035</v>
      </c>
      <c r="C2629" s="68">
        <v>2023</v>
      </c>
      <c r="D2629" s="68" t="s">
        <v>309</v>
      </c>
      <c r="E2629" s="68" t="s">
        <v>305</v>
      </c>
      <c r="F2629" s="68" t="s">
        <v>297</v>
      </c>
      <c r="G2629" s="68"/>
      <c r="H2629" s="68"/>
      <c r="I2629" s="69">
        <v>77.315659999999994</v>
      </c>
    </row>
    <row r="2630" spans="1:9" hidden="1">
      <c r="A2630" s="64" t="s">
        <v>295</v>
      </c>
      <c r="B2630" s="65">
        <v>2035</v>
      </c>
      <c r="C2630" s="65">
        <v>2023</v>
      </c>
      <c r="D2630" s="65" t="s">
        <v>309</v>
      </c>
      <c r="E2630" s="65" t="s">
        <v>305</v>
      </c>
      <c r="F2630" s="65" t="s">
        <v>298</v>
      </c>
      <c r="G2630" s="65"/>
      <c r="H2630" s="65"/>
      <c r="I2630" s="66">
        <v>7117.05663</v>
      </c>
    </row>
    <row r="2631" spans="1:9" hidden="1">
      <c r="A2631" s="67" t="s">
        <v>295</v>
      </c>
      <c r="B2631" s="68">
        <v>2035</v>
      </c>
      <c r="C2631" s="68">
        <v>2023</v>
      </c>
      <c r="D2631" s="68" t="s">
        <v>309</v>
      </c>
      <c r="E2631" s="68" t="s">
        <v>305</v>
      </c>
      <c r="F2631" s="68" t="s">
        <v>40</v>
      </c>
      <c r="G2631" s="68"/>
      <c r="H2631" s="68"/>
      <c r="I2631" s="69">
        <v>48167.772290000001</v>
      </c>
    </row>
    <row r="2632" spans="1:9" hidden="1">
      <c r="A2632" s="64" t="s">
        <v>295</v>
      </c>
      <c r="B2632" s="65">
        <v>2035</v>
      </c>
      <c r="C2632" s="65">
        <v>2023</v>
      </c>
      <c r="D2632" s="65" t="s">
        <v>315</v>
      </c>
      <c r="E2632" s="65" t="s">
        <v>294</v>
      </c>
      <c r="F2632" s="65" t="s">
        <v>297</v>
      </c>
      <c r="G2632" s="65"/>
      <c r="H2632" s="65"/>
      <c r="I2632" s="66">
        <v>97993.283038137874</v>
      </c>
    </row>
    <row r="2633" spans="1:9" hidden="1">
      <c r="A2633" s="67" t="s">
        <v>295</v>
      </c>
      <c r="B2633" s="68">
        <v>2035</v>
      </c>
      <c r="C2633" s="68">
        <v>2023</v>
      </c>
      <c r="D2633" s="68" t="s">
        <v>315</v>
      </c>
      <c r="E2633" s="68" t="s">
        <v>294</v>
      </c>
      <c r="F2633" s="68" t="s">
        <v>298</v>
      </c>
      <c r="G2633" s="68"/>
      <c r="H2633" s="68"/>
      <c r="I2633" s="69">
        <v>193098.74088409339</v>
      </c>
    </row>
    <row r="2634" spans="1:9" hidden="1">
      <c r="A2634" s="64" t="s">
        <v>295</v>
      </c>
      <c r="B2634" s="65">
        <v>2035</v>
      </c>
      <c r="C2634" s="65">
        <v>2023</v>
      </c>
      <c r="D2634" s="65" t="s">
        <v>315</v>
      </c>
      <c r="E2634" s="65" t="s">
        <v>294</v>
      </c>
      <c r="F2634" s="65" t="s">
        <v>40</v>
      </c>
      <c r="G2634" s="65"/>
      <c r="H2634" s="65"/>
      <c r="I2634" s="66">
        <v>291091.92390226759</v>
      </c>
    </row>
    <row r="2635" spans="1:9" hidden="1">
      <c r="A2635" s="67" t="s">
        <v>295</v>
      </c>
      <c r="B2635" s="68">
        <v>2035</v>
      </c>
      <c r="C2635" s="68">
        <v>2023</v>
      </c>
      <c r="D2635" s="68" t="s">
        <v>315</v>
      </c>
      <c r="E2635" s="68" t="s">
        <v>301</v>
      </c>
      <c r="F2635" s="68" t="s">
        <v>297</v>
      </c>
      <c r="G2635" s="68"/>
      <c r="H2635" s="68"/>
      <c r="I2635" s="69">
        <v>103535.7231953085</v>
      </c>
    </row>
    <row r="2636" spans="1:9" hidden="1">
      <c r="A2636" s="64" t="s">
        <v>295</v>
      </c>
      <c r="B2636" s="65">
        <v>2035</v>
      </c>
      <c r="C2636" s="65">
        <v>2023</v>
      </c>
      <c r="D2636" s="65" t="s">
        <v>315</v>
      </c>
      <c r="E2636" s="65" t="s">
        <v>301</v>
      </c>
      <c r="F2636" s="65" t="s">
        <v>298</v>
      </c>
      <c r="G2636" s="65"/>
      <c r="H2636" s="65"/>
      <c r="I2636" s="66">
        <v>218370.86894981831</v>
      </c>
    </row>
    <row r="2637" spans="1:9" hidden="1">
      <c r="A2637" s="67" t="s">
        <v>295</v>
      </c>
      <c r="B2637" s="68">
        <v>2035</v>
      </c>
      <c r="C2637" s="68">
        <v>2023</v>
      </c>
      <c r="D2637" s="68" t="s">
        <v>315</v>
      </c>
      <c r="E2637" s="68" t="s">
        <v>301</v>
      </c>
      <c r="F2637" s="68" t="s">
        <v>40</v>
      </c>
      <c r="G2637" s="68"/>
      <c r="H2637" s="68"/>
      <c r="I2637" s="69">
        <v>321906.59212499228</v>
      </c>
    </row>
    <row r="2638" spans="1:9" hidden="1">
      <c r="A2638" s="64" t="s">
        <v>295</v>
      </c>
      <c r="B2638" s="65">
        <v>2035</v>
      </c>
      <c r="C2638" s="65">
        <v>2023</v>
      </c>
      <c r="D2638" s="65" t="s">
        <v>315</v>
      </c>
      <c r="E2638" s="65" t="s">
        <v>305</v>
      </c>
      <c r="F2638" s="65" t="s">
        <v>297</v>
      </c>
      <c r="G2638" s="65"/>
      <c r="H2638" s="65"/>
      <c r="I2638" s="66">
        <v>1060.9286999999999</v>
      </c>
    </row>
    <row r="2639" spans="1:9" hidden="1">
      <c r="A2639" s="67" t="s">
        <v>295</v>
      </c>
      <c r="B2639" s="68">
        <v>2035</v>
      </c>
      <c r="C2639" s="68">
        <v>2023</v>
      </c>
      <c r="D2639" s="68" t="s">
        <v>315</v>
      </c>
      <c r="E2639" s="68" t="s">
        <v>305</v>
      </c>
      <c r="F2639" s="68" t="s">
        <v>298</v>
      </c>
      <c r="G2639" s="68"/>
      <c r="H2639" s="68"/>
      <c r="I2639" s="69">
        <v>1419.2</v>
      </c>
    </row>
    <row r="2640" spans="1:9" hidden="1">
      <c r="A2640" s="64" t="s">
        <v>295</v>
      </c>
      <c r="B2640" s="65">
        <v>2035</v>
      </c>
      <c r="C2640" s="65">
        <v>2023</v>
      </c>
      <c r="D2640" s="65" t="s">
        <v>315</v>
      </c>
      <c r="E2640" s="65" t="s">
        <v>305</v>
      </c>
      <c r="F2640" s="65" t="s">
        <v>40</v>
      </c>
      <c r="G2640" s="65"/>
      <c r="H2640" s="65"/>
      <c r="I2640" s="66">
        <v>20641.828699999998</v>
      </c>
    </row>
    <row r="2641" spans="1:9" hidden="1">
      <c r="A2641" s="67" t="s">
        <v>295</v>
      </c>
      <c r="B2641" s="68">
        <v>2035</v>
      </c>
      <c r="C2641" s="68">
        <v>2023</v>
      </c>
      <c r="D2641" s="68" t="s">
        <v>316</v>
      </c>
      <c r="E2641" s="68" t="s">
        <v>294</v>
      </c>
      <c r="F2641" s="68" t="s">
        <v>297</v>
      </c>
      <c r="G2641" s="68"/>
      <c r="H2641" s="68"/>
      <c r="I2641" s="69">
        <v>528488.91686942976</v>
      </c>
    </row>
    <row r="2642" spans="1:9" hidden="1">
      <c r="A2642" s="64" t="s">
        <v>295</v>
      </c>
      <c r="B2642" s="65">
        <v>2035</v>
      </c>
      <c r="C2642" s="65">
        <v>2023</v>
      </c>
      <c r="D2642" s="65" t="s">
        <v>316</v>
      </c>
      <c r="E2642" s="65" t="s">
        <v>294</v>
      </c>
      <c r="F2642" s="65" t="s">
        <v>298</v>
      </c>
      <c r="G2642" s="65"/>
      <c r="H2642" s="65"/>
      <c r="I2642" s="66">
        <v>3392.8733258153211</v>
      </c>
    </row>
    <row r="2643" spans="1:9" hidden="1">
      <c r="A2643" s="67" t="s">
        <v>295</v>
      </c>
      <c r="B2643" s="68">
        <v>2035</v>
      </c>
      <c r="C2643" s="68">
        <v>2023</v>
      </c>
      <c r="D2643" s="68" t="s">
        <v>316</v>
      </c>
      <c r="E2643" s="68" t="s">
        <v>294</v>
      </c>
      <c r="F2643" s="68" t="s">
        <v>40</v>
      </c>
      <c r="G2643" s="68"/>
      <c r="H2643" s="68"/>
      <c r="I2643" s="69">
        <v>548506.53321698937</v>
      </c>
    </row>
    <row r="2644" spans="1:9" hidden="1">
      <c r="A2644" s="64" t="s">
        <v>295</v>
      </c>
      <c r="B2644" s="65">
        <v>2035</v>
      </c>
      <c r="C2644" s="65">
        <v>2023</v>
      </c>
      <c r="D2644" s="65" t="s">
        <v>316</v>
      </c>
      <c r="E2644" s="65" t="s">
        <v>301</v>
      </c>
      <c r="F2644" s="65" t="s">
        <v>297</v>
      </c>
      <c r="G2644" s="65"/>
      <c r="H2644" s="65"/>
      <c r="I2644" s="66">
        <v>606206.84110904171</v>
      </c>
    </row>
    <row r="2645" spans="1:9" hidden="1">
      <c r="A2645" s="67" t="s">
        <v>295</v>
      </c>
      <c r="B2645" s="68">
        <v>2035</v>
      </c>
      <c r="C2645" s="68">
        <v>2023</v>
      </c>
      <c r="D2645" s="68" t="s">
        <v>316</v>
      </c>
      <c r="E2645" s="68" t="s">
        <v>301</v>
      </c>
      <c r="F2645" s="68" t="s">
        <v>298</v>
      </c>
      <c r="G2645" s="68"/>
      <c r="H2645" s="68"/>
      <c r="I2645" s="69">
        <v>3619.0075178216671</v>
      </c>
    </row>
    <row r="2646" spans="1:9" hidden="1">
      <c r="A2646" s="64" t="s">
        <v>295</v>
      </c>
      <c r="B2646" s="65">
        <v>2035</v>
      </c>
      <c r="C2646" s="65">
        <v>2023</v>
      </c>
      <c r="D2646" s="65" t="s">
        <v>316</v>
      </c>
      <c r="E2646" s="65" t="s">
        <v>301</v>
      </c>
      <c r="F2646" s="65" t="s">
        <v>40</v>
      </c>
      <c r="G2646" s="65"/>
      <c r="H2646" s="65"/>
      <c r="I2646" s="66">
        <v>627871.97076218412</v>
      </c>
    </row>
    <row r="2647" spans="1:9" hidden="1">
      <c r="A2647" s="67" t="s">
        <v>295</v>
      </c>
      <c r="B2647" s="68">
        <v>2035</v>
      </c>
      <c r="C2647" s="68">
        <v>2023</v>
      </c>
      <c r="D2647" s="68" t="s">
        <v>316</v>
      </c>
      <c r="E2647" s="68" t="s">
        <v>305</v>
      </c>
      <c r="F2647" s="68" t="s">
        <v>297</v>
      </c>
      <c r="G2647" s="68"/>
      <c r="H2647" s="68"/>
      <c r="I2647" s="69">
        <v>8508.1984800000009</v>
      </c>
    </row>
    <row r="2648" spans="1:9" hidden="1">
      <c r="A2648" s="64" t="s">
        <v>295</v>
      </c>
      <c r="B2648" s="65">
        <v>2035</v>
      </c>
      <c r="C2648" s="65">
        <v>2023</v>
      </c>
      <c r="D2648" s="65" t="s">
        <v>316</v>
      </c>
      <c r="E2648" s="65" t="s">
        <v>305</v>
      </c>
      <c r="F2648" s="65" t="s">
        <v>298</v>
      </c>
      <c r="G2648" s="65"/>
      <c r="H2648" s="65"/>
      <c r="I2648" s="66">
        <v>0</v>
      </c>
    </row>
    <row r="2649" spans="1:9" hidden="1">
      <c r="A2649" s="67" t="s">
        <v>295</v>
      </c>
      <c r="B2649" s="68">
        <v>2035</v>
      </c>
      <c r="C2649" s="68">
        <v>2023</v>
      </c>
      <c r="D2649" s="68" t="s">
        <v>316</v>
      </c>
      <c r="E2649" s="68" t="s">
        <v>305</v>
      </c>
      <c r="F2649" s="68" t="s">
        <v>40</v>
      </c>
      <c r="G2649" s="68"/>
      <c r="H2649" s="68"/>
      <c r="I2649" s="69">
        <v>39531.589419999997</v>
      </c>
    </row>
    <row r="2650" spans="1:9" hidden="1">
      <c r="A2650" s="64" t="s">
        <v>295</v>
      </c>
      <c r="B2650" s="65">
        <v>2035</v>
      </c>
      <c r="C2650" s="65">
        <v>2023</v>
      </c>
      <c r="D2650" s="65" t="s">
        <v>317</v>
      </c>
      <c r="E2650" s="65" t="s">
        <v>294</v>
      </c>
      <c r="F2650" s="65" t="s">
        <v>297</v>
      </c>
      <c r="G2650" s="65"/>
      <c r="H2650" s="65"/>
      <c r="I2650" s="66">
        <v>145.55681918715999</v>
      </c>
    </row>
    <row r="2651" spans="1:9" hidden="1">
      <c r="A2651" s="67" t="s">
        <v>295</v>
      </c>
      <c r="B2651" s="68">
        <v>2035</v>
      </c>
      <c r="C2651" s="68">
        <v>2023</v>
      </c>
      <c r="D2651" s="68" t="s">
        <v>317</v>
      </c>
      <c r="E2651" s="68" t="s">
        <v>294</v>
      </c>
      <c r="F2651" s="68" t="s">
        <v>298</v>
      </c>
      <c r="G2651" s="68"/>
      <c r="H2651" s="68"/>
      <c r="I2651" s="69">
        <v>0</v>
      </c>
    </row>
    <row r="2652" spans="1:9" hidden="1">
      <c r="A2652" s="64" t="s">
        <v>295</v>
      </c>
      <c r="B2652" s="65">
        <v>2035</v>
      </c>
      <c r="C2652" s="65">
        <v>2023</v>
      </c>
      <c r="D2652" s="65" t="s">
        <v>317</v>
      </c>
      <c r="E2652" s="65" t="s">
        <v>294</v>
      </c>
      <c r="F2652" s="65" t="s">
        <v>40</v>
      </c>
      <c r="G2652" s="65"/>
      <c r="H2652" s="65"/>
      <c r="I2652" s="66">
        <v>16751.142002502071</v>
      </c>
    </row>
    <row r="2653" spans="1:9" hidden="1">
      <c r="A2653" s="67" t="s">
        <v>295</v>
      </c>
      <c r="B2653" s="68">
        <v>2035</v>
      </c>
      <c r="C2653" s="68">
        <v>2023</v>
      </c>
      <c r="D2653" s="68" t="s">
        <v>317</v>
      </c>
      <c r="E2653" s="68" t="s">
        <v>301</v>
      </c>
      <c r="F2653" s="68" t="s">
        <v>297</v>
      </c>
      <c r="G2653" s="68"/>
      <c r="H2653" s="68"/>
      <c r="I2653" s="69">
        <v>155.4612461700294</v>
      </c>
    </row>
    <row r="2654" spans="1:9" hidden="1">
      <c r="A2654" s="64" t="s">
        <v>295</v>
      </c>
      <c r="B2654" s="65">
        <v>2035</v>
      </c>
      <c r="C2654" s="65">
        <v>2023</v>
      </c>
      <c r="D2654" s="65" t="s">
        <v>317</v>
      </c>
      <c r="E2654" s="65" t="s">
        <v>301</v>
      </c>
      <c r="F2654" s="65" t="s">
        <v>298</v>
      </c>
      <c r="G2654" s="65"/>
      <c r="H2654" s="65"/>
      <c r="I2654" s="66">
        <v>0</v>
      </c>
    </row>
    <row r="2655" spans="1:9" hidden="1">
      <c r="A2655" s="67" t="s">
        <v>295</v>
      </c>
      <c r="B2655" s="68">
        <v>2035</v>
      </c>
      <c r="C2655" s="68">
        <v>2023</v>
      </c>
      <c r="D2655" s="68" t="s">
        <v>317</v>
      </c>
      <c r="E2655" s="68" t="s">
        <v>301</v>
      </c>
      <c r="F2655" s="68" t="s">
        <v>40</v>
      </c>
      <c r="G2655" s="68"/>
      <c r="H2655" s="68"/>
      <c r="I2655" s="69">
        <v>18198.305895356709</v>
      </c>
    </row>
    <row r="2656" spans="1:9" hidden="1">
      <c r="A2656" s="64" t="s">
        <v>295</v>
      </c>
      <c r="B2656" s="65">
        <v>2035</v>
      </c>
      <c r="C2656" s="65">
        <v>2023</v>
      </c>
      <c r="D2656" s="65" t="s">
        <v>317</v>
      </c>
      <c r="E2656" s="65" t="s">
        <v>305</v>
      </c>
      <c r="F2656" s="65" t="s">
        <v>297</v>
      </c>
      <c r="G2656" s="65"/>
      <c r="H2656" s="65"/>
      <c r="I2656" s="66">
        <v>1.2919999999999999E-2</v>
      </c>
    </row>
    <row r="2657" spans="1:9" hidden="1">
      <c r="A2657" s="67" t="s">
        <v>295</v>
      </c>
      <c r="B2657" s="68">
        <v>2035</v>
      </c>
      <c r="C2657" s="68">
        <v>2023</v>
      </c>
      <c r="D2657" s="68" t="s">
        <v>317</v>
      </c>
      <c r="E2657" s="68" t="s">
        <v>305</v>
      </c>
      <c r="F2657" s="68" t="s">
        <v>40</v>
      </c>
      <c r="G2657" s="68"/>
      <c r="H2657" s="68"/>
      <c r="I2657" s="69">
        <v>464.10386</v>
      </c>
    </row>
    <row r="2658" spans="1:9" hidden="1">
      <c r="A2658" s="64" t="s">
        <v>295</v>
      </c>
      <c r="B2658" s="65">
        <v>2035</v>
      </c>
      <c r="C2658" s="65">
        <v>2023</v>
      </c>
      <c r="D2658" s="65" t="s">
        <v>318</v>
      </c>
      <c r="E2658" s="65" t="s">
        <v>294</v>
      </c>
      <c r="F2658" s="65" t="s">
        <v>297</v>
      </c>
      <c r="G2658" s="65"/>
      <c r="H2658" s="65"/>
      <c r="I2658" s="66">
        <v>506536.09718226158</v>
      </c>
    </row>
    <row r="2659" spans="1:9" hidden="1">
      <c r="A2659" s="67" t="s">
        <v>295</v>
      </c>
      <c r="B2659" s="68">
        <v>2035</v>
      </c>
      <c r="C2659" s="68">
        <v>2023</v>
      </c>
      <c r="D2659" s="68" t="s">
        <v>318</v>
      </c>
      <c r="E2659" s="68" t="s">
        <v>294</v>
      </c>
      <c r="F2659" s="68" t="s">
        <v>298</v>
      </c>
      <c r="G2659" s="68"/>
      <c r="H2659" s="68"/>
      <c r="I2659" s="69">
        <v>0</v>
      </c>
    </row>
    <row r="2660" spans="1:9" hidden="1">
      <c r="A2660" s="64" t="s">
        <v>295</v>
      </c>
      <c r="B2660" s="65">
        <v>2035</v>
      </c>
      <c r="C2660" s="65">
        <v>2023</v>
      </c>
      <c r="D2660" s="65" t="s">
        <v>318</v>
      </c>
      <c r="E2660" s="65" t="s">
        <v>294</v>
      </c>
      <c r="F2660" s="65" t="s">
        <v>40</v>
      </c>
      <c r="G2660" s="65"/>
      <c r="H2660" s="65"/>
      <c r="I2660" s="66">
        <v>506536.09718226158</v>
      </c>
    </row>
    <row r="2661" spans="1:9" hidden="1">
      <c r="A2661" s="67" t="s">
        <v>295</v>
      </c>
      <c r="B2661" s="68">
        <v>2035</v>
      </c>
      <c r="C2661" s="68">
        <v>2023</v>
      </c>
      <c r="D2661" s="68" t="s">
        <v>318</v>
      </c>
      <c r="E2661" s="68" t="s">
        <v>301</v>
      </c>
      <c r="F2661" s="68" t="s">
        <v>297</v>
      </c>
      <c r="G2661" s="68"/>
      <c r="H2661" s="68"/>
      <c r="I2661" s="69">
        <v>583016.19367931585</v>
      </c>
    </row>
    <row r="2662" spans="1:9" hidden="1">
      <c r="A2662" s="64" t="s">
        <v>295</v>
      </c>
      <c r="B2662" s="65">
        <v>2035</v>
      </c>
      <c r="C2662" s="65">
        <v>2023</v>
      </c>
      <c r="D2662" s="65" t="s">
        <v>318</v>
      </c>
      <c r="E2662" s="65" t="s">
        <v>301</v>
      </c>
      <c r="F2662" s="65" t="s">
        <v>298</v>
      </c>
      <c r="G2662" s="65"/>
      <c r="H2662" s="65"/>
      <c r="I2662" s="66">
        <v>0</v>
      </c>
    </row>
    <row r="2663" spans="1:9" hidden="1">
      <c r="A2663" s="67" t="s">
        <v>295</v>
      </c>
      <c r="B2663" s="68">
        <v>2035</v>
      </c>
      <c r="C2663" s="68">
        <v>2023</v>
      </c>
      <c r="D2663" s="68" t="s">
        <v>318</v>
      </c>
      <c r="E2663" s="68" t="s">
        <v>301</v>
      </c>
      <c r="F2663" s="68" t="s">
        <v>40</v>
      </c>
      <c r="G2663" s="68"/>
      <c r="H2663" s="68"/>
      <c r="I2663" s="69">
        <v>583016.19367931585</v>
      </c>
    </row>
    <row r="2664" spans="1:9" hidden="1">
      <c r="A2664" s="64" t="s">
        <v>295</v>
      </c>
      <c r="B2664" s="65">
        <v>2035</v>
      </c>
      <c r="C2664" s="65">
        <v>2023</v>
      </c>
      <c r="D2664" s="65" t="s">
        <v>318</v>
      </c>
      <c r="E2664" s="65" t="s">
        <v>305</v>
      </c>
      <c r="F2664" s="65" t="s">
        <v>297</v>
      </c>
      <c r="G2664" s="65"/>
      <c r="H2664" s="65"/>
      <c r="I2664" s="66">
        <v>8412.7487000000001</v>
      </c>
    </row>
    <row r="2665" spans="1:9" hidden="1">
      <c r="A2665" s="67" t="s">
        <v>295</v>
      </c>
      <c r="B2665" s="68">
        <v>2035</v>
      </c>
      <c r="C2665" s="68">
        <v>2023</v>
      </c>
      <c r="D2665" s="68" t="s">
        <v>318</v>
      </c>
      <c r="E2665" s="68" t="s">
        <v>305</v>
      </c>
      <c r="F2665" s="68" t="s">
        <v>40</v>
      </c>
      <c r="G2665" s="68"/>
      <c r="H2665" s="68"/>
      <c r="I2665" s="69">
        <v>37264.648700000012</v>
      </c>
    </row>
    <row r="2666" spans="1:9" hidden="1">
      <c r="A2666" s="64" t="s">
        <v>295</v>
      </c>
      <c r="B2666" s="65">
        <v>2035</v>
      </c>
      <c r="C2666" s="65">
        <v>2023</v>
      </c>
      <c r="D2666" s="65" t="s">
        <v>320</v>
      </c>
      <c r="E2666" s="65" t="s">
        <v>294</v>
      </c>
      <c r="F2666" s="65" t="s">
        <v>297</v>
      </c>
      <c r="G2666" s="65"/>
      <c r="H2666" s="65"/>
      <c r="I2666" s="66">
        <v>3428.3256268988262</v>
      </c>
    </row>
    <row r="2667" spans="1:9" hidden="1">
      <c r="A2667" s="67" t="s">
        <v>295</v>
      </c>
      <c r="B2667" s="68">
        <v>2035</v>
      </c>
      <c r="C2667" s="68">
        <v>2023</v>
      </c>
      <c r="D2667" s="68" t="s">
        <v>320</v>
      </c>
      <c r="E2667" s="68" t="s">
        <v>294</v>
      </c>
      <c r="F2667" s="68" t="s">
        <v>298</v>
      </c>
      <c r="G2667" s="68"/>
      <c r="H2667" s="68"/>
      <c r="I2667" s="69">
        <v>0</v>
      </c>
    </row>
    <row r="2668" spans="1:9" hidden="1">
      <c r="A2668" s="64" t="s">
        <v>295</v>
      </c>
      <c r="B2668" s="65">
        <v>2035</v>
      </c>
      <c r="C2668" s="65">
        <v>2023</v>
      </c>
      <c r="D2668" s="65" t="s">
        <v>320</v>
      </c>
      <c r="E2668" s="65" t="s">
        <v>294</v>
      </c>
      <c r="F2668" s="65" t="s">
        <v>40</v>
      </c>
      <c r="G2668" s="65"/>
      <c r="H2668" s="65"/>
      <c r="I2668" s="66">
        <v>3428.3256268988262</v>
      </c>
    </row>
    <row r="2669" spans="1:9" hidden="1">
      <c r="A2669" s="67" t="s">
        <v>295</v>
      </c>
      <c r="B2669" s="68">
        <v>2035</v>
      </c>
      <c r="C2669" s="68">
        <v>2023</v>
      </c>
      <c r="D2669" s="68" t="s">
        <v>320</v>
      </c>
      <c r="E2669" s="68" t="s">
        <v>301</v>
      </c>
      <c r="F2669" s="68" t="s">
        <v>297</v>
      </c>
      <c r="G2669" s="68"/>
      <c r="H2669" s="68"/>
      <c r="I2669" s="69">
        <v>4159.2604197248966</v>
      </c>
    </row>
    <row r="2670" spans="1:9" hidden="1">
      <c r="A2670" s="64" t="s">
        <v>295</v>
      </c>
      <c r="B2670" s="65">
        <v>2035</v>
      </c>
      <c r="C2670" s="65">
        <v>2023</v>
      </c>
      <c r="D2670" s="65" t="s">
        <v>320</v>
      </c>
      <c r="E2670" s="65" t="s">
        <v>301</v>
      </c>
      <c r="F2670" s="65" t="s">
        <v>298</v>
      </c>
      <c r="G2670" s="65"/>
      <c r="H2670" s="65"/>
      <c r="I2670" s="66">
        <v>0</v>
      </c>
    </row>
    <row r="2671" spans="1:9" hidden="1">
      <c r="A2671" s="67" t="s">
        <v>295</v>
      </c>
      <c r="B2671" s="68">
        <v>2035</v>
      </c>
      <c r="C2671" s="68">
        <v>2023</v>
      </c>
      <c r="D2671" s="68" t="s">
        <v>320</v>
      </c>
      <c r="E2671" s="68" t="s">
        <v>301</v>
      </c>
      <c r="F2671" s="68" t="s">
        <v>40</v>
      </c>
      <c r="G2671" s="68"/>
      <c r="H2671" s="68"/>
      <c r="I2671" s="69">
        <v>4159.2604197248966</v>
      </c>
    </row>
    <row r="2672" spans="1:9" hidden="1">
      <c r="A2672" s="64" t="s">
        <v>295</v>
      </c>
      <c r="B2672" s="65">
        <v>2035</v>
      </c>
      <c r="C2672" s="65">
        <v>2023</v>
      </c>
      <c r="D2672" s="65" t="s">
        <v>320</v>
      </c>
      <c r="E2672" s="65" t="s">
        <v>305</v>
      </c>
      <c r="F2672" s="65" t="s">
        <v>297</v>
      </c>
      <c r="G2672" s="65"/>
      <c r="H2672" s="65"/>
      <c r="I2672" s="66">
        <v>37.6</v>
      </c>
    </row>
    <row r="2673" spans="1:9" hidden="1">
      <c r="A2673" s="67" t="s">
        <v>295</v>
      </c>
      <c r="B2673" s="68">
        <v>2035</v>
      </c>
      <c r="C2673" s="68">
        <v>2023</v>
      </c>
      <c r="D2673" s="68" t="s">
        <v>320</v>
      </c>
      <c r="E2673" s="68" t="s">
        <v>305</v>
      </c>
      <c r="F2673" s="68" t="s">
        <v>40</v>
      </c>
      <c r="G2673" s="68"/>
      <c r="H2673" s="68"/>
      <c r="I2673" s="69">
        <v>1153.3</v>
      </c>
    </row>
    <row r="2674" spans="1:9" hidden="1">
      <c r="A2674" s="64" t="s">
        <v>295</v>
      </c>
      <c r="B2674" s="65">
        <v>2035</v>
      </c>
      <c r="C2674" s="65">
        <v>2023</v>
      </c>
      <c r="D2674" s="65" t="s">
        <v>321</v>
      </c>
      <c r="E2674" s="65" t="s">
        <v>294</v>
      </c>
      <c r="F2674" s="65" t="s">
        <v>297</v>
      </c>
      <c r="G2674" s="65"/>
      <c r="H2674" s="65"/>
      <c r="I2674" s="66">
        <v>17155.446182892741</v>
      </c>
    </row>
    <row r="2675" spans="1:9" hidden="1">
      <c r="A2675" s="67" t="s">
        <v>295</v>
      </c>
      <c r="B2675" s="68">
        <v>2035</v>
      </c>
      <c r="C2675" s="68">
        <v>2023</v>
      </c>
      <c r="D2675" s="68" t="s">
        <v>321</v>
      </c>
      <c r="E2675" s="68" t="s">
        <v>294</v>
      </c>
      <c r="F2675" s="68" t="s">
        <v>298</v>
      </c>
      <c r="G2675" s="68"/>
      <c r="H2675" s="68"/>
      <c r="I2675" s="69">
        <v>0</v>
      </c>
    </row>
    <row r="2676" spans="1:9" hidden="1">
      <c r="A2676" s="64" t="s">
        <v>295</v>
      </c>
      <c r="B2676" s="65">
        <v>2035</v>
      </c>
      <c r="C2676" s="65">
        <v>2023</v>
      </c>
      <c r="D2676" s="65" t="s">
        <v>321</v>
      </c>
      <c r="E2676" s="65" t="s">
        <v>294</v>
      </c>
      <c r="F2676" s="65" t="s">
        <v>40</v>
      </c>
      <c r="G2676" s="65"/>
      <c r="H2676" s="65"/>
      <c r="I2676" s="66">
        <v>17155.446182892741</v>
      </c>
    </row>
    <row r="2677" spans="1:9" hidden="1">
      <c r="A2677" s="67" t="s">
        <v>295</v>
      </c>
      <c r="B2677" s="68">
        <v>2035</v>
      </c>
      <c r="C2677" s="68">
        <v>2023</v>
      </c>
      <c r="D2677" s="68" t="s">
        <v>321</v>
      </c>
      <c r="E2677" s="68" t="s">
        <v>301</v>
      </c>
      <c r="F2677" s="68" t="s">
        <v>297</v>
      </c>
      <c r="G2677" s="68"/>
      <c r="H2677" s="68"/>
      <c r="I2677" s="69">
        <v>17425.612819663082</v>
      </c>
    </row>
    <row r="2678" spans="1:9" hidden="1">
      <c r="A2678" s="64" t="s">
        <v>295</v>
      </c>
      <c r="B2678" s="65">
        <v>2035</v>
      </c>
      <c r="C2678" s="65">
        <v>2023</v>
      </c>
      <c r="D2678" s="65" t="s">
        <v>321</v>
      </c>
      <c r="E2678" s="65" t="s">
        <v>301</v>
      </c>
      <c r="F2678" s="65" t="s">
        <v>298</v>
      </c>
      <c r="G2678" s="65"/>
      <c r="H2678" s="65"/>
      <c r="I2678" s="66">
        <v>0</v>
      </c>
    </row>
    <row r="2679" spans="1:9" hidden="1">
      <c r="A2679" s="67" t="s">
        <v>295</v>
      </c>
      <c r="B2679" s="68">
        <v>2035</v>
      </c>
      <c r="C2679" s="68">
        <v>2023</v>
      </c>
      <c r="D2679" s="68" t="s">
        <v>321</v>
      </c>
      <c r="E2679" s="68" t="s">
        <v>301</v>
      </c>
      <c r="F2679" s="68" t="s">
        <v>40</v>
      </c>
      <c r="G2679" s="68"/>
      <c r="H2679" s="68"/>
      <c r="I2679" s="69">
        <v>17425.612819663082</v>
      </c>
    </row>
    <row r="2680" spans="1:9" hidden="1">
      <c r="A2680" s="64" t="s">
        <v>295</v>
      </c>
      <c r="B2680" s="65">
        <v>2035</v>
      </c>
      <c r="C2680" s="65">
        <v>2023</v>
      </c>
      <c r="D2680" s="65" t="s">
        <v>321</v>
      </c>
      <c r="E2680" s="65" t="s">
        <v>305</v>
      </c>
      <c r="F2680" s="65" t="s">
        <v>297</v>
      </c>
      <c r="G2680" s="65"/>
      <c r="H2680" s="65"/>
      <c r="I2680" s="66">
        <v>50.536859999999997</v>
      </c>
    </row>
    <row r="2681" spans="1:9" hidden="1">
      <c r="A2681" s="67" t="s">
        <v>295</v>
      </c>
      <c r="B2681" s="68">
        <v>2035</v>
      </c>
      <c r="C2681" s="68">
        <v>2023</v>
      </c>
      <c r="D2681" s="68" t="s">
        <v>321</v>
      </c>
      <c r="E2681" s="68" t="s">
        <v>305</v>
      </c>
      <c r="F2681" s="68" t="s">
        <v>40</v>
      </c>
      <c r="G2681" s="68"/>
      <c r="H2681" s="68"/>
      <c r="I2681" s="69">
        <v>365.03685999999999</v>
      </c>
    </row>
    <row r="2682" spans="1:9" hidden="1">
      <c r="A2682" s="64" t="s">
        <v>295</v>
      </c>
      <c r="B2682" s="65">
        <v>2035</v>
      </c>
      <c r="C2682" s="65">
        <v>2023</v>
      </c>
      <c r="D2682" s="65" t="s">
        <v>322</v>
      </c>
      <c r="E2682" s="65" t="s">
        <v>294</v>
      </c>
      <c r="F2682" s="65" t="s">
        <v>297</v>
      </c>
      <c r="G2682" s="65"/>
      <c r="H2682" s="65"/>
      <c r="I2682" s="66">
        <v>1241.9480281893871</v>
      </c>
    </row>
    <row r="2683" spans="1:9" hidden="1">
      <c r="A2683" s="67" t="s">
        <v>295</v>
      </c>
      <c r="B2683" s="68">
        <v>2035</v>
      </c>
      <c r="C2683" s="68">
        <v>2023</v>
      </c>
      <c r="D2683" s="68" t="s">
        <v>322</v>
      </c>
      <c r="E2683" s="68" t="s">
        <v>294</v>
      </c>
      <c r="F2683" s="68" t="s">
        <v>298</v>
      </c>
      <c r="G2683" s="68"/>
      <c r="H2683" s="68"/>
      <c r="I2683" s="69">
        <v>3412.2356242446881</v>
      </c>
    </row>
    <row r="2684" spans="1:9" hidden="1">
      <c r="A2684" s="64" t="s">
        <v>295</v>
      </c>
      <c r="B2684" s="65">
        <v>2035</v>
      </c>
      <c r="C2684" s="65">
        <v>2023</v>
      </c>
      <c r="D2684" s="65" t="s">
        <v>322</v>
      </c>
      <c r="E2684" s="65" t="s">
        <v>294</v>
      </c>
      <c r="F2684" s="65" t="s">
        <v>40</v>
      </c>
      <c r="G2684" s="65"/>
      <c r="H2684" s="65"/>
      <c r="I2684" s="66">
        <v>4654.1836624340749</v>
      </c>
    </row>
    <row r="2685" spans="1:9" hidden="1">
      <c r="A2685" s="67" t="s">
        <v>295</v>
      </c>
      <c r="B2685" s="68">
        <v>2035</v>
      </c>
      <c r="C2685" s="68">
        <v>2023</v>
      </c>
      <c r="D2685" s="68" t="s">
        <v>322</v>
      </c>
      <c r="E2685" s="68" t="s">
        <v>301</v>
      </c>
      <c r="F2685" s="68" t="s">
        <v>297</v>
      </c>
      <c r="G2685" s="68"/>
      <c r="H2685" s="68"/>
      <c r="I2685" s="69">
        <v>1468.9305041678319</v>
      </c>
    </row>
    <row r="2686" spans="1:9" hidden="1">
      <c r="A2686" s="64" t="s">
        <v>295</v>
      </c>
      <c r="B2686" s="65">
        <v>2035</v>
      </c>
      <c r="C2686" s="65">
        <v>2023</v>
      </c>
      <c r="D2686" s="65" t="s">
        <v>322</v>
      </c>
      <c r="E2686" s="65" t="s">
        <v>301</v>
      </c>
      <c r="F2686" s="65" t="s">
        <v>298</v>
      </c>
      <c r="G2686" s="65"/>
      <c r="H2686" s="65"/>
      <c r="I2686" s="66">
        <v>3622.2288839557509</v>
      </c>
    </row>
    <row r="2687" spans="1:9" hidden="1">
      <c r="A2687" s="67" t="s">
        <v>295</v>
      </c>
      <c r="B2687" s="68">
        <v>2035</v>
      </c>
      <c r="C2687" s="68">
        <v>2023</v>
      </c>
      <c r="D2687" s="68" t="s">
        <v>322</v>
      </c>
      <c r="E2687" s="68" t="s">
        <v>301</v>
      </c>
      <c r="F2687" s="68" t="s">
        <v>40</v>
      </c>
      <c r="G2687" s="68"/>
      <c r="H2687" s="68"/>
      <c r="I2687" s="69">
        <v>5091.1593881235822</v>
      </c>
    </row>
    <row r="2688" spans="1:9" hidden="1">
      <c r="A2688" s="64" t="s">
        <v>295</v>
      </c>
      <c r="B2688" s="65">
        <v>2035</v>
      </c>
      <c r="C2688" s="65">
        <v>2023</v>
      </c>
      <c r="D2688" s="65" t="s">
        <v>322</v>
      </c>
      <c r="E2688" s="65" t="s">
        <v>305</v>
      </c>
      <c r="F2688" s="65" t="s">
        <v>297</v>
      </c>
      <c r="G2688" s="65"/>
      <c r="H2688" s="65"/>
      <c r="I2688" s="66">
        <v>7.2</v>
      </c>
    </row>
    <row r="2689" spans="1:9" hidden="1">
      <c r="A2689" s="67" t="s">
        <v>295</v>
      </c>
      <c r="B2689" s="68">
        <v>2035</v>
      </c>
      <c r="C2689" s="68">
        <v>2023</v>
      </c>
      <c r="D2689" s="68" t="s">
        <v>322</v>
      </c>
      <c r="E2689" s="68" t="s">
        <v>305</v>
      </c>
      <c r="F2689" s="68" t="s">
        <v>40</v>
      </c>
      <c r="G2689" s="68"/>
      <c r="H2689" s="68"/>
      <c r="I2689" s="69">
        <v>284.3</v>
      </c>
    </row>
    <row r="2690" spans="1:9" hidden="1">
      <c r="A2690" s="64" t="s">
        <v>295</v>
      </c>
      <c r="B2690" s="65">
        <v>2035</v>
      </c>
      <c r="C2690" s="65">
        <v>2023</v>
      </c>
      <c r="D2690" s="65" t="s">
        <v>323</v>
      </c>
      <c r="E2690" s="65" t="s">
        <v>294</v>
      </c>
      <c r="F2690" s="65" t="s">
        <v>297</v>
      </c>
      <c r="G2690" s="65"/>
      <c r="H2690" s="65"/>
      <c r="I2690" s="66">
        <v>317482.37354997691</v>
      </c>
    </row>
    <row r="2691" spans="1:9" hidden="1">
      <c r="A2691" s="67" t="s">
        <v>295</v>
      </c>
      <c r="B2691" s="68">
        <v>2035</v>
      </c>
      <c r="C2691" s="68">
        <v>2023</v>
      </c>
      <c r="D2691" s="68" t="s">
        <v>323</v>
      </c>
      <c r="E2691" s="68" t="s">
        <v>294</v>
      </c>
      <c r="F2691" s="68" t="s">
        <v>298</v>
      </c>
      <c r="G2691" s="68"/>
      <c r="H2691" s="68"/>
      <c r="I2691" s="69">
        <v>1457.357975058979</v>
      </c>
    </row>
    <row r="2692" spans="1:9" hidden="1">
      <c r="A2692" s="64" t="s">
        <v>295</v>
      </c>
      <c r="B2692" s="65">
        <v>2035</v>
      </c>
      <c r="C2692" s="65">
        <v>2023</v>
      </c>
      <c r="D2692" s="65" t="s">
        <v>323</v>
      </c>
      <c r="E2692" s="65" t="s">
        <v>294</v>
      </c>
      <c r="F2692" s="65" t="s">
        <v>40</v>
      </c>
      <c r="G2692" s="65"/>
      <c r="H2692" s="65"/>
      <c r="I2692" s="66">
        <v>318939.53150688682</v>
      </c>
    </row>
    <row r="2693" spans="1:9" hidden="1">
      <c r="A2693" s="67" t="s">
        <v>295</v>
      </c>
      <c r="B2693" s="68">
        <v>2035</v>
      </c>
      <c r="C2693" s="68">
        <v>2023</v>
      </c>
      <c r="D2693" s="68" t="s">
        <v>323</v>
      </c>
      <c r="E2693" s="68" t="s">
        <v>301</v>
      </c>
      <c r="F2693" s="68" t="s">
        <v>297</v>
      </c>
      <c r="G2693" s="68"/>
      <c r="H2693" s="68"/>
      <c r="I2693" s="69">
        <v>373485.08875831182</v>
      </c>
    </row>
    <row r="2694" spans="1:9" hidden="1">
      <c r="A2694" s="64" t="s">
        <v>295</v>
      </c>
      <c r="B2694" s="65">
        <v>2035</v>
      </c>
      <c r="C2694" s="65">
        <v>2023</v>
      </c>
      <c r="D2694" s="65" t="s">
        <v>323</v>
      </c>
      <c r="E2694" s="65" t="s">
        <v>301</v>
      </c>
      <c r="F2694" s="65" t="s">
        <v>298</v>
      </c>
      <c r="G2694" s="65"/>
      <c r="H2694" s="65"/>
      <c r="I2694" s="66">
        <v>1594.557986071675</v>
      </c>
    </row>
    <row r="2695" spans="1:9" hidden="1">
      <c r="A2695" s="67" t="s">
        <v>295</v>
      </c>
      <c r="B2695" s="68">
        <v>2035</v>
      </c>
      <c r="C2695" s="68">
        <v>2023</v>
      </c>
      <c r="D2695" s="68" t="s">
        <v>323</v>
      </c>
      <c r="E2695" s="68" t="s">
        <v>301</v>
      </c>
      <c r="F2695" s="68" t="s">
        <v>40</v>
      </c>
      <c r="G2695" s="68"/>
      <c r="H2695" s="68"/>
      <c r="I2695" s="69">
        <v>375079.74674438348</v>
      </c>
    </row>
    <row r="2696" spans="1:9" hidden="1">
      <c r="A2696" s="64" t="s">
        <v>295</v>
      </c>
      <c r="B2696" s="65">
        <v>2035</v>
      </c>
      <c r="C2696" s="65">
        <v>2023</v>
      </c>
      <c r="D2696" s="65" t="s">
        <v>323</v>
      </c>
      <c r="E2696" s="65" t="s">
        <v>305</v>
      </c>
      <c r="F2696" s="65" t="s">
        <v>297</v>
      </c>
      <c r="G2696" s="65"/>
      <c r="H2696" s="65"/>
      <c r="I2696" s="66">
        <v>1489.8297500000001</v>
      </c>
    </row>
    <row r="2697" spans="1:9" hidden="1">
      <c r="A2697" s="67" t="s">
        <v>295</v>
      </c>
      <c r="B2697" s="68">
        <v>2035</v>
      </c>
      <c r="C2697" s="68">
        <v>2023</v>
      </c>
      <c r="D2697" s="68" t="s">
        <v>323</v>
      </c>
      <c r="E2697" s="68" t="s">
        <v>305</v>
      </c>
      <c r="F2697" s="68" t="s">
        <v>40</v>
      </c>
      <c r="G2697" s="68"/>
      <c r="H2697" s="68"/>
      <c r="I2697" s="69">
        <v>18376.029750000002</v>
      </c>
    </row>
    <row r="2698" spans="1:9" hidden="1">
      <c r="A2698" s="64" t="s">
        <v>295</v>
      </c>
      <c r="B2698" s="65">
        <v>2035</v>
      </c>
      <c r="C2698" s="65">
        <v>2023</v>
      </c>
      <c r="D2698" s="65" t="s">
        <v>324</v>
      </c>
      <c r="E2698" s="65" t="s">
        <v>294</v>
      </c>
      <c r="F2698" s="65" t="s">
        <v>297</v>
      </c>
      <c r="G2698" s="65"/>
      <c r="H2698" s="65"/>
      <c r="I2698" s="66">
        <v>3550.29664</v>
      </c>
    </row>
    <row r="2699" spans="1:9" hidden="1">
      <c r="A2699" s="67" t="s">
        <v>295</v>
      </c>
      <c r="B2699" s="68">
        <v>2035</v>
      </c>
      <c r="C2699" s="68">
        <v>2023</v>
      </c>
      <c r="D2699" s="68" t="s">
        <v>324</v>
      </c>
      <c r="E2699" s="68" t="s">
        <v>294</v>
      </c>
      <c r="F2699" s="68" t="s">
        <v>298</v>
      </c>
      <c r="G2699" s="68"/>
      <c r="H2699" s="68"/>
      <c r="I2699" s="69">
        <v>0</v>
      </c>
    </row>
    <row r="2700" spans="1:9" hidden="1">
      <c r="A2700" s="64" t="s">
        <v>295</v>
      </c>
      <c r="B2700" s="65">
        <v>2035</v>
      </c>
      <c r="C2700" s="65">
        <v>2023</v>
      </c>
      <c r="D2700" s="65" t="s">
        <v>324</v>
      </c>
      <c r="E2700" s="65" t="s">
        <v>294</v>
      </c>
      <c r="F2700" s="65" t="s">
        <v>40</v>
      </c>
      <c r="G2700" s="65"/>
      <c r="H2700" s="65"/>
      <c r="I2700" s="66">
        <v>3550.29664</v>
      </c>
    </row>
    <row r="2701" spans="1:9" hidden="1">
      <c r="A2701" s="67" t="s">
        <v>295</v>
      </c>
      <c r="B2701" s="68">
        <v>2035</v>
      </c>
      <c r="C2701" s="68">
        <v>2023</v>
      </c>
      <c r="D2701" s="68" t="s">
        <v>324</v>
      </c>
      <c r="E2701" s="68" t="s">
        <v>301</v>
      </c>
      <c r="F2701" s="68" t="s">
        <v>297</v>
      </c>
      <c r="G2701" s="68"/>
      <c r="H2701" s="68"/>
      <c r="I2701" s="69">
        <v>3550.6109700000002</v>
      </c>
    </row>
    <row r="2702" spans="1:9" hidden="1">
      <c r="A2702" s="64" t="s">
        <v>295</v>
      </c>
      <c r="B2702" s="65">
        <v>2035</v>
      </c>
      <c r="C2702" s="65">
        <v>2023</v>
      </c>
      <c r="D2702" s="65" t="s">
        <v>324</v>
      </c>
      <c r="E2702" s="65" t="s">
        <v>301</v>
      </c>
      <c r="F2702" s="65" t="s">
        <v>298</v>
      </c>
      <c r="G2702" s="65"/>
      <c r="H2702" s="65"/>
      <c r="I2702" s="66">
        <v>0</v>
      </c>
    </row>
    <row r="2703" spans="1:9" hidden="1">
      <c r="A2703" s="67" t="s">
        <v>295</v>
      </c>
      <c r="B2703" s="68">
        <v>2035</v>
      </c>
      <c r="C2703" s="68">
        <v>2023</v>
      </c>
      <c r="D2703" s="68" t="s">
        <v>324</v>
      </c>
      <c r="E2703" s="68" t="s">
        <v>301</v>
      </c>
      <c r="F2703" s="68" t="s">
        <v>40</v>
      </c>
      <c r="G2703" s="68"/>
      <c r="H2703" s="68"/>
      <c r="I2703" s="69">
        <v>3550.6109700000002</v>
      </c>
    </row>
    <row r="2704" spans="1:9" hidden="1">
      <c r="A2704" s="64" t="s">
        <v>295</v>
      </c>
      <c r="B2704" s="65">
        <v>2035</v>
      </c>
      <c r="C2704" s="65">
        <v>2023</v>
      </c>
      <c r="D2704" s="65" t="s">
        <v>324</v>
      </c>
      <c r="E2704" s="65" t="s">
        <v>305</v>
      </c>
      <c r="F2704" s="65" t="s">
        <v>297</v>
      </c>
      <c r="G2704" s="65"/>
      <c r="H2704" s="65"/>
      <c r="I2704" s="66">
        <v>4.0999999999999996</v>
      </c>
    </row>
    <row r="2705" spans="1:9" hidden="1">
      <c r="A2705" s="67" t="s">
        <v>295</v>
      </c>
      <c r="B2705" s="68">
        <v>2035</v>
      </c>
      <c r="C2705" s="68">
        <v>2023</v>
      </c>
      <c r="D2705" s="68" t="s">
        <v>324</v>
      </c>
      <c r="E2705" s="68" t="s">
        <v>305</v>
      </c>
      <c r="F2705" s="68" t="s">
        <v>40</v>
      </c>
      <c r="G2705" s="68"/>
      <c r="H2705" s="68"/>
      <c r="I2705" s="69">
        <v>1246.2</v>
      </c>
    </row>
    <row r="2706" spans="1:9" hidden="1">
      <c r="A2706" s="64" t="s">
        <v>295</v>
      </c>
      <c r="B2706" s="65">
        <v>2035</v>
      </c>
      <c r="C2706" s="65">
        <v>2023</v>
      </c>
      <c r="D2706" s="65" t="s">
        <v>325</v>
      </c>
      <c r="E2706" s="65" t="s">
        <v>294</v>
      </c>
      <c r="F2706" s="65" t="s">
        <v>297</v>
      </c>
      <c r="G2706" s="65"/>
      <c r="H2706" s="65"/>
      <c r="I2706" s="66">
        <v>50481.704764237627</v>
      </c>
    </row>
    <row r="2707" spans="1:9" hidden="1">
      <c r="A2707" s="67" t="s">
        <v>295</v>
      </c>
      <c r="B2707" s="68">
        <v>2035</v>
      </c>
      <c r="C2707" s="68">
        <v>2023</v>
      </c>
      <c r="D2707" s="68" t="s">
        <v>325</v>
      </c>
      <c r="E2707" s="68" t="s">
        <v>294</v>
      </c>
      <c r="F2707" s="68" t="s">
        <v>298</v>
      </c>
      <c r="G2707" s="68"/>
      <c r="H2707" s="68"/>
      <c r="I2707" s="69">
        <v>13174.609095651151</v>
      </c>
    </row>
    <row r="2708" spans="1:9" hidden="1">
      <c r="A2708" s="64" t="s">
        <v>295</v>
      </c>
      <c r="B2708" s="65">
        <v>2035</v>
      </c>
      <c r="C2708" s="65">
        <v>2023</v>
      </c>
      <c r="D2708" s="65" t="s">
        <v>325</v>
      </c>
      <c r="E2708" s="65" t="s">
        <v>294</v>
      </c>
      <c r="F2708" s="65" t="s">
        <v>40</v>
      </c>
      <c r="G2708" s="65"/>
      <c r="H2708" s="65"/>
      <c r="I2708" s="66">
        <v>63656.313849888793</v>
      </c>
    </row>
    <row r="2709" spans="1:9" hidden="1">
      <c r="A2709" s="67" t="s">
        <v>295</v>
      </c>
      <c r="B2709" s="68">
        <v>2035</v>
      </c>
      <c r="C2709" s="68">
        <v>2023</v>
      </c>
      <c r="D2709" s="68" t="s">
        <v>325</v>
      </c>
      <c r="E2709" s="68" t="s">
        <v>301</v>
      </c>
      <c r="F2709" s="68" t="s">
        <v>297</v>
      </c>
      <c r="G2709" s="68"/>
      <c r="H2709" s="68"/>
      <c r="I2709" s="69">
        <v>53003.044681835017</v>
      </c>
    </row>
    <row r="2710" spans="1:9" hidden="1">
      <c r="A2710" s="64" t="s">
        <v>295</v>
      </c>
      <c r="B2710" s="65">
        <v>2035</v>
      </c>
      <c r="C2710" s="65">
        <v>2023</v>
      </c>
      <c r="D2710" s="65" t="s">
        <v>325</v>
      </c>
      <c r="E2710" s="65" t="s">
        <v>301</v>
      </c>
      <c r="F2710" s="65" t="s">
        <v>298</v>
      </c>
      <c r="G2710" s="65"/>
      <c r="H2710" s="65"/>
      <c r="I2710" s="66">
        <v>14718.22366816497</v>
      </c>
    </row>
    <row r="2711" spans="1:9" hidden="1">
      <c r="A2711" s="67" t="s">
        <v>295</v>
      </c>
      <c r="B2711" s="68">
        <v>2035</v>
      </c>
      <c r="C2711" s="68">
        <v>2023</v>
      </c>
      <c r="D2711" s="68" t="s">
        <v>325</v>
      </c>
      <c r="E2711" s="68" t="s">
        <v>301</v>
      </c>
      <c r="F2711" s="68" t="s">
        <v>40</v>
      </c>
      <c r="G2711" s="68"/>
      <c r="H2711" s="68"/>
      <c r="I2711" s="69">
        <v>67721.368340000001</v>
      </c>
    </row>
    <row r="2712" spans="1:9" hidden="1">
      <c r="A2712" s="64" t="s">
        <v>295</v>
      </c>
      <c r="B2712" s="65">
        <v>2035</v>
      </c>
      <c r="C2712" s="65">
        <v>2023</v>
      </c>
      <c r="D2712" s="65" t="s">
        <v>325</v>
      </c>
      <c r="E2712" s="65" t="s">
        <v>305</v>
      </c>
      <c r="F2712" s="65" t="s">
        <v>297</v>
      </c>
      <c r="G2712" s="65"/>
      <c r="H2712" s="65"/>
      <c r="I2712" s="66">
        <v>429.7</v>
      </c>
    </row>
    <row r="2713" spans="1:9" hidden="1">
      <c r="A2713" s="67" t="s">
        <v>295</v>
      </c>
      <c r="B2713" s="68">
        <v>2035</v>
      </c>
      <c r="C2713" s="68">
        <v>2023</v>
      </c>
      <c r="D2713" s="68" t="s">
        <v>325</v>
      </c>
      <c r="E2713" s="68" t="s">
        <v>305</v>
      </c>
      <c r="F2713" s="68" t="s">
        <v>298</v>
      </c>
      <c r="G2713" s="68"/>
      <c r="H2713" s="68"/>
      <c r="I2713" s="69">
        <v>69.900000000000006</v>
      </c>
    </row>
    <row r="2714" spans="1:9" hidden="1">
      <c r="A2714" s="64" t="s">
        <v>295</v>
      </c>
      <c r="B2714" s="65">
        <v>2035</v>
      </c>
      <c r="C2714" s="65">
        <v>2023</v>
      </c>
      <c r="D2714" s="65" t="s">
        <v>325</v>
      </c>
      <c r="E2714" s="65" t="s">
        <v>305</v>
      </c>
      <c r="F2714" s="65" t="s">
        <v>40</v>
      </c>
      <c r="G2714" s="65"/>
      <c r="H2714" s="65"/>
      <c r="I2714" s="66">
        <v>18675.400000000001</v>
      </c>
    </row>
    <row r="2715" spans="1:9" hidden="1">
      <c r="A2715" s="67" t="s">
        <v>295</v>
      </c>
      <c r="B2715" s="68">
        <v>2035</v>
      </c>
      <c r="C2715" s="68">
        <v>2023</v>
      </c>
      <c r="D2715" s="68" t="s">
        <v>326</v>
      </c>
      <c r="E2715" s="68" t="s">
        <v>294</v>
      </c>
      <c r="F2715" s="68" t="s">
        <v>297</v>
      </c>
      <c r="G2715" s="68"/>
      <c r="H2715" s="68"/>
      <c r="I2715" s="69">
        <v>0</v>
      </c>
    </row>
    <row r="2716" spans="1:9" hidden="1">
      <c r="A2716" s="64" t="s">
        <v>295</v>
      </c>
      <c r="B2716" s="65">
        <v>2035</v>
      </c>
      <c r="C2716" s="65">
        <v>2023</v>
      </c>
      <c r="D2716" s="65" t="s">
        <v>326</v>
      </c>
      <c r="E2716" s="65" t="s">
        <v>294</v>
      </c>
      <c r="F2716" s="65" t="s">
        <v>298</v>
      </c>
      <c r="G2716" s="65"/>
      <c r="H2716" s="65"/>
      <c r="I2716" s="66">
        <v>0</v>
      </c>
    </row>
    <row r="2717" spans="1:9" hidden="1">
      <c r="A2717" s="67" t="s">
        <v>295</v>
      </c>
      <c r="B2717" s="68">
        <v>2035</v>
      </c>
      <c r="C2717" s="68">
        <v>2023</v>
      </c>
      <c r="D2717" s="68" t="s">
        <v>326</v>
      </c>
      <c r="E2717" s="68" t="s">
        <v>294</v>
      </c>
      <c r="F2717" s="68" t="s">
        <v>40</v>
      </c>
      <c r="G2717" s="68"/>
      <c r="H2717" s="68"/>
      <c r="I2717" s="69">
        <v>0</v>
      </c>
    </row>
    <row r="2718" spans="1:9" hidden="1">
      <c r="A2718" s="64" t="s">
        <v>295</v>
      </c>
      <c r="B2718" s="65">
        <v>2035</v>
      </c>
      <c r="C2718" s="65">
        <v>2023</v>
      </c>
      <c r="D2718" s="65" t="s">
        <v>326</v>
      </c>
      <c r="E2718" s="65" t="s">
        <v>301</v>
      </c>
      <c r="F2718" s="65" t="s">
        <v>297</v>
      </c>
      <c r="G2718" s="65"/>
      <c r="H2718" s="65"/>
      <c r="I2718" s="66">
        <v>0</v>
      </c>
    </row>
    <row r="2719" spans="1:9" hidden="1">
      <c r="A2719" s="67" t="s">
        <v>295</v>
      </c>
      <c r="B2719" s="68">
        <v>2035</v>
      </c>
      <c r="C2719" s="68">
        <v>2023</v>
      </c>
      <c r="D2719" s="68" t="s">
        <v>326</v>
      </c>
      <c r="E2719" s="68" t="s">
        <v>301</v>
      </c>
      <c r="F2719" s="68" t="s">
        <v>298</v>
      </c>
      <c r="G2719" s="68"/>
      <c r="H2719" s="68"/>
      <c r="I2719" s="69">
        <v>0</v>
      </c>
    </row>
    <row r="2720" spans="1:9" hidden="1">
      <c r="A2720" s="64" t="s">
        <v>295</v>
      </c>
      <c r="B2720" s="65">
        <v>2035</v>
      </c>
      <c r="C2720" s="65">
        <v>2023</v>
      </c>
      <c r="D2720" s="65" t="s">
        <v>326</v>
      </c>
      <c r="E2720" s="65" t="s">
        <v>301</v>
      </c>
      <c r="F2720" s="65" t="s">
        <v>40</v>
      </c>
      <c r="G2720" s="65"/>
      <c r="H2720" s="65"/>
      <c r="I2720" s="66">
        <v>0</v>
      </c>
    </row>
    <row r="2721" spans="1:9" hidden="1">
      <c r="A2721" s="67" t="s">
        <v>295</v>
      </c>
      <c r="B2721" s="68">
        <v>2035</v>
      </c>
      <c r="C2721" s="68">
        <v>2023</v>
      </c>
      <c r="D2721" s="68" t="s">
        <v>304</v>
      </c>
      <c r="E2721" s="68" t="s">
        <v>294</v>
      </c>
      <c r="F2721" s="68" t="s">
        <v>297</v>
      </c>
      <c r="G2721" s="68"/>
      <c r="H2721" s="68"/>
      <c r="I2721" s="69">
        <v>51865.00151992881</v>
      </c>
    </row>
    <row r="2722" spans="1:9" hidden="1">
      <c r="A2722" s="64" t="s">
        <v>295</v>
      </c>
      <c r="B2722" s="65">
        <v>2035</v>
      </c>
      <c r="C2722" s="65">
        <v>2023</v>
      </c>
      <c r="D2722" s="65" t="s">
        <v>304</v>
      </c>
      <c r="E2722" s="65" t="s">
        <v>294</v>
      </c>
      <c r="F2722" s="65" t="s">
        <v>298</v>
      </c>
      <c r="G2722" s="65"/>
      <c r="H2722" s="65"/>
      <c r="I2722" s="66">
        <v>179053.48490111841</v>
      </c>
    </row>
    <row r="2723" spans="1:9" hidden="1">
      <c r="A2723" s="67" t="s">
        <v>295</v>
      </c>
      <c r="B2723" s="68">
        <v>2035</v>
      </c>
      <c r="C2723" s="68">
        <v>2023</v>
      </c>
      <c r="D2723" s="68" t="s">
        <v>304</v>
      </c>
      <c r="E2723" s="68" t="s">
        <v>294</v>
      </c>
      <c r="F2723" s="68" t="s">
        <v>40</v>
      </c>
      <c r="G2723" s="68"/>
      <c r="H2723" s="68"/>
      <c r="I2723" s="69">
        <v>230658.5818322069</v>
      </c>
    </row>
    <row r="2724" spans="1:9" hidden="1">
      <c r="A2724" s="64" t="s">
        <v>295</v>
      </c>
      <c r="B2724" s="65">
        <v>2035</v>
      </c>
      <c r="C2724" s="65">
        <v>2023</v>
      </c>
      <c r="D2724" s="65" t="s">
        <v>304</v>
      </c>
      <c r="E2724" s="65" t="s">
        <v>301</v>
      </c>
      <c r="F2724" s="65" t="s">
        <v>297</v>
      </c>
      <c r="G2724" s="65"/>
      <c r="H2724" s="65"/>
      <c r="I2724" s="66">
        <v>54657.776687081103</v>
      </c>
    </row>
    <row r="2725" spans="1:9" hidden="1">
      <c r="A2725" s="67" t="s">
        <v>295</v>
      </c>
      <c r="B2725" s="68">
        <v>2035</v>
      </c>
      <c r="C2725" s="68">
        <v>2023</v>
      </c>
      <c r="D2725" s="68" t="s">
        <v>304</v>
      </c>
      <c r="E2725" s="68" t="s">
        <v>301</v>
      </c>
      <c r="F2725" s="68" t="s">
        <v>298</v>
      </c>
      <c r="G2725" s="68"/>
      <c r="H2725" s="68"/>
      <c r="I2725" s="69">
        <v>188990.31658995899</v>
      </c>
    </row>
    <row r="2726" spans="1:9" hidden="1">
      <c r="A2726" s="64" t="s">
        <v>295</v>
      </c>
      <c r="B2726" s="65">
        <v>2035</v>
      </c>
      <c r="C2726" s="65">
        <v>2023</v>
      </c>
      <c r="D2726" s="65" t="s">
        <v>304</v>
      </c>
      <c r="E2726" s="65" t="s">
        <v>301</v>
      </c>
      <c r="F2726" s="65" t="s">
        <v>40</v>
      </c>
      <c r="G2726" s="65"/>
      <c r="H2726" s="65"/>
      <c r="I2726" s="66">
        <v>243389.04649871969</v>
      </c>
    </row>
    <row r="2727" spans="1:9" hidden="1">
      <c r="A2727" s="67" t="s">
        <v>295</v>
      </c>
      <c r="B2727" s="68">
        <v>2035</v>
      </c>
      <c r="C2727" s="68">
        <v>2023</v>
      </c>
      <c r="D2727" s="68" t="s">
        <v>304</v>
      </c>
      <c r="E2727" s="68" t="s">
        <v>305</v>
      </c>
      <c r="F2727" s="68" t="s">
        <v>297</v>
      </c>
      <c r="G2727" s="68"/>
      <c r="H2727" s="68"/>
      <c r="I2727" s="69">
        <v>1136.1532</v>
      </c>
    </row>
    <row r="2728" spans="1:9" hidden="1">
      <c r="A2728" s="64" t="s">
        <v>295</v>
      </c>
      <c r="B2728" s="65">
        <v>2035</v>
      </c>
      <c r="C2728" s="65">
        <v>2023</v>
      </c>
      <c r="D2728" s="65" t="s">
        <v>304</v>
      </c>
      <c r="E2728" s="65" t="s">
        <v>305</v>
      </c>
      <c r="F2728" s="65" t="s">
        <v>298</v>
      </c>
      <c r="G2728" s="65"/>
      <c r="H2728" s="65"/>
      <c r="I2728" s="66">
        <v>747.8</v>
      </c>
    </row>
    <row r="2729" spans="1:9" hidden="1">
      <c r="A2729" s="67" t="s">
        <v>295</v>
      </c>
      <c r="B2729" s="68">
        <v>2035</v>
      </c>
      <c r="C2729" s="68">
        <v>2023</v>
      </c>
      <c r="D2729" s="68" t="s">
        <v>304</v>
      </c>
      <c r="E2729" s="68" t="s">
        <v>305</v>
      </c>
      <c r="F2729" s="68" t="s">
        <v>40</v>
      </c>
      <c r="G2729" s="68"/>
      <c r="H2729" s="68"/>
      <c r="I2729" s="69">
        <v>16691.053199999998</v>
      </c>
    </row>
    <row r="2730" spans="1:9" hidden="1">
      <c r="A2730" s="64" t="s">
        <v>295</v>
      </c>
      <c r="B2730" s="65">
        <v>2035</v>
      </c>
      <c r="C2730" s="65">
        <v>2023</v>
      </c>
      <c r="D2730" s="65" t="s">
        <v>306</v>
      </c>
      <c r="E2730" s="65" t="s">
        <v>294</v>
      </c>
      <c r="F2730" s="65" t="s">
        <v>297</v>
      </c>
      <c r="G2730" s="65"/>
      <c r="H2730" s="65"/>
      <c r="I2730" s="66">
        <v>353086.52179679013</v>
      </c>
    </row>
    <row r="2731" spans="1:9" hidden="1">
      <c r="A2731" s="67" t="s">
        <v>295</v>
      </c>
      <c r="B2731" s="68">
        <v>2035</v>
      </c>
      <c r="C2731" s="68">
        <v>2023</v>
      </c>
      <c r="D2731" s="68" t="s">
        <v>306</v>
      </c>
      <c r="E2731" s="68" t="s">
        <v>294</v>
      </c>
      <c r="F2731" s="68" t="s">
        <v>40</v>
      </c>
      <c r="G2731" s="68"/>
      <c r="H2731" s="68"/>
      <c r="I2731" s="69">
        <v>353086.52179679013</v>
      </c>
    </row>
    <row r="2732" spans="1:9" hidden="1">
      <c r="A2732" s="64" t="s">
        <v>295</v>
      </c>
      <c r="B2732" s="65">
        <v>2035</v>
      </c>
      <c r="C2732" s="65">
        <v>2023</v>
      </c>
      <c r="D2732" s="65" t="s">
        <v>306</v>
      </c>
      <c r="E2732" s="65" t="s">
        <v>301</v>
      </c>
      <c r="F2732" s="65" t="s">
        <v>297</v>
      </c>
      <c r="G2732" s="65"/>
      <c r="H2732" s="65"/>
      <c r="I2732" s="66">
        <v>368869.55833271513</v>
      </c>
    </row>
    <row r="2733" spans="1:9" hidden="1">
      <c r="A2733" s="67" t="s">
        <v>295</v>
      </c>
      <c r="B2733" s="68">
        <v>2035</v>
      </c>
      <c r="C2733" s="68">
        <v>2023</v>
      </c>
      <c r="D2733" s="68" t="s">
        <v>306</v>
      </c>
      <c r="E2733" s="68" t="s">
        <v>301</v>
      </c>
      <c r="F2733" s="68" t="s">
        <v>40</v>
      </c>
      <c r="G2733" s="68"/>
      <c r="H2733" s="68"/>
      <c r="I2733" s="69">
        <v>368869.55833271513</v>
      </c>
    </row>
    <row r="2734" spans="1:9" hidden="1">
      <c r="A2734" s="64" t="s">
        <v>295</v>
      </c>
      <c r="B2734" s="65">
        <v>2035</v>
      </c>
      <c r="C2734" s="65">
        <v>2023</v>
      </c>
      <c r="D2734" s="65" t="s">
        <v>306</v>
      </c>
      <c r="E2734" s="65" t="s">
        <v>305</v>
      </c>
      <c r="F2734" s="65" t="s">
        <v>297</v>
      </c>
      <c r="G2734" s="65"/>
      <c r="H2734" s="65"/>
      <c r="I2734" s="66">
        <v>2054.4911000000002</v>
      </c>
    </row>
    <row r="2735" spans="1:9" hidden="1">
      <c r="A2735" s="67" t="s">
        <v>295</v>
      </c>
      <c r="B2735" s="68">
        <v>2035</v>
      </c>
      <c r="C2735" s="68">
        <v>2023</v>
      </c>
      <c r="D2735" s="68" t="s">
        <v>306</v>
      </c>
      <c r="E2735" s="68" t="s">
        <v>305</v>
      </c>
      <c r="F2735" s="68" t="s">
        <v>40</v>
      </c>
      <c r="G2735" s="68"/>
      <c r="H2735" s="68"/>
      <c r="I2735" s="69">
        <v>32610.891100000001</v>
      </c>
    </row>
    <row r="2736" spans="1:9" hidden="1">
      <c r="A2736" s="64" t="s">
        <v>295</v>
      </c>
      <c r="B2736" s="65">
        <v>2035</v>
      </c>
      <c r="C2736" s="65">
        <v>2023</v>
      </c>
      <c r="D2736" s="65" t="s">
        <v>307</v>
      </c>
      <c r="E2736" s="65" t="s">
        <v>294</v>
      </c>
      <c r="F2736" s="65" t="s">
        <v>40</v>
      </c>
      <c r="G2736" s="65"/>
      <c r="H2736" s="65"/>
      <c r="I2736" s="66">
        <v>-257250.27275336269</v>
      </c>
    </row>
    <row r="2737" spans="1:9" hidden="1">
      <c r="A2737" s="67" t="s">
        <v>295</v>
      </c>
      <c r="B2737" s="68">
        <v>2035</v>
      </c>
      <c r="C2737" s="68">
        <v>2023</v>
      </c>
      <c r="D2737" s="68" t="s">
        <v>307</v>
      </c>
      <c r="E2737" s="68" t="s">
        <v>301</v>
      </c>
      <c r="F2737" s="68" t="s">
        <v>40</v>
      </c>
      <c r="G2737" s="68"/>
      <c r="H2737" s="68"/>
      <c r="I2737" s="69">
        <v>-230840.8407265296</v>
      </c>
    </row>
    <row r="2738" spans="1:9" hidden="1">
      <c r="A2738" s="64" t="s">
        <v>295</v>
      </c>
      <c r="B2738" s="65">
        <v>2035</v>
      </c>
      <c r="C2738" s="65">
        <v>2023</v>
      </c>
      <c r="D2738" s="65" t="s">
        <v>307</v>
      </c>
      <c r="E2738" s="65" t="s">
        <v>305</v>
      </c>
      <c r="F2738" s="65" t="s">
        <v>40</v>
      </c>
      <c r="G2738" s="65"/>
      <c r="H2738" s="65"/>
      <c r="I2738" s="66">
        <v>-16084.70112</v>
      </c>
    </row>
    <row r="2739" spans="1:9" hidden="1">
      <c r="A2739" s="67" t="s">
        <v>295</v>
      </c>
      <c r="B2739" s="68">
        <v>2035</v>
      </c>
      <c r="C2739" s="68">
        <v>2023</v>
      </c>
      <c r="D2739" s="68" t="s">
        <v>327</v>
      </c>
      <c r="E2739" s="68" t="s">
        <v>294</v>
      </c>
      <c r="F2739" s="68" t="s">
        <v>40</v>
      </c>
      <c r="G2739" s="68"/>
      <c r="H2739" s="68"/>
      <c r="I2739" s="69">
        <v>-312624.40177655732</v>
      </c>
    </row>
    <row r="2740" spans="1:9" hidden="1">
      <c r="A2740" s="64" t="s">
        <v>295</v>
      </c>
      <c r="B2740" s="65">
        <v>2035</v>
      </c>
      <c r="C2740" s="65">
        <v>2023</v>
      </c>
      <c r="D2740" s="65" t="s">
        <v>327</v>
      </c>
      <c r="E2740" s="65" t="s">
        <v>301</v>
      </c>
      <c r="F2740" s="65" t="s">
        <v>40</v>
      </c>
      <c r="G2740" s="65"/>
      <c r="H2740" s="65"/>
      <c r="I2740" s="66">
        <v>-295800.09488313372</v>
      </c>
    </row>
    <row r="2741" spans="1:9" hidden="1">
      <c r="A2741" s="67" t="s">
        <v>295</v>
      </c>
      <c r="B2741" s="68">
        <v>2035</v>
      </c>
      <c r="C2741" s="68">
        <v>2023</v>
      </c>
      <c r="D2741" s="68" t="s">
        <v>327</v>
      </c>
      <c r="E2741" s="68" t="s">
        <v>305</v>
      </c>
      <c r="F2741" s="68" t="s">
        <v>40</v>
      </c>
      <c r="G2741" s="68"/>
      <c r="H2741" s="68"/>
      <c r="I2741" s="69">
        <v>-18839.721829999999</v>
      </c>
    </row>
    <row r="2742" spans="1:9" hidden="1">
      <c r="A2742" s="64" t="s">
        <v>295</v>
      </c>
      <c r="B2742" s="65">
        <v>2035</v>
      </c>
      <c r="C2742" s="65">
        <v>2023</v>
      </c>
      <c r="D2742" s="65" t="s">
        <v>328</v>
      </c>
      <c r="E2742" s="65" t="s">
        <v>294</v>
      </c>
      <c r="F2742" s="65" t="s">
        <v>40</v>
      </c>
      <c r="G2742" s="65"/>
      <c r="H2742" s="65"/>
      <c r="I2742" s="66">
        <v>28251.107261063909</v>
      </c>
    </row>
    <row r="2743" spans="1:9" hidden="1">
      <c r="A2743" s="67" t="s">
        <v>295</v>
      </c>
      <c r="B2743" s="68">
        <v>2035</v>
      </c>
      <c r="C2743" s="68">
        <v>2023</v>
      </c>
      <c r="D2743" s="68" t="s">
        <v>328</v>
      </c>
      <c r="E2743" s="68" t="s">
        <v>301</v>
      </c>
      <c r="F2743" s="68" t="s">
        <v>40</v>
      </c>
      <c r="G2743" s="68"/>
      <c r="H2743" s="68"/>
      <c r="I2743" s="69">
        <v>34261.828374471828</v>
      </c>
    </row>
    <row r="2744" spans="1:9" hidden="1">
      <c r="A2744" s="64" t="s">
        <v>295</v>
      </c>
      <c r="B2744" s="65">
        <v>2035</v>
      </c>
      <c r="C2744" s="65">
        <v>2023</v>
      </c>
      <c r="D2744" s="65" t="s">
        <v>328</v>
      </c>
      <c r="E2744" s="65" t="s">
        <v>305</v>
      </c>
      <c r="F2744" s="65" t="s">
        <v>40</v>
      </c>
      <c r="G2744" s="65"/>
      <c r="H2744" s="65"/>
      <c r="I2744" s="66">
        <v>-2282.1154099999999</v>
      </c>
    </row>
    <row r="2745" spans="1:9" hidden="1">
      <c r="A2745" s="67" t="s">
        <v>295</v>
      </c>
      <c r="B2745" s="68">
        <v>2035</v>
      </c>
      <c r="C2745" s="68">
        <v>2023</v>
      </c>
      <c r="D2745" s="68" t="s">
        <v>329</v>
      </c>
      <c r="E2745" s="68" t="s">
        <v>294</v>
      </c>
      <c r="F2745" s="68" t="s">
        <v>40</v>
      </c>
      <c r="G2745" s="68"/>
      <c r="H2745" s="68"/>
      <c r="I2745" s="69">
        <v>16554.822725725939</v>
      </c>
    </row>
    <row r="2746" spans="1:9" hidden="1">
      <c r="A2746" s="64" t="s">
        <v>295</v>
      </c>
      <c r="B2746" s="65">
        <v>2035</v>
      </c>
      <c r="C2746" s="65">
        <v>2023</v>
      </c>
      <c r="D2746" s="65" t="s">
        <v>329</v>
      </c>
      <c r="E2746" s="65" t="s">
        <v>301</v>
      </c>
      <c r="F2746" s="65" t="s">
        <v>40</v>
      </c>
      <c r="G2746" s="65"/>
      <c r="H2746" s="65"/>
      <c r="I2746" s="66">
        <v>17822.420529349562</v>
      </c>
    </row>
    <row r="2747" spans="1:9" hidden="1">
      <c r="A2747" s="67" t="s">
        <v>295</v>
      </c>
      <c r="B2747" s="68">
        <v>2035</v>
      </c>
      <c r="C2747" s="68">
        <v>2023</v>
      </c>
      <c r="D2747" s="68" t="s">
        <v>329</v>
      </c>
      <c r="E2747" s="68" t="s">
        <v>305</v>
      </c>
      <c r="F2747" s="68" t="s">
        <v>40</v>
      </c>
      <c r="G2747" s="68"/>
      <c r="H2747" s="68"/>
      <c r="I2747" s="69">
        <v>2994.0147400000001</v>
      </c>
    </row>
    <row r="2748" spans="1:9" hidden="1">
      <c r="A2748" s="64" t="s">
        <v>295</v>
      </c>
      <c r="B2748" s="65">
        <v>2035</v>
      </c>
      <c r="C2748" s="65">
        <v>2023</v>
      </c>
      <c r="D2748" s="65" t="s">
        <v>330</v>
      </c>
      <c r="E2748" s="65" t="s">
        <v>294</v>
      </c>
      <c r="F2748" s="65" t="s">
        <v>40</v>
      </c>
      <c r="G2748" s="65"/>
      <c r="H2748" s="65"/>
      <c r="I2748" s="66">
        <v>12571.80084313628</v>
      </c>
    </row>
    <row r="2749" spans="1:9" hidden="1">
      <c r="A2749" s="67" t="s">
        <v>295</v>
      </c>
      <c r="B2749" s="68">
        <v>2035</v>
      </c>
      <c r="C2749" s="68">
        <v>2023</v>
      </c>
      <c r="D2749" s="68" t="s">
        <v>330</v>
      </c>
      <c r="E2749" s="68" t="s">
        <v>301</v>
      </c>
      <c r="F2749" s="68" t="s">
        <v>40</v>
      </c>
      <c r="G2749" s="68"/>
      <c r="H2749" s="68"/>
      <c r="I2749" s="69">
        <v>13528.01369313579</v>
      </c>
    </row>
    <row r="2750" spans="1:9" hidden="1">
      <c r="A2750" s="64" t="s">
        <v>295</v>
      </c>
      <c r="B2750" s="65">
        <v>2035</v>
      </c>
      <c r="C2750" s="65">
        <v>2023</v>
      </c>
      <c r="D2750" s="65" t="s">
        <v>330</v>
      </c>
      <c r="E2750" s="65" t="s">
        <v>305</v>
      </c>
      <c r="F2750" s="65" t="s">
        <v>40</v>
      </c>
      <c r="G2750" s="65"/>
      <c r="H2750" s="65"/>
      <c r="I2750" s="66">
        <v>765.48648000000003</v>
      </c>
    </row>
    <row r="2751" spans="1:9" hidden="1">
      <c r="A2751" s="67" t="s">
        <v>295</v>
      </c>
      <c r="B2751" s="68">
        <v>2035</v>
      </c>
      <c r="C2751" s="68">
        <v>2023</v>
      </c>
      <c r="D2751" s="68" t="s">
        <v>331</v>
      </c>
      <c r="E2751" s="68" t="s">
        <v>294</v>
      </c>
      <c r="F2751" s="68" t="s">
        <v>40</v>
      </c>
      <c r="G2751" s="68"/>
      <c r="H2751" s="68"/>
      <c r="I2751" s="69">
        <v>31702.025264638571</v>
      </c>
    </row>
    <row r="2752" spans="1:9" hidden="1">
      <c r="A2752" s="64" t="s">
        <v>295</v>
      </c>
      <c r="B2752" s="65">
        <v>2035</v>
      </c>
      <c r="C2752" s="65">
        <v>2023</v>
      </c>
      <c r="D2752" s="65" t="s">
        <v>331</v>
      </c>
      <c r="E2752" s="65" t="s">
        <v>301</v>
      </c>
      <c r="F2752" s="65" t="s">
        <v>40</v>
      </c>
      <c r="G2752" s="65"/>
      <c r="H2752" s="65"/>
      <c r="I2752" s="66">
        <v>32190.24919598765</v>
      </c>
    </row>
    <row r="2753" spans="1:9" hidden="1">
      <c r="A2753" s="67" t="s">
        <v>295</v>
      </c>
      <c r="B2753" s="68">
        <v>2035</v>
      </c>
      <c r="C2753" s="68">
        <v>2023</v>
      </c>
      <c r="D2753" s="68" t="s">
        <v>331</v>
      </c>
      <c r="E2753" s="68" t="s">
        <v>305</v>
      </c>
      <c r="F2753" s="68" t="s">
        <v>40</v>
      </c>
      <c r="G2753" s="68"/>
      <c r="H2753" s="68"/>
      <c r="I2753" s="69">
        <v>2995.0581999999999</v>
      </c>
    </row>
    <row r="2754" spans="1:9" hidden="1">
      <c r="A2754" s="64" t="s">
        <v>295</v>
      </c>
      <c r="B2754" s="65">
        <v>2035</v>
      </c>
      <c r="C2754" s="65">
        <v>2023</v>
      </c>
      <c r="D2754" s="65" t="s">
        <v>332</v>
      </c>
      <c r="E2754" s="65" t="s">
        <v>294</v>
      </c>
      <c r="F2754" s="65" t="s">
        <v>40</v>
      </c>
      <c r="G2754" s="65"/>
      <c r="H2754" s="65"/>
      <c r="I2754" s="66">
        <v>524.59789999999998</v>
      </c>
    </row>
    <row r="2755" spans="1:9" hidden="1">
      <c r="A2755" s="67" t="s">
        <v>295</v>
      </c>
      <c r="B2755" s="68">
        <v>2035</v>
      </c>
      <c r="C2755" s="68">
        <v>2023</v>
      </c>
      <c r="D2755" s="68" t="s">
        <v>332</v>
      </c>
      <c r="E2755" s="68" t="s">
        <v>301</v>
      </c>
      <c r="F2755" s="68" t="s">
        <v>40</v>
      </c>
      <c r="G2755" s="68"/>
      <c r="H2755" s="68"/>
      <c r="I2755" s="69">
        <v>405.7027700000001</v>
      </c>
    </row>
    <row r="2756" spans="1:9" hidden="1">
      <c r="A2756" s="64" t="s">
        <v>295</v>
      </c>
      <c r="B2756" s="65">
        <v>2035</v>
      </c>
      <c r="C2756" s="65">
        <v>2023</v>
      </c>
      <c r="D2756" s="65" t="s">
        <v>332</v>
      </c>
      <c r="E2756" s="65" t="s">
        <v>305</v>
      </c>
      <c r="F2756" s="65" t="s">
        <v>40</v>
      </c>
      <c r="G2756" s="65"/>
      <c r="H2756" s="65"/>
      <c r="I2756" s="66">
        <v>282.77668999999997</v>
      </c>
    </row>
    <row r="2757" spans="1:9" hidden="1">
      <c r="A2757" s="67" t="s">
        <v>295</v>
      </c>
      <c r="B2757" s="68">
        <v>2035</v>
      </c>
      <c r="C2757" s="68">
        <v>2023</v>
      </c>
      <c r="D2757" s="68" t="s">
        <v>333</v>
      </c>
      <c r="E2757" s="68" t="s">
        <v>294</v>
      </c>
      <c r="F2757" s="68" t="s">
        <v>40</v>
      </c>
      <c r="G2757" s="68"/>
      <c r="H2757" s="68"/>
      <c r="I2757" s="69">
        <v>-33809.883679999999</v>
      </c>
    </row>
    <row r="2758" spans="1:9" hidden="1">
      <c r="A2758" s="64" t="s">
        <v>295</v>
      </c>
      <c r="B2758" s="65">
        <v>2035</v>
      </c>
      <c r="C2758" s="65">
        <v>2023</v>
      </c>
      <c r="D2758" s="65" t="s">
        <v>333</v>
      </c>
      <c r="E2758" s="65" t="s">
        <v>301</v>
      </c>
      <c r="F2758" s="65" t="s">
        <v>40</v>
      </c>
      <c r="G2758" s="65"/>
      <c r="H2758" s="65"/>
      <c r="I2758" s="66">
        <v>-33496.707309999998</v>
      </c>
    </row>
    <row r="2759" spans="1:9" hidden="1">
      <c r="A2759" s="67" t="s">
        <v>295</v>
      </c>
      <c r="B2759" s="68">
        <v>2035</v>
      </c>
      <c r="C2759" s="68">
        <v>2023</v>
      </c>
      <c r="D2759" s="68" t="s">
        <v>333</v>
      </c>
      <c r="E2759" s="68" t="s">
        <v>305</v>
      </c>
      <c r="F2759" s="68" t="s">
        <v>40</v>
      </c>
      <c r="G2759" s="68"/>
      <c r="H2759" s="68"/>
      <c r="I2759" s="69">
        <v>-2000</v>
      </c>
    </row>
    <row r="2760" spans="1:9" hidden="1">
      <c r="A2760" s="64" t="s">
        <v>295</v>
      </c>
      <c r="B2760" s="65">
        <v>2035</v>
      </c>
      <c r="C2760" s="65">
        <v>2023</v>
      </c>
      <c r="D2760" s="65" t="s">
        <v>334</v>
      </c>
      <c r="E2760" s="65" t="s">
        <v>294</v>
      </c>
      <c r="F2760" s="65" t="s">
        <v>40</v>
      </c>
      <c r="G2760" s="65"/>
      <c r="H2760" s="65"/>
      <c r="I2760" s="66">
        <v>253.85033000000001</v>
      </c>
    </row>
    <row r="2761" spans="1:9" hidden="1">
      <c r="A2761" s="67" t="s">
        <v>295</v>
      </c>
      <c r="B2761" s="68">
        <v>2035</v>
      </c>
      <c r="C2761" s="68">
        <v>2023</v>
      </c>
      <c r="D2761" s="68" t="s">
        <v>334</v>
      </c>
      <c r="E2761" s="68" t="s">
        <v>301</v>
      </c>
      <c r="F2761" s="68" t="s">
        <v>40</v>
      </c>
      <c r="G2761" s="68"/>
      <c r="H2761" s="68"/>
      <c r="I2761" s="69">
        <v>253.85033000000001</v>
      </c>
    </row>
    <row r="2762" spans="1:9" hidden="1">
      <c r="A2762" s="64" t="s">
        <v>295</v>
      </c>
      <c r="B2762" s="65">
        <v>2035</v>
      </c>
      <c r="C2762" s="65">
        <v>2023</v>
      </c>
      <c r="D2762" s="65" t="s">
        <v>308</v>
      </c>
      <c r="E2762" s="65" t="s">
        <v>294</v>
      </c>
      <c r="F2762" s="65" t="s">
        <v>297</v>
      </c>
      <c r="G2762" s="65"/>
      <c r="H2762" s="65"/>
      <c r="I2762" s="66">
        <v>78355.06190507178</v>
      </c>
    </row>
    <row r="2763" spans="1:9" hidden="1">
      <c r="A2763" s="67" t="s">
        <v>295</v>
      </c>
      <c r="B2763" s="68">
        <v>2035</v>
      </c>
      <c r="C2763" s="68">
        <v>2023</v>
      </c>
      <c r="D2763" s="68" t="s">
        <v>308</v>
      </c>
      <c r="E2763" s="68" t="s">
        <v>294</v>
      </c>
      <c r="F2763" s="68" t="s">
        <v>298</v>
      </c>
      <c r="G2763" s="68"/>
      <c r="H2763" s="68"/>
      <c r="I2763" s="69">
        <v>244.97255519641979</v>
      </c>
    </row>
    <row r="2764" spans="1:9" hidden="1">
      <c r="A2764" s="64" t="s">
        <v>295</v>
      </c>
      <c r="B2764" s="65">
        <v>2035</v>
      </c>
      <c r="C2764" s="65">
        <v>2023</v>
      </c>
      <c r="D2764" s="65" t="s">
        <v>308</v>
      </c>
      <c r="E2764" s="65" t="s">
        <v>294</v>
      </c>
      <c r="F2764" s="65" t="s">
        <v>40</v>
      </c>
      <c r="G2764" s="65"/>
      <c r="H2764" s="65"/>
      <c r="I2764" s="66">
        <v>78600.034460268202</v>
      </c>
    </row>
    <row r="2765" spans="1:9" hidden="1">
      <c r="A2765" s="67" t="s">
        <v>295</v>
      </c>
      <c r="B2765" s="68">
        <v>2035</v>
      </c>
      <c r="C2765" s="68">
        <v>2023</v>
      </c>
      <c r="D2765" s="68" t="s">
        <v>308</v>
      </c>
      <c r="E2765" s="68" t="s">
        <v>301</v>
      </c>
      <c r="F2765" s="68" t="s">
        <v>297</v>
      </c>
      <c r="G2765" s="68"/>
      <c r="H2765" s="68"/>
      <c r="I2765" s="69">
        <v>79380.149815078054</v>
      </c>
    </row>
    <row r="2766" spans="1:9" hidden="1">
      <c r="A2766" s="64" t="s">
        <v>295</v>
      </c>
      <c r="B2766" s="65">
        <v>2035</v>
      </c>
      <c r="C2766" s="65">
        <v>2023</v>
      </c>
      <c r="D2766" s="65" t="s">
        <v>308</v>
      </c>
      <c r="E2766" s="65" t="s">
        <v>301</v>
      </c>
      <c r="F2766" s="65" t="s">
        <v>298</v>
      </c>
      <c r="G2766" s="65"/>
      <c r="H2766" s="65"/>
      <c r="I2766" s="66">
        <v>244.972555199048</v>
      </c>
    </row>
    <row r="2767" spans="1:9" hidden="1">
      <c r="A2767" s="67" t="s">
        <v>295</v>
      </c>
      <c r="B2767" s="68">
        <v>2035</v>
      </c>
      <c r="C2767" s="68">
        <v>2023</v>
      </c>
      <c r="D2767" s="68" t="s">
        <v>308</v>
      </c>
      <c r="E2767" s="68" t="s">
        <v>301</v>
      </c>
      <c r="F2767" s="68" t="s">
        <v>40</v>
      </c>
      <c r="G2767" s="68"/>
      <c r="H2767" s="68"/>
      <c r="I2767" s="69">
        <v>79514.494319751087</v>
      </c>
    </row>
    <row r="2768" spans="1:9" hidden="1">
      <c r="A2768" s="64" t="s">
        <v>295</v>
      </c>
      <c r="B2768" s="65">
        <v>2035</v>
      </c>
      <c r="C2768" s="65">
        <v>2023</v>
      </c>
      <c r="D2768" s="65" t="s">
        <v>308</v>
      </c>
      <c r="E2768" s="65" t="s">
        <v>305</v>
      </c>
      <c r="F2768" s="65" t="s">
        <v>297</v>
      </c>
      <c r="G2768" s="65"/>
      <c r="H2768" s="65"/>
      <c r="I2768" s="66">
        <v>1653.4554800000001</v>
      </c>
    </row>
    <row r="2769" spans="1:9" hidden="1">
      <c r="A2769" s="67" t="s">
        <v>295</v>
      </c>
      <c r="B2769" s="68">
        <v>2035</v>
      </c>
      <c r="C2769" s="68">
        <v>2023</v>
      </c>
      <c r="D2769" s="68" t="s">
        <v>308</v>
      </c>
      <c r="E2769" s="68" t="s">
        <v>305</v>
      </c>
      <c r="F2769" s="68" t="s">
        <v>40</v>
      </c>
      <c r="G2769" s="68"/>
      <c r="H2769" s="68"/>
      <c r="I2769" s="69">
        <v>10407.25548</v>
      </c>
    </row>
    <row r="2770" spans="1:9" hidden="1">
      <c r="A2770" s="64" t="s">
        <v>295</v>
      </c>
      <c r="B2770" s="65">
        <v>2035</v>
      </c>
      <c r="C2770" s="65">
        <v>2023</v>
      </c>
      <c r="D2770" s="65" t="s">
        <v>310</v>
      </c>
      <c r="E2770" s="65" t="s">
        <v>294</v>
      </c>
      <c r="F2770" s="65" t="s">
        <v>297</v>
      </c>
      <c r="G2770" s="65"/>
      <c r="H2770" s="65"/>
      <c r="I2770" s="66">
        <v>147.80000000000001</v>
      </c>
    </row>
    <row r="2771" spans="1:9" hidden="1">
      <c r="A2771" s="67" t="s">
        <v>295</v>
      </c>
      <c r="B2771" s="68">
        <v>2035</v>
      </c>
      <c r="C2771" s="68">
        <v>2023</v>
      </c>
      <c r="D2771" s="68" t="s">
        <v>310</v>
      </c>
      <c r="E2771" s="68" t="s">
        <v>294</v>
      </c>
      <c r="F2771" s="68" t="s">
        <v>40</v>
      </c>
      <c r="G2771" s="68"/>
      <c r="H2771" s="68"/>
      <c r="I2771" s="69">
        <v>120707.6404408543</v>
      </c>
    </row>
    <row r="2772" spans="1:9" hidden="1">
      <c r="A2772" s="64" t="s">
        <v>295</v>
      </c>
      <c r="B2772" s="65">
        <v>2035</v>
      </c>
      <c r="C2772" s="65">
        <v>2023</v>
      </c>
      <c r="D2772" s="65" t="s">
        <v>310</v>
      </c>
      <c r="E2772" s="65" t="s">
        <v>301</v>
      </c>
      <c r="F2772" s="65" t="s">
        <v>297</v>
      </c>
      <c r="G2772" s="65"/>
      <c r="H2772" s="65"/>
      <c r="I2772" s="66">
        <v>147.80000000000001</v>
      </c>
    </row>
    <row r="2773" spans="1:9" hidden="1">
      <c r="A2773" s="67" t="s">
        <v>295</v>
      </c>
      <c r="B2773" s="68">
        <v>2035</v>
      </c>
      <c r="C2773" s="68">
        <v>2023</v>
      </c>
      <c r="D2773" s="68" t="s">
        <v>310</v>
      </c>
      <c r="E2773" s="68" t="s">
        <v>301</v>
      </c>
      <c r="F2773" s="68" t="s">
        <v>40</v>
      </c>
      <c r="G2773" s="68"/>
      <c r="H2773" s="68"/>
      <c r="I2773" s="69">
        <v>127511.8911234789</v>
      </c>
    </row>
    <row r="2774" spans="1:9" hidden="1">
      <c r="A2774" s="64" t="s">
        <v>295</v>
      </c>
      <c r="B2774" s="65">
        <v>2035</v>
      </c>
      <c r="C2774" s="65">
        <v>2023</v>
      </c>
      <c r="D2774" s="65" t="s">
        <v>310</v>
      </c>
      <c r="E2774" s="65" t="s">
        <v>305</v>
      </c>
      <c r="F2774" s="65" t="s">
        <v>40</v>
      </c>
      <c r="G2774" s="65"/>
      <c r="H2774" s="65"/>
      <c r="I2774" s="66">
        <v>1131.2548099999999</v>
      </c>
    </row>
    <row r="2775" spans="1:9" hidden="1">
      <c r="A2775" s="67" t="s">
        <v>295</v>
      </c>
      <c r="B2775" s="68">
        <v>2035</v>
      </c>
      <c r="C2775" s="68">
        <v>2023</v>
      </c>
      <c r="D2775" s="68" t="s">
        <v>311</v>
      </c>
      <c r="E2775" s="68" t="s">
        <v>294</v>
      </c>
      <c r="F2775" s="68" t="s">
        <v>297</v>
      </c>
      <c r="G2775" s="68"/>
      <c r="H2775" s="68"/>
      <c r="I2775" s="69">
        <v>784.5</v>
      </c>
    </row>
    <row r="2776" spans="1:9" hidden="1">
      <c r="A2776" s="64" t="s">
        <v>295</v>
      </c>
      <c r="B2776" s="65">
        <v>2035</v>
      </c>
      <c r="C2776" s="65">
        <v>2023</v>
      </c>
      <c r="D2776" s="65" t="s">
        <v>311</v>
      </c>
      <c r="E2776" s="65" t="s">
        <v>294</v>
      </c>
      <c r="F2776" s="65" t="s">
        <v>40</v>
      </c>
      <c r="G2776" s="65"/>
      <c r="H2776" s="65"/>
      <c r="I2776" s="66">
        <v>139125.8320220818</v>
      </c>
    </row>
    <row r="2777" spans="1:9" hidden="1">
      <c r="A2777" s="67" t="s">
        <v>295</v>
      </c>
      <c r="B2777" s="68">
        <v>2035</v>
      </c>
      <c r="C2777" s="68">
        <v>2023</v>
      </c>
      <c r="D2777" s="68" t="s">
        <v>311</v>
      </c>
      <c r="E2777" s="68" t="s">
        <v>301</v>
      </c>
      <c r="F2777" s="68" t="s">
        <v>297</v>
      </c>
      <c r="G2777" s="68"/>
      <c r="H2777" s="68"/>
      <c r="I2777" s="69">
        <v>784.5</v>
      </c>
    </row>
    <row r="2778" spans="1:9" hidden="1">
      <c r="A2778" s="64" t="s">
        <v>295</v>
      </c>
      <c r="B2778" s="65">
        <v>2035</v>
      </c>
      <c r="C2778" s="65">
        <v>2023</v>
      </c>
      <c r="D2778" s="65" t="s">
        <v>311</v>
      </c>
      <c r="E2778" s="65" t="s">
        <v>301</v>
      </c>
      <c r="F2778" s="65" t="s">
        <v>40</v>
      </c>
      <c r="G2778" s="65"/>
      <c r="H2778" s="65"/>
      <c r="I2778" s="66">
        <v>141314.0276269929</v>
      </c>
    </row>
    <row r="2779" spans="1:9" hidden="1">
      <c r="A2779" s="67" t="s">
        <v>295</v>
      </c>
      <c r="B2779" s="68">
        <v>2035</v>
      </c>
      <c r="C2779" s="68">
        <v>2023</v>
      </c>
      <c r="D2779" s="68" t="s">
        <v>311</v>
      </c>
      <c r="E2779" s="68" t="s">
        <v>305</v>
      </c>
      <c r="F2779" s="68" t="s">
        <v>40</v>
      </c>
      <c r="G2779" s="68"/>
      <c r="H2779" s="68"/>
      <c r="I2779" s="69">
        <v>899.8</v>
      </c>
    </row>
    <row r="2780" spans="1:9" hidden="1">
      <c r="A2780" s="64" t="s">
        <v>295</v>
      </c>
      <c r="B2780" s="65">
        <v>2035</v>
      </c>
      <c r="C2780" s="65">
        <v>2023</v>
      </c>
      <c r="D2780" s="65" t="s">
        <v>312</v>
      </c>
      <c r="E2780" s="65" t="s">
        <v>294</v>
      </c>
      <c r="F2780" s="65" t="s">
        <v>297</v>
      </c>
      <c r="G2780" s="65"/>
      <c r="H2780" s="65"/>
      <c r="I2780" s="66">
        <v>711.78656999999998</v>
      </c>
    </row>
    <row r="2781" spans="1:9" hidden="1">
      <c r="A2781" s="67" t="s">
        <v>295</v>
      </c>
      <c r="B2781" s="68">
        <v>2035</v>
      </c>
      <c r="C2781" s="68">
        <v>2023</v>
      </c>
      <c r="D2781" s="68" t="s">
        <v>312</v>
      </c>
      <c r="E2781" s="68" t="s">
        <v>294</v>
      </c>
      <c r="F2781" s="68" t="s">
        <v>40</v>
      </c>
      <c r="G2781" s="68"/>
      <c r="H2781" s="68"/>
      <c r="I2781" s="69">
        <v>855.68656999999996</v>
      </c>
    </row>
    <row r="2782" spans="1:9" hidden="1">
      <c r="A2782" s="64" t="s">
        <v>295</v>
      </c>
      <c r="B2782" s="65">
        <v>2035</v>
      </c>
      <c r="C2782" s="65">
        <v>2023</v>
      </c>
      <c r="D2782" s="65" t="s">
        <v>312</v>
      </c>
      <c r="E2782" s="65" t="s">
        <v>301</v>
      </c>
      <c r="F2782" s="65" t="s">
        <v>297</v>
      </c>
      <c r="G2782" s="65"/>
      <c r="H2782" s="65"/>
      <c r="I2782" s="66">
        <v>712.89333999999997</v>
      </c>
    </row>
    <row r="2783" spans="1:9" hidden="1">
      <c r="A2783" s="67" t="s">
        <v>295</v>
      </c>
      <c r="B2783" s="68">
        <v>2035</v>
      </c>
      <c r="C2783" s="68">
        <v>2023</v>
      </c>
      <c r="D2783" s="68" t="s">
        <v>312</v>
      </c>
      <c r="E2783" s="68" t="s">
        <v>301</v>
      </c>
      <c r="F2783" s="68" t="s">
        <v>40</v>
      </c>
      <c r="G2783" s="68"/>
      <c r="H2783" s="68"/>
      <c r="I2783" s="69">
        <v>856.79333999999994</v>
      </c>
    </row>
    <row r="2784" spans="1:9" hidden="1">
      <c r="A2784" s="64" t="s">
        <v>295</v>
      </c>
      <c r="B2784" s="65">
        <v>2035</v>
      </c>
      <c r="C2784" s="65">
        <v>2023</v>
      </c>
      <c r="D2784" s="65" t="s">
        <v>313</v>
      </c>
      <c r="E2784" s="65" t="s">
        <v>294</v>
      </c>
      <c r="F2784" s="65" t="s">
        <v>297</v>
      </c>
      <c r="G2784" s="65"/>
      <c r="H2784" s="65"/>
      <c r="I2784" s="66">
        <v>1523916.4770559829</v>
      </c>
    </row>
    <row r="2785" spans="1:9" hidden="1">
      <c r="A2785" s="67" t="s">
        <v>295</v>
      </c>
      <c r="B2785" s="68">
        <v>2035</v>
      </c>
      <c r="C2785" s="68">
        <v>2023</v>
      </c>
      <c r="D2785" s="68" t="s">
        <v>313</v>
      </c>
      <c r="E2785" s="68" t="s">
        <v>294</v>
      </c>
      <c r="F2785" s="68" t="s">
        <v>298</v>
      </c>
      <c r="G2785" s="68"/>
      <c r="H2785" s="68"/>
      <c r="I2785" s="69">
        <v>691012.94689156348</v>
      </c>
    </row>
    <row r="2786" spans="1:9" hidden="1">
      <c r="A2786" s="64" t="s">
        <v>295</v>
      </c>
      <c r="B2786" s="65">
        <v>2035</v>
      </c>
      <c r="C2786" s="65">
        <v>2023</v>
      </c>
      <c r="D2786" s="65" t="s">
        <v>313</v>
      </c>
      <c r="E2786" s="65" t="s">
        <v>294</v>
      </c>
      <c r="F2786" s="65" t="s">
        <v>40</v>
      </c>
      <c r="G2786" s="65"/>
      <c r="H2786" s="65"/>
      <c r="I2786" s="66">
        <v>2231294.0625468502</v>
      </c>
    </row>
    <row r="2787" spans="1:9" hidden="1">
      <c r="A2787" s="67" t="s">
        <v>295</v>
      </c>
      <c r="B2787" s="68">
        <v>2035</v>
      </c>
      <c r="C2787" s="68">
        <v>2023</v>
      </c>
      <c r="D2787" s="68" t="s">
        <v>313</v>
      </c>
      <c r="E2787" s="68" t="s">
        <v>301</v>
      </c>
      <c r="F2787" s="68" t="s">
        <v>297</v>
      </c>
      <c r="G2787" s="68"/>
      <c r="H2787" s="68"/>
      <c r="I2787" s="69">
        <v>1692288.621132686</v>
      </c>
    </row>
    <row r="2788" spans="1:9" hidden="1">
      <c r="A2788" s="64" t="s">
        <v>295</v>
      </c>
      <c r="B2788" s="65">
        <v>2035</v>
      </c>
      <c r="C2788" s="65">
        <v>2023</v>
      </c>
      <c r="D2788" s="65" t="s">
        <v>313</v>
      </c>
      <c r="E2788" s="65" t="s">
        <v>301</v>
      </c>
      <c r="F2788" s="65" t="s">
        <v>298</v>
      </c>
      <c r="G2788" s="65"/>
      <c r="H2788" s="65"/>
      <c r="I2788" s="66">
        <v>796147.7119902788</v>
      </c>
    </row>
    <row r="2789" spans="1:9" hidden="1">
      <c r="A2789" s="67" t="s">
        <v>295</v>
      </c>
      <c r="B2789" s="68">
        <v>2035</v>
      </c>
      <c r="C2789" s="68">
        <v>2023</v>
      </c>
      <c r="D2789" s="68" t="s">
        <v>313</v>
      </c>
      <c r="E2789" s="68" t="s">
        <v>301</v>
      </c>
      <c r="F2789" s="68" t="s">
        <v>40</v>
      </c>
      <c r="G2789" s="68"/>
      <c r="H2789" s="68"/>
      <c r="I2789" s="69">
        <v>2506112.4367301371</v>
      </c>
    </row>
    <row r="2790" spans="1:9" hidden="1">
      <c r="A2790" s="64" t="s">
        <v>295</v>
      </c>
      <c r="B2790" s="65">
        <v>2035</v>
      </c>
      <c r="C2790" s="65">
        <v>2023</v>
      </c>
      <c r="D2790" s="65" t="s">
        <v>313</v>
      </c>
      <c r="E2790" s="65" t="s">
        <v>305</v>
      </c>
      <c r="F2790" s="65" t="s">
        <v>297</v>
      </c>
      <c r="G2790" s="65"/>
      <c r="H2790" s="65"/>
      <c r="I2790" s="66">
        <v>16414.072380000001</v>
      </c>
    </row>
    <row r="2791" spans="1:9" hidden="1">
      <c r="A2791" s="67" t="s">
        <v>295</v>
      </c>
      <c r="B2791" s="68">
        <v>2035</v>
      </c>
      <c r="C2791" s="68">
        <v>2023</v>
      </c>
      <c r="D2791" s="68" t="s">
        <v>313</v>
      </c>
      <c r="E2791" s="68" t="s">
        <v>305</v>
      </c>
      <c r="F2791" s="68" t="s">
        <v>298</v>
      </c>
      <c r="G2791" s="68"/>
      <c r="H2791" s="68"/>
      <c r="I2791" s="69">
        <v>9353.9566300000006</v>
      </c>
    </row>
    <row r="2792" spans="1:9" hidden="1">
      <c r="A2792" s="64" t="s">
        <v>295</v>
      </c>
      <c r="B2792" s="65">
        <v>2035</v>
      </c>
      <c r="C2792" s="65">
        <v>2023</v>
      </c>
      <c r="D2792" s="65" t="s">
        <v>313</v>
      </c>
      <c r="E2792" s="65" t="s">
        <v>305</v>
      </c>
      <c r="F2792" s="65" t="s">
        <v>40</v>
      </c>
      <c r="G2792" s="65"/>
      <c r="H2792" s="65"/>
      <c r="I2792" s="66">
        <v>206348.01994999999</v>
      </c>
    </row>
    <row r="2793" spans="1:9" hidden="1">
      <c r="A2793" s="67" t="s">
        <v>295</v>
      </c>
      <c r="B2793" s="68">
        <v>2035</v>
      </c>
      <c r="C2793" s="68">
        <v>2023</v>
      </c>
      <c r="D2793" s="68" t="s">
        <v>314</v>
      </c>
      <c r="E2793" s="68" t="s">
        <v>294</v>
      </c>
      <c r="F2793" s="68" t="s">
        <v>297</v>
      </c>
      <c r="G2793" s="68"/>
      <c r="H2793" s="68"/>
      <c r="I2793" s="69">
        <v>1523916.4770559829</v>
      </c>
    </row>
    <row r="2794" spans="1:9" hidden="1">
      <c r="A2794" s="64" t="s">
        <v>295</v>
      </c>
      <c r="B2794" s="65">
        <v>2035</v>
      </c>
      <c r="C2794" s="65">
        <v>2023</v>
      </c>
      <c r="D2794" s="65" t="s">
        <v>314</v>
      </c>
      <c r="E2794" s="65" t="s">
        <v>294</v>
      </c>
      <c r="F2794" s="65" t="s">
        <v>298</v>
      </c>
      <c r="G2794" s="65"/>
      <c r="H2794" s="65"/>
      <c r="I2794" s="66">
        <v>691012.94689156348</v>
      </c>
    </row>
    <row r="2795" spans="1:9" hidden="1">
      <c r="A2795" s="67" t="s">
        <v>295</v>
      </c>
      <c r="B2795" s="68">
        <v>2035</v>
      </c>
      <c r="C2795" s="68">
        <v>2023</v>
      </c>
      <c r="D2795" s="68" t="s">
        <v>314</v>
      </c>
      <c r="E2795" s="68" t="s">
        <v>294</v>
      </c>
      <c r="F2795" s="68" t="s">
        <v>40</v>
      </c>
      <c r="G2795" s="68"/>
      <c r="H2795" s="68"/>
      <c r="I2795" s="69">
        <v>1974044.2897934869</v>
      </c>
    </row>
    <row r="2796" spans="1:9" hidden="1">
      <c r="A2796" s="64" t="s">
        <v>295</v>
      </c>
      <c r="B2796" s="65">
        <v>2035</v>
      </c>
      <c r="C2796" s="65">
        <v>2023</v>
      </c>
      <c r="D2796" s="65" t="s">
        <v>314</v>
      </c>
      <c r="E2796" s="65" t="s">
        <v>301</v>
      </c>
      <c r="F2796" s="65" t="s">
        <v>297</v>
      </c>
      <c r="G2796" s="65"/>
      <c r="H2796" s="65"/>
      <c r="I2796" s="66">
        <v>1692288.621132686</v>
      </c>
    </row>
    <row r="2797" spans="1:9" hidden="1">
      <c r="A2797" s="67" t="s">
        <v>295</v>
      </c>
      <c r="B2797" s="68">
        <v>2035</v>
      </c>
      <c r="C2797" s="68">
        <v>2023</v>
      </c>
      <c r="D2797" s="68" t="s">
        <v>314</v>
      </c>
      <c r="E2797" s="68" t="s">
        <v>301</v>
      </c>
      <c r="F2797" s="68" t="s">
        <v>298</v>
      </c>
      <c r="G2797" s="68"/>
      <c r="H2797" s="68"/>
      <c r="I2797" s="69">
        <v>796147.7119902788</v>
      </c>
    </row>
    <row r="2798" spans="1:9" hidden="1">
      <c r="A2798" s="64" t="s">
        <v>295</v>
      </c>
      <c r="B2798" s="65">
        <v>2035</v>
      </c>
      <c r="C2798" s="65">
        <v>2023</v>
      </c>
      <c r="D2798" s="65" t="s">
        <v>314</v>
      </c>
      <c r="E2798" s="65" t="s">
        <v>301</v>
      </c>
      <c r="F2798" s="65" t="s">
        <v>40</v>
      </c>
      <c r="G2798" s="65"/>
      <c r="H2798" s="65"/>
      <c r="I2798" s="66">
        <v>2275263.4914236069</v>
      </c>
    </row>
    <row r="2799" spans="1:9" hidden="1">
      <c r="A2799" s="67" t="s">
        <v>295</v>
      </c>
      <c r="B2799" s="68">
        <v>2035</v>
      </c>
      <c r="C2799" s="68">
        <v>2023</v>
      </c>
      <c r="D2799" s="68" t="s">
        <v>314</v>
      </c>
      <c r="E2799" s="68" t="s">
        <v>305</v>
      </c>
      <c r="F2799" s="68" t="s">
        <v>297</v>
      </c>
      <c r="G2799" s="68"/>
      <c r="H2799" s="68"/>
      <c r="I2799" s="69">
        <v>16414.072380000001</v>
      </c>
    </row>
    <row r="2800" spans="1:9" hidden="1">
      <c r="A2800" s="64" t="s">
        <v>295</v>
      </c>
      <c r="B2800" s="65">
        <v>2035</v>
      </c>
      <c r="C2800" s="65">
        <v>2023</v>
      </c>
      <c r="D2800" s="65" t="s">
        <v>314</v>
      </c>
      <c r="E2800" s="65" t="s">
        <v>305</v>
      </c>
      <c r="F2800" s="65" t="s">
        <v>298</v>
      </c>
      <c r="G2800" s="65"/>
      <c r="H2800" s="65"/>
      <c r="I2800" s="66">
        <v>9353.9566300000006</v>
      </c>
    </row>
    <row r="2801" spans="1:9" hidden="1">
      <c r="A2801" s="67" t="s">
        <v>295</v>
      </c>
      <c r="B2801" s="68">
        <v>2035</v>
      </c>
      <c r="C2801" s="68">
        <v>2023</v>
      </c>
      <c r="D2801" s="68" t="s">
        <v>314</v>
      </c>
      <c r="E2801" s="68" t="s">
        <v>305</v>
      </c>
      <c r="F2801" s="68" t="s">
        <v>40</v>
      </c>
      <c r="G2801" s="68"/>
      <c r="H2801" s="68"/>
      <c r="I2801" s="69">
        <v>190574.01882</v>
      </c>
    </row>
    <row r="2802" spans="1:9" hidden="1">
      <c r="A2802" s="64" t="s">
        <v>295</v>
      </c>
      <c r="B2802" s="65">
        <v>2036</v>
      </c>
      <c r="C2802" s="65">
        <v>2023</v>
      </c>
      <c r="D2802" s="65" t="s">
        <v>296</v>
      </c>
      <c r="E2802" s="65" t="s">
        <v>294</v>
      </c>
      <c r="F2802" s="65" t="s">
        <v>297</v>
      </c>
      <c r="G2802" s="65"/>
      <c r="H2802" s="65"/>
      <c r="I2802" s="66">
        <v>1006704.797843578</v>
      </c>
    </row>
    <row r="2803" spans="1:9" hidden="1">
      <c r="A2803" s="67" t="s">
        <v>295</v>
      </c>
      <c r="B2803" s="68">
        <v>2036</v>
      </c>
      <c r="C2803" s="68">
        <v>2023</v>
      </c>
      <c r="D2803" s="68" t="s">
        <v>296</v>
      </c>
      <c r="E2803" s="68" t="s">
        <v>294</v>
      </c>
      <c r="F2803" s="68" t="s">
        <v>298</v>
      </c>
      <c r="G2803" s="68"/>
      <c r="H2803" s="68"/>
      <c r="I2803" s="69">
        <v>499697.52679311298</v>
      </c>
    </row>
    <row r="2804" spans="1:9" hidden="1">
      <c r="A2804" s="64" t="s">
        <v>295</v>
      </c>
      <c r="B2804" s="65">
        <v>2036</v>
      </c>
      <c r="C2804" s="65">
        <v>2023</v>
      </c>
      <c r="D2804" s="65" t="s">
        <v>296</v>
      </c>
      <c r="E2804" s="65" t="s">
        <v>294</v>
      </c>
      <c r="F2804" s="65" t="s">
        <v>40</v>
      </c>
      <c r="G2804" s="65"/>
      <c r="H2804" s="65"/>
      <c r="I2804" s="66">
        <v>1523123.3159200661</v>
      </c>
    </row>
    <row r="2805" spans="1:9" hidden="1">
      <c r="A2805" s="67" t="s">
        <v>295</v>
      </c>
      <c r="B2805" s="68">
        <v>2036</v>
      </c>
      <c r="C2805" s="68">
        <v>2023</v>
      </c>
      <c r="D2805" s="68" t="s">
        <v>296</v>
      </c>
      <c r="E2805" s="68" t="s">
        <v>301</v>
      </c>
      <c r="F2805" s="68" t="s">
        <v>297</v>
      </c>
      <c r="G2805" s="68"/>
      <c r="H2805" s="68"/>
      <c r="I2805" s="69">
        <v>1162691.910716129</v>
      </c>
    </row>
    <row r="2806" spans="1:9" hidden="1">
      <c r="A2806" s="64" t="s">
        <v>295</v>
      </c>
      <c r="B2806" s="65">
        <v>2036</v>
      </c>
      <c r="C2806" s="65">
        <v>2023</v>
      </c>
      <c r="D2806" s="65" t="s">
        <v>296</v>
      </c>
      <c r="E2806" s="65" t="s">
        <v>301</v>
      </c>
      <c r="F2806" s="65" t="s">
        <v>298</v>
      </c>
      <c r="G2806" s="65"/>
      <c r="H2806" s="65"/>
      <c r="I2806" s="66">
        <v>589915.32942051208</v>
      </c>
    </row>
    <row r="2807" spans="1:9" hidden="1">
      <c r="A2807" s="67" t="s">
        <v>295</v>
      </c>
      <c r="B2807" s="68">
        <v>2036</v>
      </c>
      <c r="C2807" s="68">
        <v>2023</v>
      </c>
      <c r="D2807" s="68" t="s">
        <v>296</v>
      </c>
      <c r="E2807" s="68" t="s">
        <v>301</v>
      </c>
      <c r="F2807" s="68" t="s">
        <v>40</v>
      </c>
      <c r="G2807" s="68"/>
      <c r="H2807" s="68"/>
      <c r="I2807" s="69">
        <v>1770773.333921398</v>
      </c>
    </row>
    <row r="2808" spans="1:9" hidden="1">
      <c r="A2808" s="64" t="s">
        <v>295</v>
      </c>
      <c r="B2808" s="65">
        <v>2036</v>
      </c>
      <c r="C2808" s="65">
        <v>2023</v>
      </c>
      <c r="D2808" s="65" t="s">
        <v>296</v>
      </c>
      <c r="E2808" s="65" t="s">
        <v>305</v>
      </c>
      <c r="F2808" s="65" t="s">
        <v>297</v>
      </c>
      <c r="G2808" s="65"/>
      <c r="H2808" s="65"/>
      <c r="I2808" s="66">
        <v>11736.27262</v>
      </c>
    </row>
    <row r="2809" spans="1:9" hidden="1">
      <c r="A2809" s="67" t="s">
        <v>295</v>
      </c>
      <c r="B2809" s="68">
        <v>2036</v>
      </c>
      <c r="C2809" s="68">
        <v>2023</v>
      </c>
      <c r="D2809" s="68" t="s">
        <v>296</v>
      </c>
      <c r="E2809" s="68" t="s">
        <v>305</v>
      </c>
      <c r="F2809" s="68" t="s">
        <v>298</v>
      </c>
      <c r="G2809" s="68"/>
      <c r="H2809" s="68"/>
      <c r="I2809" s="69">
        <v>8614.3566300000002</v>
      </c>
    </row>
    <row r="2810" spans="1:9" hidden="1">
      <c r="A2810" s="64" t="s">
        <v>295</v>
      </c>
      <c r="B2810" s="65">
        <v>2036</v>
      </c>
      <c r="C2810" s="65">
        <v>2023</v>
      </c>
      <c r="D2810" s="65" t="s">
        <v>296</v>
      </c>
      <c r="E2810" s="65" t="s">
        <v>305</v>
      </c>
      <c r="F2810" s="65" t="s">
        <v>40</v>
      </c>
      <c r="G2810" s="65"/>
      <c r="H2810" s="65"/>
      <c r="I2810" s="66">
        <v>148203.32465</v>
      </c>
    </row>
    <row r="2811" spans="1:9" hidden="1">
      <c r="A2811" s="67" t="s">
        <v>295</v>
      </c>
      <c r="B2811" s="68">
        <v>2036</v>
      </c>
      <c r="C2811" s="68">
        <v>2023</v>
      </c>
      <c r="D2811" s="68" t="s">
        <v>309</v>
      </c>
      <c r="E2811" s="68" t="s">
        <v>294</v>
      </c>
      <c r="F2811" s="68" t="s">
        <v>297</v>
      </c>
      <c r="G2811" s="68"/>
      <c r="H2811" s="68"/>
      <c r="I2811" s="69">
        <v>41031.014395082617</v>
      </c>
    </row>
    <row r="2812" spans="1:9" hidden="1">
      <c r="A2812" s="64" t="s">
        <v>295</v>
      </c>
      <c r="B2812" s="65">
        <v>2036</v>
      </c>
      <c r="C2812" s="65">
        <v>2023</v>
      </c>
      <c r="D2812" s="65" t="s">
        <v>309</v>
      </c>
      <c r="E2812" s="65" t="s">
        <v>294</v>
      </c>
      <c r="F2812" s="65" t="s">
        <v>298</v>
      </c>
      <c r="G2812" s="65"/>
      <c r="H2812" s="65"/>
      <c r="I2812" s="66">
        <v>292826.32082758931</v>
      </c>
    </row>
    <row r="2813" spans="1:9" hidden="1">
      <c r="A2813" s="67" t="s">
        <v>295</v>
      </c>
      <c r="B2813" s="68">
        <v>2036</v>
      </c>
      <c r="C2813" s="68">
        <v>2023</v>
      </c>
      <c r="D2813" s="68" t="s">
        <v>309</v>
      </c>
      <c r="E2813" s="68" t="s">
        <v>294</v>
      </c>
      <c r="F2813" s="68" t="s">
        <v>40</v>
      </c>
      <c r="G2813" s="68"/>
      <c r="H2813" s="68"/>
      <c r="I2813" s="69">
        <v>333857.11536718428</v>
      </c>
    </row>
    <row r="2814" spans="1:9" hidden="1">
      <c r="A2814" s="64" t="s">
        <v>295</v>
      </c>
      <c r="B2814" s="65">
        <v>2036</v>
      </c>
      <c r="C2814" s="65">
        <v>2023</v>
      </c>
      <c r="D2814" s="65" t="s">
        <v>309</v>
      </c>
      <c r="E2814" s="65" t="s">
        <v>301</v>
      </c>
      <c r="F2814" s="65" t="s">
        <v>297</v>
      </c>
      <c r="G2814" s="65"/>
      <c r="H2814" s="65"/>
      <c r="I2814" s="66">
        <v>47555.112495513531</v>
      </c>
    </row>
    <row r="2815" spans="1:9" hidden="1">
      <c r="A2815" s="67" t="s">
        <v>295</v>
      </c>
      <c r="B2815" s="68">
        <v>2036</v>
      </c>
      <c r="C2815" s="68">
        <v>2023</v>
      </c>
      <c r="D2815" s="68" t="s">
        <v>309</v>
      </c>
      <c r="E2815" s="68" t="s">
        <v>301</v>
      </c>
      <c r="F2815" s="68" t="s">
        <v>298</v>
      </c>
      <c r="G2815" s="68"/>
      <c r="H2815" s="68"/>
      <c r="I2815" s="69">
        <v>355763.2165867032</v>
      </c>
    </row>
    <row r="2816" spans="1:9" hidden="1">
      <c r="A2816" s="64" t="s">
        <v>295</v>
      </c>
      <c r="B2816" s="65">
        <v>2036</v>
      </c>
      <c r="C2816" s="65">
        <v>2023</v>
      </c>
      <c r="D2816" s="65" t="s">
        <v>309</v>
      </c>
      <c r="E2816" s="65" t="s">
        <v>301</v>
      </c>
      <c r="F2816" s="65" t="s">
        <v>40</v>
      </c>
      <c r="G2816" s="65"/>
      <c r="H2816" s="65"/>
      <c r="I2816" s="66">
        <v>403318.16910295008</v>
      </c>
    </row>
    <row r="2817" spans="1:9" hidden="1">
      <c r="A2817" s="67" t="s">
        <v>295</v>
      </c>
      <c r="B2817" s="68">
        <v>2036</v>
      </c>
      <c r="C2817" s="68">
        <v>2023</v>
      </c>
      <c r="D2817" s="68" t="s">
        <v>309</v>
      </c>
      <c r="E2817" s="68" t="s">
        <v>305</v>
      </c>
      <c r="F2817" s="68" t="s">
        <v>297</v>
      </c>
      <c r="G2817" s="68"/>
      <c r="H2817" s="68"/>
      <c r="I2817" s="69">
        <v>72.915660000000003</v>
      </c>
    </row>
    <row r="2818" spans="1:9" hidden="1">
      <c r="A2818" s="64" t="s">
        <v>295</v>
      </c>
      <c r="B2818" s="65">
        <v>2036</v>
      </c>
      <c r="C2818" s="65">
        <v>2023</v>
      </c>
      <c r="D2818" s="65" t="s">
        <v>309</v>
      </c>
      <c r="E2818" s="65" t="s">
        <v>305</v>
      </c>
      <c r="F2818" s="65" t="s">
        <v>298</v>
      </c>
      <c r="G2818" s="65"/>
      <c r="H2818" s="65"/>
      <c r="I2818" s="66">
        <v>7117.05663</v>
      </c>
    </row>
    <row r="2819" spans="1:9" hidden="1">
      <c r="A2819" s="67" t="s">
        <v>295</v>
      </c>
      <c r="B2819" s="68">
        <v>2036</v>
      </c>
      <c r="C2819" s="68">
        <v>2023</v>
      </c>
      <c r="D2819" s="68" t="s">
        <v>309</v>
      </c>
      <c r="E2819" s="68" t="s">
        <v>305</v>
      </c>
      <c r="F2819" s="68" t="s">
        <v>40</v>
      </c>
      <c r="G2819" s="68"/>
      <c r="H2819" s="68"/>
      <c r="I2819" s="69">
        <v>48163.472289999998</v>
      </c>
    </row>
    <row r="2820" spans="1:9" hidden="1">
      <c r="A2820" s="64" t="s">
        <v>295</v>
      </c>
      <c r="B2820" s="65">
        <v>2036</v>
      </c>
      <c r="C2820" s="65">
        <v>2023</v>
      </c>
      <c r="D2820" s="65" t="s">
        <v>315</v>
      </c>
      <c r="E2820" s="65" t="s">
        <v>294</v>
      </c>
      <c r="F2820" s="65" t="s">
        <v>297</v>
      </c>
      <c r="G2820" s="65"/>
      <c r="H2820" s="65"/>
      <c r="I2820" s="66">
        <v>96867.680224078009</v>
      </c>
    </row>
    <row r="2821" spans="1:9" hidden="1">
      <c r="A2821" s="67" t="s">
        <v>295</v>
      </c>
      <c r="B2821" s="68">
        <v>2036</v>
      </c>
      <c r="C2821" s="68">
        <v>2023</v>
      </c>
      <c r="D2821" s="68" t="s">
        <v>315</v>
      </c>
      <c r="E2821" s="68" t="s">
        <v>294</v>
      </c>
      <c r="F2821" s="68" t="s">
        <v>298</v>
      </c>
      <c r="G2821" s="68"/>
      <c r="H2821" s="68"/>
      <c r="I2821" s="69">
        <v>189044.16949110539</v>
      </c>
    </row>
    <row r="2822" spans="1:9" hidden="1">
      <c r="A2822" s="64" t="s">
        <v>295</v>
      </c>
      <c r="B2822" s="65">
        <v>2036</v>
      </c>
      <c r="C2822" s="65">
        <v>2023</v>
      </c>
      <c r="D2822" s="65" t="s">
        <v>315</v>
      </c>
      <c r="E2822" s="65" t="s">
        <v>294</v>
      </c>
      <c r="F2822" s="65" t="s">
        <v>40</v>
      </c>
      <c r="G2822" s="65"/>
      <c r="H2822" s="65"/>
      <c r="I2822" s="66">
        <v>285912.18965523638</v>
      </c>
    </row>
    <row r="2823" spans="1:9" hidden="1">
      <c r="A2823" s="67" t="s">
        <v>295</v>
      </c>
      <c r="B2823" s="68">
        <v>2036</v>
      </c>
      <c r="C2823" s="68">
        <v>2023</v>
      </c>
      <c r="D2823" s="68" t="s">
        <v>315</v>
      </c>
      <c r="E2823" s="68" t="s">
        <v>301</v>
      </c>
      <c r="F2823" s="68" t="s">
        <v>297</v>
      </c>
      <c r="G2823" s="68"/>
      <c r="H2823" s="68"/>
      <c r="I2823" s="69">
        <v>102612.5092823642</v>
      </c>
    </row>
    <row r="2824" spans="1:9" hidden="1">
      <c r="A2824" s="64" t="s">
        <v>295</v>
      </c>
      <c r="B2824" s="65">
        <v>2036</v>
      </c>
      <c r="C2824" s="65">
        <v>2023</v>
      </c>
      <c r="D2824" s="65" t="s">
        <v>315</v>
      </c>
      <c r="E2824" s="65" t="s">
        <v>301</v>
      </c>
      <c r="F2824" s="65" t="s">
        <v>298</v>
      </c>
      <c r="G2824" s="65"/>
      <c r="H2824" s="65"/>
      <c r="I2824" s="66">
        <v>214435.15365668951</v>
      </c>
    </row>
    <row r="2825" spans="1:9" hidden="1">
      <c r="A2825" s="67" t="s">
        <v>295</v>
      </c>
      <c r="B2825" s="68">
        <v>2036</v>
      </c>
      <c r="C2825" s="68">
        <v>2023</v>
      </c>
      <c r="D2825" s="68" t="s">
        <v>315</v>
      </c>
      <c r="E2825" s="68" t="s">
        <v>301</v>
      </c>
      <c r="F2825" s="68" t="s">
        <v>40</v>
      </c>
      <c r="G2825" s="68"/>
      <c r="H2825" s="68"/>
      <c r="I2825" s="69">
        <v>317047.80289890128</v>
      </c>
    </row>
    <row r="2826" spans="1:9" hidden="1">
      <c r="A2826" s="64" t="s">
        <v>295</v>
      </c>
      <c r="B2826" s="65">
        <v>2036</v>
      </c>
      <c r="C2826" s="65">
        <v>2023</v>
      </c>
      <c r="D2826" s="65" t="s">
        <v>315</v>
      </c>
      <c r="E2826" s="65" t="s">
        <v>305</v>
      </c>
      <c r="F2826" s="65" t="s">
        <v>297</v>
      </c>
      <c r="G2826" s="65"/>
      <c r="H2826" s="65"/>
      <c r="I2826" s="66">
        <v>1069.3287</v>
      </c>
    </row>
    <row r="2827" spans="1:9" hidden="1">
      <c r="A2827" s="67" t="s">
        <v>295</v>
      </c>
      <c r="B2827" s="68">
        <v>2036</v>
      </c>
      <c r="C2827" s="68">
        <v>2023</v>
      </c>
      <c r="D2827" s="68" t="s">
        <v>315</v>
      </c>
      <c r="E2827" s="68" t="s">
        <v>305</v>
      </c>
      <c r="F2827" s="68" t="s">
        <v>298</v>
      </c>
      <c r="G2827" s="68"/>
      <c r="H2827" s="68"/>
      <c r="I2827" s="69">
        <v>1427.4</v>
      </c>
    </row>
    <row r="2828" spans="1:9" hidden="1">
      <c r="A2828" s="64" t="s">
        <v>295</v>
      </c>
      <c r="B2828" s="65">
        <v>2036</v>
      </c>
      <c r="C2828" s="65">
        <v>2023</v>
      </c>
      <c r="D2828" s="65" t="s">
        <v>315</v>
      </c>
      <c r="E2828" s="65" t="s">
        <v>305</v>
      </c>
      <c r="F2828" s="65" t="s">
        <v>40</v>
      </c>
      <c r="G2828" s="65"/>
      <c r="H2828" s="65"/>
      <c r="I2828" s="66">
        <v>20824.828699999998</v>
      </c>
    </row>
    <row r="2829" spans="1:9" hidden="1">
      <c r="A2829" s="67" t="s">
        <v>295</v>
      </c>
      <c r="B2829" s="68">
        <v>2036</v>
      </c>
      <c r="C2829" s="68">
        <v>2023</v>
      </c>
      <c r="D2829" s="68" t="s">
        <v>316</v>
      </c>
      <c r="E2829" s="68" t="s">
        <v>294</v>
      </c>
      <c r="F2829" s="68" t="s">
        <v>297</v>
      </c>
      <c r="G2829" s="68"/>
      <c r="H2829" s="68"/>
      <c r="I2829" s="69">
        <v>507138.36317377572</v>
      </c>
    </row>
    <row r="2830" spans="1:9" hidden="1">
      <c r="A2830" s="64" t="s">
        <v>295</v>
      </c>
      <c r="B2830" s="65">
        <v>2036</v>
      </c>
      <c r="C2830" s="65">
        <v>2023</v>
      </c>
      <c r="D2830" s="65" t="s">
        <v>316</v>
      </c>
      <c r="E2830" s="65" t="s">
        <v>294</v>
      </c>
      <c r="F2830" s="65" t="s">
        <v>298</v>
      </c>
      <c r="G2830" s="65"/>
      <c r="H2830" s="65"/>
      <c r="I2830" s="66">
        <v>3361.8403211922209</v>
      </c>
    </row>
    <row r="2831" spans="1:9" hidden="1">
      <c r="A2831" s="67" t="s">
        <v>295</v>
      </c>
      <c r="B2831" s="68">
        <v>2036</v>
      </c>
      <c r="C2831" s="68">
        <v>2023</v>
      </c>
      <c r="D2831" s="68" t="s">
        <v>316</v>
      </c>
      <c r="E2831" s="68" t="s">
        <v>294</v>
      </c>
      <c r="F2831" s="68" t="s">
        <v>40</v>
      </c>
      <c r="G2831" s="68"/>
      <c r="H2831" s="68"/>
      <c r="I2831" s="69">
        <v>527221.55466159142</v>
      </c>
    </row>
    <row r="2832" spans="1:9" hidden="1">
      <c r="A2832" s="64" t="s">
        <v>295</v>
      </c>
      <c r="B2832" s="65">
        <v>2036</v>
      </c>
      <c r="C2832" s="65">
        <v>2023</v>
      </c>
      <c r="D2832" s="65" t="s">
        <v>316</v>
      </c>
      <c r="E2832" s="65" t="s">
        <v>301</v>
      </c>
      <c r="F2832" s="65" t="s">
        <v>297</v>
      </c>
      <c r="G2832" s="65"/>
      <c r="H2832" s="65"/>
      <c r="I2832" s="66">
        <v>590180.85296552221</v>
      </c>
    </row>
    <row r="2833" spans="1:9" hidden="1">
      <c r="A2833" s="67" t="s">
        <v>295</v>
      </c>
      <c r="B2833" s="68">
        <v>2036</v>
      </c>
      <c r="C2833" s="68">
        <v>2023</v>
      </c>
      <c r="D2833" s="68" t="s">
        <v>316</v>
      </c>
      <c r="E2833" s="68" t="s">
        <v>301</v>
      </c>
      <c r="F2833" s="68" t="s">
        <v>298</v>
      </c>
      <c r="G2833" s="68"/>
      <c r="H2833" s="68"/>
      <c r="I2833" s="69">
        <v>3586.0406936845411</v>
      </c>
    </row>
    <row r="2834" spans="1:9" hidden="1">
      <c r="A2834" s="64" t="s">
        <v>295</v>
      </c>
      <c r="B2834" s="65">
        <v>2036</v>
      </c>
      <c r="C2834" s="65">
        <v>2023</v>
      </c>
      <c r="D2834" s="65" t="s">
        <v>316</v>
      </c>
      <c r="E2834" s="65" t="s">
        <v>301</v>
      </c>
      <c r="F2834" s="65" t="s">
        <v>40</v>
      </c>
      <c r="G2834" s="65"/>
      <c r="H2834" s="65"/>
      <c r="I2834" s="66">
        <v>611933.28745338286</v>
      </c>
    </row>
    <row r="2835" spans="1:9" hidden="1">
      <c r="A2835" s="67" t="s">
        <v>295</v>
      </c>
      <c r="B2835" s="68">
        <v>2036</v>
      </c>
      <c r="C2835" s="68">
        <v>2023</v>
      </c>
      <c r="D2835" s="68" t="s">
        <v>316</v>
      </c>
      <c r="E2835" s="68" t="s">
        <v>305</v>
      </c>
      <c r="F2835" s="68" t="s">
        <v>297</v>
      </c>
      <c r="G2835" s="68"/>
      <c r="H2835" s="68"/>
      <c r="I2835" s="69">
        <v>8673.2985100000005</v>
      </c>
    </row>
    <row r="2836" spans="1:9" hidden="1">
      <c r="A2836" s="64" t="s">
        <v>295</v>
      </c>
      <c r="B2836" s="65">
        <v>2036</v>
      </c>
      <c r="C2836" s="65">
        <v>2023</v>
      </c>
      <c r="D2836" s="65" t="s">
        <v>316</v>
      </c>
      <c r="E2836" s="65" t="s">
        <v>305</v>
      </c>
      <c r="F2836" s="65" t="s">
        <v>298</v>
      </c>
      <c r="G2836" s="65"/>
      <c r="H2836" s="65"/>
      <c r="I2836" s="66">
        <v>0</v>
      </c>
    </row>
    <row r="2837" spans="1:9" hidden="1">
      <c r="A2837" s="67" t="s">
        <v>295</v>
      </c>
      <c r="B2837" s="68">
        <v>2036</v>
      </c>
      <c r="C2837" s="68">
        <v>2023</v>
      </c>
      <c r="D2837" s="68" t="s">
        <v>316</v>
      </c>
      <c r="E2837" s="68" t="s">
        <v>305</v>
      </c>
      <c r="F2837" s="68" t="s">
        <v>40</v>
      </c>
      <c r="G2837" s="68"/>
      <c r="H2837" s="68"/>
      <c r="I2837" s="69">
        <v>40689.393900000003</v>
      </c>
    </row>
    <row r="2838" spans="1:9" hidden="1">
      <c r="A2838" s="64" t="s">
        <v>295</v>
      </c>
      <c r="B2838" s="65">
        <v>2036</v>
      </c>
      <c r="C2838" s="65">
        <v>2023</v>
      </c>
      <c r="D2838" s="65" t="s">
        <v>317</v>
      </c>
      <c r="E2838" s="65" t="s">
        <v>294</v>
      </c>
      <c r="F2838" s="65" t="s">
        <v>297</v>
      </c>
      <c r="G2838" s="65"/>
      <c r="H2838" s="65"/>
      <c r="I2838" s="66">
        <v>146.0045570029437</v>
      </c>
    </row>
    <row r="2839" spans="1:9" hidden="1">
      <c r="A2839" s="67" t="s">
        <v>295</v>
      </c>
      <c r="B2839" s="68">
        <v>2036</v>
      </c>
      <c r="C2839" s="68">
        <v>2023</v>
      </c>
      <c r="D2839" s="68" t="s">
        <v>317</v>
      </c>
      <c r="E2839" s="68" t="s">
        <v>294</v>
      </c>
      <c r="F2839" s="68" t="s">
        <v>298</v>
      </c>
      <c r="G2839" s="68"/>
      <c r="H2839" s="68"/>
      <c r="I2839" s="69">
        <v>0</v>
      </c>
    </row>
    <row r="2840" spans="1:9" hidden="1">
      <c r="A2840" s="64" t="s">
        <v>295</v>
      </c>
      <c r="B2840" s="65">
        <v>2036</v>
      </c>
      <c r="C2840" s="65">
        <v>2023</v>
      </c>
      <c r="D2840" s="65" t="s">
        <v>317</v>
      </c>
      <c r="E2840" s="65" t="s">
        <v>294</v>
      </c>
      <c r="F2840" s="65" t="s">
        <v>40</v>
      </c>
      <c r="G2840" s="65"/>
      <c r="H2840" s="65"/>
      <c r="I2840" s="66">
        <v>16844.83328272256</v>
      </c>
    </row>
    <row r="2841" spans="1:9" hidden="1">
      <c r="A2841" s="67" t="s">
        <v>295</v>
      </c>
      <c r="B2841" s="68">
        <v>2036</v>
      </c>
      <c r="C2841" s="68">
        <v>2023</v>
      </c>
      <c r="D2841" s="68" t="s">
        <v>317</v>
      </c>
      <c r="E2841" s="68" t="s">
        <v>301</v>
      </c>
      <c r="F2841" s="68" t="s">
        <v>297</v>
      </c>
      <c r="G2841" s="68"/>
      <c r="H2841" s="68"/>
      <c r="I2841" s="69">
        <v>156.41550269402791</v>
      </c>
    </row>
    <row r="2842" spans="1:9" hidden="1">
      <c r="A2842" s="64" t="s">
        <v>295</v>
      </c>
      <c r="B2842" s="65">
        <v>2036</v>
      </c>
      <c r="C2842" s="65">
        <v>2023</v>
      </c>
      <c r="D2842" s="65" t="s">
        <v>317</v>
      </c>
      <c r="E2842" s="65" t="s">
        <v>301</v>
      </c>
      <c r="F2842" s="65" t="s">
        <v>298</v>
      </c>
      <c r="G2842" s="65"/>
      <c r="H2842" s="65"/>
      <c r="I2842" s="66">
        <v>0</v>
      </c>
    </row>
    <row r="2843" spans="1:9" hidden="1">
      <c r="A2843" s="67" t="s">
        <v>295</v>
      </c>
      <c r="B2843" s="68">
        <v>2036</v>
      </c>
      <c r="C2843" s="68">
        <v>2023</v>
      </c>
      <c r="D2843" s="68" t="s">
        <v>317</v>
      </c>
      <c r="E2843" s="68" t="s">
        <v>301</v>
      </c>
      <c r="F2843" s="68" t="s">
        <v>40</v>
      </c>
      <c r="G2843" s="68"/>
      <c r="H2843" s="68"/>
      <c r="I2843" s="69">
        <v>18318.610343274901</v>
      </c>
    </row>
    <row r="2844" spans="1:9" hidden="1">
      <c r="A2844" s="64" t="s">
        <v>295</v>
      </c>
      <c r="B2844" s="65">
        <v>2036</v>
      </c>
      <c r="C2844" s="65">
        <v>2023</v>
      </c>
      <c r="D2844" s="65" t="s">
        <v>317</v>
      </c>
      <c r="E2844" s="65" t="s">
        <v>305</v>
      </c>
      <c r="F2844" s="65" t="s">
        <v>297</v>
      </c>
      <c r="G2844" s="65"/>
      <c r="H2844" s="65"/>
      <c r="I2844" s="66">
        <v>1.295E-2</v>
      </c>
    </row>
    <row r="2845" spans="1:9" hidden="1">
      <c r="A2845" s="67" t="s">
        <v>295</v>
      </c>
      <c r="B2845" s="68">
        <v>2036</v>
      </c>
      <c r="C2845" s="68">
        <v>2023</v>
      </c>
      <c r="D2845" s="68" t="s">
        <v>317</v>
      </c>
      <c r="E2845" s="68" t="s">
        <v>305</v>
      </c>
      <c r="F2845" s="68" t="s">
        <v>40</v>
      </c>
      <c r="G2845" s="68"/>
      <c r="H2845" s="68"/>
      <c r="I2845" s="69">
        <v>478.80833999999999</v>
      </c>
    </row>
    <row r="2846" spans="1:9" hidden="1">
      <c r="A2846" s="64" t="s">
        <v>295</v>
      </c>
      <c r="B2846" s="65">
        <v>2036</v>
      </c>
      <c r="C2846" s="65">
        <v>2023</v>
      </c>
      <c r="D2846" s="65" t="s">
        <v>318</v>
      </c>
      <c r="E2846" s="65" t="s">
        <v>294</v>
      </c>
      <c r="F2846" s="65" t="s">
        <v>297</v>
      </c>
      <c r="G2846" s="65"/>
      <c r="H2846" s="65"/>
      <c r="I2846" s="66">
        <v>485192.39587223099</v>
      </c>
    </row>
    <row r="2847" spans="1:9" hidden="1">
      <c r="A2847" s="67" t="s">
        <v>295</v>
      </c>
      <c r="B2847" s="68">
        <v>2036</v>
      </c>
      <c r="C2847" s="68">
        <v>2023</v>
      </c>
      <c r="D2847" s="68" t="s">
        <v>318</v>
      </c>
      <c r="E2847" s="68" t="s">
        <v>294</v>
      </c>
      <c r="F2847" s="68" t="s">
        <v>298</v>
      </c>
      <c r="G2847" s="68"/>
      <c r="H2847" s="68"/>
      <c r="I2847" s="69">
        <v>0</v>
      </c>
    </row>
    <row r="2848" spans="1:9" hidden="1">
      <c r="A2848" s="64" t="s">
        <v>295</v>
      </c>
      <c r="B2848" s="65">
        <v>2036</v>
      </c>
      <c r="C2848" s="65">
        <v>2023</v>
      </c>
      <c r="D2848" s="65" t="s">
        <v>318</v>
      </c>
      <c r="E2848" s="65" t="s">
        <v>294</v>
      </c>
      <c r="F2848" s="65" t="s">
        <v>40</v>
      </c>
      <c r="G2848" s="65"/>
      <c r="H2848" s="65"/>
      <c r="I2848" s="66">
        <v>485192.39587223099</v>
      </c>
    </row>
    <row r="2849" spans="1:9" hidden="1">
      <c r="A2849" s="67" t="s">
        <v>295</v>
      </c>
      <c r="B2849" s="68">
        <v>2036</v>
      </c>
      <c r="C2849" s="68">
        <v>2023</v>
      </c>
      <c r="D2849" s="68" t="s">
        <v>318</v>
      </c>
      <c r="E2849" s="68" t="s">
        <v>301</v>
      </c>
      <c r="F2849" s="68" t="s">
        <v>297</v>
      </c>
      <c r="G2849" s="68"/>
      <c r="H2849" s="68"/>
      <c r="I2849" s="69">
        <v>566919.09150439664</v>
      </c>
    </row>
    <row r="2850" spans="1:9" hidden="1">
      <c r="A2850" s="64" t="s">
        <v>295</v>
      </c>
      <c r="B2850" s="65">
        <v>2036</v>
      </c>
      <c r="C2850" s="65">
        <v>2023</v>
      </c>
      <c r="D2850" s="65" t="s">
        <v>318</v>
      </c>
      <c r="E2850" s="65" t="s">
        <v>301</v>
      </c>
      <c r="F2850" s="65" t="s">
        <v>298</v>
      </c>
      <c r="G2850" s="65"/>
      <c r="H2850" s="65"/>
      <c r="I2850" s="66">
        <v>0</v>
      </c>
    </row>
    <row r="2851" spans="1:9" hidden="1">
      <c r="A2851" s="67" t="s">
        <v>295</v>
      </c>
      <c r="B2851" s="68">
        <v>2036</v>
      </c>
      <c r="C2851" s="68">
        <v>2023</v>
      </c>
      <c r="D2851" s="68" t="s">
        <v>318</v>
      </c>
      <c r="E2851" s="68" t="s">
        <v>301</v>
      </c>
      <c r="F2851" s="68" t="s">
        <v>40</v>
      </c>
      <c r="G2851" s="68"/>
      <c r="H2851" s="68"/>
      <c r="I2851" s="69">
        <v>566919.09150439664</v>
      </c>
    </row>
    <row r="2852" spans="1:9" hidden="1">
      <c r="A2852" s="64" t="s">
        <v>295</v>
      </c>
      <c r="B2852" s="65">
        <v>2036</v>
      </c>
      <c r="C2852" s="65">
        <v>2023</v>
      </c>
      <c r="D2852" s="65" t="s">
        <v>318</v>
      </c>
      <c r="E2852" s="65" t="s">
        <v>305</v>
      </c>
      <c r="F2852" s="65" t="s">
        <v>297</v>
      </c>
      <c r="G2852" s="65"/>
      <c r="H2852" s="65"/>
      <c r="I2852" s="66">
        <v>8577.4487000000008</v>
      </c>
    </row>
    <row r="2853" spans="1:9" hidden="1">
      <c r="A2853" s="67" t="s">
        <v>295</v>
      </c>
      <c r="B2853" s="68">
        <v>2036</v>
      </c>
      <c r="C2853" s="68">
        <v>2023</v>
      </c>
      <c r="D2853" s="68" t="s">
        <v>318</v>
      </c>
      <c r="E2853" s="68" t="s">
        <v>305</v>
      </c>
      <c r="F2853" s="68" t="s">
        <v>40</v>
      </c>
      <c r="G2853" s="68"/>
      <c r="H2853" s="68"/>
      <c r="I2853" s="69">
        <v>38346.248699999996</v>
      </c>
    </row>
    <row r="2854" spans="1:9" hidden="1">
      <c r="A2854" s="64" t="s">
        <v>295</v>
      </c>
      <c r="B2854" s="65">
        <v>2036</v>
      </c>
      <c r="C2854" s="65">
        <v>2023</v>
      </c>
      <c r="D2854" s="65" t="s">
        <v>320</v>
      </c>
      <c r="E2854" s="65" t="s">
        <v>294</v>
      </c>
      <c r="F2854" s="65" t="s">
        <v>297</v>
      </c>
      <c r="G2854" s="65"/>
      <c r="H2854" s="65"/>
      <c r="I2854" s="66">
        <v>3413.631974970046</v>
      </c>
    </row>
    <row r="2855" spans="1:9" hidden="1">
      <c r="A2855" s="67" t="s">
        <v>295</v>
      </c>
      <c r="B2855" s="68">
        <v>2036</v>
      </c>
      <c r="C2855" s="68">
        <v>2023</v>
      </c>
      <c r="D2855" s="68" t="s">
        <v>320</v>
      </c>
      <c r="E2855" s="68" t="s">
        <v>294</v>
      </c>
      <c r="F2855" s="68" t="s">
        <v>298</v>
      </c>
      <c r="G2855" s="68"/>
      <c r="H2855" s="68"/>
      <c r="I2855" s="69">
        <v>0</v>
      </c>
    </row>
    <row r="2856" spans="1:9" hidden="1">
      <c r="A2856" s="64" t="s">
        <v>295</v>
      </c>
      <c r="B2856" s="65">
        <v>2036</v>
      </c>
      <c r="C2856" s="65">
        <v>2023</v>
      </c>
      <c r="D2856" s="65" t="s">
        <v>320</v>
      </c>
      <c r="E2856" s="65" t="s">
        <v>294</v>
      </c>
      <c r="F2856" s="65" t="s">
        <v>40</v>
      </c>
      <c r="G2856" s="65"/>
      <c r="H2856" s="65"/>
      <c r="I2856" s="66">
        <v>3413.631974970046</v>
      </c>
    </row>
    <row r="2857" spans="1:9" hidden="1">
      <c r="A2857" s="67" t="s">
        <v>295</v>
      </c>
      <c r="B2857" s="68">
        <v>2036</v>
      </c>
      <c r="C2857" s="68">
        <v>2023</v>
      </c>
      <c r="D2857" s="68" t="s">
        <v>320</v>
      </c>
      <c r="E2857" s="68" t="s">
        <v>301</v>
      </c>
      <c r="F2857" s="68" t="s">
        <v>297</v>
      </c>
      <c r="G2857" s="68"/>
      <c r="H2857" s="68"/>
      <c r="I2857" s="69">
        <v>4192.5774393089332</v>
      </c>
    </row>
    <row r="2858" spans="1:9" hidden="1">
      <c r="A2858" s="64" t="s">
        <v>295</v>
      </c>
      <c r="B2858" s="65">
        <v>2036</v>
      </c>
      <c r="C2858" s="65">
        <v>2023</v>
      </c>
      <c r="D2858" s="65" t="s">
        <v>320</v>
      </c>
      <c r="E2858" s="65" t="s">
        <v>301</v>
      </c>
      <c r="F2858" s="65" t="s">
        <v>298</v>
      </c>
      <c r="G2858" s="65"/>
      <c r="H2858" s="65"/>
      <c r="I2858" s="66">
        <v>0</v>
      </c>
    </row>
    <row r="2859" spans="1:9" hidden="1">
      <c r="A2859" s="67" t="s">
        <v>295</v>
      </c>
      <c r="B2859" s="68">
        <v>2036</v>
      </c>
      <c r="C2859" s="68">
        <v>2023</v>
      </c>
      <c r="D2859" s="68" t="s">
        <v>320</v>
      </c>
      <c r="E2859" s="68" t="s">
        <v>301</v>
      </c>
      <c r="F2859" s="68" t="s">
        <v>40</v>
      </c>
      <c r="G2859" s="68"/>
      <c r="H2859" s="68"/>
      <c r="I2859" s="69">
        <v>4192.5774393089332</v>
      </c>
    </row>
    <row r="2860" spans="1:9" hidden="1">
      <c r="A2860" s="64" t="s">
        <v>295</v>
      </c>
      <c r="B2860" s="65">
        <v>2036</v>
      </c>
      <c r="C2860" s="65">
        <v>2023</v>
      </c>
      <c r="D2860" s="65" t="s">
        <v>320</v>
      </c>
      <c r="E2860" s="65" t="s">
        <v>305</v>
      </c>
      <c r="F2860" s="65" t="s">
        <v>297</v>
      </c>
      <c r="G2860" s="65"/>
      <c r="H2860" s="65"/>
      <c r="I2860" s="66">
        <v>38</v>
      </c>
    </row>
    <row r="2861" spans="1:9" hidden="1">
      <c r="A2861" s="67" t="s">
        <v>295</v>
      </c>
      <c r="B2861" s="68">
        <v>2036</v>
      </c>
      <c r="C2861" s="68">
        <v>2023</v>
      </c>
      <c r="D2861" s="68" t="s">
        <v>320</v>
      </c>
      <c r="E2861" s="68" t="s">
        <v>305</v>
      </c>
      <c r="F2861" s="68" t="s">
        <v>40</v>
      </c>
      <c r="G2861" s="68"/>
      <c r="H2861" s="68"/>
      <c r="I2861" s="69">
        <v>1196.2</v>
      </c>
    </row>
    <row r="2862" spans="1:9" hidden="1">
      <c r="A2862" s="64" t="s">
        <v>295</v>
      </c>
      <c r="B2862" s="65">
        <v>2036</v>
      </c>
      <c r="C2862" s="65">
        <v>2023</v>
      </c>
      <c r="D2862" s="65" t="s">
        <v>321</v>
      </c>
      <c r="E2862" s="65" t="s">
        <v>294</v>
      </c>
      <c r="F2862" s="65" t="s">
        <v>297</v>
      </c>
      <c r="G2862" s="65"/>
      <c r="H2862" s="65"/>
      <c r="I2862" s="66">
        <v>17171.368816983741</v>
      </c>
    </row>
    <row r="2863" spans="1:9" hidden="1">
      <c r="A2863" s="67" t="s">
        <v>295</v>
      </c>
      <c r="B2863" s="68">
        <v>2036</v>
      </c>
      <c r="C2863" s="68">
        <v>2023</v>
      </c>
      <c r="D2863" s="68" t="s">
        <v>321</v>
      </c>
      <c r="E2863" s="68" t="s">
        <v>294</v>
      </c>
      <c r="F2863" s="68" t="s">
        <v>298</v>
      </c>
      <c r="G2863" s="68"/>
      <c r="H2863" s="68"/>
      <c r="I2863" s="69">
        <v>0</v>
      </c>
    </row>
    <row r="2864" spans="1:9" hidden="1">
      <c r="A2864" s="64" t="s">
        <v>295</v>
      </c>
      <c r="B2864" s="65">
        <v>2036</v>
      </c>
      <c r="C2864" s="65">
        <v>2023</v>
      </c>
      <c r="D2864" s="65" t="s">
        <v>321</v>
      </c>
      <c r="E2864" s="65" t="s">
        <v>294</v>
      </c>
      <c r="F2864" s="65" t="s">
        <v>40</v>
      </c>
      <c r="G2864" s="65"/>
      <c r="H2864" s="65"/>
      <c r="I2864" s="66">
        <v>17171.368656983741</v>
      </c>
    </row>
    <row r="2865" spans="1:9" hidden="1">
      <c r="A2865" s="67" t="s">
        <v>295</v>
      </c>
      <c r="B2865" s="68">
        <v>2036</v>
      </c>
      <c r="C2865" s="68">
        <v>2023</v>
      </c>
      <c r="D2865" s="68" t="s">
        <v>321</v>
      </c>
      <c r="E2865" s="68" t="s">
        <v>301</v>
      </c>
      <c r="F2865" s="68" t="s">
        <v>297</v>
      </c>
      <c r="G2865" s="68"/>
      <c r="H2865" s="68"/>
      <c r="I2865" s="69">
        <v>17461.35394919906</v>
      </c>
    </row>
    <row r="2866" spans="1:9" hidden="1">
      <c r="A2866" s="64" t="s">
        <v>295</v>
      </c>
      <c r="B2866" s="65">
        <v>2036</v>
      </c>
      <c r="C2866" s="65">
        <v>2023</v>
      </c>
      <c r="D2866" s="65" t="s">
        <v>321</v>
      </c>
      <c r="E2866" s="65" t="s">
        <v>301</v>
      </c>
      <c r="F2866" s="65" t="s">
        <v>298</v>
      </c>
      <c r="G2866" s="65"/>
      <c r="H2866" s="65"/>
      <c r="I2866" s="66">
        <v>0</v>
      </c>
    </row>
    <row r="2867" spans="1:9" hidden="1">
      <c r="A2867" s="67" t="s">
        <v>295</v>
      </c>
      <c r="B2867" s="68">
        <v>2036</v>
      </c>
      <c r="C2867" s="68">
        <v>2023</v>
      </c>
      <c r="D2867" s="68" t="s">
        <v>321</v>
      </c>
      <c r="E2867" s="68" t="s">
        <v>301</v>
      </c>
      <c r="F2867" s="68" t="s">
        <v>40</v>
      </c>
      <c r="G2867" s="68"/>
      <c r="H2867" s="68"/>
      <c r="I2867" s="69">
        <v>17461.35378919906</v>
      </c>
    </row>
    <row r="2868" spans="1:9" hidden="1">
      <c r="A2868" s="64" t="s">
        <v>295</v>
      </c>
      <c r="B2868" s="65">
        <v>2036</v>
      </c>
      <c r="C2868" s="65">
        <v>2023</v>
      </c>
      <c r="D2868" s="65" t="s">
        <v>321</v>
      </c>
      <c r="E2868" s="65" t="s">
        <v>305</v>
      </c>
      <c r="F2868" s="65" t="s">
        <v>297</v>
      </c>
      <c r="G2868" s="65"/>
      <c r="H2868" s="65"/>
      <c r="I2868" s="66">
        <v>50.536859999999997</v>
      </c>
    </row>
    <row r="2869" spans="1:9" hidden="1">
      <c r="A2869" s="67" t="s">
        <v>295</v>
      </c>
      <c r="B2869" s="68">
        <v>2036</v>
      </c>
      <c r="C2869" s="68">
        <v>2023</v>
      </c>
      <c r="D2869" s="68" t="s">
        <v>321</v>
      </c>
      <c r="E2869" s="68" t="s">
        <v>305</v>
      </c>
      <c r="F2869" s="68" t="s">
        <v>40</v>
      </c>
      <c r="G2869" s="68"/>
      <c r="H2869" s="68"/>
      <c r="I2869" s="69">
        <v>375.03685999999999</v>
      </c>
    </row>
    <row r="2870" spans="1:9" hidden="1">
      <c r="A2870" s="64" t="s">
        <v>295</v>
      </c>
      <c r="B2870" s="65">
        <v>2036</v>
      </c>
      <c r="C2870" s="65">
        <v>2023</v>
      </c>
      <c r="D2870" s="65" t="s">
        <v>322</v>
      </c>
      <c r="E2870" s="65" t="s">
        <v>294</v>
      </c>
      <c r="F2870" s="65" t="s">
        <v>297</v>
      </c>
      <c r="G2870" s="65"/>
      <c r="H2870" s="65"/>
      <c r="I2870" s="66">
        <v>1233.658922587982</v>
      </c>
    </row>
    <row r="2871" spans="1:9" hidden="1">
      <c r="A2871" s="67" t="s">
        <v>295</v>
      </c>
      <c r="B2871" s="68">
        <v>2036</v>
      </c>
      <c r="C2871" s="68">
        <v>2023</v>
      </c>
      <c r="D2871" s="68" t="s">
        <v>322</v>
      </c>
      <c r="E2871" s="68" t="s">
        <v>294</v>
      </c>
      <c r="F2871" s="68" t="s">
        <v>298</v>
      </c>
      <c r="G2871" s="68"/>
      <c r="H2871" s="68"/>
      <c r="I2871" s="69">
        <v>3384.2872320960719</v>
      </c>
    </row>
    <row r="2872" spans="1:9" hidden="1">
      <c r="A2872" s="64" t="s">
        <v>295</v>
      </c>
      <c r="B2872" s="65">
        <v>2036</v>
      </c>
      <c r="C2872" s="65">
        <v>2023</v>
      </c>
      <c r="D2872" s="65" t="s">
        <v>322</v>
      </c>
      <c r="E2872" s="65" t="s">
        <v>294</v>
      </c>
      <c r="F2872" s="65" t="s">
        <v>40</v>
      </c>
      <c r="G2872" s="65"/>
      <c r="H2872" s="65"/>
      <c r="I2872" s="66">
        <v>4617.9461546840539</v>
      </c>
    </row>
    <row r="2873" spans="1:9" hidden="1">
      <c r="A2873" s="67" t="s">
        <v>295</v>
      </c>
      <c r="B2873" s="68">
        <v>2036</v>
      </c>
      <c r="C2873" s="68">
        <v>2023</v>
      </c>
      <c r="D2873" s="68" t="s">
        <v>322</v>
      </c>
      <c r="E2873" s="68" t="s">
        <v>301</v>
      </c>
      <c r="F2873" s="68" t="s">
        <v>297</v>
      </c>
      <c r="G2873" s="68"/>
      <c r="H2873" s="68"/>
      <c r="I2873" s="69">
        <v>1469.8501679235319</v>
      </c>
    </row>
    <row r="2874" spans="1:9" hidden="1">
      <c r="A2874" s="64" t="s">
        <v>295</v>
      </c>
      <c r="B2874" s="65">
        <v>2036</v>
      </c>
      <c r="C2874" s="65">
        <v>2023</v>
      </c>
      <c r="D2874" s="65" t="s">
        <v>322</v>
      </c>
      <c r="E2874" s="65" t="s">
        <v>301</v>
      </c>
      <c r="F2874" s="65" t="s">
        <v>298</v>
      </c>
      <c r="G2874" s="65"/>
      <c r="H2874" s="65"/>
      <c r="I2874" s="66">
        <v>3589.9654992797459</v>
      </c>
    </row>
    <row r="2875" spans="1:9" hidden="1">
      <c r="A2875" s="67" t="s">
        <v>295</v>
      </c>
      <c r="B2875" s="68">
        <v>2036</v>
      </c>
      <c r="C2875" s="68">
        <v>2023</v>
      </c>
      <c r="D2875" s="68" t="s">
        <v>322</v>
      </c>
      <c r="E2875" s="68" t="s">
        <v>301</v>
      </c>
      <c r="F2875" s="68" t="s">
        <v>40</v>
      </c>
      <c r="G2875" s="68"/>
      <c r="H2875" s="68"/>
      <c r="I2875" s="69">
        <v>5059.8156572032776</v>
      </c>
    </row>
    <row r="2876" spans="1:9" hidden="1">
      <c r="A2876" s="64" t="s">
        <v>295</v>
      </c>
      <c r="B2876" s="65">
        <v>2036</v>
      </c>
      <c r="C2876" s="65">
        <v>2023</v>
      </c>
      <c r="D2876" s="65" t="s">
        <v>322</v>
      </c>
      <c r="E2876" s="65" t="s">
        <v>305</v>
      </c>
      <c r="F2876" s="65" t="s">
        <v>297</v>
      </c>
      <c r="G2876" s="65"/>
      <c r="H2876" s="65"/>
      <c r="I2876" s="66">
        <v>7.2</v>
      </c>
    </row>
    <row r="2877" spans="1:9" hidden="1">
      <c r="A2877" s="67" t="s">
        <v>295</v>
      </c>
      <c r="B2877" s="68">
        <v>2036</v>
      </c>
      <c r="C2877" s="68">
        <v>2023</v>
      </c>
      <c r="D2877" s="68" t="s">
        <v>322</v>
      </c>
      <c r="E2877" s="68" t="s">
        <v>305</v>
      </c>
      <c r="F2877" s="68" t="s">
        <v>40</v>
      </c>
      <c r="G2877" s="68"/>
      <c r="H2877" s="68"/>
      <c r="I2877" s="69">
        <v>293.10000000000002</v>
      </c>
    </row>
    <row r="2878" spans="1:9" hidden="1">
      <c r="A2878" s="64" t="s">
        <v>295</v>
      </c>
      <c r="B2878" s="65">
        <v>2036</v>
      </c>
      <c r="C2878" s="65">
        <v>2023</v>
      </c>
      <c r="D2878" s="65" t="s">
        <v>323</v>
      </c>
      <c r="E2878" s="65" t="s">
        <v>294</v>
      </c>
      <c r="F2878" s="65" t="s">
        <v>297</v>
      </c>
      <c r="G2878" s="65"/>
      <c r="H2878" s="65"/>
      <c r="I2878" s="66">
        <v>308169.85519283748</v>
      </c>
    </row>
    <row r="2879" spans="1:9" hidden="1">
      <c r="A2879" s="67" t="s">
        <v>295</v>
      </c>
      <c r="B2879" s="68">
        <v>2036</v>
      </c>
      <c r="C2879" s="68">
        <v>2023</v>
      </c>
      <c r="D2879" s="68" t="s">
        <v>323</v>
      </c>
      <c r="E2879" s="68" t="s">
        <v>294</v>
      </c>
      <c r="F2879" s="68" t="s">
        <v>298</v>
      </c>
      <c r="G2879" s="68"/>
      <c r="H2879" s="68"/>
      <c r="I2879" s="69">
        <v>1421.3998212150229</v>
      </c>
    </row>
    <row r="2880" spans="1:9" hidden="1">
      <c r="A2880" s="64" t="s">
        <v>295</v>
      </c>
      <c r="B2880" s="65">
        <v>2036</v>
      </c>
      <c r="C2880" s="65">
        <v>2023</v>
      </c>
      <c r="D2880" s="65" t="s">
        <v>323</v>
      </c>
      <c r="E2880" s="65" t="s">
        <v>294</v>
      </c>
      <c r="F2880" s="65" t="s">
        <v>40</v>
      </c>
      <c r="G2880" s="65"/>
      <c r="H2880" s="65"/>
      <c r="I2880" s="66">
        <v>309591.35501623829</v>
      </c>
    </row>
    <row r="2881" spans="1:9" hidden="1">
      <c r="A2881" s="67" t="s">
        <v>295</v>
      </c>
      <c r="B2881" s="68">
        <v>2036</v>
      </c>
      <c r="C2881" s="68">
        <v>2023</v>
      </c>
      <c r="D2881" s="68" t="s">
        <v>323</v>
      </c>
      <c r="E2881" s="68" t="s">
        <v>301</v>
      </c>
      <c r="F2881" s="68" t="s">
        <v>297</v>
      </c>
      <c r="G2881" s="68"/>
      <c r="H2881" s="68"/>
      <c r="I2881" s="69">
        <v>366452.66968089412</v>
      </c>
    </row>
    <row r="2882" spans="1:9" hidden="1">
      <c r="A2882" s="64" t="s">
        <v>295</v>
      </c>
      <c r="B2882" s="65">
        <v>2036</v>
      </c>
      <c r="C2882" s="65">
        <v>2023</v>
      </c>
      <c r="D2882" s="65" t="s">
        <v>323</v>
      </c>
      <c r="E2882" s="65" t="s">
        <v>301</v>
      </c>
      <c r="F2882" s="65" t="s">
        <v>298</v>
      </c>
      <c r="G2882" s="65"/>
      <c r="H2882" s="65"/>
      <c r="I2882" s="66">
        <v>1564.948755269905</v>
      </c>
    </row>
    <row r="2883" spans="1:9" hidden="1">
      <c r="A2883" s="67" t="s">
        <v>295</v>
      </c>
      <c r="B2883" s="68">
        <v>2036</v>
      </c>
      <c r="C2883" s="68">
        <v>2023</v>
      </c>
      <c r="D2883" s="68" t="s">
        <v>323</v>
      </c>
      <c r="E2883" s="68" t="s">
        <v>301</v>
      </c>
      <c r="F2883" s="68" t="s">
        <v>40</v>
      </c>
      <c r="G2883" s="68"/>
      <c r="H2883" s="68"/>
      <c r="I2883" s="69">
        <v>368017.61842616397</v>
      </c>
    </row>
    <row r="2884" spans="1:9" hidden="1">
      <c r="A2884" s="64" t="s">
        <v>295</v>
      </c>
      <c r="B2884" s="65">
        <v>2036</v>
      </c>
      <c r="C2884" s="65">
        <v>2023</v>
      </c>
      <c r="D2884" s="65" t="s">
        <v>323</v>
      </c>
      <c r="E2884" s="65" t="s">
        <v>305</v>
      </c>
      <c r="F2884" s="65" t="s">
        <v>297</v>
      </c>
      <c r="G2884" s="65"/>
      <c r="H2884" s="65"/>
      <c r="I2884" s="66">
        <v>1486.72975</v>
      </c>
    </row>
    <row r="2885" spans="1:9" hidden="1">
      <c r="A2885" s="67" t="s">
        <v>295</v>
      </c>
      <c r="B2885" s="68">
        <v>2036</v>
      </c>
      <c r="C2885" s="68">
        <v>2023</v>
      </c>
      <c r="D2885" s="68" t="s">
        <v>323</v>
      </c>
      <c r="E2885" s="68" t="s">
        <v>305</v>
      </c>
      <c r="F2885" s="68" t="s">
        <v>40</v>
      </c>
      <c r="G2885" s="68"/>
      <c r="H2885" s="68"/>
      <c r="I2885" s="69">
        <v>18603.729749999999</v>
      </c>
    </row>
    <row r="2886" spans="1:9" hidden="1">
      <c r="A2886" s="64" t="s">
        <v>295</v>
      </c>
      <c r="B2886" s="65">
        <v>2036</v>
      </c>
      <c r="C2886" s="65">
        <v>2023</v>
      </c>
      <c r="D2886" s="65" t="s">
        <v>324</v>
      </c>
      <c r="E2886" s="65" t="s">
        <v>294</v>
      </c>
      <c r="F2886" s="65" t="s">
        <v>297</v>
      </c>
      <c r="G2886" s="65"/>
      <c r="H2886" s="65"/>
      <c r="I2886" s="66">
        <v>3546.2292200000002</v>
      </c>
    </row>
    <row r="2887" spans="1:9" hidden="1">
      <c r="A2887" s="67" t="s">
        <v>295</v>
      </c>
      <c r="B2887" s="68">
        <v>2036</v>
      </c>
      <c r="C2887" s="68">
        <v>2023</v>
      </c>
      <c r="D2887" s="68" t="s">
        <v>324</v>
      </c>
      <c r="E2887" s="68" t="s">
        <v>294</v>
      </c>
      <c r="F2887" s="68" t="s">
        <v>298</v>
      </c>
      <c r="G2887" s="68"/>
      <c r="H2887" s="68"/>
      <c r="I2887" s="69">
        <v>0</v>
      </c>
    </row>
    <row r="2888" spans="1:9" hidden="1">
      <c r="A2888" s="64" t="s">
        <v>295</v>
      </c>
      <c r="B2888" s="65">
        <v>2036</v>
      </c>
      <c r="C2888" s="65">
        <v>2023</v>
      </c>
      <c r="D2888" s="65" t="s">
        <v>324</v>
      </c>
      <c r="E2888" s="65" t="s">
        <v>294</v>
      </c>
      <c r="F2888" s="65" t="s">
        <v>40</v>
      </c>
      <c r="G2888" s="65"/>
      <c r="H2888" s="65"/>
      <c r="I2888" s="66">
        <v>3546.2292200000002</v>
      </c>
    </row>
    <row r="2889" spans="1:9" hidden="1">
      <c r="A2889" s="67" t="s">
        <v>295</v>
      </c>
      <c r="B2889" s="68">
        <v>2036</v>
      </c>
      <c r="C2889" s="68">
        <v>2023</v>
      </c>
      <c r="D2889" s="68" t="s">
        <v>324</v>
      </c>
      <c r="E2889" s="68" t="s">
        <v>301</v>
      </c>
      <c r="F2889" s="68" t="s">
        <v>297</v>
      </c>
      <c r="G2889" s="68"/>
      <c r="H2889" s="68"/>
      <c r="I2889" s="69">
        <v>3546.5170600000001</v>
      </c>
    </row>
    <row r="2890" spans="1:9" hidden="1">
      <c r="A2890" s="64" t="s">
        <v>295</v>
      </c>
      <c r="B2890" s="65">
        <v>2036</v>
      </c>
      <c r="C2890" s="65">
        <v>2023</v>
      </c>
      <c r="D2890" s="65" t="s">
        <v>324</v>
      </c>
      <c r="E2890" s="65" t="s">
        <v>301</v>
      </c>
      <c r="F2890" s="65" t="s">
        <v>298</v>
      </c>
      <c r="G2890" s="65"/>
      <c r="H2890" s="65"/>
      <c r="I2890" s="66">
        <v>0</v>
      </c>
    </row>
    <row r="2891" spans="1:9" hidden="1">
      <c r="A2891" s="67" t="s">
        <v>295</v>
      </c>
      <c r="B2891" s="68">
        <v>2036</v>
      </c>
      <c r="C2891" s="68">
        <v>2023</v>
      </c>
      <c r="D2891" s="68" t="s">
        <v>324</v>
      </c>
      <c r="E2891" s="68" t="s">
        <v>301</v>
      </c>
      <c r="F2891" s="68" t="s">
        <v>40</v>
      </c>
      <c r="G2891" s="68"/>
      <c r="H2891" s="68"/>
      <c r="I2891" s="69">
        <v>3546.5170600000001</v>
      </c>
    </row>
    <row r="2892" spans="1:9" hidden="1">
      <c r="A2892" s="64" t="s">
        <v>295</v>
      </c>
      <c r="B2892" s="65">
        <v>2036</v>
      </c>
      <c r="C2892" s="65">
        <v>2023</v>
      </c>
      <c r="D2892" s="65" t="s">
        <v>324</v>
      </c>
      <c r="E2892" s="65" t="s">
        <v>305</v>
      </c>
      <c r="F2892" s="65" t="s">
        <v>297</v>
      </c>
      <c r="G2892" s="65"/>
      <c r="H2892" s="65"/>
      <c r="I2892" s="66">
        <v>4.0999999999999996</v>
      </c>
    </row>
    <row r="2893" spans="1:9" hidden="1">
      <c r="A2893" s="67" t="s">
        <v>295</v>
      </c>
      <c r="B2893" s="68">
        <v>2036</v>
      </c>
      <c r="C2893" s="68">
        <v>2023</v>
      </c>
      <c r="D2893" s="68" t="s">
        <v>324</v>
      </c>
      <c r="E2893" s="68" t="s">
        <v>305</v>
      </c>
      <c r="F2893" s="68" t="s">
        <v>40</v>
      </c>
      <c r="G2893" s="68"/>
      <c r="H2893" s="68"/>
      <c r="I2893" s="69">
        <v>1246.2</v>
      </c>
    </row>
    <row r="2894" spans="1:9" hidden="1">
      <c r="A2894" s="64" t="s">
        <v>295</v>
      </c>
      <c r="B2894" s="65">
        <v>2036</v>
      </c>
      <c r="C2894" s="65">
        <v>2023</v>
      </c>
      <c r="D2894" s="65" t="s">
        <v>325</v>
      </c>
      <c r="E2894" s="65" t="s">
        <v>294</v>
      </c>
      <c r="F2894" s="65" t="s">
        <v>297</v>
      </c>
      <c r="G2894" s="65"/>
      <c r="H2894" s="65"/>
      <c r="I2894" s="66">
        <v>50012.135637804509</v>
      </c>
    </row>
    <row r="2895" spans="1:9" hidden="1">
      <c r="A2895" s="67" t="s">
        <v>295</v>
      </c>
      <c r="B2895" s="68">
        <v>2036</v>
      </c>
      <c r="C2895" s="68">
        <v>2023</v>
      </c>
      <c r="D2895" s="68" t="s">
        <v>325</v>
      </c>
      <c r="E2895" s="68" t="s">
        <v>294</v>
      </c>
      <c r="F2895" s="68" t="s">
        <v>298</v>
      </c>
      <c r="G2895" s="68"/>
      <c r="H2895" s="68"/>
      <c r="I2895" s="69">
        <v>13043.81633201116</v>
      </c>
    </row>
    <row r="2896" spans="1:9" hidden="1">
      <c r="A2896" s="64" t="s">
        <v>295</v>
      </c>
      <c r="B2896" s="65">
        <v>2036</v>
      </c>
      <c r="C2896" s="65">
        <v>2023</v>
      </c>
      <c r="D2896" s="65" t="s">
        <v>325</v>
      </c>
      <c r="E2896" s="65" t="s">
        <v>294</v>
      </c>
      <c r="F2896" s="65" t="s">
        <v>40</v>
      </c>
      <c r="G2896" s="65"/>
      <c r="H2896" s="65"/>
      <c r="I2896" s="66">
        <v>63056.051969815671</v>
      </c>
    </row>
    <row r="2897" spans="1:9" hidden="1">
      <c r="A2897" s="67" t="s">
        <v>295</v>
      </c>
      <c r="B2897" s="68">
        <v>2036</v>
      </c>
      <c r="C2897" s="68">
        <v>2023</v>
      </c>
      <c r="D2897" s="68" t="s">
        <v>325</v>
      </c>
      <c r="E2897" s="68" t="s">
        <v>301</v>
      </c>
      <c r="F2897" s="68" t="s">
        <v>297</v>
      </c>
      <c r="G2897" s="68"/>
      <c r="H2897" s="68"/>
      <c r="I2897" s="69">
        <v>52404.989231835018</v>
      </c>
    </row>
    <row r="2898" spans="1:9" hidden="1">
      <c r="A2898" s="64" t="s">
        <v>295</v>
      </c>
      <c r="B2898" s="65">
        <v>2036</v>
      </c>
      <c r="C2898" s="65">
        <v>2023</v>
      </c>
      <c r="D2898" s="65" t="s">
        <v>325</v>
      </c>
      <c r="E2898" s="65" t="s">
        <v>301</v>
      </c>
      <c r="F2898" s="65" t="s">
        <v>298</v>
      </c>
      <c r="G2898" s="65"/>
      <c r="H2898" s="65"/>
      <c r="I2898" s="66">
        <v>14566.16972816497</v>
      </c>
    </row>
    <row r="2899" spans="1:9" hidden="1">
      <c r="A2899" s="67" t="s">
        <v>295</v>
      </c>
      <c r="B2899" s="68">
        <v>2036</v>
      </c>
      <c r="C2899" s="68">
        <v>2023</v>
      </c>
      <c r="D2899" s="68" t="s">
        <v>325</v>
      </c>
      <c r="E2899" s="68" t="s">
        <v>301</v>
      </c>
      <c r="F2899" s="68" t="s">
        <v>40</v>
      </c>
      <c r="G2899" s="68"/>
      <c r="H2899" s="68"/>
      <c r="I2899" s="69">
        <v>66971.058969999998</v>
      </c>
    </row>
    <row r="2900" spans="1:9" hidden="1">
      <c r="A2900" s="64" t="s">
        <v>295</v>
      </c>
      <c r="B2900" s="65">
        <v>2036</v>
      </c>
      <c r="C2900" s="65">
        <v>2023</v>
      </c>
      <c r="D2900" s="65" t="s">
        <v>325</v>
      </c>
      <c r="E2900" s="65" t="s">
        <v>305</v>
      </c>
      <c r="F2900" s="65" t="s">
        <v>297</v>
      </c>
      <c r="G2900" s="65"/>
      <c r="H2900" s="65"/>
      <c r="I2900" s="66">
        <v>429.9</v>
      </c>
    </row>
    <row r="2901" spans="1:9" hidden="1">
      <c r="A2901" s="67" t="s">
        <v>295</v>
      </c>
      <c r="B2901" s="68">
        <v>2036</v>
      </c>
      <c r="C2901" s="68">
        <v>2023</v>
      </c>
      <c r="D2901" s="68" t="s">
        <v>325</v>
      </c>
      <c r="E2901" s="68" t="s">
        <v>305</v>
      </c>
      <c r="F2901" s="68" t="s">
        <v>298</v>
      </c>
      <c r="G2901" s="68"/>
      <c r="H2901" s="68"/>
      <c r="I2901" s="69">
        <v>69.900000000000006</v>
      </c>
    </row>
    <row r="2902" spans="1:9" hidden="1">
      <c r="A2902" s="64" t="s">
        <v>295</v>
      </c>
      <c r="B2902" s="65">
        <v>2036</v>
      </c>
      <c r="C2902" s="65">
        <v>2023</v>
      </c>
      <c r="D2902" s="65" t="s">
        <v>325</v>
      </c>
      <c r="E2902" s="65" t="s">
        <v>305</v>
      </c>
      <c r="F2902" s="65" t="s">
        <v>40</v>
      </c>
      <c r="G2902" s="65"/>
      <c r="H2902" s="65"/>
      <c r="I2902" s="66">
        <v>18675.599999999999</v>
      </c>
    </row>
    <row r="2903" spans="1:9" hidden="1">
      <c r="A2903" s="67" t="s">
        <v>295</v>
      </c>
      <c r="B2903" s="68">
        <v>2036</v>
      </c>
      <c r="C2903" s="68">
        <v>2023</v>
      </c>
      <c r="D2903" s="68" t="s">
        <v>326</v>
      </c>
      <c r="E2903" s="68" t="s">
        <v>294</v>
      </c>
      <c r="F2903" s="68" t="s">
        <v>297</v>
      </c>
      <c r="G2903" s="68"/>
      <c r="H2903" s="68"/>
      <c r="I2903" s="69">
        <v>0</v>
      </c>
    </row>
    <row r="2904" spans="1:9" hidden="1">
      <c r="A2904" s="64" t="s">
        <v>295</v>
      </c>
      <c r="B2904" s="65">
        <v>2036</v>
      </c>
      <c r="C2904" s="65">
        <v>2023</v>
      </c>
      <c r="D2904" s="65" t="s">
        <v>326</v>
      </c>
      <c r="E2904" s="65" t="s">
        <v>294</v>
      </c>
      <c r="F2904" s="65" t="s">
        <v>298</v>
      </c>
      <c r="G2904" s="65"/>
      <c r="H2904" s="65"/>
      <c r="I2904" s="66">
        <v>0</v>
      </c>
    </row>
    <row r="2905" spans="1:9" hidden="1">
      <c r="A2905" s="67" t="s">
        <v>295</v>
      </c>
      <c r="B2905" s="68">
        <v>2036</v>
      </c>
      <c r="C2905" s="68">
        <v>2023</v>
      </c>
      <c r="D2905" s="68" t="s">
        <v>326</v>
      </c>
      <c r="E2905" s="68" t="s">
        <v>294</v>
      </c>
      <c r="F2905" s="68" t="s">
        <v>40</v>
      </c>
      <c r="G2905" s="68"/>
      <c r="H2905" s="68"/>
      <c r="I2905" s="69">
        <v>0</v>
      </c>
    </row>
    <row r="2906" spans="1:9" hidden="1">
      <c r="A2906" s="64" t="s">
        <v>295</v>
      </c>
      <c r="B2906" s="65">
        <v>2036</v>
      </c>
      <c r="C2906" s="65">
        <v>2023</v>
      </c>
      <c r="D2906" s="65" t="s">
        <v>326</v>
      </c>
      <c r="E2906" s="65" t="s">
        <v>301</v>
      </c>
      <c r="F2906" s="65" t="s">
        <v>297</v>
      </c>
      <c r="G2906" s="65"/>
      <c r="H2906" s="65"/>
      <c r="I2906" s="66">
        <v>0</v>
      </c>
    </row>
    <row r="2907" spans="1:9" hidden="1">
      <c r="A2907" s="67" t="s">
        <v>295</v>
      </c>
      <c r="B2907" s="68">
        <v>2036</v>
      </c>
      <c r="C2907" s="68">
        <v>2023</v>
      </c>
      <c r="D2907" s="68" t="s">
        <v>326</v>
      </c>
      <c r="E2907" s="68" t="s">
        <v>301</v>
      </c>
      <c r="F2907" s="68" t="s">
        <v>298</v>
      </c>
      <c r="G2907" s="68"/>
      <c r="H2907" s="68"/>
      <c r="I2907" s="69">
        <v>0</v>
      </c>
    </row>
    <row r="2908" spans="1:9" hidden="1">
      <c r="A2908" s="64" t="s">
        <v>295</v>
      </c>
      <c r="B2908" s="65">
        <v>2036</v>
      </c>
      <c r="C2908" s="65">
        <v>2023</v>
      </c>
      <c r="D2908" s="65" t="s">
        <v>326</v>
      </c>
      <c r="E2908" s="65" t="s">
        <v>301</v>
      </c>
      <c r="F2908" s="65" t="s">
        <v>40</v>
      </c>
      <c r="G2908" s="65"/>
      <c r="H2908" s="65"/>
      <c r="I2908" s="66">
        <v>0</v>
      </c>
    </row>
    <row r="2909" spans="1:9" hidden="1">
      <c r="A2909" s="67" t="s">
        <v>295</v>
      </c>
      <c r="B2909" s="68">
        <v>2036</v>
      </c>
      <c r="C2909" s="68">
        <v>2023</v>
      </c>
      <c r="D2909" s="68" t="s">
        <v>304</v>
      </c>
      <c r="E2909" s="68" t="s">
        <v>294</v>
      </c>
      <c r="F2909" s="68" t="s">
        <v>297</v>
      </c>
      <c r="G2909" s="68"/>
      <c r="H2909" s="68"/>
      <c r="I2909" s="69">
        <v>50717.952522773841</v>
      </c>
    </row>
    <row r="2910" spans="1:9" hidden="1">
      <c r="A2910" s="64" t="s">
        <v>295</v>
      </c>
      <c r="B2910" s="65">
        <v>2036</v>
      </c>
      <c r="C2910" s="65">
        <v>2023</v>
      </c>
      <c r="D2910" s="65" t="s">
        <v>304</v>
      </c>
      <c r="E2910" s="65" t="s">
        <v>294</v>
      </c>
      <c r="F2910" s="65" t="s">
        <v>298</v>
      </c>
      <c r="G2910" s="65"/>
      <c r="H2910" s="65"/>
      <c r="I2910" s="66">
        <v>176150.2026275628</v>
      </c>
    </row>
    <row r="2911" spans="1:9" hidden="1">
      <c r="A2911" s="67" t="s">
        <v>295</v>
      </c>
      <c r="B2911" s="68">
        <v>2036</v>
      </c>
      <c r="C2911" s="68">
        <v>2023</v>
      </c>
      <c r="D2911" s="68" t="s">
        <v>304</v>
      </c>
      <c r="E2911" s="68" t="s">
        <v>294</v>
      </c>
      <c r="F2911" s="68" t="s">
        <v>40</v>
      </c>
      <c r="G2911" s="68"/>
      <c r="H2911" s="68"/>
      <c r="I2911" s="69">
        <v>226607.9567296023</v>
      </c>
    </row>
    <row r="2912" spans="1:9" hidden="1">
      <c r="A2912" s="64" t="s">
        <v>295</v>
      </c>
      <c r="B2912" s="65">
        <v>2036</v>
      </c>
      <c r="C2912" s="65">
        <v>2023</v>
      </c>
      <c r="D2912" s="65" t="s">
        <v>304</v>
      </c>
      <c r="E2912" s="65" t="s">
        <v>301</v>
      </c>
      <c r="F2912" s="65" t="s">
        <v>297</v>
      </c>
      <c r="G2912" s="65"/>
      <c r="H2912" s="65"/>
      <c r="I2912" s="66">
        <v>53600.522838389377</v>
      </c>
    </row>
    <row r="2913" spans="1:9" hidden="1">
      <c r="A2913" s="67" t="s">
        <v>295</v>
      </c>
      <c r="B2913" s="68">
        <v>2036</v>
      </c>
      <c r="C2913" s="68">
        <v>2023</v>
      </c>
      <c r="D2913" s="68" t="s">
        <v>304</v>
      </c>
      <c r="E2913" s="68" t="s">
        <v>301</v>
      </c>
      <c r="F2913" s="68" t="s">
        <v>298</v>
      </c>
      <c r="G2913" s="68"/>
      <c r="H2913" s="68"/>
      <c r="I2913" s="69">
        <v>186032.40954915329</v>
      </c>
    </row>
    <row r="2914" spans="1:9" hidden="1">
      <c r="A2914" s="64" t="s">
        <v>295</v>
      </c>
      <c r="B2914" s="65">
        <v>2036</v>
      </c>
      <c r="C2914" s="65">
        <v>2023</v>
      </c>
      <c r="D2914" s="65" t="s">
        <v>304</v>
      </c>
      <c r="E2914" s="65" t="s">
        <v>301</v>
      </c>
      <c r="F2914" s="65" t="s">
        <v>40</v>
      </c>
      <c r="G2914" s="65"/>
      <c r="H2914" s="65"/>
      <c r="I2914" s="66">
        <v>239373.58026674591</v>
      </c>
    </row>
    <row r="2915" spans="1:9" hidden="1">
      <c r="A2915" s="67" t="s">
        <v>295</v>
      </c>
      <c r="B2915" s="68">
        <v>2036</v>
      </c>
      <c r="C2915" s="68">
        <v>2023</v>
      </c>
      <c r="D2915" s="68" t="s">
        <v>304</v>
      </c>
      <c r="E2915" s="68" t="s">
        <v>305</v>
      </c>
      <c r="F2915" s="68" t="s">
        <v>297</v>
      </c>
      <c r="G2915" s="68"/>
      <c r="H2915" s="68"/>
      <c r="I2915" s="69">
        <v>1145.40048</v>
      </c>
    </row>
    <row r="2916" spans="1:9" hidden="1">
      <c r="A2916" s="64" t="s">
        <v>295</v>
      </c>
      <c r="B2916" s="65">
        <v>2036</v>
      </c>
      <c r="C2916" s="65">
        <v>2023</v>
      </c>
      <c r="D2916" s="65" t="s">
        <v>304</v>
      </c>
      <c r="E2916" s="65" t="s">
        <v>305</v>
      </c>
      <c r="F2916" s="65" t="s">
        <v>298</v>
      </c>
      <c r="G2916" s="65"/>
      <c r="H2916" s="65"/>
      <c r="I2916" s="66">
        <v>750.3</v>
      </c>
    </row>
    <row r="2917" spans="1:9" hidden="1">
      <c r="A2917" s="67" t="s">
        <v>295</v>
      </c>
      <c r="B2917" s="68">
        <v>2036</v>
      </c>
      <c r="C2917" s="68">
        <v>2023</v>
      </c>
      <c r="D2917" s="68" t="s">
        <v>304</v>
      </c>
      <c r="E2917" s="68" t="s">
        <v>305</v>
      </c>
      <c r="F2917" s="68" t="s">
        <v>40</v>
      </c>
      <c r="G2917" s="68"/>
      <c r="H2917" s="68"/>
      <c r="I2917" s="69">
        <v>16784.800480000002</v>
      </c>
    </row>
    <row r="2918" spans="1:9" hidden="1">
      <c r="A2918" s="64" t="s">
        <v>295</v>
      </c>
      <c r="B2918" s="65">
        <v>2036</v>
      </c>
      <c r="C2918" s="65">
        <v>2023</v>
      </c>
      <c r="D2918" s="65" t="s">
        <v>306</v>
      </c>
      <c r="E2918" s="65" t="s">
        <v>294</v>
      </c>
      <c r="F2918" s="65" t="s">
        <v>297</v>
      </c>
      <c r="G2918" s="65"/>
      <c r="H2918" s="65"/>
      <c r="I2918" s="66">
        <v>352562.06083161832</v>
      </c>
    </row>
    <row r="2919" spans="1:9" hidden="1">
      <c r="A2919" s="67" t="s">
        <v>295</v>
      </c>
      <c r="B2919" s="68">
        <v>2036</v>
      </c>
      <c r="C2919" s="68">
        <v>2023</v>
      </c>
      <c r="D2919" s="68" t="s">
        <v>306</v>
      </c>
      <c r="E2919" s="68" t="s">
        <v>294</v>
      </c>
      <c r="F2919" s="68" t="s">
        <v>40</v>
      </c>
      <c r="G2919" s="68"/>
      <c r="H2919" s="68"/>
      <c r="I2919" s="69">
        <v>352562.06083161832</v>
      </c>
    </row>
    <row r="2920" spans="1:9" hidden="1">
      <c r="A2920" s="64" t="s">
        <v>295</v>
      </c>
      <c r="B2920" s="65">
        <v>2036</v>
      </c>
      <c r="C2920" s="65">
        <v>2023</v>
      </c>
      <c r="D2920" s="65" t="s">
        <v>306</v>
      </c>
      <c r="E2920" s="65" t="s">
        <v>301</v>
      </c>
      <c r="F2920" s="65" t="s">
        <v>297</v>
      </c>
      <c r="G2920" s="65"/>
      <c r="H2920" s="65"/>
      <c r="I2920" s="66">
        <v>368614.79006064148</v>
      </c>
    </row>
    <row r="2921" spans="1:9" hidden="1">
      <c r="A2921" s="67" t="s">
        <v>295</v>
      </c>
      <c r="B2921" s="68">
        <v>2036</v>
      </c>
      <c r="C2921" s="68">
        <v>2023</v>
      </c>
      <c r="D2921" s="68" t="s">
        <v>306</v>
      </c>
      <c r="E2921" s="68" t="s">
        <v>301</v>
      </c>
      <c r="F2921" s="68" t="s">
        <v>40</v>
      </c>
      <c r="G2921" s="68"/>
      <c r="H2921" s="68"/>
      <c r="I2921" s="69">
        <v>368614.79006064148</v>
      </c>
    </row>
    <row r="2922" spans="1:9" hidden="1">
      <c r="A2922" s="64" t="s">
        <v>295</v>
      </c>
      <c r="B2922" s="65">
        <v>2036</v>
      </c>
      <c r="C2922" s="65">
        <v>2023</v>
      </c>
      <c r="D2922" s="65" t="s">
        <v>306</v>
      </c>
      <c r="E2922" s="65" t="s">
        <v>305</v>
      </c>
      <c r="F2922" s="65" t="s">
        <v>297</v>
      </c>
      <c r="G2922" s="65"/>
      <c r="H2922" s="65"/>
      <c r="I2922" s="66">
        <v>2057.32843</v>
      </c>
    </row>
    <row r="2923" spans="1:9" hidden="1">
      <c r="A2923" s="67" t="s">
        <v>295</v>
      </c>
      <c r="B2923" s="68">
        <v>2036</v>
      </c>
      <c r="C2923" s="68">
        <v>2023</v>
      </c>
      <c r="D2923" s="68" t="s">
        <v>306</v>
      </c>
      <c r="E2923" s="68" t="s">
        <v>305</v>
      </c>
      <c r="F2923" s="68" t="s">
        <v>40</v>
      </c>
      <c r="G2923" s="68"/>
      <c r="H2923" s="68"/>
      <c r="I2923" s="69">
        <v>33328.528429999998</v>
      </c>
    </row>
    <row r="2924" spans="1:9" hidden="1">
      <c r="A2924" s="64" t="s">
        <v>295</v>
      </c>
      <c r="B2924" s="65">
        <v>2036</v>
      </c>
      <c r="C2924" s="65">
        <v>2023</v>
      </c>
      <c r="D2924" s="65" t="s">
        <v>307</v>
      </c>
      <c r="E2924" s="65" t="s">
        <v>294</v>
      </c>
      <c r="F2924" s="65" t="s">
        <v>40</v>
      </c>
      <c r="G2924" s="65"/>
      <c r="H2924" s="65"/>
      <c r="I2924" s="66">
        <v>-254459.46817734349</v>
      </c>
    </row>
    <row r="2925" spans="1:9" hidden="1">
      <c r="A2925" s="67" t="s">
        <v>295</v>
      </c>
      <c r="B2925" s="68">
        <v>2036</v>
      </c>
      <c r="C2925" s="68">
        <v>2023</v>
      </c>
      <c r="D2925" s="68" t="s">
        <v>307</v>
      </c>
      <c r="E2925" s="68" t="s">
        <v>301</v>
      </c>
      <c r="F2925" s="68" t="s">
        <v>40</v>
      </c>
      <c r="G2925" s="68"/>
      <c r="H2925" s="68"/>
      <c r="I2925" s="69">
        <v>-227783.99080211221</v>
      </c>
    </row>
    <row r="2926" spans="1:9" hidden="1">
      <c r="A2926" s="64" t="s">
        <v>295</v>
      </c>
      <c r="B2926" s="65">
        <v>2036</v>
      </c>
      <c r="C2926" s="65">
        <v>2023</v>
      </c>
      <c r="D2926" s="65" t="s">
        <v>307</v>
      </c>
      <c r="E2926" s="65" t="s">
        <v>305</v>
      </c>
      <c r="F2926" s="65" t="s">
        <v>40</v>
      </c>
      <c r="G2926" s="65"/>
      <c r="H2926" s="65"/>
      <c r="I2926" s="66">
        <v>-15492.88133</v>
      </c>
    </row>
    <row r="2927" spans="1:9" hidden="1">
      <c r="A2927" s="67" t="s">
        <v>295</v>
      </c>
      <c r="B2927" s="68">
        <v>2036</v>
      </c>
      <c r="C2927" s="68">
        <v>2023</v>
      </c>
      <c r="D2927" s="68" t="s">
        <v>327</v>
      </c>
      <c r="E2927" s="68" t="s">
        <v>294</v>
      </c>
      <c r="F2927" s="68" t="s">
        <v>40</v>
      </c>
      <c r="G2927" s="68"/>
      <c r="H2927" s="68"/>
      <c r="I2927" s="69">
        <v>-305755.87395323289</v>
      </c>
    </row>
    <row r="2928" spans="1:9" hidden="1">
      <c r="A2928" s="64" t="s">
        <v>295</v>
      </c>
      <c r="B2928" s="65">
        <v>2036</v>
      </c>
      <c r="C2928" s="65">
        <v>2023</v>
      </c>
      <c r="D2928" s="65" t="s">
        <v>327</v>
      </c>
      <c r="E2928" s="65" t="s">
        <v>301</v>
      </c>
      <c r="F2928" s="65" t="s">
        <v>40</v>
      </c>
      <c r="G2928" s="65"/>
      <c r="H2928" s="65"/>
      <c r="I2928" s="66">
        <v>-288930.45345726021</v>
      </c>
    </row>
    <row r="2929" spans="1:9" hidden="1">
      <c r="A2929" s="67" t="s">
        <v>295</v>
      </c>
      <c r="B2929" s="68">
        <v>2036</v>
      </c>
      <c r="C2929" s="68">
        <v>2023</v>
      </c>
      <c r="D2929" s="68" t="s">
        <v>327</v>
      </c>
      <c r="E2929" s="68" t="s">
        <v>305</v>
      </c>
      <c r="F2929" s="68" t="s">
        <v>40</v>
      </c>
      <c r="G2929" s="68"/>
      <c r="H2929" s="68"/>
      <c r="I2929" s="69">
        <v>-18565.80143</v>
      </c>
    </row>
    <row r="2930" spans="1:9" hidden="1">
      <c r="A2930" s="64" t="s">
        <v>295</v>
      </c>
      <c r="B2930" s="65">
        <v>2036</v>
      </c>
      <c r="C2930" s="65">
        <v>2023</v>
      </c>
      <c r="D2930" s="65" t="s">
        <v>328</v>
      </c>
      <c r="E2930" s="65" t="s">
        <v>294</v>
      </c>
      <c r="F2930" s="65" t="s">
        <v>40</v>
      </c>
      <c r="G2930" s="65"/>
      <c r="H2930" s="65"/>
      <c r="I2930" s="66">
        <v>27356.929650643269</v>
      </c>
    </row>
    <row r="2931" spans="1:9" hidden="1">
      <c r="A2931" s="67" t="s">
        <v>295</v>
      </c>
      <c r="B2931" s="68">
        <v>2036</v>
      </c>
      <c r="C2931" s="68">
        <v>2023</v>
      </c>
      <c r="D2931" s="68" t="s">
        <v>328</v>
      </c>
      <c r="E2931" s="68" t="s">
        <v>301</v>
      </c>
      <c r="F2931" s="68" t="s">
        <v>40</v>
      </c>
      <c r="G2931" s="68"/>
      <c r="H2931" s="68"/>
      <c r="I2931" s="69">
        <v>33641.105719291692</v>
      </c>
    </row>
    <row r="2932" spans="1:9" hidden="1">
      <c r="A2932" s="64" t="s">
        <v>295</v>
      </c>
      <c r="B2932" s="65">
        <v>2036</v>
      </c>
      <c r="C2932" s="65">
        <v>2023</v>
      </c>
      <c r="D2932" s="65" t="s">
        <v>328</v>
      </c>
      <c r="E2932" s="65" t="s">
        <v>305</v>
      </c>
      <c r="F2932" s="65" t="s">
        <v>40</v>
      </c>
      <c r="G2932" s="65"/>
      <c r="H2932" s="65"/>
      <c r="I2932" s="66">
        <v>-2270.2360600000002</v>
      </c>
    </row>
    <row r="2933" spans="1:9" hidden="1">
      <c r="A2933" s="67" t="s">
        <v>295</v>
      </c>
      <c r="B2933" s="68">
        <v>2036</v>
      </c>
      <c r="C2933" s="68">
        <v>2023</v>
      </c>
      <c r="D2933" s="68" t="s">
        <v>329</v>
      </c>
      <c r="E2933" s="68" t="s">
        <v>294</v>
      </c>
      <c r="F2933" s="68" t="s">
        <v>40</v>
      </c>
      <c r="G2933" s="68"/>
      <c r="H2933" s="68"/>
      <c r="I2933" s="69">
        <v>14236.019869090829</v>
      </c>
    </row>
    <row r="2934" spans="1:9" hidden="1">
      <c r="A2934" s="64" t="s">
        <v>295</v>
      </c>
      <c r="B2934" s="65">
        <v>2036</v>
      </c>
      <c r="C2934" s="65">
        <v>2023</v>
      </c>
      <c r="D2934" s="65" t="s">
        <v>329</v>
      </c>
      <c r="E2934" s="65" t="s">
        <v>301</v>
      </c>
      <c r="F2934" s="65" t="s">
        <v>40</v>
      </c>
      <c r="G2934" s="65"/>
      <c r="H2934" s="65"/>
      <c r="I2934" s="66">
        <v>15525.709549074711</v>
      </c>
    </row>
    <row r="2935" spans="1:9" hidden="1">
      <c r="A2935" s="67" t="s">
        <v>295</v>
      </c>
      <c r="B2935" s="68">
        <v>2036</v>
      </c>
      <c r="C2935" s="68">
        <v>2023</v>
      </c>
      <c r="D2935" s="68" t="s">
        <v>329</v>
      </c>
      <c r="E2935" s="68" t="s">
        <v>305</v>
      </c>
      <c r="F2935" s="68" t="s">
        <v>40</v>
      </c>
      <c r="G2935" s="68"/>
      <c r="H2935" s="68"/>
      <c r="I2935" s="69">
        <v>3229.6577299999999</v>
      </c>
    </row>
    <row r="2936" spans="1:9" hidden="1">
      <c r="A2936" s="64" t="s">
        <v>295</v>
      </c>
      <c r="B2936" s="65">
        <v>2036</v>
      </c>
      <c r="C2936" s="65">
        <v>2023</v>
      </c>
      <c r="D2936" s="65" t="s">
        <v>330</v>
      </c>
      <c r="E2936" s="65" t="s">
        <v>294</v>
      </c>
      <c r="F2936" s="65" t="s">
        <v>40</v>
      </c>
      <c r="G2936" s="65"/>
      <c r="H2936" s="65"/>
      <c r="I2936" s="66">
        <v>12428.11766726725</v>
      </c>
    </row>
    <row r="2937" spans="1:9" hidden="1">
      <c r="A2937" s="67" t="s">
        <v>295</v>
      </c>
      <c r="B2937" s="68">
        <v>2036</v>
      </c>
      <c r="C2937" s="68">
        <v>2023</v>
      </c>
      <c r="D2937" s="68" t="s">
        <v>330</v>
      </c>
      <c r="E2937" s="68" t="s">
        <v>301</v>
      </c>
      <c r="F2937" s="68" t="s">
        <v>40</v>
      </c>
      <c r="G2937" s="68"/>
      <c r="H2937" s="68"/>
      <c r="I2937" s="69">
        <v>13410.986697264671</v>
      </c>
    </row>
    <row r="2938" spans="1:9" hidden="1">
      <c r="A2938" s="64" t="s">
        <v>295</v>
      </c>
      <c r="B2938" s="65">
        <v>2036</v>
      </c>
      <c r="C2938" s="65">
        <v>2023</v>
      </c>
      <c r="D2938" s="65" t="s">
        <v>330</v>
      </c>
      <c r="E2938" s="65" t="s">
        <v>305</v>
      </c>
      <c r="F2938" s="65" t="s">
        <v>40</v>
      </c>
      <c r="G2938" s="65"/>
      <c r="H2938" s="65"/>
      <c r="I2938" s="66">
        <v>765.38648000000001</v>
      </c>
    </row>
    <row r="2939" spans="1:9" hidden="1">
      <c r="A2939" s="67" t="s">
        <v>295</v>
      </c>
      <c r="B2939" s="68">
        <v>2036</v>
      </c>
      <c r="C2939" s="68">
        <v>2023</v>
      </c>
      <c r="D2939" s="68" t="s">
        <v>331</v>
      </c>
      <c r="E2939" s="68" t="s">
        <v>294</v>
      </c>
      <c r="F2939" s="68" t="s">
        <v>40</v>
      </c>
      <c r="G2939" s="68"/>
      <c r="H2939" s="68"/>
      <c r="I2939" s="69">
        <v>31090.109234380849</v>
      </c>
    </row>
    <row r="2940" spans="1:9" hidden="1">
      <c r="A2940" s="64" t="s">
        <v>295</v>
      </c>
      <c r="B2940" s="65">
        <v>2036</v>
      </c>
      <c r="C2940" s="65">
        <v>2023</v>
      </c>
      <c r="D2940" s="65" t="s">
        <v>331</v>
      </c>
      <c r="E2940" s="65" t="s">
        <v>301</v>
      </c>
      <c r="F2940" s="65" t="s">
        <v>40</v>
      </c>
      <c r="G2940" s="65"/>
      <c r="H2940" s="65"/>
      <c r="I2940" s="66">
        <v>31491.499304115459</v>
      </c>
    </row>
    <row r="2941" spans="1:9" hidden="1">
      <c r="A2941" s="67" t="s">
        <v>295</v>
      </c>
      <c r="B2941" s="68">
        <v>2036</v>
      </c>
      <c r="C2941" s="68">
        <v>2023</v>
      </c>
      <c r="D2941" s="68" t="s">
        <v>331</v>
      </c>
      <c r="E2941" s="68" t="s">
        <v>305</v>
      </c>
      <c r="F2941" s="68" t="s">
        <v>40</v>
      </c>
      <c r="G2941" s="68"/>
      <c r="H2941" s="68"/>
      <c r="I2941" s="69">
        <v>3020.05863</v>
      </c>
    </row>
    <row r="2942" spans="1:9" hidden="1">
      <c r="A2942" s="64" t="s">
        <v>295</v>
      </c>
      <c r="B2942" s="65">
        <v>2036</v>
      </c>
      <c r="C2942" s="65">
        <v>2023</v>
      </c>
      <c r="D2942" s="65" t="s">
        <v>332</v>
      </c>
      <c r="E2942" s="65" t="s">
        <v>294</v>
      </c>
      <c r="F2942" s="65" t="s">
        <v>40</v>
      </c>
      <c r="G2942" s="65"/>
      <c r="H2942" s="65"/>
      <c r="I2942" s="66">
        <v>513.64713999999992</v>
      </c>
    </row>
    <row r="2943" spans="1:9" hidden="1">
      <c r="A2943" s="67" t="s">
        <v>295</v>
      </c>
      <c r="B2943" s="68">
        <v>2036</v>
      </c>
      <c r="C2943" s="68">
        <v>2023</v>
      </c>
      <c r="D2943" s="68" t="s">
        <v>332</v>
      </c>
      <c r="E2943" s="68" t="s">
        <v>301</v>
      </c>
      <c r="F2943" s="68" t="s">
        <v>40</v>
      </c>
      <c r="G2943" s="68"/>
      <c r="H2943" s="68"/>
      <c r="I2943" s="69">
        <v>389.45103999999992</v>
      </c>
    </row>
    <row r="2944" spans="1:9" hidden="1">
      <c r="A2944" s="64" t="s">
        <v>295</v>
      </c>
      <c r="B2944" s="65">
        <v>2036</v>
      </c>
      <c r="C2944" s="65">
        <v>2023</v>
      </c>
      <c r="D2944" s="65" t="s">
        <v>332</v>
      </c>
      <c r="E2944" s="65" t="s">
        <v>305</v>
      </c>
      <c r="F2944" s="65" t="s">
        <v>40</v>
      </c>
      <c r="G2944" s="65"/>
      <c r="H2944" s="65"/>
      <c r="I2944" s="66">
        <v>282.77330999999998</v>
      </c>
    </row>
    <row r="2945" spans="1:9" hidden="1">
      <c r="A2945" s="67" t="s">
        <v>295</v>
      </c>
      <c r="B2945" s="68">
        <v>2036</v>
      </c>
      <c r="C2945" s="68">
        <v>2023</v>
      </c>
      <c r="D2945" s="68" t="s">
        <v>333</v>
      </c>
      <c r="E2945" s="68" t="s">
        <v>294</v>
      </c>
      <c r="F2945" s="68" t="s">
        <v>40</v>
      </c>
      <c r="G2945" s="68"/>
      <c r="H2945" s="68"/>
      <c r="I2945" s="69">
        <v>-33879.0769</v>
      </c>
    </row>
    <row r="2946" spans="1:9" hidden="1">
      <c r="A2946" s="64" t="s">
        <v>295</v>
      </c>
      <c r="B2946" s="65">
        <v>2036</v>
      </c>
      <c r="C2946" s="65">
        <v>2023</v>
      </c>
      <c r="D2946" s="65" t="s">
        <v>333</v>
      </c>
      <c r="E2946" s="65" t="s">
        <v>301</v>
      </c>
      <c r="F2946" s="65" t="s">
        <v>40</v>
      </c>
      <c r="G2946" s="65"/>
      <c r="H2946" s="65"/>
      <c r="I2946" s="66">
        <v>-33559.702080000003</v>
      </c>
    </row>
    <row r="2947" spans="1:9" hidden="1">
      <c r="A2947" s="67" t="s">
        <v>295</v>
      </c>
      <c r="B2947" s="68">
        <v>2036</v>
      </c>
      <c r="C2947" s="68">
        <v>2023</v>
      </c>
      <c r="D2947" s="68" t="s">
        <v>333</v>
      </c>
      <c r="E2947" s="68" t="s">
        <v>305</v>
      </c>
      <c r="F2947" s="68" t="s">
        <v>40</v>
      </c>
      <c r="G2947" s="68"/>
      <c r="H2947" s="68"/>
      <c r="I2947" s="69">
        <v>-1954.74</v>
      </c>
    </row>
    <row r="2948" spans="1:9" hidden="1">
      <c r="A2948" s="64" t="s">
        <v>295</v>
      </c>
      <c r="B2948" s="65">
        <v>2036</v>
      </c>
      <c r="C2948" s="65">
        <v>2023</v>
      </c>
      <c r="D2948" s="65" t="s">
        <v>334</v>
      </c>
      <c r="E2948" s="65" t="s">
        <v>294</v>
      </c>
      <c r="F2948" s="65" t="s">
        <v>40</v>
      </c>
      <c r="G2948" s="65"/>
      <c r="H2948" s="65"/>
      <c r="I2948" s="66">
        <v>253.85033000000001</v>
      </c>
    </row>
    <row r="2949" spans="1:9" hidden="1">
      <c r="A2949" s="67" t="s">
        <v>295</v>
      </c>
      <c r="B2949" s="68">
        <v>2036</v>
      </c>
      <c r="C2949" s="68">
        <v>2023</v>
      </c>
      <c r="D2949" s="68" t="s">
        <v>334</v>
      </c>
      <c r="E2949" s="68" t="s">
        <v>301</v>
      </c>
      <c r="F2949" s="68" t="s">
        <v>40</v>
      </c>
      <c r="G2949" s="68"/>
      <c r="H2949" s="68"/>
      <c r="I2949" s="69">
        <v>253.85033000000001</v>
      </c>
    </row>
    <row r="2950" spans="1:9" hidden="1">
      <c r="A2950" s="64" t="s">
        <v>295</v>
      </c>
      <c r="B2950" s="65">
        <v>2036</v>
      </c>
      <c r="C2950" s="65">
        <v>2023</v>
      </c>
      <c r="D2950" s="65" t="s">
        <v>308</v>
      </c>
      <c r="E2950" s="65" t="s">
        <v>294</v>
      </c>
      <c r="F2950" s="65" t="s">
        <v>297</v>
      </c>
      <c r="G2950" s="65"/>
      <c r="H2950" s="65"/>
      <c r="I2950" s="66">
        <v>76276.86942847124</v>
      </c>
    </row>
    <row r="2951" spans="1:9" hidden="1">
      <c r="A2951" s="67" t="s">
        <v>295</v>
      </c>
      <c r="B2951" s="68">
        <v>2036</v>
      </c>
      <c r="C2951" s="68">
        <v>2023</v>
      </c>
      <c r="D2951" s="68" t="s">
        <v>308</v>
      </c>
      <c r="E2951" s="68" t="s">
        <v>294</v>
      </c>
      <c r="F2951" s="68" t="s">
        <v>298</v>
      </c>
      <c r="G2951" s="68"/>
      <c r="H2951" s="68"/>
      <c r="I2951" s="69">
        <v>242.9081730783237</v>
      </c>
    </row>
    <row r="2952" spans="1:9" hidden="1">
      <c r="A2952" s="64" t="s">
        <v>295</v>
      </c>
      <c r="B2952" s="65">
        <v>2036</v>
      </c>
      <c r="C2952" s="65">
        <v>2023</v>
      </c>
      <c r="D2952" s="65" t="s">
        <v>308</v>
      </c>
      <c r="E2952" s="65" t="s">
        <v>294</v>
      </c>
      <c r="F2952" s="65" t="s">
        <v>40</v>
      </c>
      <c r="G2952" s="65"/>
      <c r="H2952" s="65"/>
      <c r="I2952" s="66">
        <v>76519.777601549562</v>
      </c>
    </row>
    <row r="2953" spans="1:9" hidden="1">
      <c r="A2953" s="67" t="s">
        <v>295</v>
      </c>
      <c r="B2953" s="68">
        <v>2036</v>
      </c>
      <c r="C2953" s="68">
        <v>2023</v>
      </c>
      <c r="D2953" s="68" t="s">
        <v>308</v>
      </c>
      <c r="E2953" s="68" t="s">
        <v>301</v>
      </c>
      <c r="F2953" s="68" t="s">
        <v>297</v>
      </c>
      <c r="G2953" s="68"/>
      <c r="H2953" s="68"/>
      <c r="I2953" s="69">
        <v>77297.813628439326</v>
      </c>
    </row>
    <row r="2954" spans="1:9" hidden="1">
      <c r="A2954" s="64" t="s">
        <v>295</v>
      </c>
      <c r="B2954" s="65">
        <v>2036</v>
      </c>
      <c r="C2954" s="65">
        <v>2023</v>
      </c>
      <c r="D2954" s="65" t="s">
        <v>308</v>
      </c>
      <c r="E2954" s="65" t="s">
        <v>301</v>
      </c>
      <c r="F2954" s="65" t="s">
        <v>298</v>
      </c>
      <c r="G2954" s="65"/>
      <c r="H2954" s="65"/>
      <c r="I2954" s="66">
        <v>242.90817306493011</v>
      </c>
    </row>
    <row r="2955" spans="1:9" hidden="1">
      <c r="A2955" s="67" t="s">
        <v>295</v>
      </c>
      <c r="B2955" s="68">
        <v>2036</v>
      </c>
      <c r="C2955" s="68">
        <v>2023</v>
      </c>
      <c r="D2955" s="68" t="s">
        <v>308</v>
      </c>
      <c r="E2955" s="68" t="s">
        <v>301</v>
      </c>
      <c r="F2955" s="68" t="s">
        <v>40</v>
      </c>
      <c r="G2955" s="68"/>
      <c r="H2955" s="68"/>
      <c r="I2955" s="69">
        <v>77431.026012842645</v>
      </c>
    </row>
    <row r="2956" spans="1:9" hidden="1">
      <c r="A2956" s="64" t="s">
        <v>295</v>
      </c>
      <c r="B2956" s="65">
        <v>2036</v>
      </c>
      <c r="C2956" s="65">
        <v>2023</v>
      </c>
      <c r="D2956" s="65" t="s">
        <v>308</v>
      </c>
      <c r="E2956" s="65" t="s">
        <v>305</v>
      </c>
      <c r="F2956" s="65" t="s">
        <v>297</v>
      </c>
      <c r="G2956" s="65"/>
      <c r="H2956" s="65"/>
      <c r="I2956" s="66">
        <v>1660.17183</v>
      </c>
    </row>
    <row r="2957" spans="1:9" hidden="1">
      <c r="A2957" s="67" t="s">
        <v>295</v>
      </c>
      <c r="B2957" s="68">
        <v>2036</v>
      </c>
      <c r="C2957" s="68">
        <v>2023</v>
      </c>
      <c r="D2957" s="68" t="s">
        <v>308</v>
      </c>
      <c r="E2957" s="68" t="s">
        <v>305</v>
      </c>
      <c r="F2957" s="68" t="s">
        <v>40</v>
      </c>
      <c r="G2957" s="68"/>
      <c r="H2957" s="68"/>
      <c r="I2957" s="69">
        <v>10380.97183</v>
      </c>
    </row>
    <row r="2958" spans="1:9" hidden="1">
      <c r="A2958" s="64" t="s">
        <v>295</v>
      </c>
      <c r="B2958" s="65">
        <v>2036</v>
      </c>
      <c r="C2958" s="65">
        <v>2023</v>
      </c>
      <c r="D2958" s="65" t="s">
        <v>310</v>
      </c>
      <c r="E2958" s="65" t="s">
        <v>294</v>
      </c>
      <c r="F2958" s="65" t="s">
        <v>297</v>
      </c>
      <c r="G2958" s="65"/>
      <c r="H2958" s="65"/>
      <c r="I2958" s="66">
        <v>150.9</v>
      </c>
    </row>
    <row r="2959" spans="1:9" hidden="1">
      <c r="A2959" s="67" t="s">
        <v>295</v>
      </c>
      <c r="B2959" s="68">
        <v>2036</v>
      </c>
      <c r="C2959" s="68">
        <v>2023</v>
      </c>
      <c r="D2959" s="68" t="s">
        <v>310</v>
      </c>
      <c r="E2959" s="68" t="s">
        <v>294</v>
      </c>
      <c r="F2959" s="68" t="s">
        <v>40</v>
      </c>
      <c r="G2959" s="68"/>
      <c r="H2959" s="68"/>
      <c r="I2959" s="69">
        <v>121308.87503889381</v>
      </c>
    </row>
    <row r="2960" spans="1:9" hidden="1">
      <c r="A2960" s="64" t="s">
        <v>295</v>
      </c>
      <c r="B2960" s="65">
        <v>2036</v>
      </c>
      <c r="C2960" s="65">
        <v>2023</v>
      </c>
      <c r="D2960" s="65" t="s">
        <v>310</v>
      </c>
      <c r="E2960" s="65" t="s">
        <v>301</v>
      </c>
      <c r="F2960" s="65" t="s">
        <v>297</v>
      </c>
      <c r="G2960" s="65"/>
      <c r="H2960" s="65"/>
      <c r="I2960" s="66">
        <v>150.9</v>
      </c>
    </row>
    <row r="2961" spans="1:9" hidden="1">
      <c r="A2961" s="67" t="s">
        <v>295</v>
      </c>
      <c r="B2961" s="68">
        <v>2036</v>
      </c>
      <c r="C2961" s="68">
        <v>2023</v>
      </c>
      <c r="D2961" s="68" t="s">
        <v>310</v>
      </c>
      <c r="E2961" s="68" t="s">
        <v>301</v>
      </c>
      <c r="F2961" s="68" t="s">
        <v>40</v>
      </c>
      <c r="G2961" s="68"/>
      <c r="H2961" s="68"/>
      <c r="I2961" s="69">
        <v>128347.83660292591</v>
      </c>
    </row>
    <row r="2962" spans="1:9" hidden="1">
      <c r="A2962" s="64" t="s">
        <v>295</v>
      </c>
      <c r="B2962" s="65">
        <v>2036</v>
      </c>
      <c r="C2962" s="65">
        <v>2023</v>
      </c>
      <c r="D2962" s="65" t="s">
        <v>310</v>
      </c>
      <c r="E2962" s="65" t="s">
        <v>305</v>
      </c>
      <c r="F2962" s="65" t="s">
        <v>40</v>
      </c>
      <c r="G2962" s="65"/>
      <c r="H2962" s="65"/>
      <c r="I2962" s="66">
        <v>1250.6186499999999</v>
      </c>
    </row>
    <row r="2963" spans="1:9" hidden="1">
      <c r="A2963" s="67" t="s">
        <v>295</v>
      </c>
      <c r="B2963" s="68">
        <v>2036</v>
      </c>
      <c r="C2963" s="68">
        <v>2023</v>
      </c>
      <c r="D2963" s="68" t="s">
        <v>311</v>
      </c>
      <c r="E2963" s="68" t="s">
        <v>294</v>
      </c>
      <c r="F2963" s="68" t="s">
        <v>297</v>
      </c>
      <c r="G2963" s="68"/>
      <c r="H2963" s="68"/>
      <c r="I2963" s="69">
        <v>796.5</v>
      </c>
    </row>
    <row r="2964" spans="1:9" hidden="1">
      <c r="A2964" s="64" t="s">
        <v>295</v>
      </c>
      <c r="B2964" s="65">
        <v>2036</v>
      </c>
      <c r="C2964" s="65">
        <v>2023</v>
      </c>
      <c r="D2964" s="65" t="s">
        <v>311</v>
      </c>
      <c r="E2964" s="65" t="s">
        <v>294</v>
      </c>
      <c r="F2964" s="65" t="s">
        <v>40</v>
      </c>
      <c r="G2964" s="65"/>
      <c r="H2964" s="65"/>
      <c r="I2964" s="66">
        <v>139573.32610212491</v>
      </c>
    </row>
    <row r="2965" spans="1:9" hidden="1">
      <c r="A2965" s="67" t="s">
        <v>295</v>
      </c>
      <c r="B2965" s="68">
        <v>2036</v>
      </c>
      <c r="C2965" s="68">
        <v>2023</v>
      </c>
      <c r="D2965" s="68" t="s">
        <v>311</v>
      </c>
      <c r="E2965" s="68" t="s">
        <v>301</v>
      </c>
      <c r="F2965" s="68" t="s">
        <v>297</v>
      </c>
      <c r="G2965" s="68"/>
      <c r="H2965" s="68"/>
      <c r="I2965" s="69">
        <v>796.5</v>
      </c>
    </row>
    <row r="2966" spans="1:9" hidden="1">
      <c r="A2966" s="64" t="s">
        <v>295</v>
      </c>
      <c r="B2966" s="65">
        <v>2036</v>
      </c>
      <c r="C2966" s="65">
        <v>2023</v>
      </c>
      <c r="D2966" s="65" t="s">
        <v>311</v>
      </c>
      <c r="E2966" s="65" t="s">
        <v>301</v>
      </c>
      <c r="F2966" s="65" t="s">
        <v>40</v>
      </c>
      <c r="G2966" s="65"/>
      <c r="H2966" s="65"/>
      <c r="I2966" s="66">
        <v>141787.9899934805</v>
      </c>
    </row>
    <row r="2967" spans="1:9" hidden="1">
      <c r="A2967" s="67" t="s">
        <v>295</v>
      </c>
      <c r="B2967" s="68">
        <v>2036</v>
      </c>
      <c r="C2967" s="68">
        <v>2023</v>
      </c>
      <c r="D2967" s="68" t="s">
        <v>311</v>
      </c>
      <c r="E2967" s="68" t="s">
        <v>305</v>
      </c>
      <c r="F2967" s="68" t="s">
        <v>40</v>
      </c>
      <c r="G2967" s="68"/>
      <c r="H2967" s="68"/>
      <c r="I2967" s="69">
        <v>931.8</v>
      </c>
    </row>
    <row r="2968" spans="1:9" hidden="1">
      <c r="A2968" s="64" t="s">
        <v>295</v>
      </c>
      <c r="B2968" s="65">
        <v>2036</v>
      </c>
      <c r="C2968" s="65">
        <v>2023</v>
      </c>
      <c r="D2968" s="65" t="s">
        <v>312</v>
      </c>
      <c r="E2968" s="65" t="s">
        <v>294</v>
      </c>
      <c r="F2968" s="65" t="s">
        <v>297</v>
      </c>
      <c r="G2968" s="65"/>
      <c r="H2968" s="65"/>
      <c r="I2968" s="66">
        <v>708.70348000000001</v>
      </c>
    </row>
    <row r="2969" spans="1:9" hidden="1">
      <c r="A2969" s="67" t="s">
        <v>295</v>
      </c>
      <c r="B2969" s="68">
        <v>2036</v>
      </c>
      <c r="C2969" s="68">
        <v>2023</v>
      </c>
      <c r="D2969" s="68" t="s">
        <v>312</v>
      </c>
      <c r="E2969" s="68" t="s">
        <v>294</v>
      </c>
      <c r="F2969" s="68" t="s">
        <v>40</v>
      </c>
      <c r="G2969" s="68"/>
      <c r="H2969" s="68"/>
      <c r="I2969" s="69">
        <v>852.60347999999999</v>
      </c>
    </row>
    <row r="2970" spans="1:9" hidden="1">
      <c r="A2970" s="64" t="s">
        <v>295</v>
      </c>
      <c r="B2970" s="65">
        <v>2036</v>
      </c>
      <c r="C2970" s="65">
        <v>2023</v>
      </c>
      <c r="D2970" s="65" t="s">
        <v>312</v>
      </c>
      <c r="E2970" s="65" t="s">
        <v>301</v>
      </c>
      <c r="F2970" s="65" t="s">
        <v>297</v>
      </c>
      <c r="G2970" s="65"/>
      <c r="H2970" s="65"/>
      <c r="I2970" s="66">
        <v>709.91037999999992</v>
      </c>
    </row>
    <row r="2971" spans="1:9" hidden="1">
      <c r="A2971" s="67" t="s">
        <v>295</v>
      </c>
      <c r="B2971" s="68">
        <v>2036</v>
      </c>
      <c r="C2971" s="68">
        <v>2023</v>
      </c>
      <c r="D2971" s="68" t="s">
        <v>312</v>
      </c>
      <c r="E2971" s="68" t="s">
        <v>301</v>
      </c>
      <c r="F2971" s="68" t="s">
        <v>40</v>
      </c>
      <c r="G2971" s="68"/>
      <c r="H2971" s="68"/>
      <c r="I2971" s="69">
        <v>853.81038000000001</v>
      </c>
    </row>
    <row r="2972" spans="1:9" hidden="1">
      <c r="A2972" s="64" t="s">
        <v>295</v>
      </c>
      <c r="B2972" s="65">
        <v>2036</v>
      </c>
      <c r="C2972" s="65">
        <v>2023</v>
      </c>
      <c r="D2972" s="65" t="s">
        <v>313</v>
      </c>
      <c r="E2972" s="65" t="s">
        <v>294</v>
      </c>
      <c r="F2972" s="65" t="s">
        <v>297</v>
      </c>
      <c r="G2972" s="65"/>
      <c r="H2972" s="65"/>
      <c r="I2972" s="66">
        <v>1487178.068166442</v>
      </c>
    </row>
    <row r="2973" spans="1:9" hidden="1">
      <c r="A2973" s="67" t="s">
        <v>295</v>
      </c>
      <c r="B2973" s="68">
        <v>2036</v>
      </c>
      <c r="C2973" s="68">
        <v>2023</v>
      </c>
      <c r="D2973" s="68" t="s">
        <v>313</v>
      </c>
      <c r="E2973" s="68" t="s">
        <v>294</v>
      </c>
      <c r="F2973" s="68" t="s">
        <v>298</v>
      </c>
      <c r="G2973" s="68"/>
      <c r="H2973" s="68"/>
      <c r="I2973" s="69">
        <v>676090.61759375408</v>
      </c>
    </row>
    <row r="2974" spans="1:9" hidden="1">
      <c r="A2974" s="64" t="s">
        <v>295</v>
      </c>
      <c r="B2974" s="65">
        <v>2036</v>
      </c>
      <c r="C2974" s="65">
        <v>2023</v>
      </c>
      <c r="D2974" s="65" t="s">
        <v>313</v>
      </c>
      <c r="E2974" s="65" t="s">
        <v>294</v>
      </c>
      <c r="F2974" s="65" t="s">
        <v>40</v>
      </c>
      <c r="G2974" s="65"/>
      <c r="H2974" s="65"/>
      <c r="I2974" s="66">
        <v>2179730.058662836</v>
      </c>
    </row>
    <row r="2975" spans="1:9" hidden="1">
      <c r="A2975" s="67" t="s">
        <v>295</v>
      </c>
      <c r="B2975" s="68">
        <v>2036</v>
      </c>
      <c r="C2975" s="68">
        <v>2023</v>
      </c>
      <c r="D2975" s="68" t="s">
        <v>313</v>
      </c>
      <c r="E2975" s="68" t="s">
        <v>301</v>
      </c>
      <c r="F2975" s="68" t="s">
        <v>297</v>
      </c>
      <c r="G2975" s="68"/>
      <c r="H2975" s="68"/>
      <c r="I2975" s="69">
        <v>1662914.8676135989</v>
      </c>
    </row>
    <row r="2976" spans="1:9" hidden="1">
      <c r="A2976" s="64" t="s">
        <v>295</v>
      </c>
      <c r="B2976" s="65">
        <v>2036</v>
      </c>
      <c r="C2976" s="65">
        <v>2023</v>
      </c>
      <c r="D2976" s="65" t="s">
        <v>313</v>
      </c>
      <c r="E2976" s="65" t="s">
        <v>301</v>
      </c>
      <c r="F2976" s="65" t="s">
        <v>298</v>
      </c>
      <c r="G2976" s="65"/>
      <c r="H2976" s="65"/>
      <c r="I2976" s="66">
        <v>776190.62714273029</v>
      </c>
    </row>
    <row r="2977" spans="1:9" hidden="1">
      <c r="A2977" s="67" t="s">
        <v>295</v>
      </c>
      <c r="B2977" s="68">
        <v>2036</v>
      </c>
      <c r="C2977" s="68">
        <v>2023</v>
      </c>
      <c r="D2977" s="68" t="s">
        <v>313</v>
      </c>
      <c r="E2977" s="68" t="s">
        <v>301</v>
      </c>
      <c r="F2977" s="68" t="s">
        <v>40</v>
      </c>
      <c r="G2977" s="68"/>
      <c r="H2977" s="68"/>
      <c r="I2977" s="69">
        <v>2456902.925411629</v>
      </c>
    </row>
    <row r="2978" spans="1:9" hidden="1">
      <c r="A2978" s="64" t="s">
        <v>295</v>
      </c>
      <c r="B2978" s="65">
        <v>2036</v>
      </c>
      <c r="C2978" s="65">
        <v>2023</v>
      </c>
      <c r="D2978" s="65" t="s">
        <v>313</v>
      </c>
      <c r="E2978" s="65" t="s">
        <v>305</v>
      </c>
      <c r="F2978" s="65" t="s">
        <v>297</v>
      </c>
      <c r="G2978" s="65"/>
      <c r="H2978" s="65"/>
      <c r="I2978" s="66">
        <v>16599.17337</v>
      </c>
    </row>
    <row r="2979" spans="1:9" hidden="1">
      <c r="A2979" s="67" t="s">
        <v>295</v>
      </c>
      <c r="B2979" s="68">
        <v>2036</v>
      </c>
      <c r="C2979" s="68">
        <v>2023</v>
      </c>
      <c r="D2979" s="68" t="s">
        <v>313</v>
      </c>
      <c r="E2979" s="68" t="s">
        <v>305</v>
      </c>
      <c r="F2979" s="68" t="s">
        <v>298</v>
      </c>
      <c r="G2979" s="68"/>
      <c r="H2979" s="68"/>
      <c r="I2979" s="69">
        <v>9364.7566299999999</v>
      </c>
    </row>
    <row r="2980" spans="1:9" hidden="1">
      <c r="A2980" s="64" t="s">
        <v>295</v>
      </c>
      <c r="B2980" s="65">
        <v>2036</v>
      </c>
      <c r="C2980" s="65">
        <v>2023</v>
      </c>
      <c r="D2980" s="65" t="s">
        <v>313</v>
      </c>
      <c r="E2980" s="65" t="s">
        <v>305</v>
      </c>
      <c r="F2980" s="65" t="s">
        <v>40</v>
      </c>
      <c r="G2980" s="65"/>
      <c r="H2980" s="65"/>
      <c r="I2980" s="66">
        <v>208697.72539000001</v>
      </c>
    </row>
    <row r="2981" spans="1:9" hidden="1">
      <c r="A2981" s="67" t="s">
        <v>295</v>
      </c>
      <c r="B2981" s="68">
        <v>2036</v>
      </c>
      <c r="C2981" s="68">
        <v>2023</v>
      </c>
      <c r="D2981" s="68" t="s">
        <v>314</v>
      </c>
      <c r="E2981" s="68" t="s">
        <v>294</v>
      </c>
      <c r="F2981" s="68" t="s">
        <v>297</v>
      </c>
      <c r="G2981" s="68"/>
      <c r="H2981" s="68"/>
      <c r="I2981" s="69">
        <v>1487178.068166442</v>
      </c>
    </row>
    <row r="2982" spans="1:9" hidden="1">
      <c r="A2982" s="64" t="s">
        <v>295</v>
      </c>
      <c r="B2982" s="65">
        <v>2036</v>
      </c>
      <c r="C2982" s="65">
        <v>2023</v>
      </c>
      <c r="D2982" s="65" t="s">
        <v>314</v>
      </c>
      <c r="E2982" s="65" t="s">
        <v>294</v>
      </c>
      <c r="F2982" s="65" t="s">
        <v>298</v>
      </c>
      <c r="G2982" s="65"/>
      <c r="H2982" s="65"/>
      <c r="I2982" s="66">
        <v>676090.61759375408</v>
      </c>
    </row>
    <row r="2983" spans="1:9" hidden="1">
      <c r="A2983" s="67" t="s">
        <v>295</v>
      </c>
      <c r="B2983" s="68">
        <v>2036</v>
      </c>
      <c r="C2983" s="68">
        <v>2023</v>
      </c>
      <c r="D2983" s="68" t="s">
        <v>314</v>
      </c>
      <c r="E2983" s="68" t="s">
        <v>294</v>
      </c>
      <c r="F2983" s="68" t="s">
        <v>40</v>
      </c>
      <c r="G2983" s="68"/>
      <c r="H2983" s="68"/>
      <c r="I2983" s="69">
        <v>1925270.6504654931</v>
      </c>
    </row>
    <row r="2984" spans="1:9" hidden="1">
      <c r="A2984" s="64" t="s">
        <v>295</v>
      </c>
      <c r="B2984" s="65">
        <v>2036</v>
      </c>
      <c r="C2984" s="65">
        <v>2023</v>
      </c>
      <c r="D2984" s="65" t="s">
        <v>314</v>
      </c>
      <c r="E2984" s="65" t="s">
        <v>301</v>
      </c>
      <c r="F2984" s="65" t="s">
        <v>297</v>
      </c>
      <c r="G2984" s="65"/>
      <c r="H2984" s="65"/>
      <c r="I2984" s="66">
        <v>1662914.8676135989</v>
      </c>
    </row>
    <row r="2985" spans="1:9" hidden="1">
      <c r="A2985" s="67" t="s">
        <v>295</v>
      </c>
      <c r="B2985" s="68">
        <v>2036</v>
      </c>
      <c r="C2985" s="68">
        <v>2023</v>
      </c>
      <c r="D2985" s="68" t="s">
        <v>314</v>
      </c>
      <c r="E2985" s="68" t="s">
        <v>301</v>
      </c>
      <c r="F2985" s="68" t="s">
        <v>298</v>
      </c>
      <c r="G2985" s="68"/>
      <c r="H2985" s="68"/>
      <c r="I2985" s="69">
        <v>776190.62714273029</v>
      </c>
    </row>
    <row r="2986" spans="1:9" hidden="1">
      <c r="A2986" s="64" t="s">
        <v>295</v>
      </c>
      <c r="B2986" s="65">
        <v>2036</v>
      </c>
      <c r="C2986" s="65">
        <v>2023</v>
      </c>
      <c r="D2986" s="65" t="s">
        <v>314</v>
      </c>
      <c r="E2986" s="65" t="s">
        <v>301</v>
      </c>
      <c r="F2986" s="65" t="s">
        <v>40</v>
      </c>
      <c r="G2986" s="65"/>
      <c r="H2986" s="65"/>
      <c r="I2986" s="66">
        <v>2229110.320859516</v>
      </c>
    </row>
    <row r="2987" spans="1:9" hidden="1">
      <c r="A2987" s="67" t="s">
        <v>295</v>
      </c>
      <c r="B2987" s="68">
        <v>2036</v>
      </c>
      <c r="C2987" s="68">
        <v>2023</v>
      </c>
      <c r="D2987" s="68" t="s">
        <v>314</v>
      </c>
      <c r="E2987" s="68" t="s">
        <v>305</v>
      </c>
      <c r="F2987" s="68" t="s">
        <v>297</v>
      </c>
      <c r="G2987" s="68"/>
      <c r="H2987" s="68"/>
      <c r="I2987" s="69">
        <v>16599.17337</v>
      </c>
    </row>
    <row r="2988" spans="1:9" hidden="1">
      <c r="A2988" s="64" t="s">
        <v>295</v>
      </c>
      <c r="B2988" s="65">
        <v>2036</v>
      </c>
      <c r="C2988" s="65">
        <v>2023</v>
      </c>
      <c r="D2988" s="65" t="s">
        <v>314</v>
      </c>
      <c r="E2988" s="65" t="s">
        <v>305</v>
      </c>
      <c r="F2988" s="65" t="s">
        <v>298</v>
      </c>
      <c r="G2988" s="65"/>
      <c r="H2988" s="65"/>
      <c r="I2988" s="66">
        <v>9364.7566299999999</v>
      </c>
    </row>
    <row r="2989" spans="1:9" hidden="1">
      <c r="A2989" s="67" t="s">
        <v>295</v>
      </c>
      <c r="B2989" s="68">
        <v>2036</v>
      </c>
      <c r="C2989" s="68">
        <v>2023</v>
      </c>
      <c r="D2989" s="68" t="s">
        <v>314</v>
      </c>
      <c r="E2989" s="68" t="s">
        <v>305</v>
      </c>
      <c r="F2989" s="68" t="s">
        <v>40</v>
      </c>
      <c r="G2989" s="68"/>
      <c r="H2989" s="68"/>
      <c r="I2989" s="69">
        <v>193515.92405999999</v>
      </c>
    </row>
    <row r="2990" spans="1:9" hidden="1">
      <c r="A2990" s="64" t="s">
        <v>295</v>
      </c>
      <c r="B2990" s="65">
        <v>2037</v>
      </c>
      <c r="C2990" s="65">
        <v>2023</v>
      </c>
      <c r="D2990" s="65" t="s">
        <v>296</v>
      </c>
      <c r="E2990" s="65" t="s">
        <v>294</v>
      </c>
      <c r="F2990" s="65" t="s">
        <v>297</v>
      </c>
      <c r="G2990" s="65"/>
      <c r="H2990" s="65"/>
      <c r="I2990" s="66">
        <v>976146.74609510729</v>
      </c>
    </row>
    <row r="2991" spans="1:9" hidden="1">
      <c r="A2991" s="67" t="s">
        <v>295</v>
      </c>
      <c r="B2991" s="68">
        <v>2037</v>
      </c>
      <c r="C2991" s="68">
        <v>2023</v>
      </c>
      <c r="D2991" s="68" t="s">
        <v>296</v>
      </c>
      <c r="E2991" s="68" t="s">
        <v>294</v>
      </c>
      <c r="F2991" s="68" t="s">
        <v>298</v>
      </c>
      <c r="G2991" s="68"/>
      <c r="H2991" s="68"/>
      <c r="I2991" s="69">
        <v>488615.70884788752</v>
      </c>
    </row>
    <row r="2992" spans="1:9" hidden="1">
      <c r="A2992" s="64" t="s">
        <v>295</v>
      </c>
      <c r="B2992" s="65">
        <v>2037</v>
      </c>
      <c r="C2992" s="65">
        <v>2023</v>
      </c>
      <c r="D2992" s="65" t="s">
        <v>296</v>
      </c>
      <c r="E2992" s="65" t="s">
        <v>294</v>
      </c>
      <c r="F2992" s="65" t="s">
        <v>40</v>
      </c>
      <c r="G2992" s="65"/>
      <c r="H2992" s="65"/>
      <c r="I2992" s="66">
        <v>1481579.8709735691</v>
      </c>
    </row>
    <row r="2993" spans="1:9" hidden="1">
      <c r="A2993" s="67" t="s">
        <v>295</v>
      </c>
      <c r="B2993" s="68">
        <v>2037</v>
      </c>
      <c r="C2993" s="68">
        <v>2023</v>
      </c>
      <c r="D2993" s="68" t="s">
        <v>296</v>
      </c>
      <c r="E2993" s="68" t="s">
        <v>301</v>
      </c>
      <c r="F2993" s="68" t="s">
        <v>297</v>
      </c>
      <c r="G2993" s="68"/>
      <c r="H2993" s="68"/>
      <c r="I2993" s="69">
        <v>1138938.3007454281</v>
      </c>
    </row>
    <row r="2994" spans="1:9" hidden="1">
      <c r="A2994" s="64" t="s">
        <v>295</v>
      </c>
      <c r="B2994" s="65">
        <v>2037</v>
      </c>
      <c r="C2994" s="65">
        <v>2023</v>
      </c>
      <c r="D2994" s="65" t="s">
        <v>296</v>
      </c>
      <c r="E2994" s="65" t="s">
        <v>301</v>
      </c>
      <c r="F2994" s="65" t="s">
        <v>298</v>
      </c>
      <c r="G2994" s="65"/>
      <c r="H2994" s="65"/>
      <c r="I2994" s="66">
        <v>574752.04296062619</v>
      </c>
    </row>
    <row r="2995" spans="1:9" hidden="1">
      <c r="A2995" s="67" t="s">
        <v>295</v>
      </c>
      <c r="B2995" s="68">
        <v>2037</v>
      </c>
      <c r="C2995" s="68">
        <v>2023</v>
      </c>
      <c r="D2995" s="68" t="s">
        <v>296</v>
      </c>
      <c r="E2995" s="68" t="s">
        <v>301</v>
      </c>
      <c r="F2995" s="68" t="s">
        <v>40</v>
      </c>
      <c r="G2995" s="68"/>
      <c r="H2995" s="68"/>
      <c r="I2995" s="69">
        <v>1731976.283589605</v>
      </c>
    </row>
    <row r="2996" spans="1:9" hidden="1">
      <c r="A2996" s="64" t="s">
        <v>295</v>
      </c>
      <c r="B2996" s="65">
        <v>2037</v>
      </c>
      <c r="C2996" s="65">
        <v>2023</v>
      </c>
      <c r="D2996" s="65" t="s">
        <v>296</v>
      </c>
      <c r="E2996" s="65" t="s">
        <v>305</v>
      </c>
      <c r="F2996" s="65" t="s">
        <v>297</v>
      </c>
      <c r="G2996" s="65"/>
      <c r="H2996" s="65"/>
      <c r="I2996" s="66">
        <v>11902.57265</v>
      </c>
    </row>
    <row r="2997" spans="1:9" hidden="1">
      <c r="A2997" s="67" t="s">
        <v>295</v>
      </c>
      <c r="B2997" s="68">
        <v>2037</v>
      </c>
      <c r="C2997" s="68">
        <v>2023</v>
      </c>
      <c r="D2997" s="68" t="s">
        <v>296</v>
      </c>
      <c r="E2997" s="68" t="s">
        <v>305</v>
      </c>
      <c r="F2997" s="68" t="s">
        <v>298</v>
      </c>
      <c r="G2997" s="68"/>
      <c r="H2997" s="68"/>
      <c r="I2997" s="69">
        <v>8622.6566300000013</v>
      </c>
    </row>
    <row r="2998" spans="1:9" hidden="1">
      <c r="A2998" s="64" t="s">
        <v>295</v>
      </c>
      <c r="B2998" s="65">
        <v>2037</v>
      </c>
      <c r="C2998" s="65">
        <v>2023</v>
      </c>
      <c r="D2998" s="65" t="s">
        <v>296</v>
      </c>
      <c r="E2998" s="65" t="s">
        <v>305</v>
      </c>
      <c r="F2998" s="65" t="s">
        <v>40</v>
      </c>
      <c r="G2998" s="65"/>
      <c r="H2998" s="65"/>
      <c r="I2998" s="66">
        <v>149767.82913</v>
      </c>
    </row>
    <row r="2999" spans="1:9" hidden="1">
      <c r="A2999" s="67" t="s">
        <v>295</v>
      </c>
      <c r="B2999" s="68">
        <v>2037</v>
      </c>
      <c r="C2999" s="68">
        <v>2023</v>
      </c>
      <c r="D2999" s="68" t="s">
        <v>309</v>
      </c>
      <c r="E2999" s="68" t="s">
        <v>294</v>
      </c>
      <c r="F2999" s="68" t="s">
        <v>297</v>
      </c>
      <c r="G2999" s="68"/>
      <c r="H2999" s="68"/>
      <c r="I2999" s="69">
        <v>40316.251766723923</v>
      </c>
    </row>
    <row r="3000" spans="1:9" hidden="1">
      <c r="A3000" s="64" t="s">
        <v>295</v>
      </c>
      <c r="B3000" s="65">
        <v>2037</v>
      </c>
      <c r="C3000" s="65">
        <v>2023</v>
      </c>
      <c r="D3000" s="65" t="s">
        <v>309</v>
      </c>
      <c r="E3000" s="65" t="s">
        <v>294</v>
      </c>
      <c r="F3000" s="65" t="s">
        <v>298</v>
      </c>
      <c r="G3000" s="65"/>
      <c r="H3000" s="65"/>
      <c r="I3000" s="66">
        <v>285192.20119414612</v>
      </c>
    </row>
    <row r="3001" spans="1:9" hidden="1">
      <c r="A3001" s="67" t="s">
        <v>295</v>
      </c>
      <c r="B3001" s="68">
        <v>2037</v>
      </c>
      <c r="C3001" s="68">
        <v>2023</v>
      </c>
      <c r="D3001" s="68" t="s">
        <v>309</v>
      </c>
      <c r="E3001" s="68" t="s">
        <v>294</v>
      </c>
      <c r="F3001" s="68" t="s">
        <v>40</v>
      </c>
      <c r="G3001" s="68"/>
      <c r="H3001" s="68"/>
      <c r="I3001" s="69">
        <v>325508.11309538252</v>
      </c>
    </row>
    <row r="3002" spans="1:9" hidden="1">
      <c r="A3002" s="64" t="s">
        <v>295</v>
      </c>
      <c r="B3002" s="65">
        <v>2037</v>
      </c>
      <c r="C3002" s="65">
        <v>2023</v>
      </c>
      <c r="D3002" s="65" t="s">
        <v>309</v>
      </c>
      <c r="E3002" s="65" t="s">
        <v>301</v>
      </c>
      <c r="F3002" s="65" t="s">
        <v>297</v>
      </c>
      <c r="G3002" s="65"/>
      <c r="H3002" s="65"/>
      <c r="I3002" s="66">
        <v>46179.744246996823</v>
      </c>
    </row>
    <row r="3003" spans="1:9" hidden="1">
      <c r="A3003" s="67" t="s">
        <v>295</v>
      </c>
      <c r="B3003" s="68">
        <v>2037</v>
      </c>
      <c r="C3003" s="68">
        <v>2023</v>
      </c>
      <c r="D3003" s="68" t="s">
        <v>309</v>
      </c>
      <c r="E3003" s="68" t="s">
        <v>301</v>
      </c>
      <c r="F3003" s="68" t="s">
        <v>298</v>
      </c>
      <c r="G3003" s="68"/>
      <c r="H3003" s="68"/>
      <c r="I3003" s="69">
        <v>344019.47333496407</v>
      </c>
    </row>
    <row r="3004" spans="1:9" hidden="1">
      <c r="A3004" s="64" t="s">
        <v>295</v>
      </c>
      <c r="B3004" s="65">
        <v>2037</v>
      </c>
      <c r="C3004" s="65">
        <v>2023</v>
      </c>
      <c r="D3004" s="65" t="s">
        <v>309</v>
      </c>
      <c r="E3004" s="65" t="s">
        <v>301</v>
      </c>
      <c r="F3004" s="65" t="s">
        <v>40</v>
      </c>
      <c r="G3004" s="65"/>
      <c r="H3004" s="65"/>
      <c r="I3004" s="66">
        <v>390199.19759259548</v>
      </c>
    </row>
    <row r="3005" spans="1:9" hidden="1">
      <c r="A3005" s="67" t="s">
        <v>295</v>
      </c>
      <c r="B3005" s="68">
        <v>2037</v>
      </c>
      <c r="C3005" s="68">
        <v>2023</v>
      </c>
      <c r="D3005" s="68" t="s">
        <v>309</v>
      </c>
      <c r="E3005" s="68" t="s">
        <v>305</v>
      </c>
      <c r="F3005" s="68" t="s">
        <v>297</v>
      </c>
      <c r="G3005" s="68"/>
      <c r="H3005" s="68"/>
      <c r="I3005" s="69">
        <v>68.615660000000005</v>
      </c>
    </row>
    <row r="3006" spans="1:9" hidden="1">
      <c r="A3006" s="64" t="s">
        <v>295</v>
      </c>
      <c r="B3006" s="65">
        <v>2037</v>
      </c>
      <c r="C3006" s="65">
        <v>2023</v>
      </c>
      <c r="D3006" s="65" t="s">
        <v>309</v>
      </c>
      <c r="E3006" s="65" t="s">
        <v>305</v>
      </c>
      <c r="F3006" s="65" t="s">
        <v>298</v>
      </c>
      <c r="G3006" s="65"/>
      <c r="H3006" s="65"/>
      <c r="I3006" s="66">
        <v>7117.05663</v>
      </c>
    </row>
    <row r="3007" spans="1:9" hidden="1">
      <c r="A3007" s="67" t="s">
        <v>295</v>
      </c>
      <c r="B3007" s="68">
        <v>2037</v>
      </c>
      <c r="C3007" s="68">
        <v>2023</v>
      </c>
      <c r="D3007" s="68" t="s">
        <v>309</v>
      </c>
      <c r="E3007" s="68" t="s">
        <v>305</v>
      </c>
      <c r="F3007" s="68" t="s">
        <v>40</v>
      </c>
      <c r="G3007" s="68"/>
      <c r="H3007" s="68"/>
      <c r="I3007" s="69">
        <v>48159.172290000002</v>
      </c>
    </row>
    <row r="3008" spans="1:9" hidden="1">
      <c r="A3008" s="64" t="s">
        <v>295</v>
      </c>
      <c r="B3008" s="65">
        <v>2037</v>
      </c>
      <c r="C3008" s="65">
        <v>2023</v>
      </c>
      <c r="D3008" s="65" t="s">
        <v>315</v>
      </c>
      <c r="E3008" s="65" t="s">
        <v>294</v>
      </c>
      <c r="F3008" s="65" t="s">
        <v>297</v>
      </c>
      <c r="G3008" s="65"/>
      <c r="H3008" s="65"/>
      <c r="I3008" s="66">
        <v>95980.891501066435</v>
      </c>
    </row>
    <row r="3009" spans="1:9" hidden="1">
      <c r="A3009" s="67" t="s">
        <v>295</v>
      </c>
      <c r="B3009" s="68">
        <v>2037</v>
      </c>
      <c r="C3009" s="68">
        <v>2023</v>
      </c>
      <c r="D3009" s="68" t="s">
        <v>315</v>
      </c>
      <c r="E3009" s="68" t="s">
        <v>294</v>
      </c>
      <c r="F3009" s="68" t="s">
        <v>298</v>
      </c>
      <c r="G3009" s="68"/>
      <c r="H3009" s="68"/>
      <c r="I3009" s="69">
        <v>185782.14549432529</v>
      </c>
    </row>
    <row r="3010" spans="1:9" hidden="1">
      <c r="A3010" s="64" t="s">
        <v>295</v>
      </c>
      <c r="B3010" s="65">
        <v>2037</v>
      </c>
      <c r="C3010" s="65">
        <v>2023</v>
      </c>
      <c r="D3010" s="65" t="s">
        <v>315</v>
      </c>
      <c r="E3010" s="65" t="s">
        <v>294</v>
      </c>
      <c r="F3010" s="65" t="s">
        <v>40</v>
      </c>
      <c r="G3010" s="65"/>
      <c r="H3010" s="65"/>
      <c r="I3010" s="66">
        <v>281762.91697546141</v>
      </c>
    </row>
    <row r="3011" spans="1:9" hidden="1">
      <c r="A3011" s="67" t="s">
        <v>295</v>
      </c>
      <c r="B3011" s="68">
        <v>2037</v>
      </c>
      <c r="C3011" s="68">
        <v>2023</v>
      </c>
      <c r="D3011" s="68" t="s">
        <v>315</v>
      </c>
      <c r="E3011" s="68" t="s">
        <v>301</v>
      </c>
      <c r="F3011" s="68" t="s">
        <v>297</v>
      </c>
      <c r="G3011" s="68"/>
      <c r="H3011" s="68"/>
      <c r="I3011" s="69">
        <v>101905.31517941981</v>
      </c>
    </row>
    <row r="3012" spans="1:9" hidden="1">
      <c r="A3012" s="64" t="s">
        <v>295</v>
      </c>
      <c r="B3012" s="65">
        <v>2037</v>
      </c>
      <c r="C3012" s="65">
        <v>2023</v>
      </c>
      <c r="D3012" s="65" t="s">
        <v>315</v>
      </c>
      <c r="E3012" s="65" t="s">
        <v>301</v>
      </c>
      <c r="F3012" s="65" t="s">
        <v>298</v>
      </c>
      <c r="G3012" s="65"/>
      <c r="H3012" s="65"/>
      <c r="I3012" s="66">
        <v>211212.50420356079</v>
      </c>
    </row>
    <row r="3013" spans="1:9" hidden="1">
      <c r="A3013" s="67" t="s">
        <v>295</v>
      </c>
      <c r="B3013" s="68">
        <v>2037</v>
      </c>
      <c r="C3013" s="68">
        <v>2023</v>
      </c>
      <c r="D3013" s="68" t="s">
        <v>315</v>
      </c>
      <c r="E3013" s="68" t="s">
        <v>301</v>
      </c>
      <c r="F3013" s="68" t="s">
        <v>40</v>
      </c>
      <c r="G3013" s="68"/>
      <c r="H3013" s="68"/>
      <c r="I3013" s="69">
        <v>313117.89936281007</v>
      </c>
    </row>
    <row r="3014" spans="1:9" hidden="1">
      <c r="A3014" s="64" t="s">
        <v>295</v>
      </c>
      <c r="B3014" s="65">
        <v>2037</v>
      </c>
      <c r="C3014" s="65">
        <v>2023</v>
      </c>
      <c r="D3014" s="65" t="s">
        <v>315</v>
      </c>
      <c r="E3014" s="65" t="s">
        <v>305</v>
      </c>
      <c r="F3014" s="65" t="s">
        <v>297</v>
      </c>
      <c r="G3014" s="65"/>
      <c r="H3014" s="65"/>
      <c r="I3014" s="66">
        <v>1077.7286999999999</v>
      </c>
    </row>
    <row r="3015" spans="1:9" hidden="1">
      <c r="A3015" s="67" t="s">
        <v>295</v>
      </c>
      <c r="B3015" s="68">
        <v>2037</v>
      </c>
      <c r="C3015" s="68">
        <v>2023</v>
      </c>
      <c r="D3015" s="68" t="s">
        <v>315</v>
      </c>
      <c r="E3015" s="68" t="s">
        <v>305</v>
      </c>
      <c r="F3015" s="68" t="s">
        <v>298</v>
      </c>
      <c r="G3015" s="68"/>
      <c r="H3015" s="68"/>
      <c r="I3015" s="69">
        <v>1435.7</v>
      </c>
    </row>
    <row r="3016" spans="1:9" hidden="1">
      <c r="A3016" s="64" t="s">
        <v>295</v>
      </c>
      <c r="B3016" s="65">
        <v>2037</v>
      </c>
      <c r="C3016" s="65">
        <v>2023</v>
      </c>
      <c r="D3016" s="65" t="s">
        <v>315</v>
      </c>
      <c r="E3016" s="65" t="s">
        <v>305</v>
      </c>
      <c r="F3016" s="65" t="s">
        <v>40</v>
      </c>
      <c r="G3016" s="65"/>
      <c r="H3016" s="65"/>
      <c r="I3016" s="66">
        <v>21007.9287</v>
      </c>
    </row>
    <row r="3017" spans="1:9" hidden="1">
      <c r="A3017" s="67" t="s">
        <v>295</v>
      </c>
      <c r="B3017" s="68">
        <v>2037</v>
      </c>
      <c r="C3017" s="68">
        <v>2023</v>
      </c>
      <c r="D3017" s="68" t="s">
        <v>316</v>
      </c>
      <c r="E3017" s="68" t="s">
        <v>294</v>
      </c>
      <c r="F3017" s="68" t="s">
        <v>297</v>
      </c>
      <c r="G3017" s="68"/>
      <c r="H3017" s="68"/>
      <c r="I3017" s="69">
        <v>487284.83333389543</v>
      </c>
    </row>
    <row r="3018" spans="1:9" hidden="1">
      <c r="A3018" s="64" t="s">
        <v>295</v>
      </c>
      <c r="B3018" s="65">
        <v>2037</v>
      </c>
      <c r="C3018" s="65">
        <v>2023</v>
      </c>
      <c r="D3018" s="65" t="s">
        <v>316</v>
      </c>
      <c r="E3018" s="65" t="s">
        <v>294</v>
      </c>
      <c r="F3018" s="65" t="s">
        <v>298</v>
      </c>
      <c r="G3018" s="65"/>
      <c r="H3018" s="65"/>
      <c r="I3018" s="66">
        <v>3333.7228665691218</v>
      </c>
    </row>
    <row r="3019" spans="1:9" hidden="1">
      <c r="A3019" s="67" t="s">
        <v>295</v>
      </c>
      <c r="B3019" s="68">
        <v>2037</v>
      </c>
      <c r="C3019" s="68">
        <v>2023</v>
      </c>
      <c r="D3019" s="68" t="s">
        <v>316</v>
      </c>
      <c r="E3019" s="68" t="s">
        <v>294</v>
      </c>
      <c r="F3019" s="68" t="s">
        <v>40</v>
      </c>
      <c r="G3019" s="68"/>
      <c r="H3019" s="68"/>
      <c r="I3019" s="69">
        <v>507436.0921139362</v>
      </c>
    </row>
    <row r="3020" spans="1:9" hidden="1">
      <c r="A3020" s="64" t="s">
        <v>295</v>
      </c>
      <c r="B3020" s="65">
        <v>2037</v>
      </c>
      <c r="C3020" s="65">
        <v>2023</v>
      </c>
      <c r="D3020" s="65" t="s">
        <v>316</v>
      </c>
      <c r="E3020" s="65" t="s">
        <v>301</v>
      </c>
      <c r="F3020" s="65" t="s">
        <v>297</v>
      </c>
      <c r="G3020" s="65"/>
      <c r="H3020" s="65"/>
      <c r="I3020" s="66">
        <v>575699.61087374832</v>
      </c>
    </row>
    <row r="3021" spans="1:9" hidden="1">
      <c r="A3021" s="67" t="s">
        <v>295</v>
      </c>
      <c r="B3021" s="68">
        <v>2037</v>
      </c>
      <c r="C3021" s="68">
        <v>2023</v>
      </c>
      <c r="D3021" s="68" t="s">
        <v>316</v>
      </c>
      <c r="E3021" s="68" t="s">
        <v>301</v>
      </c>
      <c r="F3021" s="68" t="s">
        <v>298</v>
      </c>
      <c r="G3021" s="68"/>
      <c r="H3021" s="68"/>
      <c r="I3021" s="69">
        <v>3554.3564594922232</v>
      </c>
    </row>
    <row r="3022" spans="1:9" hidden="1">
      <c r="A3022" s="64" t="s">
        <v>295</v>
      </c>
      <c r="B3022" s="65">
        <v>2037</v>
      </c>
      <c r="C3022" s="65">
        <v>2023</v>
      </c>
      <c r="D3022" s="65" t="s">
        <v>316</v>
      </c>
      <c r="E3022" s="65" t="s">
        <v>301</v>
      </c>
      <c r="F3022" s="65" t="s">
        <v>40</v>
      </c>
      <c r="G3022" s="65"/>
      <c r="H3022" s="65"/>
      <c r="I3022" s="66">
        <v>597540.10719632707</v>
      </c>
    </row>
    <row r="3023" spans="1:9" hidden="1">
      <c r="A3023" s="67" t="s">
        <v>295</v>
      </c>
      <c r="B3023" s="68">
        <v>2037</v>
      </c>
      <c r="C3023" s="68">
        <v>2023</v>
      </c>
      <c r="D3023" s="68" t="s">
        <v>316</v>
      </c>
      <c r="E3023" s="68" t="s">
        <v>305</v>
      </c>
      <c r="F3023" s="68" t="s">
        <v>297</v>
      </c>
      <c r="G3023" s="68"/>
      <c r="H3023" s="68"/>
      <c r="I3023" s="69">
        <v>8838.3985300000004</v>
      </c>
    </row>
    <row r="3024" spans="1:9" hidden="1">
      <c r="A3024" s="64" t="s">
        <v>295</v>
      </c>
      <c r="B3024" s="65">
        <v>2037</v>
      </c>
      <c r="C3024" s="65">
        <v>2023</v>
      </c>
      <c r="D3024" s="65" t="s">
        <v>316</v>
      </c>
      <c r="E3024" s="65" t="s">
        <v>305</v>
      </c>
      <c r="F3024" s="65" t="s">
        <v>298</v>
      </c>
      <c r="G3024" s="65"/>
      <c r="H3024" s="65"/>
      <c r="I3024" s="66">
        <v>0</v>
      </c>
    </row>
    <row r="3025" spans="1:9" hidden="1">
      <c r="A3025" s="67" t="s">
        <v>295</v>
      </c>
      <c r="B3025" s="68">
        <v>2037</v>
      </c>
      <c r="C3025" s="68">
        <v>2023</v>
      </c>
      <c r="D3025" s="68" t="s">
        <v>316</v>
      </c>
      <c r="E3025" s="68" t="s">
        <v>305</v>
      </c>
      <c r="F3025" s="68" t="s">
        <v>40</v>
      </c>
      <c r="G3025" s="68"/>
      <c r="H3025" s="68"/>
      <c r="I3025" s="69">
        <v>41847.29838</v>
      </c>
    </row>
    <row r="3026" spans="1:9" hidden="1">
      <c r="A3026" s="64" t="s">
        <v>295</v>
      </c>
      <c r="B3026" s="65">
        <v>2037</v>
      </c>
      <c r="C3026" s="65">
        <v>2023</v>
      </c>
      <c r="D3026" s="65" t="s">
        <v>317</v>
      </c>
      <c r="E3026" s="65" t="s">
        <v>294</v>
      </c>
      <c r="F3026" s="65" t="s">
        <v>297</v>
      </c>
      <c r="G3026" s="65"/>
      <c r="H3026" s="65"/>
      <c r="I3026" s="66">
        <v>146.45308158359919</v>
      </c>
    </row>
    <row r="3027" spans="1:9" hidden="1">
      <c r="A3027" s="67" t="s">
        <v>295</v>
      </c>
      <c r="B3027" s="68">
        <v>2037</v>
      </c>
      <c r="C3027" s="68">
        <v>2023</v>
      </c>
      <c r="D3027" s="68" t="s">
        <v>317</v>
      </c>
      <c r="E3027" s="68" t="s">
        <v>294</v>
      </c>
      <c r="F3027" s="68" t="s">
        <v>298</v>
      </c>
      <c r="G3027" s="68"/>
      <c r="H3027" s="68"/>
      <c r="I3027" s="69">
        <v>0</v>
      </c>
    </row>
    <row r="3028" spans="1:9" hidden="1">
      <c r="A3028" s="64" t="s">
        <v>295</v>
      </c>
      <c r="B3028" s="65">
        <v>2037</v>
      </c>
      <c r="C3028" s="65">
        <v>2023</v>
      </c>
      <c r="D3028" s="65" t="s">
        <v>317</v>
      </c>
      <c r="E3028" s="65" t="s">
        <v>294</v>
      </c>
      <c r="F3028" s="65" t="s">
        <v>40</v>
      </c>
      <c r="G3028" s="65"/>
      <c r="H3028" s="65"/>
      <c r="I3028" s="66">
        <v>16938.601941676901</v>
      </c>
    </row>
    <row r="3029" spans="1:9" hidden="1">
      <c r="A3029" s="67" t="s">
        <v>295</v>
      </c>
      <c r="B3029" s="68">
        <v>2037</v>
      </c>
      <c r="C3029" s="68">
        <v>2023</v>
      </c>
      <c r="D3029" s="68" t="s">
        <v>317</v>
      </c>
      <c r="E3029" s="68" t="s">
        <v>301</v>
      </c>
      <c r="F3029" s="68" t="s">
        <v>297</v>
      </c>
      <c r="G3029" s="68"/>
      <c r="H3029" s="68"/>
      <c r="I3029" s="69">
        <v>157.27053921802641</v>
      </c>
    </row>
    <row r="3030" spans="1:9" hidden="1">
      <c r="A3030" s="64" t="s">
        <v>295</v>
      </c>
      <c r="B3030" s="65">
        <v>2037</v>
      </c>
      <c r="C3030" s="65">
        <v>2023</v>
      </c>
      <c r="D3030" s="65" t="s">
        <v>317</v>
      </c>
      <c r="E3030" s="65" t="s">
        <v>301</v>
      </c>
      <c r="F3030" s="65" t="s">
        <v>298</v>
      </c>
      <c r="G3030" s="65"/>
      <c r="H3030" s="65"/>
      <c r="I3030" s="66">
        <v>0</v>
      </c>
    </row>
    <row r="3031" spans="1:9" hidden="1">
      <c r="A3031" s="67" t="s">
        <v>295</v>
      </c>
      <c r="B3031" s="68">
        <v>2037</v>
      </c>
      <c r="C3031" s="68">
        <v>2023</v>
      </c>
      <c r="D3031" s="68" t="s">
        <v>317</v>
      </c>
      <c r="E3031" s="68" t="s">
        <v>301</v>
      </c>
      <c r="F3031" s="68" t="s">
        <v>40</v>
      </c>
      <c r="G3031" s="68"/>
      <c r="H3031" s="68"/>
      <c r="I3031" s="69">
        <v>18438.890001193089</v>
      </c>
    </row>
    <row r="3032" spans="1:9" hidden="1">
      <c r="A3032" s="64" t="s">
        <v>295</v>
      </c>
      <c r="B3032" s="65">
        <v>2037</v>
      </c>
      <c r="C3032" s="65">
        <v>2023</v>
      </c>
      <c r="D3032" s="65" t="s">
        <v>317</v>
      </c>
      <c r="E3032" s="65" t="s">
        <v>305</v>
      </c>
      <c r="F3032" s="65" t="s">
        <v>297</v>
      </c>
      <c r="G3032" s="65"/>
      <c r="H3032" s="65"/>
      <c r="I3032" s="66">
        <v>1.2970000000000001E-2</v>
      </c>
    </row>
    <row r="3033" spans="1:9" hidden="1">
      <c r="A3033" s="67" t="s">
        <v>295</v>
      </c>
      <c r="B3033" s="68">
        <v>2037</v>
      </c>
      <c r="C3033" s="68">
        <v>2023</v>
      </c>
      <c r="D3033" s="68" t="s">
        <v>317</v>
      </c>
      <c r="E3033" s="68" t="s">
        <v>305</v>
      </c>
      <c r="F3033" s="68" t="s">
        <v>40</v>
      </c>
      <c r="G3033" s="68"/>
      <c r="H3033" s="68"/>
      <c r="I3033" s="69">
        <v>493.41282000000001</v>
      </c>
    </row>
    <row r="3034" spans="1:9" hidden="1">
      <c r="A3034" s="64" t="s">
        <v>295</v>
      </c>
      <c r="B3034" s="65">
        <v>2037</v>
      </c>
      <c r="C3034" s="65">
        <v>2023</v>
      </c>
      <c r="D3034" s="65" t="s">
        <v>318</v>
      </c>
      <c r="E3034" s="65" t="s">
        <v>294</v>
      </c>
      <c r="F3034" s="65" t="s">
        <v>297</v>
      </c>
      <c r="G3034" s="65"/>
      <c r="H3034" s="65"/>
      <c r="I3034" s="66">
        <v>465352.75768784143</v>
      </c>
    </row>
    <row r="3035" spans="1:9" hidden="1">
      <c r="A3035" s="67" t="s">
        <v>295</v>
      </c>
      <c r="B3035" s="68">
        <v>2037</v>
      </c>
      <c r="C3035" s="68">
        <v>2023</v>
      </c>
      <c r="D3035" s="68" t="s">
        <v>318</v>
      </c>
      <c r="E3035" s="68" t="s">
        <v>294</v>
      </c>
      <c r="F3035" s="68" t="s">
        <v>298</v>
      </c>
      <c r="G3035" s="68"/>
      <c r="H3035" s="68"/>
      <c r="I3035" s="69">
        <v>0</v>
      </c>
    </row>
    <row r="3036" spans="1:9" hidden="1">
      <c r="A3036" s="64" t="s">
        <v>295</v>
      </c>
      <c r="B3036" s="65">
        <v>2037</v>
      </c>
      <c r="C3036" s="65">
        <v>2023</v>
      </c>
      <c r="D3036" s="65" t="s">
        <v>318</v>
      </c>
      <c r="E3036" s="65" t="s">
        <v>294</v>
      </c>
      <c r="F3036" s="65" t="s">
        <v>40</v>
      </c>
      <c r="G3036" s="65"/>
      <c r="H3036" s="65"/>
      <c r="I3036" s="66">
        <v>465352.75768784143</v>
      </c>
    </row>
    <row r="3037" spans="1:9" hidden="1">
      <c r="A3037" s="67" t="s">
        <v>295</v>
      </c>
      <c r="B3037" s="68">
        <v>2037</v>
      </c>
      <c r="C3037" s="68">
        <v>2023</v>
      </c>
      <c r="D3037" s="68" t="s">
        <v>318</v>
      </c>
      <c r="E3037" s="68" t="s">
        <v>301</v>
      </c>
      <c r="F3037" s="68" t="s">
        <v>297</v>
      </c>
      <c r="G3037" s="68"/>
      <c r="H3037" s="68"/>
      <c r="I3037" s="69">
        <v>552372.56305114215</v>
      </c>
    </row>
    <row r="3038" spans="1:9" hidden="1">
      <c r="A3038" s="64" t="s">
        <v>295</v>
      </c>
      <c r="B3038" s="65">
        <v>2037</v>
      </c>
      <c r="C3038" s="65">
        <v>2023</v>
      </c>
      <c r="D3038" s="65" t="s">
        <v>318</v>
      </c>
      <c r="E3038" s="65" t="s">
        <v>301</v>
      </c>
      <c r="F3038" s="65" t="s">
        <v>298</v>
      </c>
      <c r="G3038" s="65"/>
      <c r="H3038" s="65"/>
      <c r="I3038" s="66">
        <v>0</v>
      </c>
    </row>
    <row r="3039" spans="1:9" hidden="1">
      <c r="A3039" s="67" t="s">
        <v>295</v>
      </c>
      <c r="B3039" s="68">
        <v>2037</v>
      </c>
      <c r="C3039" s="68">
        <v>2023</v>
      </c>
      <c r="D3039" s="68" t="s">
        <v>318</v>
      </c>
      <c r="E3039" s="68" t="s">
        <v>301</v>
      </c>
      <c r="F3039" s="68" t="s">
        <v>40</v>
      </c>
      <c r="G3039" s="68"/>
      <c r="H3039" s="68"/>
      <c r="I3039" s="69">
        <v>552372.56305114215</v>
      </c>
    </row>
    <row r="3040" spans="1:9" hidden="1">
      <c r="A3040" s="64" t="s">
        <v>295</v>
      </c>
      <c r="B3040" s="65">
        <v>2037</v>
      </c>
      <c r="C3040" s="65">
        <v>2023</v>
      </c>
      <c r="D3040" s="65" t="s">
        <v>318</v>
      </c>
      <c r="E3040" s="65" t="s">
        <v>305</v>
      </c>
      <c r="F3040" s="65" t="s">
        <v>297</v>
      </c>
      <c r="G3040" s="65"/>
      <c r="H3040" s="65"/>
      <c r="I3040" s="66">
        <v>8742.2487000000001</v>
      </c>
    </row>
    <row r="3041" spans="1:9" hidden="1">
      <c r="A3041" s="67" t="s">
        <v>295</v>
      </c>
      <c r="B3041" s="68">
        <v>2037</v>
      </c>
      <c r="C3041" s="68">
        <v>2023</v>
      </c>
      <c r="D3041" s="68" t="s">
        <v>318</v>
      </c>
      <c r="E3041" s="68" t="s">
        <v>305</v>
      </c>
      <c r="F3041" s="68" t="s">
        <v>40</v>
      </c>
      <c r="G3041" s="68"/>
      <c r="H3041" s="68"/>
      <c r="I3041" s="69">
        <v>39427.948700000001</v>
      </c>
    </row>
    <row r="3042" spans="1:9" hidden="1">
      <c r="A3042" s="64" t="s">
        <v>295</v>
      </c>
      <c r="B3042" s="65">
        <v>2037</v>
      </c>
      <c r="C3042" s="65">
        <v>2023</v>
      </c>
      <c r="D3042" s="65" t="s">
        <v>320</v>
      </c>
      <c r="E3042" s="65" t="s">
        <v>294</v>
      </c>
      <c r="F3042" s="65" t="s">
        <v>297</v>
      </c>
      <c r="G3042" s="65"/>
      <c r="H3042" s="65"/>
      <c r="I3042" s="66">
        <v>3389.6723623447479</v>
      </c>
    </row>
    <row r="3043" spans="1:9" hidden="1">
      <c r="A3043" s="67" t="s">
        <v>295</v>
      </c>
      <c r="B3043" s="68">
        <v>2037</v>
      </c>
      <c r="C3043" s="68">
        <v>2023</v>
      </c>
      <c r="D3043" s="68" t="s">
        <v>320</v>
      </c>
      <c r="E3043" s="68" t="s">
        <v>294</v>
      </c>
      <c r="F3043" s="68" t="s">
        <v>298</v>
      </c>
      <c r="G3043" s="68"/>
      <c r="H3043" s="68"/>
      <c r="I3043" s="69">
        <v>0</v>
      </c>
    </row>
    <row r="3044" spans="1:9" hidden="1">
      <c r="A3044" s="64" t="s">
        <v>295</v>
      </c>
      <c r="B3044" s="65">
        <v>2037</v>
      </c>
      <c r="C3044" s="65">
        <v>2023</v>
      </c>
      <c r="D3044" s="65" t="s">
        <v>320</v>
      </c>
      <c r="E3044" s="65" t="s">
        <v>294</v>
      </c>
      <c r="F3044" s="65" t="s">
        <v>40</v>
      </c>
      <c r="G3044" s="65"/>
      <c r="H3044" s="65"/>
      <c r="I3044" s="66">
        <v>3389.6723623447479</v>
      </c>
    </row>
    <row r="3045" spans="1:9" hidden="1">
      <c r="A3045" s="67" t="s">
        <v>295</v>
      </c>
      <c r="B3045" s="68">
        <v>2037</v>
      </c>
      <c r="C3045" s="68">
        <v>2023</v>
      </c>
      <c r="D3045" s="68" t="s">
        <v>320</v>
      </c>
      <c r="E3045" s="68" t="s">
        <v>301</v>
      </c>
      <c r="F3045" s="68" t="s">
        <v>297</v>
      </c>
      <c r="G3045" s="68"/>
      <c r="H3045" s="68"/>
      <c r="I3045" s="69">
        <v>4219.3213089737746</v>
      </c>
    </row>
    <row r="3046" spans="1:9" hidden="1">
      <c r="A3046" s="64" t="s">
        <v>295</v>
      </c>
      <c r="B3046" s="65">
        <v>2037</v>
      </c>
      <c r="C3046" s="65">
        <v>2023</v>
      </c>
      <c r="D3046" s="65" t="s">
        <v>320</v>
      </c>
      <c r="E3046" s="65" t="s">
        <v>301</v>
      </c>
      <c r="F3046" s="65" t="s">
        <v>298</v>
      </c>
      <c r="G3046" s="65"/>
      <c r="H3046" s="65"/>
      <c r="I3046" s="66">
        <v>0</v>
      </c>
    </row>
    <row r="3047" spans="1:9" hidden="1">
      <c r="A3047" s="67" t="s">
        <v>295</v>
      </c>
      <c r="B3047" s="68">
        <v>2037</v>
      </c>
      <c r="C3047" s="68">
        <v>2023</v>
      </c>
      <c r="D3047" s="68" t="s">
        <v>320</v>
      </c>
      <c r="E3047" s="68" t="s">
        <v>301</v>
      </c>
      <c r="F3047" s="68" t="s">
        <v>40</v>
      </c>
      <c r="G3047" s="68"/>
      <c r="H3047" s="68"/>
      <c r="I3047" s="69">
        <v>4219.3213089737746</v>
      </c>
    </row>
    <row r="3048" spans="1:9" hidden="1">
      <c r="A3048" s="64" t="s">
        <v>295</v>
      </c>
      <c r="B3048" s="65">
        <v>2037</v>
      </c>
      <c r="C3048" s="65">
        <v>2023</v>
      </c>
      <c r="D3048" s="65" t="s">
        <v>320</v>
      </c>
      <c r="E3048" s="65" t="s">
        <v>305</v>
      </c>
      <c r="F3048" s="65" t="s">
        <v>297</v>
      </c>
      <c r="G3048" s="65"/>
      <c r="H3048" s="65"/>
      <c r="I3048" s="66">
        <v>38.299999999999997</v>
      </c>
    </row>
    <row r="3049" spans="1:9" hidden="1">
      <c r="A3049" s="67" t="s">
        <v>295</v>
      </c>
      <c r="B3049" s="68">
        <v>2037</v>
      </c>
      <c r="C3049" s="68">
        <v>2023</v>
      </c>
      <c r="D3049" s="68" t="s">
        <v>320</v>
      </c>
      <c r="E3049" s="68" t="s">
        <v>305</v>
      </c>
      <c r="F3049" s="68" t="s">
        <v>40</v>
      </c>
      <c r="G3049" s="68"/>
      <c r="H3049" s="68"/>
      <c r="I3049" s="69">
        <v>1238.9000000000001</v>
      </c>
    </row>
    <row r="3050" spans="1:9" hidden="1">
      <c r="A3050" s="64" t="s">
        <v>295</v>
      </c>
      <c r="B3050" s="65">
        <v>2037</v>
      </c>
      <c r="C3050" s="65">
        <v>2023</v>
      </c>
      <c r="D3050" s="65" t="s">
        <v>321</v>
      </c>
      <c r="E3050" s="65" t="s">
        <v>294</v>
      </c>
      <c r="F3050" s="65" t="s">
        <v>297</v>
      </c>
      <c r="G3050" s="65"/>
      <c r="H3050" s="65"/>
      <c r="I3050" s="66">
        <v>17189.056821074741</v>
      </c>
    </row>
    <row r="3051" spans="1:9" hidden="1">
      <c r="A3051" s="67" t="s">
        <v>295</v>
      </c>
      <c r="B3051" s="68">
        <v>2037</v>
      </c>
      <c r="C3051" s="68">
        <v>2023</v>
      </c>
      <c r="D3051" s="68" t="s">
        <v>321</v>
      </c>
      <c r="E3051" s="68" t="s">
        <v>294</v>
      </c>
      <c r="F3051" s="68" t="s">
        <v>298</v>
      </c>
      <c r="G3051" s="68"/>
      <c r="H3051" s="68"/>
      <c r="I3051" s="69">
        <v>0</v>
      </c>
    </row>
    <row r="3052" spans="1:9" hidden="1">
      <c r="A3052" s="64" t="s">
        <v>295</v>
      </c>
      <c r="B3052" s="65">
        <v>2037</v>
      </c>
      <c r="C3052" s="65">
        <v>2023</v>
      </c>
      <c r="D3052" s="65" t="s">
        <v>321</v>
      </c>
      <c r="E3052" s="65" t="s">
        <v>294</v>
      </c>
      <c r="F3052" s="65" t="s">
        <v>40</v>
      </c>
      <c r="G3052" s="65"/>
      <c r="H3052" s="65"/>
      <c r="I3052" s="66">
        <v>17189.056661074741</v>
      </c>
    </row>
    <row r="3053" spans="1:9" hidden="1">
      <c r="A3053" s="67" t="s">
        <v>295</v>
      </c>
      <c r="B3053" s="68">
        <v>2037</v>
      </c>
      <c r="C3053" s="68">
        <v>2023</v>
      </c>
      <c r="D3053" s="68" t="s">
        <v>321</v>
      </c>
      <c r="E3053" s="68" t="s">
        <v>301</v>
      </c>
      <c r="F3053" s="68" t="s">
        <v>297</v>
      </c>
      <c r="G3053" s="68"/>
      <c r="H3053" s="68"/>
      <c r="I3053" s="69">
        <v>17497.56046873505</v>
      </c>
    </row>
    <row r="3054" spans="1:9" hidden="1">
      <c r="A3054" s="64" t="s">
        <v>295</v>
      </c>
      <c r="B3054" s="65">
        <v>2037</v>
      </c>
      <c r="C3054" s="65">
        <v>2023</v>
      </c>
      <c r="D3054" s="65" t="s">
        <v>321</v>
      </c>
      <c r="E3054" s="65" t="s">
        <v>301</v>
      </c>
      <c r="F3054" s="65" t="s">
        <v>298</v>
      </c>
      <c r="G3054" s="65"/>
      <c r="H3054" s="65"/>
      <c r="I3054" s="66">
        <v>0</v>
      </c>
    </row>
    <row r="3055" spans="1:9" hidden="1">
      <c r="A3055" s="67" t="s">
        <v>295</v>
      </c>
      <c r="B3055" s="68">
        <v>2037</v>
      </c>
      <c r="C3055" s="68">
        <v>2023</v>
      </c>
      <c r="D3055" s="68" t="s">
        <v>321</v>
      </c>
      <c r="E3055" s="68" t="s">
        <v>301</v>
      </c>
      <c r="F3055" s="68" t="s">
        <v>40</v>
      </c>
      <c r="G3055" s="68"/>
      <c r="H3055" s="68"/>
      <c r="I3055" s="69">
        <v>17497.560308735039</v>
      </c>
    </row>
    <row r="3056" spans="1:9" hidden="1">
      <c r="A3056" s="64" t="s">
        <v>295</v>
      </c>
      <c r="B3056" s="65">
        <v>2037</v>
      </c>
      <c r="C3056" s="65">
        <v>2023</v>
      </c>
      <c r="D3056" s="65" t="s">
        <v>321</v>
      </c>
      <c r="E3056" s="65" t="s">
        <v>305</v>
      </c>
      <c r="F3056" s="65" t="s">
        <v>297</v>
      </c>
      <c r="G3056" s="65"/>
      <c r="H3056" s="65"/>
      <c r="I3056" s="66">
        <v>50.536859999999997</v>
      </c>
    </row>
    <row r="3057" spans="1:9" hidden="1">
      <c r="A3057" s="67" t="s">
        <v>295</v>
      </c>
      <c r="B3057" s="68">
        <v>2037</v>
      </c>
      <c r="C3057" s="68">
        <v>2023</v>
      </c>
      <c r="D3057" s="68" t="s">
        <v>321</v>
      </c>
      <c r="E3057" s="68" t="s">
        <v>305</v>
      </c>
      <c r="F3057" s="68" t="s">
        <v>40</v>
      </c>
      <c r="G3057" s="68"/>
      <c r="H3057" s="68"/>
      <c r="I3057" s="69">
        <v>385.03685999999999</v>
      </c>
    </row>
    <row r="3058" spans="1:9" hidden="1">
      <c r="A3058" s="64" t="s">
        <v>295</v>
      </c>
      <c r="B3058" s="65">
        <v>2037</v>
      </c>
      <c r="C3058" s="65">
        <v>2023</v>
      </c>
      <c r="D3058" s="65" t="s">
        <v>322</v>
      </c>
      <c r="E3058" s="65" t="s">
        <v>294</v>
      </c>
      <c r="F3058" s="65" t="s">
        <v>297</v>
      </c>
      <c r="G3058" s="65"/>
      <c r="H3058" s="65"/>
      <c r="I3058" s="66">
        <v>1225.43032105099</v>
      </c>
    </row>
    <row r="3059" spans="1:9" hidden="1">
      <c r="A3059" s="67" t="s">
        <v>295</v>
      </c>
      <c r="B3059" s="68">
        <v>2037</v>
      </c>
      <c r="C3059" s="68">
        <v>2023</v>
      </c>
      <c r="D3059" s="68" t="s">
        <v>322</v>
      </c>
      <c r="E3059" s="68" t="s">
        <v>294</v>
      </c>
      <c r="F3059" s="68" t="s">
        <v>298</v>
      </c>
      <c r="G3059" s="68"/>
      <c r="H3059" s="68"/>
      <c r="I3059" s="69">
        <v>3359.2543899474572</v>
      </c>
    </row>
    <row r="3060" spans="1:9" hidden="1">
      <c r="A3060" s="64" t="s">
        <v>295</v>
      </c>
      <c r="B3060" s="65">
        <v>2037</v>
      </c>
      <c r="C3060" s="65">
        <v>2023</v>
      </c>
      <c r="D3060" s="65" t="s">
        <v>322</v>
      </c>
      <c r="E3060" s="65" t="s">
        <v>294</v>
      </c>
      <c r="F3060" s="65" t="s">
        <v>40</v>
      </c>
      <c r="G3060" s="65"/>
      <c r="H3060" s="65"/>
      <c r="I3060" s="66">
        <v>4584.584710998447</v>
      </c>
    </row>
    <row r="3061" spans="1:9" hidden="1">
      <c r="A3061" s="67" t="s">
        <v>295</v>
      </c>
      <c r="B3061" s="68">
        <v>2037</v>
      </c>
      <c r="C3061" s="68">
        <v>2023</v>
      </c>
      <c r="D3061" s="68" t="s">
        <v>322</v>
      </c>
      <c r="E3061" s="68" t="s">
        <v>301</v>
      </c>
      <c r="F3061" s="68" t="s">
        <v>297</v>
      </c>
      <c r="G3061" s="68"/>
      <c r="H3061" s="68"/>
      <c r="I3061" s="69">
        <v>1470.949081679232</v>
      </c>
    </row>
    <row r="3062" spans="1:9" hidden="1">
      <c r="A3062" s="64" t="s">
        <v>295</v>
      </c>
      <c r="B3062" s="65">
        <v>2037</v>
      </c>
      <c r="C3062" s="65">
        <v>2023</v>
      </c>
      <c r="D3062" s="65" t="s">
        <v>322</v>
      </c>
      <c r="E3062" s="65" t="s">
        <v>301</v>
      </c>
      <c r="F3062" s="65" t="s">
        <v>298</v>
      </c>
      <c r="G3062" s="65"/>
      <c r="H3062" s="65"/>
      <c r="I3062" s="66">
        <v>3558.9847046037412</v>
      </c>
    </row>
    <row r="3063" spans="1:9" hidden="1">
      <c r="A3063" s="67" t="s">
        <v>295</v>
      </c>
      <c r="B3063" s="68">
        <v>2037</v>
      </c>
      <c r="C3063" s="68">
        <v>2023</v>
      </c>
      <c r="D3063" s="68" t="s">
        <v>322</v>
      </c>
      <c r="E3063" s="68" t="s">
        <v>301</v>
      </c>
      <c r="F3063" s="68" t="s">
        <v>40</v>
      </c>
      <c r="G3063" s="68"/>
      <c r="H3063" s="68"/>
      <c r="I3063" s="69">
        <v>5029.8337862829731</v>
      </c>
    </row>
    <row r="3064" spans="1:9" hidden="1">
      <c r="A3064" s="64" t="s">
        <v>295</v>
      </c>
      <c r="B3064" s="65">
        <v>2037</v>
      </c>
      <c r="C3064" s="65">
        <v>2023</v>
      </c>
      <c r="D3064" s="65" t="s">
        <v>322</v>
      </c>
      <c r="E3064" s="65" t="s">
        <v>305</v>
      </c>
      <c r="F3064" s="65" t="s">
        <v>297</v>
      </c>
      <c r="G3064" s="65"/>
      <c r="H3064" s="65"/>
      <c r="I3064" s="66">
        <v>7.2</v>
      </c>
    </row>
    <row r="3065" spans="1:9" hidden="1">
      <c r="A3065" s="67" t="s">
        <v>295</v>
      </c>
      <c r="B3065" s="68">
        <v>2037</v>
      </c>
      <c r="C3065" s="68">
        <v>2023</v>
      </c>
      <c r="D3065" s="68" t="s">
        <v>322</v>
      </c>
      <c r="E3065" s="68" t="s">
        <v>305</v>
      </c>
      <c r="F3065" s="68" t="s">
        <v>40</v>
      </c>
      <c r="G3065" s="68"/>
      <c r="H3065" s="68"/>
      <c r="I3065" s="69">
        <v>301.89999999999998</v>
      </c>
    </row>
    <row r="3066" spans="1:9" hidden="1">
      <c r="A3066" s="64" t="s">
        <v>295</v>
      </c>
      <c r="B3066" s="65">
        <v>2037</v>
      </c>
      <c r="C3066" s="65">
        <v>2023</v>
      </c>
      <c r="D3066" s="65" t="s">
        <v>323</v>
      </c>
      <c r="E3066" s="65" t="s">
        <v>294</v>
      </c>
      <c r="F3066" s="65" t="s">
        <v>297</v>
      </c>
      <c r="G3066" s="65"/>
      <c r="H3066" s="65"/>
      <c r="I3066" s="66">
        <v>299533.93926173652</v>
      </c>
    </row>
    <row r="3067" spans="1:9" hidden="1">
      <c r="A3067" s="67" t="s">
        <v>295</v>
      </c>
      <c r="B3067" s="68">
        <v>2037</v>
      </c>
      <c r="C3067" s="68">
        <v>2023</v>
      </c>
      <c r="D3067" s="68" t="s">
        <v>323</v>
      </c>
      <c r="E3067" s="68" t="s">
        <v>294</v>
      </c>
      <c r="F3067" s="68" t="s">
        <v>298</v>
      </c>
      <c r="G3067" s="68"/>
      <c r="H3067" s="68"/>
      <c r="I3067" s="69">
        <v>1389.1343287154621</v>
      </c>
    </row>
    <row r="3068" spans="1:9" hidden="1">
      <c r="A3068" s="64" t="s">
        <v>295</v>
      </c>
      <c r="B3068" s="65">
        <v>2037</v>
      </c>
      <c r="C3068" s="65">
        <v>2023</v>
      </c>
      <c r="D3068" s="65" t="s">
        <v>323</v>
      </c>
      <c r="E3068" s="65" t="s">
        <v>294</v>
      </c>
      <c r="F3068" s="65" t="s">
        <v>40</v>
      </c>
      <c r="G3068" s="65"/>
      <c r="H3068" s="65"/>
      <c r="I3068" s="66">
        <v>300922.8735729726</v>
      </c>
    </row>
    <row r="3069" spans="1:9" hidden="1">
      <c r="A3069" s="67" t="s">
        <v>295</v>
      </c>
      <c r="B3069" s="68">
        <v>2037</v>
      </c>
      <c r="C3069" s="68">
        <v>2023</v>
      </c>
      <c r="D3069" s="68" t="s">
        <v>323</v>
      </c>
      <c r="E3069" s="68" t="s">
        <v>301</v>
      </c>
      <c r="F3069" s="68" t="s">
        <v>297</v>
      </c>
      <c r="G3069" s="68"/>
      <c r="H3069" s="68"/>
      <c r="I3069" s="69">
        <v>359810.08528342808</v>
      </c>
    </row>
    <row r="3070" spans="1:9" hidden="1">
      <c r="A3070" s="64" t="s">
        <v>295</v>
      </c>
      <c r="B3070" s="65">
        <v>2037</v>
      </c>
      <c r="C3070" s="65">
        <v>2023</v>
      </c>
      <c r="D3070" s="65" t="s">
        <v>323</v>
      </c>
      <c r="E3070" s="65" t="s">
        <v>301</v>
      </c>
      <c r="F3070" s="65" t="s">
        <v>298</v>
      </c>
      <c r="G3070" s="65"/>
      <c r="H3070" s="65"/>
      <c r="I3070" s="66">
        <v>1537.524324444136</v>
      </c>
    </row>
    <row r="3071" spans="1:9" hidden="1">
      <c r="A3071" s="67" t="s">
        <v>295</v>
      </c>
      <c r="B3071" s="68">
        <v>2037</v>
      </c>
      <c r="C3071" s="68">
        <v>2023</v>
      </c>
      <c r="D3071" s="68" t="s">
        <v>323</v>
      </c>
      <c r="E3071" s="68" t="s">
        <v>301</v>
      </c>
      <c r="F3071" s="68" t="s">
        <v>40</v>
      </c>
      <c r="G3071" s="68"/>
      <c r="H3071" s="68"/>
      <c r="I3071" s="69">
        <v>361347.50960787223</v>
      </c>
    </row>
    <row r="3072" spans="1:9" hidden="1">
      <c r="A3072" s="64" t="s">
        <v>295</v>
      </c>
      <c r="B3072" s="65">
        <v>2037</v>
      </c>
      <c r="C3072" s="65">
        <v>2023</v>
      </c>
      <c r="D3072" s="65" t="s">
        <v>323</v>
      </c>
      <c r="E3072" s="65" t="s">
        <v>305</v>
      </c>
      <c r="F3072" s="65" t="s">
        <v>297</v>
      </c>
      <c r="G3072" s="65"/>
      <c r="H3072" s="65"/>
      <c r="I3072" s="66">
        <v>1483.5297499999999</v>
      </c>
    </row>
    <row r="3073" spans="1:9" hidden="1">
      <c r="A3073" s="67" t="s">
        <v>295</v>
      </c>
      <c r="B3073" s="68">
        <v>2037</v>
      </c>
      <c r="C3073" s="68">
        <v>2023</v>
      </c>
      <c r="D3073" s="68" t="s">
        <v>323</v>
      </c>
      <c r="E3073" s="68" t="s">
        <v>305</v>
      </c>
      <c r="F3073" s="68" t="s">
        <v>40</v>
      </c>
      <c r="G3073" s="68"/>
      <c r="H3073" s="68"/>
      <c r="I3073" s="69">
        <v>18831.329750000001</v>
      </c>
    </row>
    <row r="3074" spans="1:9" hidden="1">
      <c r="A3074" s="64" t="s">
        <v>295</v>
      </c>
      <c r="B3074" s="65">
        <v>2037</v>
      </c>
      <c r="C3074" s="65">
        <v>2023</v>
      </c>
      <c r="D3074" s="65" t="s">
        <v>324</v>
      </c>
      <c r="E3074" s="65" t="s">
        <v>294</v>
      </c>
      <c r="F3074" s="65" t="s">
        <v>297</v>
      </c>
      <c r="G3074" s="65"/>
      <c r="H3074" s="65"/>
      <c r="I3074" s="66">
        <v>3542.35916</v>
      </c>
    </row>
    <row r="3075" spans="1:9" hidden="1">
      <c r="A3075" s="67" t="s">
        <v>295</v>
      </c>
      <c r="B3075" s="68">
        <v>2037</v>
      </c>
      <c r="C3075" s="68">
        <v>2023</v>
      </c>
      <c r="D3075" s="68" t="s">
        <v>324</v>
      </c>
      <c r="E3075" s="68" t="s">
        <v>294</v>
      </c>
      <c r="F3075" s="68" t="s">
        <v>298</v>
      </c>
      <c r="G3075" s="68"/>
      <c r="H3075" s="68"/>
      <c r="I3075" s="69">
        <v>0</v>
      </c>
    </row>
    <row r="3076" spans="1:9" hidden="1">
      <c r="A3076" s="64" t="s">
        <v>295</v>
      </c>
      <c r="B3076" s="65">
        <v>2037</v>
      </c>
      <c r="C3076" s="65">
        <v>2023</v>
      </c>
      <c r="D3076" s="65" t="s">
        <v>324</v>
      </c>
      <c r="E3076" s="65" t="s">
        <v>294</v>
      </c>
      <c r="F3076" s="65" t="s">
        <v>40</v>
      </c>
      <c r="G3076" s="65"/>
      <c r="H3076" s="65"/>
      <c r="I3076" s="66">
        <v>3542.35916</v>
      </c>
    </row>
    <row r="3077" spans="1:9" hidden="1">
      <c r="A3077" s="67" t="s">
        <v>295</v>
      </c>
      <c r="B3077" s="68">
        <v>2037</v>
      </c>
      <c r="C3077" s="68">
        <v>2023</v>
      </c>
      <c r="D3077" s="68" t="s">
        <v>324</v>
      </c>
      <c r="E3077" s="68" t="s">
        <v>301</v>
      </c>
      <c r="F3077" s="68" t="s">
        <v>297</v>
      </c>
      <c r="G3077" s="68"/>
      <c r="H3077" s="68"/>
      <c r="I3077" s="69">
        <v>3542.7231400000001</v>
      </c>
    </row>
    <row r="3078" spans="1:9" hidden="1">
      <c r="A3078" s="64" t="s">
        <v>295</v>
      </c>
      <c r="B3078" s="65">
        <v>2037</v>
      </c>
      <c r="C3078" s="65">
        <v>2023</v>
      </c>
      <c r="D3078" s="65" t="s">
        <v>324</v>
      </c>
      <c r="E3078" s="65" t="s">
        <v>301</v>
      </c>
      <c r="F3078" s="65" t="s">
        <v>298</v>
      </c>
      <c r="G3078" s="65"/>
      <c r="H3078" s="65"/>
      <c r="I3078" s="66">
        <v>0</v>
      </c>
    </row>
    <row r="3079" spans="1:9" hidden="1">
      <c r="A3079" s="67" t="s">
        <v>295</v>
      </c>
      <c r="B3079" s="68">
        <v>2037</v>
      </c>
      <c r="C3079" s="68">
        <v>2023</v>
      </c>
      <c r="D3079" s="68" t="s">
        <v>324</v>
      </c>
      <c r="E3079" s="68" t="s">
        <v>301</v>
      </c>
      <c r="F3079" s="68" t="s">
        <v>40</v>
      </c>
      <c r="G3079" s="68"/>
      <c r="H3079" s="68"/>
      <c r="I3079" s="69">
        <v>3542.7231400000001</v>
      </c>
    </row>
    <row r="3080" spans="1:9" hidden="1">
      <c r="A3080" s="64" t="s">
        <v>295</v>
      </c>
      <c r="B3080" s="65">
        <v>2037</v>
      </c>
      <c r="C3080" s="65">
        <v>2023</v>
      </c>
      <c r="D3080" s="65" t="s">
        <v>324</v>
      </c>
      <c r="E3080" s="65" t="s">
        <v>305</v>
      </c>
      <c r="F3080" s="65" t="s">
        <v>297</v>
      </c>
      <c r="G3080" s="65"/>
      <c r="H3080" s="65"/>
      <c r="I3080" s="66">
        <v>4.0999999999999996</v>
      </c>
    </row>
    <row r="3081" spans="1:9" hidden="1">
      <c r="A3081" s="67" t="s">
        <v>295</v>
      </c>
      <c r="B3081" s="68">
        <v>2037</v>
      </c>
      <c r="C3081" s="68">
        <v>2023</v>
      </c>
      <c r="D3081" s="68" t="s">
        <v>324</v>
      </c>
      <c r="E3081" s="68" t="s">
        <v>305</v>
      </c>
      <c r="F3081" s="68" t="s">
        <v>40</v>
      </c>
      <c r="G3081" s="68"/>
      <c r="H3081" s="68"/>
      <c r="I3081" s="69">
        <v>1246.2</v>
      </c>
    </row>
    <row r="3082" spans="1:9" hidden="1">
      <c r="A3082" s="64" t="s">
        <v>295</v>
      </c>
      <c r="B3082" s="65">
        <v>2037</v>
      </c>
      <c r="C3082" s="65">
        <v>2023</v>
      </c>
      <c r="D3082" s="65" t="s">
        <v>325</v>
      </c>
      <c r="E3082" s="65" t="s">
        <v>294</v>
      </c>
      <c r="F3082" s="65" t="s">
        <v>297</v>
      </c>
      <c r="G3082" s="65"/>
      <c r="H3082" s="65"/>
      <c r="I3082" s="66">
        <v>49549.331051685091</v>
      </c>
    </row>
    <row r="3083" spans="1:9" hidden="1">
      <c r="A3083" s="67" t="s">
        <v>295</v>
      </c>
      <c r="B3083" s="68">
        <v>2037</v>
      </c>
      <c r="C3083" s="68">
        <v>2023</v>
      </c>
      <c r="D3083" s="68" t="s">
        <v>325</v>
      </c>
      <c r="E3083" s="68" t="s">
        <v>294</v>
      </c>
      <c r="F3083" s="68" t="s">
        <v>298</v>
      </c>
      <c r="G3083" s="68"/>
      <c r="H3083" s="68"/>
      <c r="I3083" s="69">
        <v>12918.74495413154</v>
      </c>
    </row>
    <row r="3084" spans="1:9" hidden="1">
      <c r="A3084" s="64" t="s">
        <v>295</v>
      </c>
      <c r="B3084" s="65">
        <v>2037</v>
      </c>
      <c r="C3084" s="65">
        <v>2023</v>
      </c>
      <c r="D3084" s="65" t="s">
        <v>325</v>
      </c>
      <c r="E3084" s="65" t="s">
        <v>294</v>
      </c>
      <c r="F3084" s="65" t="s">
        <v>40</v>
      </c>
      <c r="G3084" s="65"/>
      <c r="H3084" s="65"/>
      <c r="I3084" s="66">
        <v>62468.076025816626</v>
      </c>
    </row>
    <row r="3085" spans="1:9" hidden="1">
      <c r="A3085" s="67" t="s">
        <v>295</v>
      </c>
      <c r="B3085" s="68">
        <v>2037</v>
      </c>
      <c r="C3085" s="68">
        <v>2023</v>
      </c>
      <c r="D3085" s="68" t="s">
        <v>325</v>
      </c>
      <c r="E3085" s="68" t="s">
        <v>301</v>
      </c>
      <c r="F3085" s="68" t="s">
        <v>297</v>
      </c>
      <c r="G3085" s="68"/>
      <c r="H3085" s="68"/>
      <c r="I3085" s="69">
        <v>51861.602011835028</v>
      </c>
    </row>
    <row r="3086" spans="1:9" hidden="1">
      <c r="A3086" s="64" t="s">
        <v>295</v>
      </c>
      <c r="B3086" s="65">
        <v>2037</v>
      </c>
      <c r="C3086" s="65">
        <v>2023</v>
      </c>
      <c r="D3086" s="65" t="s">
        <v>325</v>
      </c>
      <c r="E3086" s="65" t="s">
        <v>301</v>
      </c>
      <c r="F3086" s="65" t="s">
        <v>298</v>
      </c>
      <c r="G3086" s="65"/>
      <c r="H3086" s="65"/>
      <c r="I3086" s="66">
        <v>14428.48463816497</v>
      </c>
    </row>
    <row r="3087" spans="1:9" hidden="1">
      <c r="A3087" s="67" t="s">
        <v>295</v>
      </c>
      <c r="B3087" s="68">
        <v>2037</v>
      </c>
      <c r="C3087" s="68">
        <v>2023</v>
      </c>
      <c r="D3087" s="68" t="s">
        <v>325</v>
      </c>
      <c r="E3087" s="68" t="s">
        <v>301</v>
      </c>
      <c r="F3087" s="68" t="s">
        <v>40</v>
      </c>
      <c r="G3087" s="68"/>
      <c r="H3087" s="68"/>
      <c r="I3087" s="69">
        <v>66290.086660000001</v>
      </c>
    </row>
    <row r="3088" spans="1:9" hidden="1">
      <c r="A3088" s="64" t="s">
        <v>295</v>
      </c>
      <c r="B3088" s="65">
        <v>2037</v>
      </c>
      <c r="C3088" s="65">
        <v>2023</v>
      </c>
      <c r="D3088" s="65" t="s">
        <v>325</v>
      </c>
      <c r="E3088" s="65" t="s">
        <v>305</v>
      </c>
      <c r="F3088" s="65" t="s">
        <v>297</v>
      </c>
      <c r="G3088" s="65"/>
      <c r="H3088" s="65"/>
      <c r="I3088" s="66">
        <v>430.1</v>
      </c>
    </row>
    <row r="3089" spans="1:9" hidden="1">
      <c r="A3089" s="67" t="s">
        <v>295</v>
      </c>
      <c r="B3089" s="68">
        <v>2037</v>
      </c>
      <c r="C3089" s="68">
        <v>2023</v>
      </c>
      <c r="D3089" s="68" t="s">
        <v>325</v>
      </c>
      <c r="E3089" s="68" t="s">
        <v>305</v>
      </c>
      <c r="F3089" s="68" t="s">
        <v>298</v>
      </c>
      <c r="G3089" s="68"/>
      <c r="H3089" s="68"/>
      <c r="I3089" s="69">
        <v>69.900000000000006</v>
      </c>
    </row>
    <row r="3090" spans="1:9" hidden="1">
      <c r="A3090" s="64" t="s">
        <v>295</v>
      </c>
      <c r="B3090" s="65">
        <v>2037</v>
      </c>
      <c r="C3090" s="65">
        <v>2023</v>
      </c>
      <c r="D3090" s="65" t="s">
        <v>325</v>
      </c>
      <c r="E3090" s="65" t="s">
        <v>305</v>
      </c>
      <c r="F3090" s="65" t="s">
        <v>40</v>
      </c>
      <c r="G3090" s="65"/>
      <c r="H3090" s="65"/>
      <c r="I3090" s="66">
        <v>18675.8</v>
      </c>
    </row>
    <row r="3091" spans="1:9" hidden="1">
      <c r="A3091" s="67" t="s">
        <v>295</v>
      </c>
      <c r="B3091" s="68">
        <v>2037</v>
      </c>
      <c r="C3091" s="68">
        <v>2023</v>
      </c>
      <c r="D3091" s="68" t="s">
        <v>326</v>
      </c>
      <c r="E3091" s="68" t="s">
        <v>294</v>
      </c>
      <c r="F3091" s="68" t="s">
        <v>297</v>
      </c>
      <c r="G3091" s="68"/>
      <c r="H3091" s="68"/>
      <c r="I3091" s="69">
        <v>0</v>
      </c>
    </row>
    <row r="3092" spans="1:9" hidden="1">
      <c r="A3092" s="64" t="s">
        <v>295</v>
      </c>
      <c r="B3092" s="65">
        <v>2037</v>
      </c>
      <c r="C3092" s="65">
        <v>2023</v>
      </c>
      <c r="D3092" s="65" t="s">
        <v>326</v>
      </c>
      <c r="E3092" s="65" t="s">
        <v>294</v>
      </c>
      <c r="F3092" s="65" t="s">
        <v>298</v>
      </c>
      <c r="G3092" s="65"/>
      <c r="H3092" s="65"/>
      <c r="I3092" s="66">
        <v>0</v>
      </c>
    </row>
    <row r="3093" spans="1:9" hidden="1">
      <c r="A3093" s="67" t="s">
        <v>295</v>
      </c>
      <c r="B3093" s="68">
        <v>2037</v>
      </c>
      <c r="C3093" s="68">
        <v>2023</v>
      </c>
      <c r="D3093" s="68" t="s">
        <v>326</v>
      </c>
      <c r="E3093" s="68" t="s">
        <v>294</v>
      </c>
      <c r="F3093" s="68" t="s">
        <v>40</v>
      </c>
      <c r="G3093" s="68"/>
      <c r="H3093" s="68"/>
      <c r="I3093" s="69">
        <v>0</v>
      </c>
    </row>
    <row r="3094" spans="1:9" hidden="1">
      <c r="A3094" s="64" t="s">
        <v>295</v>
      </c>
      <c r="B3094" s="65">
        <v>2037</v>
      </c>
      <c r="C3094" s="65">
        <v>2023</v>
      </c>
      <c r="D3094" s="65" t="s">
        <v>326</v>
      </c>
      <c r="E3094" s="65" t="s">
        <v>301</v>
      </c>
      <c r="F3094" s="65" t="s">
        <v>297</v>
      </c>
      <c r="G3094" s="65"/>
      <c r="H3094" s="65"/>
      <c r="I3094" s="66">
        <v>0</v>
      </c>
    </row>
    <row r="3095" spans="1:9" hidden="1">
      <c r="A3095" s="67" t="s">
        <v>295</v>
      </c>
      <c r="B3095" s="68">
        <v>2037</v>
      </c>
      <c r="C3095" s="68">
        <v>2023</v>
      </c>
      <c r="D3095" s="68" t="s">
        <v>326</v>
      </c>
      <c r="E3095" s="68" t="s">
        <v>301</v>
      </c>
      <c r="F3095" s="68" t="s">
        <v>298</v>
      </c>
      <c r="G3095" s="68"/>
      <c r="H3095" s="68"/>
      <c r="I3095" s="69">
        <v>0</v>
      </c>
    </row>
    <row r="3096" spans="1:9" hidden="1">
      <c r="A3096" s="64" t="s">
        <v>295</v>
      </c>
      <c r="B3096" s="65">
        <v>2037</v>
      </c>
      <c r="C3096" s="65">
        <v>2023</v>
      </c>
      <c r="D3096" s="65" t="s">
        <v>326</v>
      </c>
      <c r="E3096" s="65" t="s">
        <v>301</v>
      </c>
      <c r="F3096" s="65" t="s">
        <v>40</v>
      </c>
      <c r="G3096" s="65"/>
      <c r="H3096" s="65"/>
      <c r="I3096" s="66">
        <v>0</v>
      </c>
    </row>
    <row r="3097" spans="1:9" hidden="1">
      <c r="A3097" s="67" t="s">
        <v>295</v>
      </c>
      <c r="B3097" s="68">
        <v>2037</v>
      </c>
      <c r="C3097" s="68">
        <v>2023</v>
      </c>
      <c r="D3097" s="68" t="s">
        <v>304</v>
      </c>
      <c r="E3097" s="68" t="s">
        <v>294</v>
      </c>
      <c r="F3097" s="68" t="s">
        <v>297</v>
      </c>
      <c r="G3097" s="68"/>
      <c r="H3097" s="68"/>
      <c r="I3097" s="69">
        <v>49550.526988186313</v>
      </c>
    </row>
    <row r="3098" spans="1:9" hidden="1">
      <c r="A3098" s="64" t="s">
        <v>295</v>
      </c>
      <c r="B3098" s="65">
        <v>2037</v>
      </c>
      <c r="C3098" s="65">
        <v>2023</v>
      </c>
      <c r="D3098" s="65" t="s">
        <v>304</v>
      </c>
      <c r="E3098" s="65" t="s">
        <v>294</v>
      </c>
      <c r="F3098" s="65" t="s">
        <v>298</v>
      </c>
      <c r="G3098" s="65"/>
      <c r="H3098" s="65"/>
      <c r="I3098" s="66">
        <v>173590.71914114649</v>
      </c>
    </row>
    <row r="3099" spans="1:9" hidden="1">
      <c r="A3099" s="67" t="s">
        <v>295</v>
      </c>
      <c r="B3099" s="68">
        <v>2037</v>
      </c>
      <c r="C3099" s="68">
        <v>2023</v>
      </c>
      <c r="D3099" s="68" t="s">
        <v>304</v>
      </c>
      <c r="E3099" s="68" t="s">
        <v>294</v>
      </c>
      <c r="F3099" s="68" t="s">
        <v>40</v>
      </c>
      <c r="G3099" s="68"/>
      <c r="H3099" s="68"/>
      <c r="I3099" s="69">
        <v>222881.05392670451</v>
      </c>
    </row>
    <row r="3100" spans="1:9" hidden="1">
      <c r="A3100" s="64" t="s">
        <v>295</v>
      </c>
      <c r="B3100" s="65">
        <v>2037</v>
      </c>
      <c r="C3100" s="65">
        <v>2023</v>
      </c>
      <c r="D3100" s="65" t="s">
        <v>304</v>
      </c>
      <c r="E3100" s="65" t="s">
        <v>301</v>
      </c>
      <c r="F3100" s="65" t="s">
        <v>297</v>
      </c>
      <c r="G3100" s="65"/>
      <c r="H3100" s="65"/>
      <c r="I3100" s="66">
        <v>52536.22911969768</v>
      </c>
    </row>
    <row r="3101" spans="1:9" hidden="1">
      <c r="A3101" s="67" t="s">
        <v>295</v>
      </c>
      <c r="B3101" s="68">
        <v>2037</v>
      </c>
      <c r="C3101" s="68">
        <v>2023</v>
      </c>
      <c r="D3101" s="68" t="s">
        <v>304</v>
      </c>
      <c r="E3101" s="68" t="s">
        <v>301</v>
      </c>
      <c r="F3101" s="68" t="s">
        <v>298</v>
      </c>
      <c r="G3101" s="68"/>
      <c r="H3101" s="68"/>
      <c r="I3101" s="69">
        <v>183416.6426483476</v>
      </c>
    </row>
    <row r="3102" spans="1:9" hidden="1">
      <c r="A3102" s="64" t="s">
        <v>295</v>
      </c>
      <c r="B3102" s="65">
        <v>2037</v>
      </c>
      <c r="C3102" s="65">
        <v>2023</v>
      </c>
      <c r="D3102" s="65" t="s">
        <v>304</v>
      </c>
      <c r="E3102" s="65" t="s">
        <v>301</v>
      </c>
      <c r="F3102" s="65" t="s">
        <v>40</v>
      </c>
      <c r="G3102" s="65"/>
      <c r="H3102" s="65"/>
      <c r="I3102" s="66">
        <v>235693.6142747722</v>
      </c>
    </row>
    <row r="3103" spans="1:9" hidden="1">
      <c r="A3103" s="67" t="s">
        <v>295</v>
      </c>
      <c r="B3103" s="68">
        <v>2037</v>
      </c>
      <c r="C3103" s="68">
        <v>2023</v>
      </c>
      <c r="D3103" s="68" t="s">
        <v>304</v>
      </c>
      <c r="E3103" s="68" t="s">
        <v>305</v>
      </c>
      <c r="F3103" s="68" t="s">
        <v>297</v>
      </c>
      <c r="G3103" s="68"/>
      <c r="H3103" s="68"/>
      <c r="I3103" s="69">
        <v>1155.1715799999999</v>
      </c>
    </row>
    <row r="3104" spans="1:9" hidden="1">
      <c r="A3104" s="64" t="s">
        <v>295</v>
      </c>
      <c r="B3104" s="65">
        <v>2037</v>
      </c>
      <c r="C3104" s="65">
        <v>2023</v>
      </c>
      <c r="D3104" s="65" t="s">
        <v>304</v>
      </c>
      <c r="E3104" s="65" t="s">
        <v>305</v>
      </c>
      <c r="F3104" s="65" t="s">
        <v>298</v>
      </c>
      <c r="G3104" s="65"/>
      <c r="H3104" s="65"/>
      <c r="I3104" s="66">
        <v>752.8</v>
      </c>
    </row>
    <row r="3105" spans="1:9" hidden="1">
      <c r="A3105" s="67" t="s">
        <v>295</v>
      </c>
      <c r="B3105" s="68">
        <v>2037</v>
      </c>
      <c r="C3105" s="68">
        <v>2023</v>
      </c>
      <c r="D3105" s="68" t="s">
        <v>304</v>
      </c>
      <c r="E3105" s="68" t="s">
        <v>305</v>
      </c>
      <c r="F3105" s="68" t="s">
        <v>40</v>
      </c>
      <c r="G3105" s="68"/>
      <c r="H3105" s="68"/>
      <c r="I3105" s="69">
        <v>16879.07158</v>
      </c>
    </row>
    <row r="3106" spans="1:9" hidden="1">
      <c r="A3106" s="64" t="s">
        <v>295</v>
      </c>
      <c r="B3106" s="65">
        <v>2037</v>
      </c>
      <c r="C3106" s="65">
        <v>2023</v>
      </c>
      <c r="D3106" s="65" t="s">
        <v>306</v>
      </c>
      <c r="E3106" s="65" t="s">
        <v>294</v>
      </c>
      <c r="F3106" s="65" t="s">
        <v>297</v>
      </c>
      <c r="G3106" s="65"/>
      <c r="H3106" s="65"/>
      <c r="I3106" s="66">
        <v>352061.72638149309</v>
      </c>
    </row>
    <row r="3107" spans="1:9" hidden="1">
      <c r="A3107" s="67" t="s">
        <v>295</v>
      </c>
      <c r="B3107" s="68">
        <v>2037</v>
      </c>
      <c r="C3107" s="68">
        <v>2023</v>
      </c>
      <c r="D3107" s="68" t="s">
        <v>306</v>
      </c>
      <c r="E3107" s="68" t="s">
        <v>294</v>
      </c>
      <c r="F3107" s="68" t="s">
        <v>40</v>
      </c>
      <c r="G3107" s="68"/>
      <c r="H3107" s="68"/>
      <c r="I3107" s="69">
        <v>352061.72638149309</v>
      </c>
    </row>
    <row r="3108" spans="1:9" hidden="1">
      <c r="A3108" s="64" t="s">
        <v>295</v>
      </c>
      <c r="B3108" s="65">
        <v>2037</v>
      </c>
      <c r="C3108" s="65">
        <v>2023</v>
      </c>
      <c r="D3108" s="65" t="s">
        <v>306</v>
      </c>
      <c r="E3108" s="65" t="s">
        <v>301</v>
      </c>
      <c r="F3108" s="65" t="s">
        <v>297</v>
      </c>
      <c r="G3108" s="65"/>
      <c r="H3108" s="65"/>
      <c r="I3108" s="66">
        <v>368344.98555856792</v>
      </c>
    </row>
    <row r="3109" spans="1:9" hidden="1">
      <c r="A3109" s="67" t="s">
        <v>295</v>
      </c>
      <c r="B3109" s="68">
        <v>2037</v>
      </c>
      <c r="C3109" s="68">
        <v>2023</v>
      </c>
      <c r="D3109" s="68" t="s">
        <v>306</v>
      </c>
      <c r="E3109" s="68" t="s">
        <v>301</v>
      </c>
      <c r="F3109" s="68" t="s">
        <v>40</v>
      </c>
      <c r="G3109" s="68"/>
      <c r="H3109" s="68"/>
      <c r="I3109" s="69">
        <v>368344.98555856792</v>
      </c>
    </row>
    <row r="3110" spans="1:9" hidden="1">
      <c r="A3110" s="64" t="s">
        <v>295</v>
      </c>
      <c r="B3110" s="65">
        <v>2037</v>
      </c>
      <c r="C3110" s="65">
        <v>2023</v>
      </c>
      <c r="D3110" s="65" t="s">
        <v>306</v>
      </c>
      <c r="E3110" s="65" t="s">
        <v>305</v>
      </c>
      <c r="F3110" s="65" t="s">
        <v>297</v>
      </c>
      <c r="G3110" s="65"/>
      <c r="H3110" s="65"/>
      <c r="I3110" s="66">
        <v>2060.2996699999999</v>
      </c>
    </row>
    <row r="3111" spans="1:9" hidden="1">
      <c r="A3111" s="67" t="s">
        <v>295</v>
      </c>
      <c r="B3111" s="68">
        <v>2037</v>
      </c>
      <c r="C3111" s="68">
        <v>2023</v>
      </c>
      <c r="D3111" s="68" t="s">
        <v>306</v>
      </c>
      <c r="E3111" s="68" t="s">
        <v>305</v>
      </c>
      <c r="F3111" s="68" t="s">
        <v>40</v>
      </c>
      <c r="G3111" s="68"/>
      <c r="H3111" s="68"/>
      <c r="I3111" s="69">
        <v>34046.399669999999</v>
      </c>
    </row>
    <row r="3112" spans="1:9" hidden="1">
      <c r="A3112" s="64" t="s">
        <v>295</v>
      </c>
      <c r="B3112" s="65">
        <v>2037</v>
      </c>
      <c r="C3112" s="65">
        <v>2023</v>
      </c>
      <c r="D3112" s="65" t="s">
        <v>307</v>
      </c>
      <c r="E3112" s="65" t="s">
        <v>294</v>
      </c>
      <c r="F3112" s="65" t="s">
        <v>40</v>
      </c>
      <c r="G3112" s="65"/>
      <c r="H3112" s="65"/>
      <c r="I3112" s="66">
        <v>-251280.3295440948</v>
      </c>
    </row>
    <row r="3113" spans="1:9" hidden="1">
      <c r="A3113" s="67" t="s">
        <v>295</v>
      </c>
      <c r="B3113" s="68">
        <v>2037</v>
      </c>
      <c r="C3113" s="68">
        <v>2023</v>
      </c>
      <c r="D3113" s="68" t="s">
        <v>307</v>
      </c>
      <c r="E3113" s="68" t="s">
        <v>301</v>
      </c>
      <c r="F3113" s="68" t="s">
        <v>40</v>
      </c>
      <c r="G3113" s="68"/>
      <c r="H3113" s="68"/>
      <c r="I3113" s="69">
        <v>-223509.77453868589</v>
      </c>
    </row>
    <row r="3114" spans="1:9" hidden="1">
      <c r="A3114" s="64" t="s">
        <v>295</v>
      </c>
      <c r="B3114" s="65">
        <v>2037</v>
      </c>
      <c r="C3114" s="65">
        <v>2023</v>
      </c>
      <c r="D3114" s="65" t="s">
        <v>307</v>
      </c>
      <c r="E3114" s="65" t="s">
        <v>305</v>
      </c>
      <c r="F3114" s="65" t="s">
        <v>40</v>
      </c>
      <c r="G3114" s="65"/>
      <c r="H3114" s="65"/>
      <c r="I3114" s="66">
        <v>-14892.04774</v>
      </c>
    </row>
    <row r="3115" spans="1:9" hidden="1">
      <c r="A3115" s="67" t="s">
        <v>295</v>
      </c>
      <c r="B3115" s="68">
        <v>2037</v>
      </c>
      <c r="C3115" s="68">
        <v>2023</v>
      </c>
      <c r="D3115" s="68" t="s">
        <v>327</v>
      </c>
      <c r="E3115" s="68" t="s">
        <v>294</v>
      </c>
      <c r="F3115" s="68" t="s">
        <v>40</v>
      </c>
      <c r="G3115" s="68"/>
      <c r="H3115" s="68"/>
      <c r="I3115" s="69">
        <v>-301633.18513204431</v>
      </c>
    </row>
    <row r="3116" spans="1:9" hidden="1">
      <c r="A3116" s="64" t="s">
        <v>295</v>
      </c>
      <c r="B3116" s="65">
        <v>2037</v>
      </c>
      <c r="C3116" s="65">
        <v>2023</v>
      </c>
      <c r="D3116" s="65" t="s">
        <v>327</v>
      </c>
      <c r="E3116" s="65" t="s">
        <v>301</v>
      </c>
      <c r="F3116" s="65" t="s">
        <v>40</v>
      </c>
      <c r="G3116" s="65"/>
      <c r="H3116" s="65"/>
      <c r="I3116" s="66">
        <v>-284003.0909767712</v>
      </c>
    </row>
    <row r="3117" spans="1:9" hidden="1">
      <c r="A3117" s="67" t="s">
        <v>295</v>
      </c>
      <c r="B3117" s="68">
        <v>2037</v>
      </c>
      <c r="C3117" s="68">
        <v>2023</v>
      </c>
      <c r="D3117" s="68" t="s">
        <v>327</v>
      </c>
      <c r="E3117" s="68" t="s">
        <v>305</v>
      </c>
      <c r="F3117" s="68" t="s">
        <v>40</v>
      </c>
      <c r="G3117" s="68"/>
      <c r="H3117" s="68"/>
      <c r="I3117" s="69">
        <v>-18289.381440000001</v>
      </c>
    </row>
    <row r="3118" spans="1:9" hidden="1">
      <c r="A3118" s="64" t="s">
        <v>295</v>
      </c>
      <c r="B3118" s="65">
        <v>2037</v>
      </c>
      <c r="C3118" s="65">
        <v>2023</v>
      </c>
      <c r="D3118" s="65" t="s">
        <v>328</v>
      </c>
      <c r="E3118" s="65" t="s">
        <v>294</v>
      </c>
      <c r="F3118" s="65" t="s">
        <v>40</v>
      </c>
      <c r="G3118" s="65"/>
      <c r="H3118" s="65"/>
      <c r="I3118" s="66">
        <v>26730.007553906889</v>
      </c>
    </row>
    <row r="3119" spans="1:9" hidden="1">
      <c r="A3119" s="67" t="s">
        <v>295</v>
      </c>
      <c r="B3119" s="68">
        <v>2037</v>
      </c>
      <c r="C3119" s="68">
        <v>2023</v>
      </c>
      <c r="D3119" s="68" t="s">
        <v>328</v>
      </c>
      <c r="E3119" s="68" t="s">
        <v>301</v>
      </c>
      <c r="F3119" s="68" t="s">
        <v>40</v>
      </c>
      <c r="G3119" s="68"/>
      <c r="H3119" s="68"/>
      <c r="I3119" s="69">
        <v>33276.329546654342</v>
      </c>
    </row>
    <row r="3120" spans="1:9" hidden="1">
      <c r="A3120" s="64" t="s">
        <v>295</v>
      </c>
      <c r="B3120" s="65">
        <v>2037</v>
      </c>
      <c r="C3120" s="65">
        <v>2023</v>
      </c>
      <c r="D3120" s="65" t="s">
        <v>328</v>
      </c>
      <c r="E3120" s="65" t="s">
        <v>305</v>
      </c>
      <c r="F3120" s="65" t="s">
        <v>40</v>
      </c>
      <c r="G3120" s="65"/>
      <c r="H3120" s="65"/>
      <c r="I3120" s="66">
        <v>-2258.2566000000002</v>
      </c>
    </row>
    <row r="3121" spans="1:9" hidden="1">
      <c r="A3121" s="67" t="s">
        <v>295</v>
      </c>
      <c r="B3121" s="68">
        <v>2037</v>
      </c>
      <c r="C3121" s="68">
        <v>2023</v>
      </c>
      <c r="D3121" s="68" t="s">
        <v>329</v>
      </c>
      <c r="E3121" s="68" t="s">
        <v>294</v>
      </c>
      <c r="F3121" s="68" t="s">
        <v>40</v>
      </c>
      <c r="G3121" s="68"/>
      <c r="H3121" s="68"/>
      <c r="I3121" s="69">
        <v>14351.310197043509</v>
      </c>
    </row>
    <row r="3122" spans="1:9" hidden="1">
      <c r="A3122" s="64" t="s">
        <v>295</v>
      </c>
      <c r="B3122" s="65">
        <v>2037</v>
      </c>
      <c r="C3122" s="65">
        <v>2023</v>
      </c>
      <c r="D3122" s="65" t="s">
        <v>329</v>
      </c>
      <c r="E3122" s="65" t="s">
        <v>301</v>
      </c>
      <c r="F3122" s="65" t="s">
        <v>40</v>
      </c>
      <c r="G3122" s="65"/>
      <c r="H3122" s="65"/>
      <c r="I3122" s="66">
        <v>15625.51178144137</v>
      </c>
    </row>
    <row r="3123" spans="1:9" hidden="1">
      <c r="A3123" s="67" t="s">
        <v>295</v>
      </c>
      <c r="B3123" s="68">
        <v>2037</v>
      </c>
      <c r="C3123" s="68">
        <v>2023</v>
      </c>
      <c r="D3123" s="68" t="s">
        <v>329</v>
      </c>
      <c r="E3123" s="68" t="s">
        <v>305</v>
      </c>
      <c r="F3123" s="68" t="s">
        <v>40</v>
      </c>
      <c r="G3123" s="68"/>
      <c r="H3123" s="68"/>
      <c r="I3123" s="69">
        <v>3469.6946499999999</v>
      </c>
    </row>
    <row r="3124" spans="1:9" hidden="1">
      <c r="A3124" s="64" t="s">
        <v>295</v>
      </c>
      <c r="B3124" s="65">
        <v>2037</v>
      </c>
      <c r="C3124" s="65">
        <v>2023</v>
      </c>
      <c r="D3124" s="65" t="s">
        <v>330</v>
      </c>
      <c r="E3124" s="65" t="s">
        <v>294</v>
      </c>
      <c r="F3124" s="65" t="s">
        <v>40</v>
      </c>
      <c r="G3124" s="65"/>
      <c r="H3124" s="65"/>
      <c r="I3124" s="66">
        <v>12267.386325395501</v>
      </c>
    </row>
    <row r="3125" spans="1:9" hidden="1">
      <c r="A3125" s="67" t="s">
        <v>295</v>
      </c>
      <c r="B3125" s="68">
        <v>2037</v>
      </c>
      <c r="C3125" s="68">
        <v>2023</v>
      </c>
      <c r="D3125" s="68" t="s">
        <v>330</v>
      </c>
      <c r="E3125" s="68" t="s">
        <v>301</v>
      </c>
      <c r="F3125" s="68" t="s">
        <v>40</v>
      </c>
      <c r="G3125" s="68"/>
      <c r="H3125" s="68"/>
      <c r="I3125" s="69">
        <v>13280.531045394689</v>
      </c>
    </row>
    <row r="3126" spans="1:9" hidden="1">
      <c r="A3126" s="64" t="s">
        <v>295</v>
      </c>
      <c r="B3126" s="65">
        <v>2037</v>
      </c>
      <c r="C3126" s="65">
        <v>2023</v>
      </c>
      <c r="D3126" s="65" t="s">
        <v>330</v>
      </c>
      <c r="E3126" s="65" t="s">
        <v>305</v>
      </c>
      <c r="F3126" s="65" t="s">
        <v>40</v>
      </c>
      <c r="G3126" s="65"/>
      <c r="H3126" s="65"/>
      <c r="I3126" s="66">
        <v>765.38648000000001</v>
      </c>
    </row>
    <row r="3127" spans="1:9" hidden="1">
      <c r="A3127" s="67" t="s">
        <v>295</v>
      </c>
      <c r="B3127" s="68">
        <v>2037</v>
      </c>
      <c r="C3127" s="68">
        <v>2023</v>
      </c>
      <c r="D3127" s="68" t="s">
        <v>331</v>
      </c>
      <c r="E3127" s="68" t="s">
        <v>294</v>
      </c>
      <c r="F3127" s="68" t="s">
        <v>40</v>
      </c>
      <c r="G3127" s="68"/>
      <c r="H3127" s="68"/>
      <c r="I3127" s="69">
        <v>30805.626019116178</v>
      </c>
    </row>
    <row r="3128" spans="1:9" hidden="1">
      <c r="A3128" s="64" t="s">
        <v>295</v>
      </c>
      <c r="B3128" s="65">
        <v>2037</v>
      </c>
      <c r="C3128" s="65">
        <v>2023</v>
      </c>
      <c r="D3128" s="65" t="s">
        <v>331</v>
      </c>
      <c r="E3128" s="65" t="s">
        <v>301</v>
      </c>
      <c r="F3128" s="65" t="s">
        <v>40</v>
      </c>
      <c r="G3128" s="65"/>
      <c r="H3128" s="65"/>
      <c r="I3128" s="66">
        <v>31196.663193296339</v>
      </c>
    </row>
    <row r="3129" spans="1:9" hidden="1">
      <c r="A3129" s="67" t="s">
        <v>295</v>
      </c>
      <c r="B3129" s="68">
        <v>2037</v>
      </c>
      <c r="C3129" s="68">
        <v>2023</v>
      </c>
      <c r="D3129" s="68" t="s">
        <v>331</v>
      </c>
      <c r="E3129" s="68" t="s">
        <v>305</v>
      </c>
      <c r="F3129" s="68" t="s">
        <v>40</v>
      </c>
      <c r="G3129" s="68"/>
      <c r="H3129" s="68"/>
      <c r="I3129" s="69">
        <v>3045.37291</v>
      </c>
    </row>
    <row r="3130" spans="1:9" hidden="1">
      <c r="A3130" s="64" t="s">
        <v>295</v>
      </c>
      <c r="B3130" s="65">
        <v>2037</v>
      </c>
      <c r="C3130" s="65">
        <v>2023</v>
      </c>
      <c r="D3130" s="65" t="s">
        <v>332</v>
      </c>
      <c r="E3130" s="65" t="s">
        <v>294</v>
      </c>
      <c r="F3130" s="65" t="s">
        <v>40</v>
      </c>
      <c r="G3130" s="65"/>
      <c r="H3130" s="65"/>
      <c r="I3130" s="66">
        <v>504.15152999999998</v>
      </c>
    </row>
    <row r="3131" spans="1:9" hidden="1">
      <c r="A3131" s="67" t="s">
        <v>295</v>
      </c>
      <c r="B3131" s="68">
        <v>2037</v>
      </c>
      <c r="C3131" s="68">
        <v>2023</v>
      </c>
      <c r="D3131" s="68" t="s">
        <v>332</v>
      </c>
      <c r="E3131" s="68" t="s">
        <v>301</v>
      </c>
      <c r="F3131" s="68" t="s">
        <v>40</v>
      </c>
      <c r="G3131" s="68"/>
      <c r="H3131" s="68"/>
      <c r="I3131" s="69">
        <v>375.15445000000011</v>
      </c>
    </row>
    <row r="3132" spans="1:9" hidden="1">
      <c r="A3132" s="64" t="s">
        <v>295</v>
      </c>
      <c r="B3132" s="65">
        <v>2037</v>
      </c>
      <c r="C3132" s="65">
        <v>2023</v>
      </c>
      <c r="D3132" s="65" t="s">
        <v>332</v>
      </c>
      <c r="E3132" s="65" t="s">
        <v>305</v>
      </c>
      <c r="F3132" s="65" t="s">
        <v>40</v>
      </c>
      <c r="G3132" s="65"/>
      <c r="H3132" s="65"/>
      <c r="I3132" s="66">
        <v>285.77625999999998</v>
      </c>
    </row>
    <row r="3133" spans="1:9" hidden="1">
      <c r="A3133" s="67" t="s">
        <v>295</v>
      </c>
      <c r="B3133" s="68">
        <v>2037</v>
      </c>
      <c r="C3133" s="68">
        <v>2023</v>
      </c>
      <c r="D3133" s="68" t="s">
        <v>333</v>
      </c>
      <c r="E3133" s="68" t="s">
        <v>294</v>
      </c>
      <c r="F3133" s="68" t="s">
        <v>40</v>
      </c>
      <c r="G3133" s="68"/>
      <c r="H3133" s="68"/>
      <c r="I3133" s="69">
        <v>-33827.284249999997</v>
      </c>
    </row>
    <row r="3134" spans="1:9" hidden="1">
      <c r="A3134" s="64" t="s">
        <v>295</v>
      </c>
      <c r="B3134" s="65">
        <v>2037</v>
      </c>
      <c r="C3134" s="65">
        <v>2023</v>
      </c>
      <c r="D3134" s="65" t="s">
        <v>333</v>
      </c>
      <c r="E3134" s="65" t="s">
        <v>301</v>
      </c>
      <c r="F3134" s="65" t="s">
        <v>40</v>
      </c>
      <c r="G3134" s="65"/>
      <c r="H3134" s="65"/>
      <c r="I3134" s="66">
        <v>-33508.645259999998</v>
      </c>
    </row>
    <row r="3135" spans="1:9" hidden="1">
      <c r="A3135" s="67" t="s">
        <v>295</v>
      </c>
      <c r="B3135" s="68">
        <v>2037</v>
      </c>
      <c r="C3135" s="68">
        <v>2023</v>
      </c>
      <c r="D3135" s="68" t="s">
        <v>333</v>
      </c>
      <c r="E3135" s="68" t="s">
        <v>305</v>
      </c>
      <c r="F3135" s="68" t="s">
        <v>40</v>
      </c>
      <c r="G3135" s="68"/>
      <c r="H3135" s="68"/>
      <c r="I3135" s="69">
        <v>-1910.58</v>
      </c>
    </row>
    <row r="3136" spans="1:9" hidden="1">
      <c r="A3136" s="64" t="s">
        <v>295</v>
      </c>
      <c r="B3136" s="65">
        <v>2037</v>
      </c>
      <c r="C3136" s="65">
        <v>2023</v>
      </c>
      <c r="D3136" s="65" t="s">
        <v>334</v>
      </c>
      <c r="E3136" s="65" t="s">
        <v>294</v>
      </c>
      <c r="F3136" s="65" t="s">
        <v>40</v>
      </c>
      <c r="G3136" s="65"/>
      <c r="H3136" s="65"/>
      <c r="I3136" s="66">
        <v>253.85033000000001</v>
      </c>
    </row>
    <row r="3137" spans="1:9" hidden="1">
      <c r="A3137" s="67" t="s">
        <v>295</v>
      </c>
      <c r="B3137" s="68">
        <v>2037</v>
      </c>
      <c r="C3137" s="68">
        <v>2023</v>
      </c>
      <c r="D3137" s="68" t="s">
        <v>334</v>
      </c>
      <c r="E3137" s="68" t="s">
        <v>301</v>
      </c>
      <c r="F3137" s="68" t="s">
        <v>40</v>
      </c>
      <c r="G3137" s="68"/>
      <c r="H3137" s="68"/>
      <c r="I3137" s="69">
        <v>253.85033000000001</v>
      </c>
    </row>
    <row r="3138" spans="1:9" hidden="1">
      <c r="A3138" s="64" t="s">
        <v>295</v>
      </c>
      <c r="B3138" s="65">
        <v>2037</v>
      </c>
      <c r="C3138" s="65">
        <v>2023</v>
      </c>
      <c r="D3138" s="65" t="s">
        <v>308</v>
      </c>
      <c r="E3138" s="65" t="s">
        <v>294</v>
      </c>
      <c r="F3138" s="65" t="s">
        <v>297</v>
      </c>
      <c r="G3138" s="65"/>
      <c r="H3138" s="65"/>
      <c r="I3138" s="66">
        <v>74231.895501870691</v>
      </c>
    </row>
    <row r="3139" spans="1:9" hidden="1">
      <c r="A3139" s="67" t="s">
        <v>295</v>
      </c>
      <c r="B3139" s="68">
        <v>2037</v>
      </c>
      <c r="C3139" s="68">
        <v>2023</v>
      </c>
      <c r="D3139" s="68" t="s">
        <v>308</v>
      </c>
      <c r="E3139" s="68" t="s">
        <v>294</v>
      </c>
      <c r="F3139" s="68" t="s">
        <v>298</v>
      </c>
      <c r="G3139" s="68"/>
      <c r="H3139" s="68"/>
      <c r="I3139" s="69">
        <v>240.84379096022761</v>
      </c>
    </row>
    <row r="3140" spans="1:9" hidden="1">
      <c r="A3140" s="64" t="s">
        <v>295</v>
      </c>
      <c r="B3140" s="65">
        <v>2037</v>
      </c>
      <c r="C3140" s="65">
        <v>2023</v>
      </c>
      <c r="D3140" s="65" t="s">
        <v>308</v>
      </c>
      <c r="E3140" s="65" t="s">
        <v>294</v>
      </c>
      <c r="F3140" s="65" t="s">
        <v>40</v>
      </c>
      <c r="G3140" s="65"/>
      <c r="H3140" s="65"/>
      <c r="I3140" s="66">
        <v>74472.739292830927</v>
      </c>
    </row>
    <row r="3141" spans="1:9" hidden="1">
      <c r="A3141" s="67" t="s">
        <v>295</v>
      </c>
      <c r="B3141" s="68">
        <v>2037</v>
      </c>
      <c r="C3141" s="68">
        <v>2023</v>
      </c>
      <c r="D3141" s="68" t="s">
        <v>308</v>
      </c>
      <c r="E3141" s="68" t="s">
        <v>301</v>
      </c>
      <c r="F3141" s="68" t="s">
        <v>297</v>
      </c>
      <c r="G3141" s="68"/>
      <c r="H3141" s="68"/>
      <c r="I3141" s="69">
        <v>75252.860011872239</v>
      </c>
    </row>
    <row r="3142" spans="1:9" hidden="1">
      <c r="A3142" s="64" t="s">
        <v>295</v>
      </c>
      <c r="B3142" s="65">
        <v>2037</v>
      </c>
      <c r="C3142" s="65">
        <v>2023</v>
      </c>
      <c r="D3142" s="65" t="s">
        <v>308</v>
      </c>
      <c r="E3142" s="65" t="s">
        <v>301</v>
      </c>
      <c r="F3142" s="65" t="s">
        <v>298</v>
      </c>
      <c r="G3142" s="65"/>
      <c r="H3142" s="65"/>
      <c r="I3142" s="66">
        <v>240.8437909608752</v>
      </c>
    </row>
    <row r="3143" spans="1:9" hidden="1">
      <c r="A3143" s="67" t="s">
        <v>295</v>
      </c>
      <c r="B3143" s="68">
        <v>2037</v>
      </c>
      <c r="C3143" s="68">
        <v>2023</v>
      </c>
      <c r="D3143" s="68" t="s">
        <v>308</v>
      </c>
      <c r="E3143" s="68" t="s">
        <v>301</v>
      </c>
      <c r="F3143" s="68" t="s">
        <v>40</v>
      </c>
      <c r="G3143" s="68"/>
      <c r="H3143" s="68"/>
      <c r="I3143" s="69">
        <v>75384.940276022331</v>
      </c>
    </row>
    <row r="3144" spans="1:9" hidden="1">
      <c r="A3144" s="64" t="s">
        <v>295</v>
      </c>
      <c r="B3144" s="65">
        <v>2037</v>
      </c>
      <c r="C3144" s="65">
        <v>2023</v>
      </c>
      <c r="D3144" s="65" t="s">
        <v>308</v>
      </c>
      <c r="E3144" s="65" t="s">
        <v>305</v>
      </c>
      <c r="F3144" s="65" t="s">
        <v>297</v>
      </c>
      <c r="G3144" s="65"/>
      <c r="H3144" s="65"/>
      <c r="I3144" s="66">
        <v>1666.5981899999999</v>
      </c>
    </row>
    <row r="3145" spans="1:9" hidden="1">
      <c r="A3145" s="67" t="s">
        <v>295</v>
      </c>
      <c r="B3145" s="68">
        <v>2037</v>
      </c>
      <c r="C3145" s="68">
        <v>2023</v>
      </c>
      <c r="D3145" s="68" t="s">
        <v>308</v>
      </c>
      <c r="E3145" s="68" t="s">
        <v>305</v>
      </c>
      <c r="F3145" s="68" t="s">
        <v>40</v>
      </c>
      <c r="G3145" s="68"/>
      <c r="H3145" s="68"/>
      <c r="I3145" s="69">
        <v>10354.39819</v>
      </c>
    </row>
    <row r="3146" spans="1:9" hidden="1">
      <c r="A3146" s="64" t="s">
        <v>295</v>
      </c>
      <c r="B3146" s="65">
        <v>2037</v>
      </c>
      <c r="C3146" s="65">
        <v>2023</v>
      </c>
      <c r="D3146" s="65" t="s">
        <v>310</v>
      </c>
      <c r="E3146" s="65" t="s">
        <v>294</v>
      </c>
      <c r="F3146" s="65" t="s">
        <v>297</v>
      </c>
      <c r="G3146" s="65"/>
      <c r="H3146" s="65"/>
      <c r="I3146" s="66">
        <v>153.9</v>
      </c>
    </row>
    <row r="3147" spans="1:9" hidden="1">
      <c r="A3147" s="67" t="s">
        <v>295</v>
      </c>
      <c r="B3147" s="68">
        <v>2037</v>
      </c>
      <c r="C3147" s="68">
        <v>2023</v>
      </c>
      <c r="D3147" s="68" t="s">
        <v>310</v>
      </c>
      <c r="E3147" s="68" t="s">
        <v>294</v>
      </c>
      <c r="F3147" s="68" t="s">
        <v>40</v>
      </c>
      <c r="G3147" s="68"/>
      <c r="H3147" s="68"/>
      <c r="I3147" s="69">
        <v>121797.9027069334</v>
      </c>
    </row>
    <row r="3148" spans="1:9" hidden="1">
      <c r="A3148" s="64" t="s">
        <v>295</v>
      </c>
      <c r="B3148" s="65">
        <v>2037</v>
      </c>
      <c r="C3148" s="65">
        <v>2023</v>
      </c>
      <c r="D3148" s="65" t="s">
        <v>310</v>
      </c>
      <c r="E3148" s="65" t="s">
        <v>301</v>
      </c>
      <c r="F3148" s="65" t="s">
        <v>297</v>
      </c>
      <c r="G3148" s="65"/>
      <c r="H3148" s="65"/>
      <c r="I3148" s="66">
        <v>153.9</v>
      </c>
    </row>
    <row r="3149" spans="1:9" hidden="1">
      <c r="A3149" s="67" t="s">
        <v>295</v>
      </c>
      <c r="B3149" s="68">
        <v>2037</v>
      </c>
      <c r="C3149" s="68">
        <v>2023</v>
      </c>
      <c r="D3149" s="68" t="s">
        <v>310</v>
      </c>
      <c r="E3149" s="68" t="s">
        <v>301</v>
      </c>
      <c r="F3149" s="68" t="s">
        <v>40</v>
      </c>
      <c r="G3149" s="68"/>
      <c r="H3149" s="68"/>
      <c r="I3149" s="69">
        <v>129071.93517330159</v>
      </c>
    </row>
    <row r="3150" spans="1:9" hidden="1">
      <c r="A3150" s="64" t="s">
        <v>295</v>
      </c>
      <c r="B3150" s="65">
        <v>2037</v>
      </c>
      <c r="C3150" s="65">
        <v>2023</v>
      </c>
      <c r="D3150" s="65" t="s">
        <v>310</v>
      </c>
      <c r="E3150" s="65" t="s">
        <v>305</v>
      </c>
      <c r="F3150" s="65" t="s">
        <v>40</v>
      </c>
      <c r="G3150" s="65"/>
      <c r="H3150" s="65"/>
      <c r="I3150" s="66">
        <v>1254.88248</v>
      </c>
    </row>
    <row r="3151" spans="1:9" hidden="1">
      <c r="A3151" s="67" t="s">
        <v>295</v>
      </c>
      <c r="B3151" s="68">
        <v>2037</v>
      </c>
      <c r="C3151" s="68">
        <v>2023</v>
      </c>
      <c r="D3151" s="68" t="s">
        <v>311</v>
      </c>
      <c r="E3151" s="68" t="s">
        <v>294</v>
      </c>
      <c r="F3151" s="68" t="s">
        <v>297</v>
      </c>
      <c r="G3151" s="68"/>
      <c r="H3151" s="68"/>
      <c r="I3151" s="69">
        <v>808.5</v>
      </c>
    </row>
    <row r="3152" spans="1:9" hidden="1">
      <c r="A3152" s="64" t="s">
        <v>295</v>
      </c>
      <c r="B3152" s="65">
        <v>2037</v>
      </c>
      <c r="C3152" s="65">
        <v>2023</v>
      </c>
      <c r="D3152" s="65" t="s">
        <v>311</v>
      </c>
      <c r="E3152" s="65" t="s">
        <v>294</v>
      </c>
      <c r="F3152" s="65" t="s">
        <v>40</v>
      </c>
      <c r="G3152" s="65"/>
      <c r="H3152" s="65"/>
      <c r="I3152" s="66">
        <v>140002.376982168</v>
      </c>
    </row>
    <row r="3153" spans="1:9" hidden="1">
      <c r="A3153" s="67" t="s">
        <v>295</v>
      </c>
      <c r="B3153" s="68">
        <v>2037</v>
      </c>
      <c r="C3153" s="68">
        <v>2023</v>
      </c>
      <c r="D3153" s="68" t="s">
        <v>311</v>
      </c>
      <c r="E3153" s="68" t="s">
        <v>301</v>
      </c>
      <c r="F3153" s="68" t="s">
        <v>297</v>
      </c>
      <c r="G3153" s="68"/>
      <c r="H3153" s="68"/>
      <c r="I3153" s="69">
        <v>808.5</v>
      </c>
    </row>
    <row r="3154" spans="1:9" hidden="1">
      <c r="A3154" s="64" t="s">
        <v>295</v>
      </c>
      <c r="B3154" s="65">
        <v>2037</v>
      </c>
      <c r="C3154" s="65">
        <v>2023</v>
      </c>
      <c r="D3154" s="65" t="s">
        <v>311</v>
      </c>
      <c r="E3154" s="65" t="s">
        <v>301</v>
      </c>
      <c r="F3154" s="65" t="s">
        <v>40</v>
      </c>
      <c r="G3154" s="65"/>
      <c r="H3154" s="65"/>
      <c r="I3154" s="66">
        <v>142243.50916996819</v>
      </c>
    </row>
    <row r="3155" spans="1:9" hidden="1">
      <c r="A3155" s="67" t="s">
        <v>295</v>
      </c>
      <c r="B3155" s="68">
        <v>2037</v>
      </c>
      <c r="C3155" s="68">
        <v>2023</v>
      </c>
      <c r="D3155" s="68" t="s">
        <v>311</v>
      </c>
      <c r="E3155" s="68" t="s">
        <v>305</v>
      </c>
      <c r="F3155" s="68" t="s">
        <v>40</v>
      </c>
      <c r="G3155" s="68"/>
      <c r="H3155" s="68"/>
      <c r="I3155" s="69">
        <v>943.8</v>
      </c>
    </row>
    <row r="3156" spans="1:9" hidden="1">
      <c r="A3156" s="64" t="s">
        <v>295</v>
      </c>
      <c r="B3156" s="65">
        <v>2037</v>
      </c>
      <c r="C3156" s="65">
        <v>2023</v>
      </c>
      <c r="D3156" s="65" t="s">
        <v>312</v>
      </c>
      <c r="E3156" s="65" t="s">
        <v>294</v>
      </c>
      <c r="F3156" s="65" t="s">
        <v>297</v>
      </c>
      <c r="G3156" s="65"/>
      <c r="H3156" s="65"/>
      <c r="I3156" s="66">
        <v>705.82038</v>
      </c>
    </row>
    <row r="3157" spans="1:9" hidden="1">
      <c r="A3157" s="67" t="s">
        <v>295</v>
      </c>
      <c r="B3157" s="68">
        <v>2037</v>
      </c>
      <c r="C3157" s="68">
        <v>2023</v>
      </c>
      <c r="D3157" s="68" t="s">
        <v>312</v>
      </c>
      <c r="E3157" s="68" t="s">
        <v>294</v>
      </c>
      <c r="F3157" s="68" t="s">
        <v>40</v>
      </c>
      <c r="G3157" s="68"/>
      <c r="H3157" s="68"/>
      <c r="I3157" s="69">
        <v>849.72037999999998</v>
      </c>
    </row>
    <row r="3158" spans="1:9" hidden="1">
      <c r="A3158" s="64" t="s">
        <v>295</v>
      </c>
      <c r="B3158" s="65">
        <v>2037</v>
      </c>
      <c r="C3158" s="65">
        <v>2023</v>
      </c>
      <c r="D3158" s="65" t="s">
        <v>312</v>
      </c>
      <c r="E3158" s="65" t="s">
        <v>301</v>
      </c>
      <c r="F3158" s="65" t="s">
        <v>297</v>
      </c>
      <c r="G3158" s="65"/>
      <c r="H3158" s="65"/>
      <c r="I3158" s="66">
        <v>707.32740000000001</v>
      </c>
    </row>
    <row r="3159" spans="1:9" hidden="1">
      <c r="A3159" s="67" t="s">
        <v>295</v>
      </c>
      <c r="B3159" s="68">
        <v>2037</v>
      </c>
      <c r="C3159" s="68">
        <v>2023</v>
      </c>
      <c r="D3159" s="68" t="s">
        <v>312</v>
      </c>
      <c r="E3159" s="68" t="s">
        <v>301</v>
      </c>
      <c r="F3159" s="68" t="s">
        <v>40</v>
      </c>
      <c r="G3159" s="68"/>
      <c r="H3159" s="68"/>
      <c r="I3159" s="69">
        <v>851.22739999999999</v>
      </c>
    </row>
    <row r="3160" spans="1:9" hidden="1">
      <c r="A3160" s="64" t="s">
        <v>295</v>
      </c>
      <c r="B3160" s="65">
        <v>2037</v>
      </c>
      <c r="C3160" s="65">
        <v>2023</v>
      </c>
      <c r="D3160" s="65" t="s">
        <v>313</v>
      </c>
      <c r="E3160" s="65" t="s">
        <v>294</v>
      </c>
      <c r="F3160" s="65" t="s">
        <v>297</v>
      </c>
      <c r="G3160" s="65"/>
      <c r="H3160" s="65"/>
      <c r="I3160" s="66">
        <v>1452900.6618266569</v>
      </c>
    </row>
    <row r="3161" spans="1:9" hidden="1">
      <c r="A3161" s="67" t="s">
        <v>295</v>
      </c>
      <c r="B3161" s="68">
        <v>2037</v>
      </c>
      <c r="C3161" s="68">
        <v>2023</v>
      </c>
      <c r="D3161" s="68" t="s">
        <v>313</v>
      </c>
      <c r="E3161" s="68" t="s">
        <v>294</v>
      </c>
      <c r="F3161" s="68" t="s">
        <v>298</v>
      </c>
      <c r="G3161" s="68"/>
      <c r="H3161" s="68"/>
      <c r="I3161" s="69">
        <v>662447.23178999429</v>
      </c>
    </row>
    <row r="3162" spans="1:9" hidden="1">
      <c r="A3162" s="64" t="s">
        <v>295</v>
      </c>
      <c r="B3162" s="65">
        <v>2037</v>
      </c>
      <c r="C3162" s="65">
        <v>2023</v>
      </c>
      <c r="D3162" s="65" t="s">
        <v>313</v>
      </c>
      <c r="E3162" s="65" t="s">
        <v>294</v>
      </c>
      <c r="F3162" s="65" t="s">
        <v>40</v>
      </c>
      <c r="G3162" s="65"/>
      <c r="H3162" s="65"/>
      <c r="I3162" s="66">
        <v>2131905.8774045981</v>
      </c>
    </row>
    <row r="3163" spans="1:9" hidden="1">
      <c r="A3163" s="67" t="s">
        <v>295</v>
      </c>
      <c r="B3163" s="68">
        <v>2037</v>
      </c>
      <c r="C3163" s="68">
        <v>2023</v>
      </c>
      <c r="D3163" s="68" t="s">
        <v>313</v>
      </c>
      <c r="E3163" s="68" t="s">
        <v>301</v>
      </c>
      <c r="F3163" s="68" t="s">
        <v>297</v>
      </c>
      <c r="G3163" s="68"/>
      <c r="H3163" s="68"/>
      <c r="I3163" s="69">
        <v>1635779.3428455661</v>
      </c>
    </row>
    <row r="3164" spans="1:9" hidden="1">
      <c r="A3164" s="64" t="s">
        <v>295</v>
      </c>
      <c r="B3164" s="65">
        <v>2037</v>
      </c>
      <c r="C3164" s="65">
        <v>2023</v>
      </c>
      <c r="D3164" s="65" t="s">
        <v>313</v>
      </c>
      <c r="E3164" s="65" t="s">
        <v>301</v>
      </c>
      <c r="F3164" s="65" t="s">
        <v>298</v>
      </c>
      <c r="G3164" s="65"/>
      <c r="H3164" s="65"/>
      <c r="I3164" s="66">
        <v>758409.48939993477</v>
      </c>
    </row>
    <row r="3165" spans="1:9" hidden="1">
      <c r="A3165" s="67" t="s">
        <v>295</v>
      </c>
      <c r="B3165" s="68">
        <v>2037</v>
      </c>
      <c r="C3165" s="68">
        <v>2023</v>
      </c>
      <c r="D3165" s="68" t="s">
        <v>313</v>
      </c>
      <c r="E3165" s="68" t="s">
        <v>301</v>
      </c>
      <c r="F3165" s="68" t="s">
        <v>40</v>
      </c>
      <c r="G3165" s="68"/>
      <c r="H3165" s="68"/>
      <c r="I3165" s="69">
        <v>2412107.3782989671</v>
      </c>
    </row>
    <row r="3166" spans="1:9" hidden="1">
      <c r="A3166" s="64" t="s">
        <v>295</v>
      </c>
      <c r="B3166" s="65">
        <v>2037</v>
      </c>
      <c r="C3166" s="65">
        <v>2023</v>
      </c>
      <c r="D3166" s="65" t="s">
        <v>313</v>
      </c>
      <c r="E3166" s="65" t="s">
        <v>305</v>
      </c>
      <c r="F3166" s="65" t="s">
        <v>297</v>
      </c>
      <c r="G3166" s="65"/>
      <c r="H3166" s="65"/>
      <c r="I3166" s="66">
        <v>16784.542079999999</v>
      </c>
    </row>
    <row r="3167" spans="1:9" hidden="1">
      <c r="A3167" s="67" t="s">
        <v>295</v>
      </c>
      <c r="B3167" s="68">
        <v>2037</v>
      </c>
      <c r="C3167" s="68">
        <v>2023</v>
      </c>
      <c r="D3167" s="68" t="s">
        <v>313</v>
      </c>
      <c r="E3167" s="68" t="s">
        <v>305</v>
      </c>
      <c r="F3167" s="68" t="s">
        <v>298</v>
      </c>
      <c r="G3167" s="68"/>
      <c r="H3167" s="68"/>
      <c r="I3167" s="69">
        <v>9375.4566300000006</v>
      </c>
    </row>
    <row r="3168" spans="1:9" hidden="1">
      <c r="A3168" s="64" t="s">
        <v>295</v>
      </c>
      <c r="B3168" s="65">
        <v>2037</v>
      </c>
      <c r="C3168" s="65">
        <v>2023</v>
      </c>
      <c r="D3168" s="65" t="s">
        <v>313</v>
      </c>
      <c r="E3168" s="65" t="s">
        <v>305</v>
      </c>
      <c r="F3168" s="65" t="s">
        <v>40</v>
      </c>
      <c r="G3168" s="65"/>
      <c r="H3168" s="65"/>
      <c r="I3168" s="66">
        <v>211047.59856000001</v>
      </c>
    </row>
    <row r="3169" spans="1:9" hidden="1">
      <c r="A3169" s="67" t="s">
        <v>295</v>
      </c>
      <c r="B3169" s="68">
        <v>2037</v>
      </c>
      <c r="C3169" s="68">
        <v>2023</v>
      </c>
      <c r="D3169" s="68" t="s">
        <v>314</v>
      </c>
      <c r="E3169" s="68" t="s">
        <v>294</v>
      </c>
      <c r="F3169" s="68" t="s">
        <v>297</v>
      </c>
      <c r="G3169" s="68"/>
      <c r="H3169" s="68"/>
      <c r="I3169" s="69">
        <v>1452900.761826657</v>
      </c>
    </row>
    <row r="3170" spans="1:9" hidden="1">
      <c r="A3170" s="64" t="s">
        <v>295</v>
      </c>
      <c r="B3170" s="65">
        <v>2037</v>
      </c>
      <c r="C3170" s="65">
        <v>2023</v>
      </c>
      <c r="D3170" s="65" t="s">
        <v>314</v>
      </c>
      <c r="E3170" s="65" t="s">
        <v>294</v>
      </c>
      <c r="F3170" s="65" t="s">
        <v>298</v>
      </c>
      <c r="G3170" s="65"/>
      <c r="H3170" s="65"/>
      <c r="I3170" s="66">
        <v>662447.23178999429</v>
      </c>
    </row>
    <row r="3171" spans="1:9" hidden="1">
      <c r="A3171" s="67" t="s">
        <v>295</v>
      </c>
      <c r="B3171" s="68">
        <v>2037</v>
      </c>
      <c r="C3171" s="68">
        <v>2023</v>
      </c>
      <c r="D3171" s="68" t="s">
        <v>314</v>
      </c>
      <c r="E3171" s="68" t="s">
        <v>294</v>
      </c>
      <c r="F3171" s="68" t="s">
        <v>40</v>
      </c>
      <c r="G3171" s="68"/>
      <c r="H3171" s="68"/>
      <c r="I3171" s="69">
        <v>1880625.4678605029</v>
      </c>
    </row>
    <row r="3172" spans="1:9" hidden="1">
      <c r="A3172" s="64" t="s">
        <v>295</v>
      </c>
      <c r="B3172" s="65">
        <v>2037</v>
      </c>
      <c r="C3172" s="65">
        <v>2023</v>
      </c>
      <c r="D3172" s="65" t="s">
        <v>314</v>
      </c>
      <c r="E3172" s="65" t="s">
        <v>301</v>
      </c>
      <c r="F3172" s="65" t="s">
        <v>297</v>
      </c>
      <c r="G3172" s="65"/>
      <c r="H3172" s="65"/>
      <c r="I3172" s="66">
        <v>1635779.442845566</v>
      </c>
    </row>
    <row r="3173" spans="1:9" hidden="1">
      <c r="A3173" s="67" t="s">
        <v>295</v>
      </c>
      <c r="B3173" s="68">
        <v>2037</v>
      </c>
      <c r="C3173" s="68">
        <v>2023</v>
      </c>
      <c r="D3173" s="68" t="s">
        <v>314</v>
      </c>
      <c r="E3173" s="68" t="s">
        <v>301</v>
      </c>
      <c r="F3173" s="68" t="s">
        <v>298</v>
      </c>
      <c r="G3173" s="68"/>
      <c r="H3173" s="68"/>
      <c r="I3173" s="69">
        <v>758409.48939993477</v>
      </c>
    </row>
    <row r="3174" spans="1:9" hidden="1">
      <c r="A3174" s="64" t="s">
        <v>295</v>
      </c>
      <c r="B3174" s="65">
        <v>2037</v>
      </c>
      <c r="C3174" s="65">
        <v>2023</v>
      </c>
      <c r="D3174" s="65" t="s">
        <v>314</v>
      </c>
      <c r="E3174" s="65" t="s">
        <v>301</v>
      </c>
      <c r="F3174" s="65" t="s">
        <v>40</v>
      </c>
      <c r="G3174" s="65"/>
      <c r="H3174" s="65"/>
      <c r="I3174" s="66">
        <v>2188589.066930281</v>
      </c>
    </row>
    <row r="3175" spans="1:9" hidden="1">
      <c r="A3175" s="67" t="s">
        <v>295</v>
      </c>
      <c r="B3175" s="68">
        <v>2037</v>
      </c>
      <c r="C3175" s="68">
        <v>2023</v>
      </c>
      <c r="D3175" s="68" t="s">
        <v>314</v>
      </c>
      <c r="E3175" s="68" t="s">
        <v>305</v>
      </c>
      <c r="F3175" s="68" t="s">
        <v>297</v>
      </c>
      <c r="G3175" s="68"/>
      <c r="H3175" s="68"/>
      <c r="I3175" s="69">
        <v>16784.542079999999</v>
      </c>
    </row>
    <row r="3176" spans="1:9" hidden="1">
      <c r="A3176" s="64" t="s">
        <v>295</v>
      </c>
      <c r="B3176" s="65">
        <v>2037</v>
      </c>
      <c r="C3176" s="65">
        <v>2023</v>
      </c>
      <c r="D3176" s="65" t="s">
        <v>314</v>
      </c>
      <c r="E3176" s="65" t="s">
        <v>305</v>
      </c>
      <c r="F3176" s="65" t="s">
        <v>298</v>
      </c>
      <c r="G3176" s="65"/>
      <c r="H3176" s="65"/>
      <c r="I3176" s="66">
        <v>9375.4566300000006</v>
      </c>
    </row>
    <row r="3177" spans="1:9" hidden="1">
      <c r="A3177" s="67" t="s">
        <v>295</v>
      </c>
      <c r="B3177" s="68">
        <v>2037</v>
      </c>
      <c r="C3177" s="68">
        <v>2023</v>
      </c>
      <c r="D3177" s="68" t="s">
        <v>314</v>
      </c>
      <c r="E3177" s="68" t="s">
        <v>305</v>
      </c>
      <c r="F3177" s="68" t="s">
        <v>40</v>
      </c>
      <c r="G3177" s="68"/>
      <c r="H3177" s="68"/>
      <c r="I3177" s="69">
        <v>196467.01082</v>
      </c>
    </row>
    <row r="3178" spans="1:9" hidden="1">
      <c r="A3178" s="64" t="s">
        <v>295</v>
      </c>
      <c r="B3178" s="65">
        <v>2038</v>
      </c>
      <c r="C3178" s="65">
        <v>2023</v>
      </c>
      <c r="D3178" s="65" t="s">
        <v>296</v>
      </c>
      <c r="E3178" s="65" t="s">
        <v>294</v>
      </c>
      <c r="F3178" s="65" t="s">
        <v>297</v>
      </c>
      <c r="G3178" s="65"/>
      <c r="H3178" s="65"/>
      <c r="I3178" s="66">
        <v>947441.34224778158</v>
      </c>
    </row>
    <row r="3179" spans="1:9" hidden="1">
      <c r="A3179" s="67" t="s">
        <v>295</v>
      </c>
      <c r="B3179" s="68">
        <v>2038</v>
      </c>
      <c r="C3179" s="68">
        <v>2023</v>
      </c>
      <c r="D3179" s="68" t="s">
        <v>296</v>
      </c>
      <c r="E3179" s="68" t="s">
        <v>294</v>
      </c>
      <c r="F3179" s="68" t="s">
        <v>298</v>
      </c>
      <c r="G3179" s="68"/>
      <c r="H3179" s="68"/>
      <c r="I3179" s="69">
        <v>478647.19268163538</v>
      </c>
    </row>
    <row r="3180" spans="1:9" hidden="1">
      <c r="A3180" s="64" t="s">
        <v>295</v>
      </c>
      <c r="B3180" s="65">
        <v>2038</v>
      </c>
      <c r="C3180" s="65">
        <v>2023</v>
      </c>
      <c r="D3180" s="65" t="s">
        <v>296</v>
      </c>
      <c r="E3180" s="65" t="s">
        <v>294</v>
      </c>
      <c r="F3180" s="65" t="s">
        <v>40</v>
      </c>
      <c r="G3180" s="65"/>
      <c r="H3180" s="65"/>
      <c r="I3180" s="66">
        <v>1443002.439255222</v>
      </c>
    </row>
    <row r="3181" spans="1:9" hidden="1">
      <c r="A3181" s="67" t="s">
        <v>295</v>
      </c>
      <c r="B3181" s="68">
        <v>2038</v>
      </c>
      <c r="C3181" s="68">
        <v>2023</v>
      </c>
      <c r="D3181" s="68" t="s">
        <v>296</v>
      </c>
      <c r="E3181" s="68" t="s">
        <v>301</v>
      </c>
      <c r="F3181" s="68" t="s">
        <v>297</v>
      </c>
      <c r="G3181" s="68"/>
      <c r="H3181" s="68"/>
      <c r="I3181" s="69">
        <v>1116343.7196753379</v>
      </c>
    </row>
    <row r="3182" spans="1:9" hidden="1">
      <c r="A3182" s="64" t="s">
        <v>295</v>
      </c>
      <c r="B3182" s="65">
        <v>2038</v>
      </c>
      <c r="C3182" s="65">
        <v>2023</v>
      </c>
      <c r="D3182" s="65" t="s">
        <v>296</v>
      </c>
      <c r="E3182" s="65" t="s">
        <v>301</v>
      </c>
      <c r="F3182" s="65" t="s">
        <v>298</v>
      </c>
      <c r="G3182" s="65"/>
      <c r="H3182" s="65"/>
      <c r="I3182" s="66">
        <v>560559.00690596132</v>
      </c>
    </row>
    <row r="3183" spans="1:9" hidden="1">
      <c r="A3183" s="67" t="s">
        <v>295</v>
      </c>
      <c r="B3183" s="68">
        <v>2038</v>
      </c>
      <c r="C3183" s="68">
        <v>2023</v>
      </c>
      <c r="D3183" s="68" t="s">
        <v>296</v>
      </c>
      <c r="E3183" s="68" t="s">
        <v>301</v>
      </c>
      <c r="F3183" s="68" t="s">
        <v>40</v>
      </c>
      <c r="G3183" s="68"/>
      <c r="H3183" s="68"/>
      <c r="I3183" s="69">
        <v>1695309.0782436449</v>
      </c>
    </row>
    <row r="3184" spans="1:9" hidden="1">
      <c r="A3184" s="64" t="s">
        <v>295</v>
      </c>
      <c r="B3184" s="65">
        <v>2038</v>
      </c>
      <c r="C3184" s="65">
        <v>2023</v>
      </c>
      <c r="D3184" s="65" t="s">
        <v>296</v>
      </c>
      <c r="E3184" s="65" t="s">
        <v>305</v>
      </c>
      <c r="F3184" s="65" t="s">
        <v>297</v>
      </c>
      <c r="G3184" s="65"/>
      <c r="H3184" s="65"/>
      <c r="I3184" s="66">
        <v>12068.77268</v>
      </c>
    </row>
    <row r="3185" spans="1:9" hidden="1">
      <c r="A3185" s="67" t="s">
        <v>295</v>
      </c>
      <c r="B3185" s="68">
        <v>2038</v>
      </c>
      <c r="C3185" s="68">
        <v>2023</v>
      </c>
      <c r="D3185" s="68" t="s">
        <v>296</v>
      </c>
      <c r="E3185" s="68" t="s">
        <v>305</v>
      </c>
      <c r="F3185" s="68" t="s">
        <v>298</v>
      </c>
      <c r="G3185" s="68"/>
      <c r="H3185" s="68"/>
      <c r="I3185" s="69">
        <v>8630.8566300000002</v>
      </c>
    </row>
    <row r="3186" spans="1:9" hidden="1">
      <c r="A3186" s="64" t="s">
        <v>295</v>
      </c>
      <c r="B3186" s="65">
        <v>2038</v>
      </c>
      <c r="C3186" s="65">
        <v>2023</v>
      </c>
      <c r="D3186" s="65" t="s">
        <v>296</v>
      </c>
      <c r="E3186" s="65" t="s">
        <v>305</v>
      </c>
      <c r="F3186" s="65" t="s">
        <v>40</v>
      </c>
      <c r="G3186" s="65"/>
      <c r="H3186" s="65"/>
      <c r="I3186" s="66">
        <v>151332.33360000001</v>
      </c>
    </row>
    <row r="3187" spans="1:9" hidden="1">
      <c r="A3187" s="67" t="s">
        <v>295</v>
      </c>
      <c r="B3187" s="68">
        <v>2038</v>
      </c>
      <c r="C3187" s="68">
        <v>2023</v>
      </c>
      <c r="D3187" s="68" t="s">
        <v>309</v>
      </c>
      <c r="E3187" s="68" t="s">
        <v>294</v>
      </c>
      <c r="F3187" s="68" t="s">
        <v>297</v>
      </c>
      <c r="G3187" s="68"/>
      <c r="H3187" s="68"/>
      <c r="I3187" s="69">
        <v>39582.229049396563</v>
      </c>
    </row>
    <row r="3188" spans="1:9" hidden="1">
      <c r="A3188" s="64" t="s">
        <v>295</v>
      </c>
      <c r="B3188" s="65">
        <v>2038</v>
      </c>
      <c r="C3188" s="65">
        <v>2023</v>
      </c>
      <c r="D3188" s="65" t="s">
        <v>309</v>
      </c>
      <c r="E3188" s="65" t="s">
        <v>294</v>
      </c>
      <c r="F3188" s="65" t="s">
        <v>298</v>
      </c>
      <c r="G3188" s="65"/>
      <c r="H3188" s="65"/>
      <c r="I3188" s="66">
        <v>278388.57727084809</v>
      </c>
    </row>
    <row r="3189" spans="1:9" hidden="1">
      <c r="A3189" s="67" t="s">
        <v>295</v>
      </c>
      <c r="B3189" s="68">
        <v>2038</v>
      </c>
      <c r="C3189" s="68">
        <v>2023</v>
      </c>
      <c r="D3189" s="68" t="s">
        <v>309</v>
      </c>
      <c r="E3189" s="68" t="s">
        <v>294</v>
      </c>
      <c r="F3189" s="68" t="s">
        <v>40</v>
      </c>
      <c r="G3189" s="68"/>
      <c r="H3189" s="68"/>
      <c r="I3189" s="69">
        <v>317970.74647475709</v>
      </c>
    </row>
    <row r="3190" spans="1:9" hidden="1">
      <c r="A3190" s="64" t="s">
        <v>295</v>
      </c>
      <c r="B3190" s="65">
        <v>2038</v>
      </c>
      <c r="C3190" s="65">
        <v>2023</v>
      </c>
      <c r="D3190" s="65" t="s">
        <v>309</v>
      </c>
      <c r="E3190" s="65" t="s">
        <v>301</v>
      </c>
      <c r="F3190" s="65" t="s">
        <v>297</v>
      </c>
      <c r="G3190" s="65"/>
      <c r="H3190" s="65"/>
      <c r="I3190" s="66">
        <v>44776.471569196008</v>
      </c>
    </row>
    <row r="3191" spans="1:9" hidden="1">
      <c r="A3191" s="67" t="s">
        <v>295</v>
      </c>
      <c r="B3191" s="68">
        <v>2038</v>
      </c>
      <c r="C3191" s="68">
        <v>2023</v>
      </c>
      <c r="D3191" s="68" t="s">
        <v>309</v>
      </c>
      <c r="E3191" s="68" t="s">
        <v>301</v>
      </c>
      <c r="F3191" s="68" t="s">
        <v>298</v>
      </c>
      <c r="G3191" s="68"/>
      <c r="H3191" s="68"/>
      <c r="I3191" s="69">
        <v>332959.63776842313</v>
      </c>
    </row>
    <row r="3192" spans="1:9" hidden="1">
      <c r="A3192" s="64" t="s">
        <v>295</v>
      </c>
      <c r="B3192" s="65">
        <v>2038</v>
      </c>
      <c r="C3192" s="65">
        <v>2023</v>
      </c>
      <c r="D3192" s="65" t="s">
        <v>309</v>
      </c>
      <c r="E3192" s="65" t="s">
        <v>301</v>
      </c>
      <c r="F3192" s="65" t="s">
        <v>40</v>
      </c>
      <c r="G3192" s="65"/>
      <c r="H3192" s="65"/>
      <c r="I3192" s="66">
        <v>377736.22935815487</v>
      </c>
    </row>
    <row r="3193" spans="1:9" hidden="1">
      <c r="A3193" s="67" t="s">
        <v>295</v>
      </c>
      <c r="B3193" s="68">
        <v>2038</v>
      </c>
      <c r="C3193" s="68">
        <v>2023</v>
      </c>
      <c r="D3193" s="68" t="s">
        <v>309</v>
      </c>
      <c r="E3193" s="68" t="s">
        <v>305</v>
      </c>
      <c r="F3193" s="68" t="s">
        <v>297</v>
      </c>
      <c r="G3193" s="68"/>
      <c r="H3193" s="68"/>
      <c r="I3193" s="69">
        <v>64.315660000000008</v>
      </c>
    </row>
    <row r="3194" spans="1:9" hidden="1">
      <c r="A3194" s="64" t="s">
        <v>295</v>
      </c>
      <c r="B3194" s="65">
        <v>2038</v>
      </c>
      <c r="C3194" s="65">
        <v>2023</v>
      </c>
      <c r="D3194" s="65" t="s">
        <v>309</v>
      </c>
      <c r="E3194" s="65" t="s">
        <v>305</v>
      </c>
      <c r="F3194" s="65" t="s">
        <v>298</v>
      </c>
      <c r="G3194" s="65"/>
      <c r="H3194" s="65"/>
      <c r="I3194" s="66">
        <v>7117.05663</v>
      </c>
    </row>
    <row r="3195" spans="1:9" hidden="1">
      <c r="A3195" s="67" t="s">
        <v>295</v>
      </c>
      <c r="B3195" s="68">
        <v>2038</v>
      </c>
      <c r="C3195" s="68">
        <v>2023</v>
      </c>
      <c r="D3195" s="68" t="s">
        <v>309</v>
      </c>
      <c r="E3195" s="68" t="s">
        <v>305</v>
      </c>
      <c r="F3195" s="68" t="s">
        <v>40</v>
      </c>
      <c r="G3195" s="68"/>
      <c r="H3195" s="68"/>
      <c r="I3195" s="69">
        <v>48154.872289999999</v>
      </c>
    </row>
    <row r="3196" spans="1:9" hidden="1">
      <c r="A3196" s="64" t="s">
        <v>295</v>
      </c>
      <c r="B3196" s="65">
        <v>2038</v>
      </c>
      <c r="C3196" s="65">
        <v>2023</v>
      </c>
      <c r="D3196" s="65" t="s">
        <v>315</v>
      </c>
      <c r="E3196" s="65" t="s">
        <v>294</v>
      </c>
      <c r="F3196" s="65" t="s">
        <v>297</v>
      </c>
      <c r="G3196" s="65"/>
      <c r="H3196" s="65"/>
      <c r="I3196" s="66">
        <v>95162.452026253013</v>
      </c>
    </row>
    <row r="3197" spans="1:9" hidden="1">
      <c r="A3197" s="67" t="s">
        <v>295</v>
      </c>
      <c r="B3197" s="68">
        <v>2038</v>
      </c>
      <c r="C3197" s="68">
        <v>2023</v>
      </c>
      <c r="D3197" s="68" t="s">
        <v>315</v>
      </c>
      <c r="E3197" s="68" t="s">
        <v>294</v>
      </c>
      <c r="F3197" s="68" t="s">
        <v>298</v>
      </c>
      <c r="G3197" s="68"/>
      <c r="H3197" s="68"/>
      <c r="I3197" s="69">
        <v>182790.58109426819</v>
      </c>
    </row>
    <row r="3198" spans="1:9" hidden="1">
      <c r="A3198" s="64" t="s">
        <v>295</v>
      </c>
      <c r="B3198" s="65">
        <v>2038</v>
      </c>
      <c r="C3198" s="65">
        <v>2023</v>
      </c>
      <c r="D3198" s="65" t="s">
        <v>315</v>
      </c>
      <c r="E3198" s="65" t="s">
        <v>294</v>
      </c>
      <c r="F3198" s="65" t="s">
        <v>40</v>
      </c>
      <c r="G3198" s="65"/>
      <c r="H3198" s="65"/>
      <c r="I3198" s="66">
        <v>277952.95313060749</v>
      </c>
    </row>
    <row r="3199" spans="1:9" hidden="1">
      <c r="A3199" s="67" t="s">
        <v>295</v>
      </c>
      <c r="B3199" s="68">
        <v>2038</v>
      </c>
      <c r="C3199" s="68">
        <v>2023</v>
      </c>
      <c r="D3199" s="68" t="s">
        <v>315</v>
      </c>
      <c r="E3199" s="68" t="s">
        <v>301</v>
      </c>
      <c r="F3199" s="68" t="s">
        <v>297</v>
      </c>
      <c r="G3199" s="68"/>
      <c r="H3199" s="68"/>
      <c r="I3199" s="69">
        <v>101258.2518964755</v>
      </c>
    </row>
    <row r="3200" spans="1:9" hidden="1">
      <c r="A3200" s="64" t="s">
        <v>295</v>
      </c>
      <c r="B3200" s="65">
        <v>2038</v>
      </c>
      <c r="C3200" s="65">
        <v>2023</v>
      </c>
      <c r="D3200" s="65" t="s">
        <v>315</v>
      </c>
      <c r="E3200" s="65" t="s">
        <v>301</v>
      </c>
      <c r="F3200" s="65" t="s">
        <v>298</v>
      </c>
      <c r="G3200" s="65"/>
      <c r="H3200" s="65"/>
      <c r="I3200" s="66">
        <v>208268.00083043211</v>
      </c>
    </row>
    <row r="3201" spans="1:9" hidden="1">
      <c r="A3201" s="67" t="s">
        <v>295</v>
      </c>
      <c r="B3201" s="68">
        <v>2038</v>
      </c>
      <c r="C3201" s="68">
        <v>2023</v>
      </c>
      <c r="D3201" s="68" t="s">
        <v>315</v>
      </c>
      <c r="E3201" s="68" t="s">
        <v>301</v>
      </c>
      <c r="F3201" s="68" t="s">
        <v>40</v>
      </c>
      <c r="G3201" s="68"/>
      <c r="H3201" s="68"/>
      <c r="I3201" s="69">
        <v>309525.97270671901</v>
      </c>
    </row>
    <row r="3202" spans="1:9" hidden="1">
      <c r="A3202" s="64" t="s">
        <v>295</v>
      </c>
      <c r="B3202" s="65">
        <v>2038</v>
      </c>
      <c r="C3202" s="65">
        <v>2023</v>
      </c>
      <c r="D3202" s="65" t="s">
        <v>315</v>
      </c>
      <c r="E3202" s="65" t="s">
        <v>305</v>
      </c>
      <c r="F3202" s="65" t="s">
        <v>297</v>
      </c>
      <c r="G3202" s="65"/>
      <c r="H3202" s="65"/>
      <c r="I3202" s="66">
        <v>1086.1287</v>
      </c>
    </row>
    <row r="3203" spans="1:9" hidden="1">
      <c r="A3203" s="67" t="s">
        <v>295</v>
      </c>
      <c r="B3203" s="68">
        <v>2038</v>
      </c>
      <c r="C3203" s="68">
        <v>2023</v>
      </c>
      <c r="D3203" s="68" t="s">
        <v>315</v>
      </c>
      <c r="E3203" s="68" t="s">
        <v>305</v>
      </c>
      <c r="F3203" s="68" t="s">
        <v>298</v>
      </c>
      <c r="G3203" s="68"/>
      <c r="H3203" s="68"/>
      <c r="I3203" s="69">
        <v>1443.9</v>
      </c>
    </row>
    <row r="3204" spans="1:9" hidden="1">
      <c r="A3204" s="64" t="s">
        <v>295</v>
      </c>
      <c r="B3204" s="65">
        <v>2038</v>
      </c>
      <c r="C3204" s="65">
        <v>2023</v>
      </c>
      <c r="D3204" s="65" t="s">
        <v>315</v>
      </c>
      <c r="E3204" s="65" t="s">
        <v>305</v>
      </c>
      <c r="F3204" s="65" t="s">
        <v>40</v>
      </c>
      <c r="G3204" s="65"/>
      <c r="H3204" s="65"/>
      <c r="I3204" s="66">
        <v>21190.9287</v>
      </c>
    </row>
    <row r="3205" spans="1:9" hidden="1">
      <c r="A3205" s="67" t="s">
        <v>295</v>
      </c>
      <c r="B3205" s="68">
        <v>2038</v>
      </c>
      <c r="C3205" s="68">
        <v>2023</v>
      </c>
      <c r="D3205" s="68" t="s">
        <v>316</v>
      </c>
      <c r="E3205" s="68" t="s">
        <v>294</v>
      </c>
      <c r="F3205" s="68" t="s">
        <v>297</v>
      </c>
      <c r="G3205" s="68"/>
      <c r="H3205" s="68"/>
      <c r="I3205" s="69">
        <v>468477.89034824137</v>
      </c>
    </row>
    <row r="3206" spans="1:9" hidden="1">
      <c r="A3206" s="64" t="s">
        <v>295</v>
      </c>
      <c r="B3206" s="65">
        <v>2038</v>
      </c>
      <c r="C3206" s="65">
        <v>2023</v>
      </c>
      <c r="D3206" s="65" t="s">
        <v>316</v>
      </c>
      <c r="E3206" s="65" t="s">
        <v>294</v>
      </c>
      <c r="F3206" s="65" t="s">
        <v>298</v>
      </c>
      <c r="G3206" s="65"/>
      <c r="H3206" s="65"/>
      <c r="I3206" s="66">
        <v>3308.341181946023</v>
      </c>
    </row>
    <row r="3207" spans="1:9" hidden="1">
      <c r="A3207" s="67" t="s">
        <v>295</v>
      </c>
      <c r="B3207" s="68">
        <v>2038</v>
      </c>
      <c r="C3207" s="68">
        <v>2023</v>
      </c>
      <c r="D3207" s="68" t="s">
        <v>316</v>
      </c>
      <c r="E3207" s="68" t="s">
        <v>294</v>
      </c>
      <c r="F3207" s="68" t="s">
        <v>40</v>
      </c>
      <c r="G3207" s="68"/>
      <c r="H3207" s="68"/>
      <c r="I3207" s="69">
        <v>488700.41571853828</v>
      </c>
    </row>
    <row r="3208" spans="1:9" hidden="1">
      <c r="A3208" s="64" t="s">
        <v>295</v>
      </c>
      <c r="B3208" s="65">
        <v>2038</v>
      </c>
      <c r="C3208" s="65">
        <v>2023</v>
      </c>
      <c r="D3208" s="65" t="s">
        <v>316</v>
      </c>
      <c r="E3208" s="65" t="s">
        <v>301</v>
      </c>
      <c r="F3208" s="65" t="s">
        <v>297</v>
      </c>
      <c r="G3208" s="65"/>
      <c r="H3208" s="65"/>
      <c r="I3208" s="66">
        <v>562037.03730182094</v>
      </c>
    </row>
    <row r="3209" spans="1:9" hidden="1">
      <c r="A3209" s="67" t="s">
        <v>295</v>
      </c>
      <c r="B3209" s="68">
        <v>2038</v>
      </c>
      <c r="C3209" s="68">
        <v>2023</v>
      </c>
      <c r="D3209" s="68" t="s">
        <v>316</v>
      </c>
      <c r="E3209" s="68" t="s">
        <v>301</v>
      </c>
      <c r="F3209" s="68" t="s">
        <v>298</v>
      </c>
      <c r="G3209" s="68"/>
      <c r="H3209" s="68"/>
      <c r="I3209" s="69">
        <v>3522.9334952988802</v>
      </c>
    </row>
    <row r="3210" spans="1:9" hidden="1">
      <c r="A3210" s="64" t="s">
        <v>295</v>
      </c>
      <c r="B3210" s="65">
        <v>2038</v>
      </c>
      <c r="C3210" s="65">
        <v>2023</v>
      </c>
      <c r="D3210" s="65" t="s">
        <v>316</v>
      </c>
      <c r="E3210" s="65" t="s">
        <v>301</v>
      </c>
      <c r="F3210" s="65" t="s">
        <v>40</v>
      </c>
      <c r="G3210" s="65"/>
      <c r="H3210" s="65"/>
      <c r="I3210" s="66">
        <v>583966.42242911796</v>
      </c>
    </row>
    <row r="3211" spans="1:9" hidden="1">
      <c r="A3211" s="67" t="s">
        <v>295</v>
      </c>
      <c r="B3211" s="68">
        <v>2038</v>
      </c>
      <c r="C3211" s="68">
        <v>2023</v>
      </c>
      <c r="D3211" s="68" t="s">
        <v>316</v>
      </c>
      <c r="E3211" s="68" t="s">
        <v>305</v>
      </c>
      <c r="F3211" s="68" t="s">
        <v>297</v>
      </c>
      <c r="G3211" s="68"/>
      <c r="H3211" s="68"/>
      <c r="I3211" s="69">
        <v>9003.49856</v>
      </c>
    </row>
    <row r="3212" spans="1:9" hidden="1">
      <c r="A3212" s="64" t="s">
        <v>295</v>
      </c>
      <c r="B3212" s="65">
        <v>2038</v>
      </c>
      <c r="C3212" s="65">
        <v>2023</v>
      </c>
      <c r="D3212" s="65" t="s">
        <v>316</v>
      </c>
      <c r="E3212" s="65" t="s">
        <v>305</v>
      </c>
      <c r="F3212" s="65" t="s">
        <v>298</v>
      </c>
      <c r="G3212" s="65"/>
      <c r="H3212" s="65"/>
      <c r="I3212" s="66">
        <v>0</v>
      </c>
    </row>
    <row r="3213" spans="1:9" hidden="1">
      <c r="A3213" s="67" t="s">
        <v>295</v>
      </c>
      <c r="B3213" s="68">
        <v>2038</v>
      </c>
      <c r="C3213" s="68">
        <v>2023</v>
      </c>
      <c r="D3213" s="68" t="s">
        <v>316</v>
      </c>
      <c r="E3213" s="68" t="s">
        <v>305</v>
      </c>
      <c r="F3213" s="68" t="s">
        <v>40</v>
      </c>
      <c r="G3213" s="68"/>
      <c r="H3213" s="68"/>
      <c r="I3213" s="69">
        <v>43005.102859999999</v>
      </c>
    </row>
    <row r="3214" spans="1:9" hidden="1">
      <c r="A3214" s="64" t="s">
        <v>295</v>
      </c>
      <c r="B3214" s="65">
        <v>2038</v>
      </c>
      <c r="C3214" s="65">
        <v>2023</v>
      </c>
      <c r="D3214" s="65" t="s">
        <v>317</v>
      </c>
      <c r="E3214" s="65" t="s">
        <v>294</v>
      </c>
      <c r="F3214" s="65" t="s">
        <v>297</v>
      </c>
      <c r="G3214" s="65"/>
      <c r="H3214" s="65"/>
      <c r="I3214" s="66">
        <v>146.90229939938291</v>
      </c>
    </row>
    <row r="3215" spans="1:9" hidden="1">
      <c r="A3215" s="67" t="s">
        <v>295</v>
      </c>
      <c r="B3215" s="68">
        <v>2038</v>
      </c>
      <c r="C3215" s="68">
        <v>2023</v>
      </c>
      <c r="D3215" s="68" t="s">
        <v>317</v>
      </c>
      <c r="E3215" s="68" t="s">
        <v>294</v>
      </c>
      <c r="F3215" s="68" t="s">
        <v>298</v>
      </c>
      <c r="G3215" s="68"/>
      <c r="H3215" s="68"/>
      <c r="I3215" s="69">
        <v>0</v>
      </c>
    </row>
    <row r="3216" spans="1:9" hidden="1">
      <c r="A3216" s="64" t="s">
        <v>295</v>
      </c>
      <c r="B3216" s="65">
        <v>2038</v>
      </c>
      <c r="C3216" s="65">
        <v>2023</v>
      </c>
      <c r="D3216" s="65" t="s">
        <v>317</v>
      </c>
      <c r="E3216" s="65" t="s">
        <v>294</v>
      </c>
      <c r="F3216" s="65" t="s">
        <v>40</v>
      </c>
      <c r="G3216" s="65"/>
      <c r="H3216" s="65"/>
      <c r="I3216" s="66">
        <v>17032.43483189739</v>
      </c>
    </row>
    <row r="3217" spans="1:9" hidden="1">
      <c r="A3217" s="67" t="s">
        <v>295</v>
      </c>
      <c r="B3217" s="68">
        <v>2038</v>
      </c>
      <c r="C3217" s="68">
        <v>2023</v>
      </c>
      <c r="D3217" s="68" t="s">
        <v>317</v>
      </c>
      <c r="E3217" s="68" t="s">
        <v>301</v>
      </c>
      <c r="F3217" s="68" t="s">
        <v>297</v>
      </c>
      <c r="G3217" s="68"/>
      <c r="H3217" s="68"/>
      <c r="I3217" s="69">
        <v>158.22626574202491</v>
      </c>
    </row>
    <row r="3218" spans="1:9" hidden="1">
      <c r="A3218" s="64" t="s">
        <v>295</v>
      </c>
      <c r="B3218" s="65">
        <v>2038</v>
      </c>
      <c r="C3218" s="65">
        <v>2023</v>
      </c>
      <c r="D3218" s="65" t="s">
        <v>317</v>
      </c>
      <c r="E3218" s="65" t="s">
        <v>301</v>
      </c>
      <c r="F3218" s="65" t="s">
        <v>298</v>
      </c>
      <c r="G3218" s="65"/>
      <c r="H3218" s="65"/>
      <c r="I3218" s="66">
        <v>0</v>
      </c>
    </row>
    <row r="3219" spans="1:9" hidden="1">
      <c r="A3219" s="67" t="s">
        <v>295</v>
      </c>
      <c r="B3219" s="68">
        <v>2038</v>
      </c>
      <c r="C3219" s="68">
        <v>2023</v>
      </c>
      <c r="D3219" s="68" t="s">
        <v>317</v>
      </c>
      <c r="E3219" s="68" t="s">
        <v>301</v>
      </c>
      <c r="F3219" s="68" t="s">
        <v>40</v>
      </c>
      <c r="G3219" s="68"/>
      <c r="H3219" s="68"/>
      <c r="I3219" s="69">
        <v>18559.336069111279</v>
      </c>
    </row>
    <row r="3220" spans="1:9" hidden="1">
      <c r="A3220" s="64" t="s">
        <v>295</v>
      </c>
      <c r="B3220" s="65">
        <v>2038</v>
      </c>
      <c r="C3220" s="65">
        <v>2023</v>
      </c>
      <c r="D3220" s="65" t="s">
        <v>317</v>
      </c>
      <c r="E3220" s="65" t="s">
        <v>305</v>
      </c>
      <c r="F3220" s="65" t="s">
        <v>297</v>
      </c>
      <c r="G3220" s="65"/>
      <c r="H3220" s="65"/>
      <c r="I3220" s="66">
        <v>1.2999999999999999E-2</v>
      </c>
    </row>
    <row r="3221" spans="1:9" hidden="1">
      <c r="A3221" s="67" t="s">
        <v>295</v>
      </c>
      <c r="B3221" s="68">
        <v>2038</v>
      </c>
      <c r="C3221" s="68">
        <v>2023</v>
      </c>
      <c r="D3221" s="68" t="s">
        <v>317</v>
      </c>
      <c r="E3221" s="68" t="s">
        <v>305</v>
      </c>
      <c r="F3221" s="68" t="s">
        <v>40</v>
      </c>
      <c r="G3221" s="68"/>
      <c r="H3221" s="68"/>
      <c r="I3221" s="69">
        <v>508.01729999999998</v>
      </c>
    </row>
    <row r="3222" spans="1:9" hidden="1">
      <c r="A3222" s="64" t="s">
        <v>295</v>
      </c>
      <c r="B3222" s="65">
        <v>2038</v>
      </c>
      <c r="C3222" s="65">
        <v>2023</v>
      </c>
      <c r="D3222" s="65" t="s">
        <v>318</v>
      </c>
      <c r="E3222" s="65" t="s">
        <v>294</v>
      </c>
      <c r="F3222" s="65" t="s">
        <v>297</v>
      </c>
      <c r="G3222" s="65"/>
      <c r="H3222" s="65"/>
      <c r="I3222" s="66">
        <v>446558.10885781067</v>
      </c>
    </row>
    <row r="3223" spans="1:9" hidden="1">
      <c r="A3223" s="67" t="s">
        <v>295</v>
      </c>
      <c r="B3223" s="68">
        <v>2038</v>
      </c>
      <c r="C3223" s="68">
        <v>2023</v>
      </c>
      <c r="D3223" s="68" t="s">
        <v>318</v>
      </c>
      <c r="E3223" s="68" t="s">
        <v>294</v>
      </c>
      <c r="F3223" s="68" t="s">
        <v>298</v>
      </c>
      <c r="G3223" s="68"/>
      <c r="H3223" s="68"/>
      <c r="I3223" s="69">
        <v>0</v>
      </c>
    </row>
    <row r="3224" spans="1:9" hidden="1">
      <c r="A3224" s="64" t="s">
        <v>295</v>
      </c>
      <c r="B3224" s="65">
        <v>2038</v>
      </c>
      <c r="C3224" s="65">
        <v>2023</v>
      </c>
      <c r="D3224" s="65" t="s">
        <v>318</v>
      </c>
      <c r="E3224" s="65" t="s">
        <v>294</v>
      </c>
      <c r="F3224" s="65" t="s">
        <v>40</v>
      </c>
      <c r="G3224" s="65"/>
      <c r="H3224" s="65"/>
      <c r="I3224" s="66">
        <v>446558.10885781067</v>
      </c>
    </row>
    <row r="3225" spans="1:9" hidden="1">
      <c r="A3225" s="67" t="s">
        <v>295</v>
      </c>
      <c r="B3225" s="68">
        <v>2038</v>
      </c>
      <c r="C3225" s="68">
        <v>2023</v>
      </c>
      <c r="D3225" s="68" t="s">
        <v>318</v>
      </c>
      <c r="E3225" s="68" t="s">
        <v>301</v>
      </c>
      <c r="F3225" s="68" t="s">
        <v>297</v>
      </c>
      <c r="G3225" s="68"/>
      <c r="H3225" s="68"/>
      <c r="I3225" s="69">
        <v>538642.19981788762</v>
      </c>
    </row>
    <row r="3226" spans="1:9" hidden="1">
      <c r="A3226" s="64" t="s">
        <v>295</v>
      </c>
      <c r="B3226" s="65">
        <v>2038</v>
      </c>
      <c r="C3226" s="65">
        <v>2023</v>
      </c>
      <c r="D3226" s="65" t="s">
        <v>318</v>
      </c>
      <c r="E3226" s="65" t="s">
        <v>301</v>
      </c>
      <c r="F3226" s="65" t="s">
        <v>298</v>
      </c>
      <c r="G3226" s="65"/>
      <c r="H3226" s="65"/>
      <c r="I3226" s="66">
        <v>0</v>
      </c>
    </row>
    <row r="3227" spans="1:9" hidden="1">
      <c r="A3227" s="67" t="s">
        <v>295</v>
      </c>
      <c r="B3227" s="68">
        <v>2038</v>
      </c>
      <c r="C3227" s="68">
        <v>2023</v>
      </c>
      <c r="D3227" s="68" t="s">
        <v>318</v>
      </c>
      <c r="E3227" s="68" t="s">
        <v>301</v>
      </c>
      <c r="F3227" s="68" t="s">
        <v>40</v>
      </c>
      <c r="G3227" s="68"/>
      <c r="H3227" s="68"/>
      <c r="I3227" s="69">
        <v>538642.19981788762</v>
      </c>
    </row>
    <row r="3228" spans="1:9" hidden="1">
      <c r="A3228" s="64" t="s">
        <v>295</v>
      </c>
      <c r="B3228" s="65">
        <v>2038</v>
      </c>
      <c r="C3228" s="65">
        <v>2023</v>
      </c>
      <c r="D3228" s="65" t="s">
        <v>318</v>
      </c>
      <c r="E3228" s="65" t="s">
        <v>305</v>
      </c>
      <c r="F3228" s="65" t="s">
        <v>297</v>
      </c>
      <c r="G3228" s="65"/>
      <c r="H3228" s="65"/>
      <c r="I3228" s="66">
        <v>8907.0486999999994</v>
      </c>
    </row>
    <row r="3229" spans="1:9" hidden="1">
      <c r="A3229" s="67" t="s">
        <v>295</v>
      </c>
      <c r="B3229" s="68">
        <v>2038</v>
      </c>
      <c r="C3229" s="68">
        <v>2023</v>
      </c>
      <c r="D3229" s="68" t="s">
        <v>318</v>
      </c>
      <c r="E3229" s="68" t="s">
        <v>305</v>
      </c>
      <c r="F3229" s="68" t="s">
        <v>40</v>
      </c>
      <c r="G3229" s="68"/>
      <c r="H3229" s="68"/>
      <c r="I3229" s="69">
        <v>40509.548699999999</v>
      </c>
    </row>
    <row r="3230" spans="1:9" hidden="1">
      <c r="A3230" s="64" t="s">
        <v>295</v>
      </c>
      <c r="B3230" s="65">
        <v>2038</v>
      </c>
      <c r="C3230" s="65">
        <v>2023</v>
      </c>
      <c r="D3230" s="65" t="s">
        <v>320</v>
      </c>
      <c r="E3230" s="65" t="s">
        <v>294</v>
      </c>
      <c r="F3230" s="65" t="s">
        <v>297</v>
      </c>
      <c r="G3230" s="65"/>
      <c r="H3230" s="65"/>
      <c r="I3230" s="66">
        <v>3366.6291604159678</v>
      </c>
    </row>
    <row r="3231" spans="1:9" hidden="1">
      <c r="A3231" s="67" t="s">
        <v>295</v>
      </c>
      <c r="B3231" s="68">
        <v>2038</v>
      </c>
      <c r="C3231" s="68">
        <v>2023</v>
      </c>
      <c r="D3231" s="68" t="s">
        <v>320</v>
      </c>
      <c r="E3231" s="68" t="s">
        <v>294</v>
      </c>
      <c r="F3231" s="68" t="s">
        <v>298</v>
      </c>
      <c r="G3231" s="68"/>
      <c r="H3231" s="68"/>
      <c r="I3231" s="69">
        <v>0</v>
      </c>
    </row>
    <row r="3232" spans="1:9" hidden="1">
      <c r="A3232" s="64" t="s">
        <v>295</v>
      </c>
      <c r="B3232" s="65">
        <v>2038</v>
      </c>
      <c r="C3232" s="65">
        <v>2023</v>
      </c>
      <c r="D3232" s="65" t="s">
        <v>320</v>
      </c>
      <c r="E3232" s="65" t="s">
        <v>294</v>
      </c>
      <c r="F3232" s="65" t="s">
        <v>40</v>
      </c>
      <c r="G3232" s="65"/>
      <c r="H3232" s="65"/>
      <c r="I3232" s="66">
        <v>3366.6291604159678</v>
      </c>
    </row>
    <row r="3233" spans="1:9" hidden="1">
      <c r="A3233" s="67" t="s">
        <v>295</v>
      </c>
      <c r="B3233" s="68">
        <v>2038</v>
      </c>
      <c r="C3233" s="68">
        <v>2023</v>
      </c>
      <c r="D3233" s="68" t="s">
        <v>320</v>
      </c>
      <c r="E3233" s="68" t="s">
        <v>301</v>
      </c>
      <c r="F3233" s="68" t="s">
        <v>297</v>
      </c>
      <c r="G3233" s="68"/>
      <c r="H3233" s="68"/>
      <c r="I3233" s="69">
        <v>4249.4605485578113</v>
      </c>
    </row>
    <row r="3234" spans="1:9" hidden="1">
      <c r="A3234" s="64" t="s">
        <v>295</v>
      </c>
      <c r="B3234" s="65">
        <v>2038</v>
      </c>
      <c r="C3234" s="65">
        <v>2023</v>
      </c>
      <c r="D3234" s="65" t="s">
        <v>320</v>
      </c>
      <c r="E3234" s="65" t="s">
        <v>301</v>
      </c>
      <c r="F3234" s="65" t="s">
        <v>298</v>
      </c>
      <c r="G3234" s="65"/>
      <c r="H3234" s="65"/>
      <c r="I3234" s="66">
        <v>0</v>
      </c>
    </row>
    <row r="3235" spans="1:9" hidden="1">
      <c r="A3235" s="67" t="s">
        <v>295</v>
      </c>
      <c r="B3235" s="68">
        <v>2038</v>
      </c>
      <c r="C3235" s="68">
        <v>2023</v>
      </c>
      <c r="D3235" s="68" t="s">
        <v>320</v>
      </c>
      <c r="E3235" s="68" t="s">
        <v>301</v>
      </c>
      <c r="F3235" s="68" t="s">
        <v>40</v>
      </c>
      <c r="G3235" s="68"/>
      <c r="H3235" s="68"/>
      <c r="I3235" s="69">
        <v>4249.4605485578113</v>
      </c>
    </row>
    <row r="3236" spans="1:9" hidden="1">
      <c r="A3236" s="64" t="s">
        <v>295</v>
      </c>
      <c r="B3236" s="65">
        <v>2038</v>
      </c>
      <c r="C3236" s="65">
        <v>2023</v>
      </c>
      <c r="D3236" s="65" t="s">
        <v>320</v>
      </c>
      <c r="E3236" s="65" t="s">
        <v>305</v>
      </c>
      <c r="F3236" s="65" t="s">
        <v>297</v>
      </c>
      <c r="G3236" s="65"/>
      <c r="H3236" s="65"/>
      <c r="I3236" s="66">
        <v>38.700000000000003</v>
      </c>
    </row>
    <row r="3237" spans="1:9" hidden="1">
      <c r="A3237" s="67" t="s">
        <v>295</v>
      </c>
      <c r="B3237" s="68">
        <v>2038</v>
      </c>
      <c r="C3237" s="68">
        <v>2023</v>
      </c>
      <c r="D3237" s="68" t="s">
        <v>320</v>
      </c>
      <c r="E3237" s="68" t="s">
        <v>305</v>
      </c>
      <c r="F3237" s="68" t="s">
        <v>40</v>
      </c>
      <c r="G3237" s="68"/>
      <c r="H3237" s="68"/>
      <c r="I3237" s="69">
        <v>1281.7</v>
      </c>
    </row>
    <row r="3238" spans="1:9" hidden="1">
      <c r="A3238" s="64" t="s">
        <v>295</v>
      </c>
      <c r="B3238" s="65">
        <v>2038</v>
      </c>
      <c r="C3238" s="65">
        <v>2023</v>
      </c>
      <c r="D3238" s="65" t="s">
        <v>321</v>
      </c>
      <c r="E3238" s="65" t="s">
        <v>294</v>
      </c>
      <c r="F3238" s="65" t="s">
        <v>297</v>
      </c>
      <c r="G3238" s="65"/>
      <c r="H3238" s="65"/>
      <c r="I3238" s="66">
        <v>17208.938045165742</v>
      </c>
    </row>
    <row r="3239" spans="1:9" hidden="1">
      <c r="A3239" s="67" t="s">
        <v>295</v>
      </c>
      <c r="B3239" s="68">
        <v>2038</v>
      </c>
      <c r="C3239" s="68">
        <v>2023</v>
      </c>
      <c r="D3239" s="68" t="s">
        <v>321</v>
      </c>
      <c r="E3239" s="68" t="s">
        <v>294</v>
      </c>
      <c r="F3239" s="68" t="s">
        <v>298</v>
      </c>
      <c r="G3239" s="68"/>
      <c r="H3239" s="68"/>
      <c r="I3239" s="69">
        <v>0</v>
      </c>
    </row>
    <row r="3240" spans="1:9" hidden="1">
      <c r="A3240" s="64" t="s">
        <v>295</v>
      </c>
      <c r="B3240" s="65">
        <v>2038</v>
      </c>
      <c r="C3240" s="65">
        <v>2023</v>
      </c>
      <c r="D3240" s="65" t="s">
        <v>321</v>
      </c>
      <c r="E3240" s="65" t="s">
        <v>294</v>
      </c>
      <c r="F3240" s="65" t="s">
        <v>40</v>
      </c>
      <c r="G3240" s="65"/>
      <c r="H3240" s="65"/>
      <c r="I3240" s="66">
        <v>17208.937885165738</v>
      </c>
    </row>
    <row r="3241" spans="1:9" hidden="1">
      <c r="A3241" s="67" t="s">
        <v>295</v>
      </c>
      <c r="B3241" s="68">
        <v>2038</v>
      </c>
      <c r="C3241" s="68">
        <v>2023</v>
      </c>
      <c r="D3241" s="68" t="s">
        <v>321</v>
      </c>
      <c r="E3241" s="68" t="s">
        <v>301</v>
      </c>
      <c r="F3241" s="68" t="s">
        <v>297</v>
      </c>
      <c r="G3241" s="68"/>
      <c r="H3241" s="68"/>
      <c r="I3241" s="69">
        <v>17534.660198198551</v>
      </c>
    </row>
    <row r="3242" spans="1:9" hidden="1">
      <c r="A3242" s="64" t="s">
        <v>295</v>
      </c>
      <c r="B3242" s="65">
        <v>2038</v>
      </c>
      <c r="C3242" s="65">
        <v>2023</v>
      </c>
      <c r="D3242" s="65" t="s">
        <v>321</v>
      </c>
      <c r="E3242" s="65" t="s">
        <v>301</v>
      </c>
      <c r="F3242" s="65" t="s">
        <v>298</v>
      </c>
      <c r="G3242" s="65"/>
      <c r="H3242" s="65"/>
      <c r="I3242" s="66">
        <v>0</v>
      </c>
    </row>
    <row r="3243" spans="1:9" hidden="1">
      <c r="A3243" s="67" t="s">
        <v>295</v>
      </c>
      <c r="B3243" s="68">
        <v>2038</v>
      </c>
      <c r="C3243" s="68">
        <v>2023</v>
      </c>
      <c r="D3243" s="68" t="s">
        <v>321</v>
      </c>
      <c r="E3243" s="68" t="s">
        <v>301</v>
      </c>
      <c r="F3243" s="68" t="s">
        <v>40</v>
      </c>
      <c r="G3243" s="68"/>
      <c r="H3243" s="68"/>
      <c r="I3243" s="69">
        <v>17534.660038198552</v>
      </c>
    </row>
    <row r="3244" spans="1:9" hidden="1">
      <c r="A3244" s="64" t="s">
        <v>295</v>
      </c>
      <c r="B3244" s="65">
        <v>2038</v>
      </c>
      <c r="C3244" s="65">
        <v>2023</v>
      </c>
      <c r="D3244" s="65" t="s">
        <v>321</v>
      </c>
      <c r="E3244" s="65" t="s">
        <v>305</v>
      </c>
      <c r="F3244" s="65" t="s">
        <v>297</v>
      </c>
      <c r="G3244" s="65"/>
      <c r="H3244" s="65"/>
      <c r="I3244" s="66">
        <v>50.536859999999997</v>
      </c>
    </row>
    <row r="3245" spans="1:9" hidden="1">
      <c r="A3245" s="67" t="s">
        <v>295</v>
      </c>
      <c r="B3245" s="68">
        <v>2038</v>
      </c>
      <c r="C3245" s="68">
        <v>2023</v>
      </c>
      <c r="D3245" s="68" t="s">
        <v>321</v>
      </c>
      <c r="E3245" s="68" t="s">
        <v>305</v>
      </c>
      <c r="F3245" s="68" t="s">
        <v>40</v>
      </c>
      <c r="G3245" s="68"/>
      <c r="H3245" s="68"/>
      <c r="I3245" s="69">
        <v>395.03685999999999</v>
      </c>
    </row>
    <row r="3246" spans="1:9" hidden="1">
      <c r="A3246" s="64" t="s">
        <v>295</v>
      </c>
      <c r="B3246" s="65">
        <v>2038</v>
      </c>
      <c r="C3246" s="65">
        <v>2023</v>
      </c>
      <c r="D3246" s="65" t="s">
        <v>322</v>
      </c>
      <c r="E3246" s="65" t="s">
        <v>294</v>
      </c>
      <c r="F3246" s="65" t="s">
        <v>297</v>
      </c>
      <c r="G3246" s="65"/>
      <c r="H3246" s="65"/>
      <c r="I3246" s="66">
        <v>1216.288935449584</v>
      </c>
    </row>
    <row r="3247" spans="1:9" hidden="1">
      <c r="A3247" s="67" t="s">
        <v>295</v>
      </c>
      <c r="B3247" s="68">
        <v>2038</v>
      </c>
      <c r="C3247" s="68">
        <v>2023</v>
      </c>
      <c r="D3247" s="68" t="s">
        <v>322</v>
      </c>
      <c r="E3247" s="68" t="s">
        <v>294</v>
      </c>
      <c r="F3247" s="68" t="s">
        <v>298</v>
      </c>
      <c r="G3247" s="68"/>
      <c r="H3247" s="68"/>
      <c r="I3247" s="69">
        <v>3336.9573177988418</v>
      </c>
    </row>
    <row r="3248" spans="1:9" hidden="1">
      <c r="A3248" s="64" t="s">
        <v>295</v>
      </c>
      <c r="B3248" s="65">
        <v>2038</v>
      </c>
      <c r="C3248" s="65">
        <v>2023</v>
      </c>
      <c r="D3248" s="65" t="s">
        <v>322</v>
      </c>
      <c r="E3248" s="65" t="s">
        <v>294</v>
      </c>
      <c r="F3248" s="65" t="s">
        <v>40</v>
      </c>
      <c r="G3248" s="65"/>
      <c r="H3248" s="65"/>
      <c r="I3248" s="66">
        <v>4553.2462432484263</v>
      </c>
    </row>
    <row r="3249" spans="1:9" hidden="1">
      <c r="A3249" s="67" t="s">
        <v>295</v>
      </c>
      <c r="B3249" s="68">
        <v>2038</v>
      </c>
      <c r="C3249" s="68">
        <v>2023</v>
      </c>
      <c r="D3249" s="68" t="s">
        <v>322</v>
      </c>
      <c r="E3249" s="68" t="s">
        <v>301</v>
      </c>
      <c r="F3249" s="68" t="s">
        <v>297</v>
      </c>
      <c r="G3249" s="68"/>
      <c r="H3249" s="68"/>
      <c r="I3249" s="69">
        <v>1471.362055434932</v>
      </c>
    </row>
    <row r="3250" spans="1:9" hidden="1">
      <c r="A3250" s="64" t="s">
        <v>295</v>
      </c>
      <c r="B3250" s="65">
        <v>2038</v>
      </c>
      <c r="C3250" s="65">
        <v>2023</v>
      </c>
      <c r="D3250" s="65" t="s">
        <v>322</v>
      </c>
      <c r="E3250" s="65" t="s">
        <v>301</v>
      </c>
      <c r="F3250" s="65" t="s">
        <v>298</v>
      </c>
      <c r="G3250" s="65"/>
      <c r="H3250" s="65"/>
      <c r="I3250" s="66">
        <v>3528.265179927736</v>
      </c>
    </row>
    <row r="3251" spans="1:9" hidden="1">
      <c r="A3251" s="67" t="s">
        <v>295</v>
      </c>
      <c r="B3251" s="68">
        <v>2038</v>
      </c>
      <c r="C3251" s="68">
        <v>2023</v>
      </c>
      <c r="D3251" s="68" t="s">
        <v>322</v>
      </c>
      <c r="E3251" s="68" t="s">
        <v>301</v>
      </c>
      <c r="F3251" s="68" t="s">
        <v>40</v>
      </c>
      <c r="G3251" s="68"/>
      <c r="H3251" s="68"/>
      <c r="I3251" s="69">
        <v>4999.6272253626694</v>
      </c>
    </row>
    <row r="3252" spans="1:9" hidden="1">
      <c r="A3252" s="64" t="s">
        <v>295</v>
      </c>
      <c r="B3252" s="65">
        <v>2038</v>
      </c>
      <c r="C3252" s="65">
        <v>2023</v>
      </c>
      <c r="D3252" s="65" t="s">
        <v>322</v>
      </c>
      <c r="E3252" s="65" t="s">
        <v>305</v>
      </c>
      <c r="F3252" s="65" t="s">
        <v>297</v>
      </c>
      <c r="G3252" s="65"/>
      <c r="H3252" s="65"/>
      <c r="I3252" s="66">
        <v>7.2</v>
      </c>
    </row>
    <row r="3253" spans="1:9" hidden="1">
      <c r="A3253" s="67" t="s">
        <v>295</v>
      </c>
      <c r="B3253" s="68">
        <v>2038</v>
      </c>
      <c r="C3253" s="68">
        <v>2023</v>
      </c>
      <c r="D3253" s="68" t="s">
        <v>322</v>
      </c>
      <c r="E3253" s="68" t="s">
        <v>305</v>
      </c>
      <c r="F3253" s="68" t="s">
        <v>40</v>
      </c>
      <c r="G3253" s="68"/>
      <c r="H3253" s="68"/>
      <c r="I3253" s="69">
        <v>310.7</v>
      </c>
    </row>
    <row r="3254" spans="1:9" hidden="1">
      <c r="A3254" s="64" t="s">
        <v>295</v>
      </c>
      <c r="B3254" s="65">
        <v>2038</v>
      </c>
      <c r="C3254" s="65">
        <v>2023</v>
      </c>
      <c r="D3254" s="65" t="s">
        <v>323</v>
      </c>
      <c r="E3254" s="65" t="s">
        <v>294</v>
      </c>
      <c r="F3254" s="65" t="s">
        <v>297</v>
      </c>
      <c r="G3254" s="65"/>
      <c r="H3254" s="65"/>
      <c r="I3254" s="66">
        <v>291651.58460863872</v>
      </c>
    </row>
    <row r="3255" spans="1:9" hidden="1">
      <c r="A3255" s="67" t="s">
        <v>295</v>
      </c>
      <c r="B3255" s="68">
        <v>2038</v>
      </c>
      <c r="C3255" s="68">
        <v>2023</v>
      </c>
      <c r="D3255" s="68" t="s">
        <v>323</v>
      </c>
      <c r="E3255" s="68" t="s">
        <v>294</v>
      </c>
      <c r="F3255" s="68" t="s">
        <v>298</v>
      </c>
      <c r="G3255" s="68"/>
      <c r="H3255" s="68"/>
      <c r="I3255" s="69">
        <v>1360.035684081505</v>
      </c>
    </row>
    <row r="3256" spans="1:9" hidden="1">
      <c r="A3256" s="64" t="s">
        <v>295</v>
      </c>
      <c r="B3256" s="65">
        <v>2038</v>
      </c>
      <c r="C3256" s="65">
        <v>2023</v>
      </c>
      <c r="D3256" s="65" t="s">
        <v>323</v>
      </c>
      <c r="E3256" s="65" t="s">
        <v>294</v>
      </c>
      <c r="F3256" s="65" t="s">
        <v>40</v>
      </c>
      <c r="G3256" s="65"/>
      <c r="H3256" s="65"/>
      <c r="I3256" s="66">
        <v>293011.62029557559</v>
      </c>
    </row>
    <row r="3257" spans="1:9" hidden="1">
      <c r="A3257" s="67" t="s">
        <v>295</v>
      </c>
      <c r="B3257" s="68">
        <v>2038</v>
      </c>
      <c r="C3257" s="68">
        <v>2023</v>
      </c>
      <c r="D3257" s="68" t="s">
        <v>323</v>
      </c>
      <c r="E3257" s="68" t="s">
        <v>301</v>
      </c>
      <c r="F3257" s="68" t="s">
        <v>297</v>
      </c>
      <c r="G3257" s="68"/>
      <c r="H3257" s="68"/>
      <c r="I3257" s="69">
        <v>353474.56444601039</v>
      </c>
    </row>
    <row r="3258" spans="1:9" hidden="1">
      <c r="A3258" s="64" t="s">
        <v>295</v>
      </c>
      <c r="B3258" s="65">
        <v>2038</v>
      </c>
      <c r="C3258" s="65">
        <v>2023</v>
      </c>
      <c r="D3258" s="65" t="s">
        <v>323</v>
      </c>
      <c r="E3258" s="65" t="s">
        <v>301</v>
      </c>
      <c r="F3258" s="65" t="s">
        <v>298</v>
      </c>
      <c r="G3258" s="65"/>
      <c r="H3258" s="65"/>
      <c r="I3258" s="66">
        <v>1512.260363642366</v>
      </c>
    </row>
    <row r="3259" spans="1:9" hidden="1">
      <c r="A3259" s="67" t="s">
        <v>295</v>
      </c>
      <c r="B3259" s="68">
        <v>2038</v>
      </c>
      <c r="C3259" s="68">
        <v>2023</v>
      </c>
      <c r="D3259" s="68" t="s">
        <v>323</v>
      </c>
      <c r="E3259" s="68" t="s">
        <v>301</v>
      </c>
      <c r="F3259" s="68" t="s">
        <v>40</v>
      </c>
      <c r="G3259" s="68"/>
      <c r="H3259" s="68"/>
      <c r="I3259" s="69">
        <v>354986.82481965277</v>
      </c>
    </row>
    <row r="3260" spans="1:9" hidden="1">
      <c r="A3260" s="64" t="s">
        <v>295</v>
      </c>
      <c r="B3260" s="65">
        <v>2038</v>
      </c>
      <c r="C3260" s="65">
        <v>2023</v>
      </c>
      <c r="D3260" s="65" t="s">
        <v>323</v>
      </c>
      <c r="E3260" s="65" t="s">
        <v>305</v>
      </c>
      <c r="F3260" s="65" t="s">
        <v>297</v>
      </c>
      <c r="G3260" s="65"/>
      <c r="H3260" s="65"/>
      <c r="I3260" s="66">
        <v>1480.42975</v>
      </c>
    </row>
    <row r="3261" spans="1:9" hidden="1">
      <c r="A3261" s="67" t="s">
        <v>295</v>
      </c>
      <c r="B3261" s="68">
        <v>2038</v>
      </c>
      <c r="C3261" s="68">
        <v>2023</v>
      </c>
      <c r="D3261" s="68" t="s">
        <v>323</v>
      </c>
      <c r="E3261" s="68" t="s">
        <v>305</v>
      </c>
      <c r="F3261" s="68" t="s">
        <v>40</v>
      </c>
      <c r="G3261" s="68"/>
      <c r="H3261" s="68"/>
      <c r="I3261" s="69">
        <v>19059.029750000002</v>
      </c>
    </row>
    <row r="3262" spans="1:9" hidden="1">
      <c r="A3262" s="64" t="s">
        <v>295</v>
      </c>
      <c r="B3262" s="65">
        <v>2038</v>
      </c>
      <c r="C3262" s="65">
        <v>2023</v>
      </c>
      <c r="D3262" s="65" t="s">
        <v>324</v>
      </c>
      <c r="E3262" s="65" t="s">
        <v>294</v>
      </c>
      <c r="F3262" s="65" t="s">
        <v>297</v>
      </c>
      <c r="G3262" s="65"/>
      <c r="H3262" s="65"/>
      <c r="I3262" s="66">
        <v>3537.5917599999998</v>
      </c>
    </row>
    <row r="3263" spans="1:9" hidden="1">
      <c r="A3263" s="67" t="s">
        <v>295</v>
      </c>
      <c r="B3263" s="68">
        <v>2038</v>
      </c>
      <c r="C3263" s="68">
        <v>2023</v>
      </c>
      <c r="D3263" s="68" t="s">
        <v>324</v>
      </c>
      <c r="E3263" s="68" t="s">
        <v>294</v>
      </c>
      <c r="F3263" s="68" t="s">
        <v>298</v>
      </c>
      <c r="G3263" s="68"/>
      <c r="H3263" s="68"/>
      <c r="I3263" s="69">
        <v>0</v>
      </c>
    </row>
    <row r="3264" spans="1:9" hidden="1">
      <c r="A3264" s="64" t="s">
        <v>295</v>
      </c>
      <c r="B3264" s="65">
        <v>2038</v>
      </c>
      <c r="C3264" s="65">
        <v>2023</v>
      </c>
      <c r="D3264" s="65" t="s">
        <v>324</v>
      </c>
      <c r="E3264" s="65" t="s">
        <v>294</v>
      </c>
      <c r="F3264" s="65" t="s">
        <v>40</v>
      </c>
      <c r="G3264" s="65"/>
      <c r="H3264" s="65"/>
      <c r="I3264" s="66">
        <v>3537.5917599999998</v>
      </c>
    </row>
    <row r="3265" spans="1:9" hidden="1">
      <c r="A3265" s="67" t="s">
        <v>295</v>
      </c>
      <c r="B3265" s="68">
        <v>2038</v>
      </c>
      <c r="C3265" s="68">
        <v>2023</v>
      </c>
      <c r="D3265" s="68" t="s">
        <v>324</v>
      </c>
      <c r="E3265" s="68" t="s">
        <v>301</v>
      </c>
      <c r="F3265" s="68" t="s">
        <v>297</v>
      </c>
      <c r="G3265" s="68"/>
      <c r="H3265" s="68"/>
      <c r="I3265" s="69">
        <v>3537.9292399999999</v>
      </c>
    </row>
    <row r="3266" spans="1:9" hidden="1">
      <c r="A3266" s="64" t="s">
        <v>295</v>
      </c>
      <c r="B3266" s="65">
        <v>2038</v>
      </c>
      <c r="C3266" s="65">
        <v>2023</v>
      </c>
      <c r="D3266" s="65" t="s">
        <v>324</v>
      </c>
      <c r="E3266" s="65" t="s">
        <v>301</v>
      </c>
      <c r="F3266" s="65" t="s">
        <v>298</v>
      </c>
      <c r="G3266" s="65"/>
      <c r="H3266" s="65"/>
      <c r="I3266" s="66">
        <v>0</v>
      </c>
    </row>
    <row r="3267" spans="1:9" hidden="1">
      <c r="A3267" s="67" t="s">
        <v>295</v>
      </c>
      <c r="B3267" s="68">
        <v>2038</v>
      </c>
      <c r="C3267" s="68">
        <v>2023</v>
      </c>
      <c r="D3267" s="68" t="s">
        <v>324</v>
      </c>
      <c r="E3267" s="68" t="s">
        <v>301</v>
      </c>
      <c r="F3267" s="68" t="s">
        <v>40</v>
      </c>
      <c r="G3267" s="68"/>
      <c r="H3267" s="68"/>
      <c r="I3267" s="69">
        <v>3537.9292399999999</v>
      </c>
    </row>
    <row r="3268" spans="1:9" hidden="1">
      <c r="A3268" s="64" t="s">
        <v>295</v>
      </c>
      <c r="B3268" s="65">
        <v>2038</v>
      </c>
      <c r="C3268" s="65">
        <v>2023</v>
      </c>
      <c r="D3268" s="65" t="s">
        <v>324</v>
      </c>
      <c r="E3268" s="65" t="s">
        <v>305</v>
      </c>
      <c r="F3268" s="65" t="s">
        <v>297</v>
      </c>
      <c r="G3268" s="65"/>
      <c r="H3268" s="65"/>
      <c r="I3268" s="66">
        <v>4.0999999999999996</v>
      </c>
    </row>
    <row r="3269" spans="1:9" hidden="1">
      <c r="A3269" s="67" t="s">
        <v>295</v>
      </c>
      <c r="B3269" s="68">
        <v>2038</v>
      </c>
      <c r="C3269" s="68">
        <v>2023</v>
      </c>
      <c r="D3269" s="68" t="s">
        <v>324</v>
      </c>
      <c r="E3269" s="68" t="s">
        <v>305</v>
      </c>
      <c r="F3269" s="68" t="s">
        <v>40</v>
      </c>
      <c r="G3269" s="68"/>
      <c r="H3269" s="68"/>
      <c r="I3269" s="69">
        <v>1246.2</v>
      </c>
    </row>
    <row r="3270" spans="1:9" hidden="1">
      <c r="A3270" s="64" t="s">
        <v>295</v>
      </c>
      <c r="B3270" s="65">
        <v>2038</v>
      </c>
      <c r="C3270" s="65">
        <v>2023</v>
      </c>
      <c r="D3270" s="65" t="s">
        <v>325</v>
      </c>
      <c r="E3270" s="65" t="s">
        <v>294</v>
      </c>
      <c r="F3270" s="65" t="s">
        <v>297</v>
      </c>
      <c r="G3270" s="65"/>
      <c r="H3270" s="65"/>
      <c r="I3270" s="66">
        <v>49090.434435251969</v>
      </c>
    </row>
    <row r="3271" spans="1:9" hidden="1">
      <c r="A3271" s="67" t="s">
        <v>295</v>
      </c>
      <c r="B3271" s="68">
        <v>2038</v>
      </c>
      <c r="C3271" s="68">
        <v>2023</v>
      </c>
      <c r="D3271" s="68" t="s">
        <v>325</v>
      </c>
      <c r="E3271" s="68" t="s">
        <v>294</v>
      </c>
      <c r="F3271" s="68" t="s">
        <v>298</v>
      </c>
      <c r="G3271" s="68"/>
      <c r="H3271" s="68"/>
      <c r="I3271" s="69">
        <v>12799.91743049155</v>
      </c>
    </row>
    <row r="3272" spans="1:9" hidden="1">
      <c r="A3272" s="64" t="s">
        <v>295</v>
      </c>
      <c r="B3272" s="65">
        <v>2038</v>
      </c>
      <c r="C3272" s="65">
        <v>2023</v>
      </c>
      <c r="D3272" s="65" t="s">
        <v>325</v>
      </c>
      <c r="E3272" s="65" t="s">
        <v>294</v>
      </c>
      <c r="F3272" s="65" t="s">
        <v>40</v>
      </c>
      <c r="G3272" s="65"/>
      <c r="H3272" s="65"/>
      <c r="I3272" s="66">
        <v>61890.351865743512</v>
      </c>
    </row>
    <row r="3273" spans="1:9" hidden="1">
      <c r="A3273" s="67" t="s">
        <v>295</v>
      </c>
      <c r="B3273" s="68">
        <v>2038</v>
      </c>
      <c r="C3273" s="68">
        <v>2023</v>
      </c>
      <c r="D3273" s="68" t="s">
        <v>325</v>
      </c>
      <c r="E3273" s="68" t="s">
        <v>301</v>
      </c>
      <c r="F3273" s="68" t="s">
        <v>297</v>
      </c>
      <c r="G3273" s="68"/>
      <c r="H3273" s="68"/>
      <c r="I3273" s="69">
        <v>51320.285201835031</v>
      </c>
    </row>
    <row r="3274" spans="1:9" hidden="1">
      <c r="A3274" s="64" t="s">
        <v>295</v>
      </c>
      <c r="B3274" s="65">
        <v>2038</v>
      </c>
      <c r="C3274" s="65">
        <v>2023</v>
      </c>
      <c r="D3274" s="65" t="s">
        <v>325</v>
      </c>
      <c r="E3274" s="65" t="s">
        <v>301</v>
      </c>
      <c r="F3274" s="65" t="s">
        <v>298</v>
      </c>
      <c r="G3274" s="65"/>
      <c r="H3274" s="65"/>
      <c r="I3274" s="66">
        <v>14296.37445816497</v>
      </c>
    </row>
    <row r="3275" spans="1:9" hidden="1">
      <c r="A3275" s="67" t="s">
        <v>295</v>
      </c>
      <c r="B3275" s="68">
        <v>2038</v>
      </c>
      <c r="C3275" s="68">
        <v>2023</v>
      </c>
      <c r="D3275" s="68" t="s">
        <v>325</v>
      </c>
      <c r="E3275" s="68" t="s">
        <v>301</v>
      </c>
      <c r="F3275" s="68" t="s">
        <v>40</v>
      </c>
      <c r="G3275" s="68"/>
      <c r="H3275" s="68"/>
      <c r="I3275" s="69">
        <v>65616.759650000007</v>
      </c>
    </row>
    <row r="3276" spans="1:9" hidden="1">
      <c r="A3276" s="64" t="s">
        <v>295</v>
      </c>
      <c r="B3276" s="65">
        <v>2038</v>
      </c>
      <c r="C3276" s="65">
        <v>2023</v>
      </c>
      <c r="D3276" s="65" t="s">
        <v>325</v>
      </c>
      <c r="E3276" s="65" t="s">
        <v>305</v>
      </c>
      <c r="F3276" s="65" t="s">
        <v>297</v>
      </c>
      <c r="G3276" s="65"/>
      <c r="H3276" s="65"/>
      <c r="I3276" s="66">
        <v>430.3</v>
      </c>
    </row>
    <row r="3277" spans="1:9" hidden="1">
      <c r="A3277" s="67" t="s">
        <v>295</v>
      </c>
      <c r="B3277" s="68">
        <v>2038</v>
      </c>
      <c r="C3277" s="68">
        <v>2023</v>
      </c>
      <c r="D3277" s="68" t="s">
        <v>325</v>
      </c>
      <c r="E3277" s="68" t="s">
        <v>305</v>
      </c>
      <c r="F3277" s="68" t="s">
        <v>298</v>
      </c>
      <c r="G3277" s="68"/>
      <c r="H3277" s="68"/>
      <c r="I3277" s="69">
        <v>69.900000000000006</v>
      </c>
    </row>
    <row r="3278" spans="1:9" hidden="1">
      <c r="A3278" s="64" t="s">
        <v>295</v>
      </c>
      <c r="B3278" s="65">
        <v>2038</v>
      </c>
      <c r="C3278" s="65">
        <v>2023</v>
      </c>
      <c r="D3278" s="65" t="s">
        <v>325</v>
      </c>
      <c r="E3278" s="65" t="s">
        <v>305</v>
      </c>
      <c r="F3278" s="65" t="s">
        <v>40</v>
      </c>
      <c r="G3278" s="65"/>
      <c r="H3278" s="65"/>
      <c r="I3278" s="66">
        <v>18676</v>
      </c>
    </row>
    <row r="3279" spans="1:9" hidden="1">
      <c r="A3279" s="67" t="s">
        <v>295</v>
      </c>
      <c r="B3279" s="68">
        <v>2038</v>
      </c>
      <c r="C3279" s="68">
        <v>2023</v>
      </c>
      <c r="D3279" s="68" t="s">
        <v>326</v>
      </c>
      <c r="E3279" s="68" t="s">
        <v>294</v>
      </c>
      <c r="F3279" s="68" t="s">
        <v>297</v>
      </c>
      <c r="G3279" s="68"/>
      <c r="H3279" s="68"/>
      <c r="I3279" s="69">
        <v>0</v>
      </c>
    </row>
    <row r="3280" spans="1:9" hidden="1">
      <c r="A3280" s="64" t="s">
        <v>295</v>
      </c>
      <c r="B3280" s="65">
        <v>2038</v>
      </c>
      <c r="C3280" s="65">
        <v>2023</v>
      </c>
      <c r="D3280" s="65" t="s">
        <v>326</v>
      </c>
      <c r="E3280" s="65" t="s">
        <v>294</v>
      </c>
      <c r="F3280" s="65" t="s">
        <v>298</v>
      </c>
      <c r="G3280" s="65"/>
      <c r="H3280" s="65"/>
      <c r="I3280" s="66">
        <v>0</v>
      </c>
    </row>
    <row r="3281" spans="1:9" hidden="1">
      <c r="A3281" s="67" t="s">
        <v>295</v>
      </c>
      <c r="B3281" s="68">
        <v>2038</v>
      </c>
      <c r="C3281" s="68">
        <v>2023</v>
      </c>
      <c r="D3281" s="68" t="s">
        <v>326</v>
      </c>
      <c r="E3281" s="68" t="s">
        <v>294</v>
      </c>
      <c r="F3281" s="68" t="s">
        <v>40</v>
      </c>
      <c r="G3281" s="68"/>
      <c r="H3281" s="68"/>
      <c r="I3281" s="69">
        <v>0</v>
      </c>
    </row>
    <row r="3282" spans="1:9" hidden="1">
      <c r="A3282" s="64" t="s">
        <v>295</v>
      </c>
      <c r="B3282" s="65">
        <v>2038</v>
      </c>
      <c r="C3282" s="65">
        <v>2023</v>
      </c>
      <c r="D3282" s="65" t="s">
        <v>326</v>
      </c>
      <c r="E3282" s="65" t="s">
        <v>301</v>
      </c>
      <c r="F3282" s="65" t="s">
        <v>297</v>
      </c>
      <c r="G3282" s="65"/>
      <c r="H3282" s="65"/>
      <c r="I3282" s="66">
        <v>0</v>
      </c>
    </row>
    <row r="3283" spans="1:9" hidden="1">
      <c r="A3283" s="67" t="s">
        <v>295</v>
      </c>
      <c r="B3283" s="68">
        <v>2038</v>
      </c>
      <c r="C3283" s="68">
        <v>2023</v>
      </c>
      <c r="D3283" s="68" t="s">
        <v>326</v>
      </c>
      <c r="E3283" s="68" t="s">
        <v>301</v>
      </c>
      <c r="F3283" s="68" t="s">
        <v>298</v>
      </c>
      <c r="G3283" s="68"/>
      <c r="H3283" s="68"/>
      <c r="I3283" s="69">
        <v>0</v>
      </c>
    </row>
    <row r="3284" spans="1:9" hidden="1">
      <c r="A3284" s="64" t="s">
        <v>295</v>
      </c>
      <c r="B3284" s="65">
        <v>2038</v>
      </c>
      <c r="C3284" s="65">
        <v>2023</v>
      </c>
      <c r="D3284" s="65" t="s">
        <v>326</v>
      </c>
      <c r="E3284" s="65" t="s">
        <v>301</v>
      </c>
      <c r="F3284" s="65" t="s">
        <v>40</v>
      </c>
      <c r="G3284" s="65"/>
      <c r="H3284" s="65"/>
      <c r="I3284" s="66">
        <v>0</v>
      </c>
    </row>
    <row r="3285" spans="1:9" hidden="1">
      <c r="A3285" s="67" t="s">
        <v>295</v>
      </c>
      <c r="B3285" s="68">
        <v>2038</v>
      </c>
      <c r="C3285" s="68">
        <v>2023</v>
      </c>
      <c r="D3285" s="68" t="s">
        <v>304</v>
      </c>
      <c r="E3285" s="68" t="s">
        <v>294</v>
      </c>
      <c r="F3285" s="68" t="s">
        <v>297</v>
      </c>
      <c r="G3285" s="68"/>
      <c r="H3285" s="68"/>
      <c r="I3285" s="69">
        <v>48365.92398108849</v>
      </c>
    </row>
    <row r="3286" spans="1:9" hidden="1">
      <c r="A3286" s="64" t="s">
        <v>295</v>
      </c>
      <c r="B3286" s="65">
        <v>2038</v>
      </c>
      <c r="C3286" s="65">
        <v>2023</v>
      </c>
      <c r="D3286" s="65" t="s">
        <v>304</v>
      </c>
      <c r="E3286" s="65" t="s">
        <v>294</v>
      </c>
      <c r="F3286" s="65" t="s">
        <v>298</v>
      </c>
      <c r="G3286" s="65"/>
      <c r="H3286" s="65"/>
      <c r="I3286" s="66">
        <v>171226.85655203651</v>
      </c>
    </row>
    <row r="3287" spans="1:9" hidden="1">
      <c r="A3287" s="67" t="s">
        <v>295</v>
      </c>
      <c r="B3287" s="68">
        <v>2038</v>
      </c>
      <c r="C3287" s="68">
        <v>2023</v>
      </c>
      <c r="D3287" s="68" t="s">
        <v>304</v>
      </c>
      <c r="E3287" s="68" t="s">
        <v>294</v>
      </c>
      <c r="F3287" s="68" t="s">
        <v>40</v>
      </c>
      <c r="G3287" s="68"/>
      <c r="H3287" s="68"/>
      <c r="I3287" s="69">
        <v>219332.79446860249</v>
      </c>
    </row>
    <row r="3288" spans="1:9" hidden="1">
      <c r="A3288" s="64" t="s">
        <v>295</v>
      </c>
      <c r="B3288" s="65">
        <v>2038</v>
      </c>
      <c r="C3288" s="65">
        <v>2023</v>
      </c>
      <c r="D3288" s="65" t="s">
        <v>304</v>
      </c>
      <c r="E3288" s="65" t="s">
        <v>301</v>
      </c>
      <c r="F3288" s="65" t="s">
        <v>297</v>
      </c>
      <c r="G3288" s="65"/>
      <c r="H3288" s="65"/>
      <c r="I3288" s="66">
        <v>51451.206711005972</v>
      </c>
    </row>
    <row r="3289" spans="1:9" hidden="1">
      <c r="A3289" s="67" t="s">
        <v>295</v>
      </c>
      <c r="B3289" s="68">
        <v>2038</v>
      </c>
      <c r="C3289" s="68">
        <v>2023</v>
      </c>
      <c r="D3289" s="68" t="s">
        <v>304</v>
      </c>
      <c r="E3289" s="68" t="s">
        <v>301</v>
      </c>
      <c r="F3289" s="68" t="s">
        <v>298</v>
      </c>
      <c r="G3289" s="68"/>
      <c r="H3289" s="68"/>
      <c r="I3289" s="69">
        <v>181001.368387542</v>
      </c>
    </row>
    <row r="3290" spans="1:9" hidden="1">
      <c r="A3290" s="64" t="s">
        <v>295</v>
      </c>
      <c r="B3290" s="65">
        <v>2038</v>
      </c>
      <c r="C3290" s="65">
        <v>2023</v>
      </c>
      <c r="D3290" s="65" t="s">
        <v>304</v>
      </c>
      <c r="E3290" s="65" t="s">
        <v>301</v>
      </c>
      <c r="F3290" s="65" t="s">
        <v>40</v>
      </c>
      <c r="G3290" s="65"/>
      <c r="H3290" s="65"/>
      <c r="I3290" s="66">
        <v>232193.21226279839</v>
      </c>
    </row>
    <row r="3291" spans="1:9" hidden="1">
      <c r="A3291" s="67" t="s">
        <v>295</v>
      </c>
      <c r="B3291" s="68">
        <v>2038</v>
      </c>
      <c r="C3291" s="68">
        <v>2023</v>
      </c>
      <c r="D3291" s="68" t="s">
        <v>304</v>
      </c>
      <c r="E3291" s="68" t="s">
        <v>305</v>
      </c>
      <c r="F3291" s="68" t="s">
        <v>297</v>
      </c>
      <c r="G3291" s="68"/>
      <c r="H3291" s="68"/>
      <c r="I3291" s="69">
        <v>1164.5503900000001</v>
      </c>
    </row>
    <row r="3292" spans="1:9" hidden="1">
      <c r="A3292" s="64" t="s">
        <v>295</v>
      </c>
      <c r="B3292" s="65">
        <v>2038</v>
      </c>
      <c r="C3292" s="65">
        <v>2023</v>
      </c>
      <c r="D3292" s="65" t="s">
        <v>304</v>
      </c>
      <c r="E3292" s="65" t="s">
        <v>305</v>
      </c>
      <c r="F3292" s="65" t="s">
        <v>298</v>
      </c>
      <c r="G3292" s="65"/>
      <c r="H3292" s="65"/>
      <c r="I3292" s="66">
        <v>755.3</v>
      </c>
    </row>
    <row r="3293" spans="1:9" hidden="1">
      <c r="A3293" s="67" t="s">
        <v>295</v>
      </c>
      <c r="B3293" s="68">
        <v>2038</v>
      </c>
      <c r="C3293" s="68">
        <v>2023</v>
      </c>
      <c r="D3293" s="68" t="s">
        <v>304</v>
      </c>
      <c r="E3293" s="68" t="s">
        <v>305</v>
      </c>
      <c r="F3293" s="68" t="s">
        <v>40</v>
      </c>
      <c r="G3293" s="68"/>
      <c r="H3293" s="68"/>
      <c r="I3293" s="69">
        <v>16972.950390000002</v>
      </c>
    </row>
    <row r="3294" spans="1:9" hidden="1">
      <c r="A3294" s="64" t="s">
        <v>295</v>
      </c>
      <c r="B3294" s="65">
        <v>2038</v>
      </c>
      <c r="C3294" s="65">
        <v>2023</v>
      </c>
      <c r="D3294" s="65" t="s">
        <v>306</v>
      </c>
      <c r="E3294" s="65" t="s">
        <v>294</v>
      </c>
      <c r="F3294" s="65" t="s">
        <v>297</v>
      </c>
      <c r="G3294" s="65"/>
      <c r="H3294" s="65"/>
      <c r="I3294" s="66">
        <v>351526.93545136781</v>
      </c>
    </row>
    <row r="3295" spans="1:9" hidden="1">
      <c r="A3295" s="67" t="s">
        <v>295</v>
      </c>
      <c r="B3295" s="68">
        <v>2038</v>
      </c>
      <c r="C3295" s="68">
        <v>2023</v>
      </c>
      <c r="D3295" s="68" t="s">
        <v>306</v>
      </c>
      <c r="E3295" s="68" t="s">
        <v>294</v>
      </c>
      <c r="F3295" s="68" t="s">
        <v>40</v>
      </c>
      <c r="G3295" s="68"/>
      <c r="H3295" s="68"/>
      <c r="I3295" s="69">
        <v>351526.93545136781</v>
      </c>
    </row>
    <row r="3296" spans="1:9" hidden="1">
      <c r="A3296" s="64" t="s">
        <v>295</v>
      </c>
      <c r="B3296" s="65">
        <v>2038</v>
      </c>
      <c r="C3296" s="65">
        <v>2023</v>
      </c>
      <c r="D3296" s="65" t="s">
        <v>306</v>
      </c>
      <c r="E3296" s="65" t="s">
        <v>301</v>
      </c>
      <c r="F3296" s="65" t="s">
        <v>297</v>
      </c>
      <c r="G3296" s="65"/>
      <c r="H3296" s="65"/>
      <c r="I3296" s="66">
        <v>368070.9273854848</v>
      </c>
    </row>
    <row r="3297" spans="1:9" hidden="1">
      <c r="A3297" s="67" t="s">
        <v>295</v>
      </c>
      <c r="B3297" s="68">
        <v>2038</v>
      </c>
      <c r="C3297" s="68">
        <v>2023</v>
      </c>
      <c r="D3297" s="68" t="s">
        <v>306</v>
      </c>
      <c r="E3297" s="68" t="s">
        <v>301</v>
      </c>
      <c r="F3297" s="68" t="s">
        <v>40</v>
      </c>
      <c r="G3297" s="68"/>
      <c r="H3297" s="68"/>
      <c r="I3297" s="69">
        <v>368070.9273854848</v>
      </c>
    </row>
    <row r="3298" spans="1:9" hidden="1">
      <c r="A3298" s="64" t="s">
        <v>295</v>
      </c>
      <c r="B3298" s="65">
        <v>2038</v>
      </c>
      <c r="C3298" s="65">
        <v>2023</v>
      </c>
      <c r="D3298" s="65" t="s">
        <v>306</v>
      </c>
      <c r="E3298" s="65" t="s">
        <v>305</v>
      </c>
      <c r="F3298" s="65" t="s">
        <v>297</v>
      </c>
      <c r="G3298" s="65"/>
      <c r="H3298" s="65"/>
      <c r="I3298" s="66">
        <v>2062.9721</v>
      </c>
    </row>
    <row r="3299" spans="1:9" hidden="1">
      <c r="A3299" s="67" t="s">
        <v>295</v>
      </c>
      <c r="B3299" s="68">
        <v>2038</v>
      </c>
      <c r="C3299" s="68">
        <v>2023</v>
      </c>
      <c r="D3299" s="68" t="s">
        <v>306</v>
      </c>
      <c r="E3299" s="68" t="s">
        <v>305</v>
      </c>
      <c r="F3299" s="68" t="s">
        <v>40</v>
      </c>
      <c r="G3299" s="68"/>
      <c r="H3299" s="68"/>
      <c r="I3299" s="69">
        <v>34763.972099999999</v>
      </c>
    </row>
    <row r="3300" spans="1:9" hidden="1">
      <c r="A3300" s="64" t="s">
        <v>295</v>
      </c>
      <c r="B3300" s="65">
        <v>2038</v>
      </c>
      <c r="C3300" s="65">
        <v>2023</v>
      </c>
      <c r="D3300" s="65" t="s">
        <v>307</v>
      </c>
      <c r="E3300" s="65" t="s">
        <v>294</v>
      </c>
      <c r="F3300" s="65" t="s">
        <v>40</v>
      </c>
      <c r="G3300" s="65"/>
      <c r="H3300" s="65"/>
      <c r="I3300" s="66">
        <v>-247076.37417711969</v>
      </c>
    </row>
    <row r="3301" spans="1:9" hidden="1">
      <c r="A3301" s="67" t="s">
        <v>295</v>
      </c>
      <c r="B3301" s="68">
        <v>2038</v>
      </c>
      <c r="C3301" s="68">
        <v>2023</v>
      </c>
      <c r="D3301" s="68" t="s">
        <v>307</v>
      </c>
      <c r="E3301" s="68" t="s">
        <v>301</v>
      </c>
      <c r="F3301" s="68" t="s">
        <v>40</v>
      </c>
      <c r="G3301" s="68"/>
      <c r="H3301" s="68"/>
      <c r="I3301" s="69">
        <v>-217879.79839345629</v>
      </c>
    </row>
    <row r="3302" spans="1:9" hidden="1">
      <c r="A3302" s="64" t="s">
        <v>295</v>
      </c>
      <c r="B3302" s="65">
        <v>2038</v>
      </c>
      <c r="C3302" s="65">
        <v>2023</v>
      </c>
      <c r="D3302" s="65" t="s">
        <v>307</v>
      </c>
      <c r="E3302" s="65" t="s">
        <v>305</v>
      </c>
      <c r="F3302" s="65" t="s">
        <v>40</v>
      </c>
      <c r="G3302" s="65"/>
      <c r="H3302" s="65"/>
      <c r="I3302" s="66">
        <v>-14289.729230000001</v>
      </c>
    </row>
    <row r="3303" spans="1:9" hidden="1">
      <c r="A3303" s="67" t="s">
        <v>295</v>
      </c>
      <c r="B3303" s="68">
        <v>2038</v>
      </c>
      <c r="C3303" s="68">
        <v>2023</v>
      </c>
      <c r="D3303" s="68" t="s">
        <v>327</v>
      </c>
      <c r="E3303" s="68" t="s">
        <v>294</v>
      </c>
      <c r="F3303" s="68" t="s">
        <v>40</v>
      </c>
      <c r="G3303" s="68"/>
      <c r="H3303" s="68"/>
      <c r="I3303" s="69">
        <v>-297411.14490114391</v>
      </c>
    </row>
    <row r="3304" spans="1:9" hidden="1">
      <c r="A3304" s="64" t="s">
        <v>295</v>
      </c>
      <c r="B3304" s="65">
        <v>2038</v>
      </c>
      <c r="C3304" s="65">
        <v>2023</v>
      </c>
      <c r="D3304" s="65" t="s">
        <v>327</v>
      </c>
      <c r="E3304" s="65" t="s">
        <v>301</v>
      </c>
      <c r="F3304" s="65" t="s">
        <v>40</v>
      </c>
      <c r="G3304" s="65"/>
      <c r="H3304" s="65"/>
      <c r="I3304" s="66">
        <v>-278444.72067040409</v>
      </c>
    </row>
    <row r="3305" spans="1:9" hidden="1">
      <c r="A3305" s="67" t="s">
        <v>295</v>
      </c>
      <c r="B3305" s="68">
        <v>2038</v>
      </c>
      <c r="C3305" s="68">
        <v>2023</v>
      </c>
      <c r="D3305" s="68" t="s">
        <v>327</v>
      </c>
      <c r="E3305" s="68" t="s">
        <v>305</v>
      </c>
      <c r="F3305" s="68" t="s">
        <v>40</v>
      </c>
      <c r="G3305" s="68"/>
      <c r="H3305" s="68"/>
      <c r="I3305" s="69">
        <v>-18015.061679999999</v>
      </c>
    </row>
    <row r="3306" spans="1:9" hidden="1">
      <c r="A3306" s="64" t="s">
        <v>295</v>
      </c>
      <c r="B3306" s="65">
        <v>2038</v>
      </c>
      <c r="C3306" s="65">
        <v>2023</v>
      </c>
      <c r="D3306" s="65" t="s">
        <v>328</v>
      </c>
      <c r="E3306" s="65" t="s">
        <v>294</v>
      </c>
      <c r="F3306" s="65" t="s">
        <v>40</v>
      </c>
      <c r="G3306" s="65"/>
      <c r="H3306" s="65"/>
      <c r="I3306" s="66">
        <v>26137.13444530611</v>
      </c>
    </row>
    <row r="3307" spans="1:9" hidden="1">
      <c r="A3307" s="67" t="s">
        <v>295</v>
      </c>
      <c r="B3307" s="68">
        <v>2038</v>
      </c>
      <c r="C3307" s="68">
        <v>2023</v>
      </c>
      <c r="D3307" s="68" t="s">
        <v>328</v>
      </c>
      <c r="E3307" s="68" t="s">
        <v>301</v>
      </c>
      <c r="F3307" s="68" t="s">
        <v>40</v>
      </c>
      <c r="G3307" s="68"/>
      <c r="H3307" s="68"/>
      <c r="I3307" s="69">
        <v>32950.274262076593</v>
      </c>
    </row>
    <row r="3308" spans="1:9" hidden="1">
      <c r="A3308" s="64" t="s">
        <v>295</v>
      </c>
      <c r="B3308" s="65">
        <v>2038</v>
      </c>
      <c r="C3308" s="65">
        <v>2023</v>
      </c>
      <c r="D3308" s="65" t="s">
        <v>328</v>
      </c>
      <c r="E3308" s="65" t="s">
        <v>305</v>
      </c>
      <c r="F3308" s="65" t="s">
        <v>40</v>
      </c>
      <c r="G3308" s="65"/>
      <c r="H3308" s="65"/>
      <c r="I3308" s="66">
        <v>-2246.2760199999998</v>
      </c>
    </row>
    <row r="3309" spans="1:9" hidden="1">
      <c r="A3309" s="67" t="s">
        <v>295</v>
      </c>
      <c r="B3309" s="68">
        <v>2038</v>
      </c>
      <c r="C3309" s="68">
        <v>2023</v>
      </c>
      <c r="D3309" s="68" t="s">
        <v>329</v>
      </c>
      <c r="E3309" s="68" t="s">
        <v>294</v>
      </c>
      <c r="F3309" s="68" t="s">
        <v>40</v>
      </c>
      <c r="G3309" s="68"/>
      <c r="H3309" s="68"/>
      <c r="I3309" s="69">
        <v>14648.62734876001</v>
      </c>
    </row>
    <row r="3310" spans="1:9" hidden="1">
      <c r="A3310" s="64" t="s">
        <v>295</v>
      </c>
      <c r="B3310" s="65">
        <v>2038</v>
      </c>
      <c r="C3310" s="65">
        <v>2023</v>
      </c>
      <c r="D3310" s="65" t="s">
        <v>329</v>
      </c>
      <c r="E3310" s="65" t="s">
        <v>301</v>
      </c>
      <c r="F3310" s="65" t="s">
        <v>40</v>
      </c>
      <c r="G3310" s="65"/>
      <c r="H3310" s="65"/>
      <c r="I3310" s="66">
        <v>15671.327033401591</v>
      </c>
    </row>
    <row r="3311" spans="1:9" hidden="1">
      <c r="A3311" s="67" t="s">
        <v>295</v>
      </c>
      <c r="B3311" s="68">
        <v>2038</v>
      </c>
      <c r="C3311" s="68">
        <v>2023</v>
      </c>
      <c r="D3311" s="68" t="s">
        <v>329</v>
      </c>
      <c r="E3311" s="68" t="s">
        <v>305</v>
      </c>
      <c r="F3311" s="68" t="s">
        <v>40</v>
      </c>
      <c r="G3311" s="68"/>
      <c r="H3311" s="68"/>
      <c r="I3311" s="69">
        <v>3714.13058</v>
      </c>
    </row>
    <row r="3312" spans="1:9" hidden="1">
      <c r="A3312" s="64" t="s">
        <v>295</v>
      </c>
      <c r="B3312" s="65">
        <v>2038</v>
      </c>
      <c r="C3312" s="65">
        <v>2023</v>
      </c>
      <c r="D3312" s="65" t="s">
        <v>330</v>
      </c>
      <c r="E3312" s="65" t="s">
        <v>294</v>
      </c>
      <c r="F3312" s="65" t="s">
        <v>40</v>
      </c>
      <c r="G3312" s="65"/>
      <c r="H3312" s="65"/>
      <c r="I3312" s="66">
        <v>12098.32664307455</v>
      </c>
    </row>
    <row r="3313" spans="1:9" hidden="1">
      <c r="A3313" s="67" t="s">
        <v>295</v>
      </c>
      <c r="B3313" s="68">
        <v>2038</v>
      </c>
      <c r="C3313" s="68">
        <v>2023</v>
      </c>
      <c r="D3313" s="68" t="s">
        <v>330</v>
      </c>
      <c r="E3313" s="68" t="s">
        <v>301</v>
      </c>
      <c r="F3313" s="68" t="s">
        <v>40</v>
      </c>
      <c r="G3313" s="68"/>
      <c r="H3313" s="68"/>
      <c r="I3313" s="69">
        <v>13137.931063075481</v>
      </c>
    </row>
    <row r="3314" spans="1:9" hidden="1">
      <c r="A3314" s="64" t="s">
        <v>295</v>
      </c>
      <c r="B3314" s="65">
        <v>2038</v>
      </c>
      <c r="C3314" s="65">
        <v>2023</v>
      </c>
      <c r="D3314" s="65" t="s">
        <v>330</v>
      </c>
      <c r="E3314" s="65" t="s">
        <v>305</v>
      </c>
      <c r="F3314" s="65" t="s">
        <v>40</v>
      </c>
      <c r="G3314" s="65"/>
      <c r="H3314" s="65"/>
      <c r="I3314" s="66">
        <v>765.28647999999998</v>
      </c>
    </row>
    <row r="3315" spans="1:9" hidden="1">
      <c r="A3315" s="67" t="s">
        <v>295</v>
      </c>
      <c r="B3315" s="68">
        <v>2038</v>
      </c>
      <c r="C3315" s="68">
        <v>2023</v>
      </c>
      <c r="D3315" s="68" t="s">
        <v>331</v>
      </c>
      <c r="E3315" s="68" t="s">
        <v>294</v>
      </c>
      <c r="F3315" s="68" t="s">
        <v>40</v>
      </c>
      <c r="G3315" s="68"/>
      <c r="H3315" s="68"/>
      <c r="I3315" s="69">
        <v>30436.704194313072</v>
      </c>
    </row>
    <row r="3316" spans="1:9" hidden="1">
      <c r="A3316" s="64" t="s">
        <v>295</v>
      </c>
      <c r="B3316" s="65">
        <v>2038</v>
      </c>
      <c r="C3316" s="65">
        <v>2023</v>
      </c>
      <c r="D3316" s="65" t="s">
        <v>331</v>
      </c>
      <c r="E3316" s="65" t="s">
        <v>301</v>
      </c>
      <c r="F3316" s="65" t="s">
        <v>40</v>
      </c>
      <c r="G3316" s="65"/>
      <c r="H3316" s="65"/>
      <c r="I3316" s="66">
        <v>30853.931875271759</v>
      </c>
    </row>
    <row r="3317" spans="1:9" hidden="1">
      <c r="A3317" s="67" t="s">
        <v>295</v>
      </c>
      <c r="B3317" s="68">
        <v>2038</v>
      </c>
      <c r="C3317" s="68">
        <v>2023</v>
      </c>
      <c r="D3317" s="68" t="s">
        <v>331</v>
      </c>
      <c r="E3317" s="68" t="s">
        <v>305</v>
      </c>
      <c r="F3317" s="68" t="s">
        <v>40</v>
      </c>
      <c r="G3317" s="68"/>
      <c r="H3317" s="68"/>
      <c r="I3317" s="69">
        <v>3070.8728700000001</v>
      </c>
    </row>
    <row r="3318" spans="1:9" hidden="1">
      <c r="A3318" s="64" t="s">
        <v>295</v>
      </c>
      <c r="B3318" s="65">
        <v>2038</v>
      </c>
      <c r="C3318" s="65">
        <v>2023</v>
      </c>
      <c r="D3318" s="65" t="s">
        <v>332</v>
      </c>
      <c r="E3318" s="65" t="s">
        <v>294</v>
      </c>
      <c r="F3318" s="65" t="s">
        <v>40</v>
      </c>
      <c r="G3318" s="65"/>
      <c r="H3318" s="65"/>
      <c r="I3318" s="66">
        <v>492.59462000000002</v>
      </c>
    </row>
    <row r="3319" spans="1:9" hidden="1">
      <c r="A3319" s="67" t="s">
        <v>295</v>
      </c>
      <c r="B3319" s="68">
        <v>2038</v>
      </c>
      <c r="C3319" s="68">
        <v>2023</v>
      </c>
      <c r="D3319" s="68" t="s">
        <v>332</v>
      </c>
      <c r="E3319" s="68" t="s">
        <v>301</v>
      </c>
      <c r="F3319" s="68" t="s">
        <v>40</v>
      </c>
      <c r="G3319" s="68"/>
      <c r="H3319" s="68"/>
      <c r="I3319" s="69">
        <v>358.39657</v>
      </c>
    </row>
    <row r="3320" spans="1:9" hidden="1">
      <c r="A3320" s="64" t="s">
        <v>295</v>
      </c>
      <c r="B3320" s="65">
        <v>2038</v>
      </c>
      <c r="C3320" s="65">
        <v>2023</v>
      </c>
      <c r="D3320" s="65" t="s">
        <v>332</v>
      </c>
      <c r="E3320" s="65" t="s">
        <v>305</v>
      </c>
      <c r="F3320" s="65" t="s">
        <v>40</v>
      </c>
      <c r="G3320" s="65"/>
      <c r="H3320" s="65"/>
      <c r="I3320" s="66">
        <v>288.67854</v>
      </c>
    </row>
    <row r="3321" spans="1:9" hidden="1">
      <c r="A3321" s="67" t="s">
        <v>295</v>
      </c>
      <c r="B3321" s="68">
        <v>2038</v>
      </c>
      <c r="C3321" s="68">
        <v>2023</v>
      </c>
      <c r="D3321" s="68" t="s">
        <v>333</v>
      </c>
      <c r="E3321" s="68" t="s">
        <v>294</v>
      </c>
      <c r="F3321" s="68" t="s">
        <v>40</v>
      </c>
      <c r="G3321" s="68"/>
      <c r="H3321" s="68"/>
      <c r="I3321" s="69">
        <v>-32971.273880000001</v>
      </c>
    </row>
    <row r="3322" spans="1:9" hidden="1">
      <c r="A3322" s="64" t="s">
        <v>295</v>
      </c>
      <c r="B3322" s="65">
        <v>2038</v>
      </c>
      <c r="C3322" s="65">
        <v>2023</v>
      </c>
      <c r="D3322" s="65" t="s">
        <v>333</v>
      </c>
      <c r="E3322" s="65" t="s">
        <v>301</v>
      </c>
      <c r="F3322" s="65" t="s">
        <v>40</v>
      </c>
      <c r="G3322" s="65"/>
      <c r="H3322" s="65"/>
      <c r="I3322" s="66">
        <v>-32654.56955</v>
      </c>
    </row>
    <row r="3323" spans="1:9" hidden="1">
      <c r="A3323" s="67" t="s">
        <v>295</v>
      </c>
      <c r="B3323" s="68">
        <v>2038</v>
      </c>
      <c r="C3323" s="68">
        <v>2023</v>
      </c>
      <c r="D3323" s="68" t="s">
        <v>333</v>
      </c>
      <c r="E3323" s="68" t="s">
        <v>305</v>
      </c>
      <c r="F3323" s="68" t="s">
        <v>40</v>
      </c>
      <c r="G3323" s="68"/>
      <c r="H3323" s="68"/>
      <c r="I3323" s="69">
        <v>-1867.42</v>
      </c>
    </row>
    <row r="3324" spans="1:9" hidden="1">
      <c r="A3324" s="64" t="s">
        <v>295</v>
      </c>
      <c r="B3324" s="65">
        <v>2038</v>
      </c>
      <c r="C3324" s="65">
        <v>2023</v>
      </c>
      <c r="D3324" s="65" t="s">
        <v>334</v>
      </c>
      <c r="E3324" s="65" t="s">
        <v>294</v>
      </c>
      <c r="F3324" s="65" t="s">
        <v>40</v>
      </c>
      <c r="G3324" s="65"/>
      <c r="H3324" s="65"/>
      <c r="I3324" s="66">
        <v>253.85033000000001</v>
      </c>
    </row>
    <row r="3325" spans="1:9" hidden="1">
      <c r="A3325" s="67" t="s">
        <v>295</v>
      </c>
      <c r="B3325" s="68">
        <v>2038</v>
      </c>
      <c r="C3325" s="68">
        <v>2023</v>
      </c>
      <c r="D3325" s="68" t="s">
        <v>334</v>
      </c>
      <c r="E3325" s="68" t="s">
        <v>301</v>
      </c>
      <c r="F3325" s="68" t="s">
        <v>40</v>
      </c>
      <c r="G3325" s="68"/>
      <c r="H3325" s="68"/>
      <c r="I3325" s="69">
        <v>253.85033000000001</v>
      </c>
    </row>
    <row r="3326" spans="1:9" hidden="1">
      <c r="A3326" s="64" t="s">
        <v>295</v>
      </c>
      <c r="B3326" s="65">
        <v>2038</v>
      </c>
      <c r="C3326" s="65">
        <v>2023</v>
      </c>
      <c r="D3326" s="65" t="s">
        <v>308</v>
      </c>
      <c r="E3326" s="65" t="s">
        <v>294</v>
      </c>
      <c r="F3326" s="65" t="s">
        <v>297</v>
      </c>
      <c r="G3326" s="65"/>
      <c r="H3326" s="65"/>
      <c r="I3326" s="66">
        <v>72221.695935270152</v>
      </c>
    </row>
    <row r="3327" spans="1:9" hidden="1">
      <c r="A3327" s="67" t="s">
        <v>295</v>
      </c>
      <c r="B3327" s="68">
        <v>2038</v>
      </c>
      <c r="C3327" s="68">
        <v>2023</v>
      </c>
      <c r="D3327" s="68" t="s">
        <v>308</v>
      </c>
      <c r="E3327" s="68" t="s">
        <v>294</v>
      </c>
      <c r="F3327" s="68" t="s">
        <v>298</v>
      </c>
      <c r="G3327" s="68"/>
      <c r="H3327" s="68"/>
      <c r="I3327" s="69">
        <v>238.77940884213149</v>
      </c>
    </row>
    <row r="3328" spans="1:9" hidden="1">
      <c r="A3328" s="64" t="s">
        <v>295</v>
      </c>
      <c r="B3328" s="65">
        <v>2038</v>
      </c>
      <c r="C3328" s="65">
        <v>2023</v>
      </c>
      <c r="D3328" s="65" t="s">
        <v>308</v>
      </c>
      <c r="E3328" s="65" t="s">
        <v>294</v>
      </c>
      <c r="F3328" s="65" t="s">
        <v>40</v>
      </c>
      <c r="G3328" s="65"/>
      <c r="H3328" s="65"/>
      <c r="I3328" s="66">
        <v>72460.475344112288</v>
      </c>
    </row>
    <row r="3329" spans="1:9" hidden="1">
      <c r="A3329" s="67" t="s">
        <v>295</v>
      </c>
      <c r="B3329" s="68">
        <v>2038</v>
      </c>
      <c r="C3329" s="68">
        <v>2023</v>
      </c>
      <c r="D3329" s="68" t="s">
        <v>308</v>
      </c>
      <c r="E3329" s="68" t="s">
        <v>301</v>
      </c>
      <c r="F3329" s="68" t="s">
        <v>297</v>
      </c>
      <c r="G3329" s="68"/>
      <c r="H3329" s="68"/>
      <c r="I3329" s="69">
        <v>73240.063545233512</v>
      </c>
    </row>
    <row r="3330" spans="1:9" hidden="1">
      <c r="A3330" s="64" t="s">
        <v>295</v>
      </c>
      <c r="B3330" s="65">
        <v>2038</v>
      </c>
      <c r="C3330" s="65">
        <v>2023</v>
      </c>
      <c r="D3330" s="65" t="s">
        <v>308</v>
      </c>
      <c r="E3330" s="65" t="s">
        <v>301</v>
      </c>
      <c r="F3330" s="65" t="s">
        <v>298</v>
      </c>
      <c r="G3330" s="65"/>
      <c r="H3330" s="65"/>
      <c r="I3330" s="66">
        <v>238.7794088267573</v>
      </c>
    </row>
    <row r="3331" spans="1:9" hidden="1">
      <c r="A3331" s="67" t="s">
        <v>295</v>
      </c>
      <c r="B3331" s="68">
        <v>2038</v>
      </c>
      <c r="C3331" s="68">
        <v>2023</v>
      </c>
      <c r="D3331" s="68" t="s">
        <v>308</v>
      </c>
      <c r="E3331" s="68" t="s">
        <v>301</v>
      </c>
      <c r="F3331" s="68" t="s">
        <v>40</v>
      </c>
      <c r="G3331" s="68"/>
      <c r="H3331" s="68"/>
      <c r="I3331" s="69">
        <v>73371.01168911389</v>
      </c>
    </row>
    <row r="3332" spans="1:9" hidden="1">
      <c r="A3332" s="64" t="s">
        <v>295</v>
      </c>
      <c r="B3332" s="65">
        <v>2038</v>
      </c>
      <c r="C3332" s="65">
        <v>2023</v>
      </c>
      <c r="D3332" s="65" t="s">
        <v>308</v>
      </c>
      <c r="E3332" s="65" t="s">
        <v>305</v>
      </c>
      <c r="F3332" s="65" t="s">
        <v>297</v>
      </c>
      <c r="G3332" s="65"/>
      <c r="H3332" s="65"/>
      <c r="I3332" s="66">
        <v>1672.8228899999999</v>
      </c>
    </row>
    <row r="3333" spans="1:9" hidden="1">
      <c r="A3333" s="67" t="s">
        <v>295</v>
      </c>
      <c r="B3333" s="68">
        <v>2038</v>
      </c>
      <c r="C3333" s="68">
        <v>2023</v>
      </c>
      <c r="D3333" s="68" t="s">
        <v>308</v>
      </c>
      <c r="E3333" s="68" t="s">
        <v>305</v>
      </c>
      <c r="F3333" s="68" t="s">
        <v>40</v>
      </c>
      <c r="G3333" s="68"/>
      <c r="H3333" s="68"/>
      <c r="I3333" s="69">
        <v>10327.622890000001</v>
      </c>
    </row>
    <row r="3334" spans="1:9" hidden="1">
      <c r="A3334" s="64" t="s">
        <v>295</v>
      </c>
      <c r="B3334" s="65">
        <v>2038</v>
      </c>
      <c r="C3334" s="65">
        <v>2023</v>
      </c>
      <c r="D3334" s="65" t="s">
        <v>310</v>
      </c>
      <c r="E3334" s="65" t="s">
        <v>294</v>
      </c>
      <c r="F3334" s="65" t="s">
        <v>297</v>
      </c>
      <c r="G3334" s="65"/>
      <c r="H3334" s="65"/>
      <c r="I3334" s="66">
        <v>157</v>
      </c>
    </row>
    <row r="3335" spans="1:9" hidden="1">
      <c r="A3335" s="67" t="s">
        <v>295</v>
      </c>
      <c r="B3335" s="68">
        <v>2038</v>
      </c>
      <c r="C3335" s="68">
        <v>2023</v>
      </c>
      <c r="D3335" s="68" t="s">
        <v>310</v>
      </c>
      <c r="E3335" s="68" t="s">
        <v>294</v>
      </c>
      <c r="F3335" s="68" t="s">
        <v>40</v>
      </c>
      <c r="G3335" s="68"/>
      <c r="H3335" s="68"/>
      <c r="I3335" s="69">
        <v>122278.57297497299</v>
      </c>
    </row>
    <row r="3336" spans="1:9" hidden="1">
      <c r="A3336" s="64" t="s">
        <v>295</v>
      </c>
      <c r="B3336" s="65">
        <v>2038</v>
      </c>
      <c r="C3336" s="65">
        <v>2023</v>
      </c>
      <c r="D3336" s="65" t="s">
        <v>310</v>
      </c>
      <c r="E3336" s="65" t="s">
        <v>301</v>
      </c>
      <c r="F3336" s="65" t="s">
        <v>297</v>
      </c>
      <c r="G3336" s="65"/>
      <c r="H3336" s="65"/>
      <c r="I3336" s="66">
        <v>157</v>
      </c>
    </row>
    <row r="3337" spans="1:9" hidden="1">
      <c r="A3337" s="67" t="s">
        <v>295</v>
      </c>
      <c r="B3337" s="68">
        <v>2038</v>
      </c>
      <c r="C3337" s="68">
        <v>2023</v>
      </c>
      <c r="D3337" s="68" t="s">
        <v>310</v>
      </c>
      <c r="E3337" s="68" t="s">
        <v>301</v>
      </c>
      <c r="F3337" s="68" t="s">
        <v>40</v>
      </c>
      <c r="G3337" s="68"/>
      <c r="H3337" s="68"/>
      <c r="I3337" s="69">
        <v>129787.6015027487</v>
      </c>
    </row>
    <row r="3338" spans="1:9" hidden="1">
      <c r="A3338" s="64" t="s">
        <v>295</v>
      </c>
      <c r="B3338" s="65">
        <v>2038</v>
      </c>
      <c r="C3338" s="65">
        <v>2023</v>
      </c>
      <c r="D3338" s="65" t="s">
        <v>310</v>
      </c>
      <c r="E3338" s="65" t="s">
        <v>305</v>
      </c>
      <c r="F3338" s="65" t="s">
        <v>40</v>
      </c>
      <c r="G3338" s="65"/>
      <c r="H3338" s="65"/>
      <c r="I3338" s="66">
        <v>1259.24632</v>
      </c>
    </row>
    <row r="3339" spans="1:9" hidden="1">
      <c r="A3339" s="67" t="s">
        <v>295</v>
      </c>
      <c r="B3339" s="68">
        <v>2038</v>
      </c>
      <c r="C3339" s="68">
        <v>2023</v>
      </c>
      <c r="D3339" s="68" t="s">
        <v>311</v>
      </c>
      <c r="E3339" s="68" t="s">
        <v>294</v>
      </c>
      <c r="F3339" s="68" t="s">
        <v>297</v>
      </c>
      <c r="G3339" s="68"/>
      <c r="H3339" s="68"/>
      <c r="I3339" s="69">
        <v>820.5</v>
      </c>
    </row>
    <row r="3340" spans="1:9" hidden="1">
      <c r="A3340" s="64" t="s">
        <v>295</v>
      </c>
      <c r="B3340" s="65">
        <v>2038</v>
      </c>
      <c r="C3340" s="65">
        <v>2023</v>
      </c>
      <c r="D3340" s="65" t="s">
        <v>311</v>
      </c>
      <c r="E3340" s="65" t="s">
        <v>294</v>
      </c>
      <c r="F3340" s="65" t="s">
        <v>40</v>
      </c>
      <c r="G3340" s="65"/>
      <c r="H3340" s="65"/>
      <c r="I3340" s="66">
        <v>140431.82276221109</v>
      </c>
    </row>
    <row r="3341" spans="1:9" hidden="1">
      <c r="A3341" s="67" t="s">
        <v>295</v>
      </c>
      <c r="B3341" s="68">
        <v>2038</v>
      </c>
      <c r="C3341" s="68">
        <v>2023</v>
      </c>
      <c r="D3341" s="68" t="s">
        <v>311</v>
      </c>
      <c r="E3341" s="68" t="s">
        <v>301</v>
      </c>
      <c r="F3341" s="68" t="s">
        <v>297</v>
      </c>
      <c r="G3341" s="68"/>
      <c r="H3341" s="68"/>
      <c r="I3341" s="69">
        <v>820.5</v>
      </c>
    </row>
    <row r="3342" spans="1:9" hidden="1">
      <c r="A3342" s="64" t="s">
        <v>295</v>
      </c>
      <c r="B3342" s="65">
        <v>2038</v>
      </c>
      <c r="C3342" s="65">
        <v>2023</v>
      </c>
      <c r="D3342" s="65" t="s">
        <v>311</v>
      </c>
      <c r="E3342" s="65" t="s">
        <v>301</v>
      </c>
      <c r="F3342" s="65" t="s">
        <v>40</v>
      </c>
      <c r="G3342" s="65"/>
      <c r="H3342" s="65"/>
      <c r="I3342" s="66">
        <v>142699.42324698821</v>
      </c>
    </row>
    <row r="3343" spans="1:9" hidden="1">
      <c r="A3343" s="67" t="s">
        <v>295</v>
      </c>
      <c r="B3343" s="68">
        <v>2038</v>
      </c>
      <c r="C3343" s="68">
        <v>2023</v>
      </c>
      <c r="D3343" s="68" t="s">
        <v>311</v>
      </c>
      <c r="E3343" s="68" t="s">
        <v>305</v>
      </c>
      <c r="F3343" s="68" t="s">
        <v>40</v>
      </c>
      <c r="G3343" s="68"/>
      <c r="H3343" s="68"/>
      <c r="I3343" s="69">
        <v>955.8</v>
      </c>
    </row>
    <row r="3344" spans="1:9" hidden="1">
      <c r="A3344" s="64" t="s">
        <v>295</v>
      </c>
      <c r="B3344" s="65">
        <v>2038</v>
      </c>
      <c r="C3344" s="65">
        <v>2023</v>
      </c>
      <c r="D3344" s="65" t="s">
        <v>312</v>
      </c>
      <c r="E3344" s="65" t="s">
        <v>294</v>
      </c>
      <c r="F3344" s="65" t="s">
        <v>297</v>
      </c>
      <c r="G3344" s="65"/>
      <c r="H3344" s="65"/>
      <c r="I3344" s="66">
        <v>702.63729000000001</v>
      </c>
    </row>
    <row r="3345" spans="1:9" hidden="1">
      <c r="A3345" s="67" t="s">
        <v>295</v>
      </c>
      <c r="B3345" s="68">
        <v>2038</v>
      </c>
      <c r="C3345" s="68">
        <v>2023</v>
      </c>
      <c r="D3345" s="68" t="s">
        <v>312</v>
      </c>
      <c r="E3345" s="68" t="s">
        <v>294</v>
      </c>
      <c r="F3345" s="68" t="s">
        <v>40</v>
      </c>
      <c r="G3345" s="68"/>
      <c r="H3345" s="68"/>
      <c r="I3345" s="69">
        <v>846.53728999999998</v>
      </c>
    </row>
    <row r="3346" spans="1:9" hidden="1">
      <c r="A3346" s="64" t="s">
        <v>295</v>
      </c>
      <c r="B3346" s="65">
        <v>2038</v>
      </c>
      <c r="C3346" s="65">
        <v>2023</v>
      </c>
      <c r="D3346" s="65" t="s">
        <v>312</v>
      </c>
      <c r="E3346" s="65" t="s">
        <v>301</v>
      </c>
      <c r="F3346" s="65" t="s">
        <v>297</v>
      </c>
      <c r="G3346" s="65"/>
      <c r="H3346" s="65"/>
      <c r="I3346" s="66">
        <v>704.44443999999999</v>
      </c>
    </row>
    <row r="3347" spans="1:9" hidden="1">
      <c r="A3347" s="67" t="s">
        <v>295</v>
      </c>
      <c r="B3347" s="68">
        <v>2038</v>
      </c>
      <c r="C3347" s="68">
        <v>2023</v>
      </c>
      <c r="D3347" s="68" t="s">
        <v>312</v>
      </c>
      <c r="E3347" s="68" t="s">
        <v>301</v>
      </c>
      <c r="F3347" s="68" t="s">
        <v>40</v>
      </c>
      <c r="G3347" s="68"/>
      <c r="H3347" s="68"/>
      <c r="I3347" s="69">
        <v>848.34443999999996</v>
      </c>
    </row>
    <row r="3348" spans="1:9" hidden="1">
      <c r="A3348" s="64" t="s">
        <v>295</v>
      </c>
      <c r="B3348" s="65">
        <v>2038</v>
      </c>
      <c r="C3348" s="65">
        <v>2023</v>
      </c>
      <c r="D3348" s="65" t="s">
        <v>313</v>
      </c>
      <c r="E3348" s="65" t="s">
        <v>294</v>
      </c>
      <c r="F3348" s="65" t="s">
        <v>297</v>
      </c>
      <c r="G3348" s="65"/>
      <c r="H3348" s="65"/>
      <c r="I3348" s="66">
        <v>1420459.5596955081</v>
      </c>
    </row>
    <row r="3349" spans="1:9" hidden="1">
      <c r="A3349" s="67" t="s">
        <v>295</v>
      </c>
      <c r="B3349" s="68">
        <v>2038</v>
      </c>
      <c r="C3349" s="68">
        <v>2023</v>
      </c>
      <c r="D3349" s="68" t="s">
        <v>313</v>
      </c>
      <c r="E3349" s="68" t="s">
        <v>294</v>
      </c>
      <c r="F3349" s="68" t="s">
        <v>298</v>
      </c>
      <c r="G3349" s="68"/>
      <c r="H3349" s="68"/>
      <c r="I3349" s="69">
        <v>650112.86864251399</v>
      </c>
    </row>
    <row r="3350" spans="1:9" hidden="1">
      <c r="A3350" s="64" t="s">
        <v>295</v>
      </c>
      <c r="B3350" s="65">
        <v>2038</v>
      </c>
      <c r="C3350" s="65">
        <v>2023</v>
      </c>
      <c r="D3350" s="65" t="s">
        <v>313</v>
      </c>
      <c r="E3350" s="65" t="s">
        <v>294</v>
      </c>
      <c r="F3350" s="65" t="s">
        <v>40</v>
      </c>
      <c r="G3350" s="65"/>
      <c r="H3350" s="65"/>
      <c r="I3350" s="66">
        <v>2087226.4865993049</v>
      </c>
    </row>
    <row r="3351" spans="1:9" hidden="1">
      <c r="A3351" s="67" t="s">
        <v>295</v>
      </c>
      <c r="B3351" s="68">
        <v>2038</v>
      </c>
      <c r="C3351" s="68">
        <v>2023</v>
      </c>
      <c r="D3351" s="68" t="s">
        <v>313</v>
      </c>
      <c r="E3351" s="68" t="s">
        <v>301</v>
      </c>
      <c r="F3351" s="68" t="s">
        <v>297</v>
      </c>
      <c r="G3351" s="68"/>
      <c r="H3351" s="68"/>
      <c r="I3351" s="69">
        <v>1609810.5217370619</v>
      </c>
    </row>
    <row r="3352" spans="1:9" hidden="1">
      <c r="A3352" s="64" t="s">
        <v>295</v>
      </c>
      <c r="B3352" s="65">
        <v>2038</v>
      </c>
      <c r="C3352" s="65">
        <v>2023</v>
      </c>
      <c r="D3352" s="65" t="s">
        <v>313</v>
      </c>
      <c r="E3352" s="65" t="s">
        <v>301</v>
      </c>
      <c r="F3352" s="65" t="s">
        <v>298</v>
      </c>
      <c r="G3352" s="65"/>
      <c r="H3352" s="65"/>
      <c r="I3352" s="66">
        <v>741799.49470233009</v>
      </c>
    </row>
    <row r="3353" spans="1:9" hidden="1">
      <c r="A3353" s="67" t="s">
        <v>295</v>
      </c>
      <c r="B3353" s="68">
        <v>2038</v>
      </c>
      <c r="C3353" s="68">
        <v>2023</v>
      </c>
      <c r="D3353" s="68" t="s">
        <v>313</v>
      </c>
      <c r="E3353" s="68" t="s">
        <v>301</v>
      </c>
      <c r="F3353" s="68" t="s">
        <v>40</v>
      </c>
      <c r="G3353" s="68"/>
      <c r="H3353" s="68"/>
      <c r="I3353" s="69">
        <v>2369648.9457810419</v>
      </c>
    </row>
    <row r="3354" spans="1:9" hidden="1">
      <c r="A3354" s="64" t="s">
        <v>295</v>
      </c>
      <c r="B3354" s="65">
        <v>2038</v>
      </c>
      <c r="C3354" s="65">
        <v>2023</v>
      </c>
      <c r="D3354" s="65" t="s">
        <v>313</v>
      </c>
      <c r="E3354" s="65" t="s">
        <v>305</v>
      </c>
      <c r="F3354" s="65" t="s">
        <v>297</v>
      </c>
      <c r="G3354" s="65"/>
      <c r="H3354" s="65"/>
      <c r="I3354" s="66">
        <v>16969.118060000001</v>
      </c>
    </row>
    <row r="3355" spans="1:9" hidden="1">
      <c r="A3355" s="67" t="s">
        <v>295</v>
      </c>
      <c r="B3355" s="68">
        <v>2038</v>
      </c>
      <c r="C3355" s="68">
        <v>2023</v>
      </c>
      <c r="D3355" s="68" t="s">
        <v>313</v>
      </c>
      <c r="E3355" s="68" t="s">
        <v>305</v>
      </c>
      <c r="F3355" s="68" t="s">
        <v>298</v>
      </c>
      <c r="G3355" s="68"/>
      <c r="H3355" s="68"/>
      <c r="I3355" s="69">
        <v>9386.2566299999999</v>
      </c>
    </row>
    <row r="3356" spans="1:9" hidden="1">
      <c r="A3356" s="64" t="s">
        <v>295</v>
      </c>
      <c r="B3356" s="65">
        <v>2038</v>
      </c>
      <c r="C3356" s="65">
        <v>2023</v>
      </c>
      <c r="D3356" s="65" t="s">
        <v>313</v>
      </c>
      <c r="E3356" s="65" t="s">
        <v>305</v>
      </c>
      <c r="F3356" s="65" t="s">
        <v>40</v>
      </c>
      <c r="G3356" s="65"/>
      <c r="H3356" s="65"/>
      <c r="I3356" s="66">
        <v>213396.77898999999</v>
      </c>
    </row>
    <row r="3357" spans="1:9" hidden="1">
      <c r="A3357" s="67" t="s">
        <v>295</v>
      </c>
      <c r="B3357" s="68">
        <v>2038</v>
      </c>
      <c r="C3357" s="68">
        <v>2023</v>
      </c>
      <c r="D3357" s="68" t="s">
        <v>314</v>
      </c>
      <c r="E3357" s="68" t="s">
        <v>294</v>
      </c>
      <c r="F3357" s="68" t="s">
        <v>297</v>
      </c>
      <c r="G3357" s="68"/>
      <c r="H3357" s="68"/>
      <c r="I3357" s="69">
        <v>1420459.459695508</v>
      </c>
    </row>
    <row r="3358" spans="1:9" hidden="1">
      <c r="A3358" s="64" t="s">
        <v>295</v>
      </c>
      <c r="B3358" s="65">
        <v>2038</v>
      </c>
      <c r="C3358" s="65">
        <v>2023</v>
      </c>
      <c r="D3358" s="65" t="s">
        <v>314</v>
      </c>
      <c r="E3358" s="65" t="s">
        <v>294</v>
      </c>
      <c r="F3358" s="65" t="s">
        <v>298</v>
      </c>
      <c r="G3358" s="65"/>
      <c r="H3358" s="65"/>
      <c r="I3358" s="66">
        <v>650112.7686425139</v>
      </c>
    </row>
    <row r="3359" spans="1:9" hidden="1">
      <c r="A3359" s="67" t="s">
        <v>295</v>
      </c>
      <c r="B3359" s="68">
        <v>2038</v>
      </c>
      <c r="C3359" s="68">
        <v>2023</v>
      </c>
      <c r="D3359" s="68" t="s">
        <v>314</v>
      </c>
      <c r="E3359" s="68" t="s">
        <v>294</v>
      </c>
      <c r="F3359" s="68" t="s">
        <v>40</v>
      </c>
      <c r="G3359" s="68"/>
      <c r="H3359" s="68"/>
      <c r="I3359" s="69">
        <v>1840150.3924321849</v>
      </c>
    </row>
    <row r="3360" spans="1:9" hidden="1">
      <c r="A3360" s="64" t="s">
        <v>295</v>
      </c>
      <c r="B3360" s="65">
        <v>2038</v>
      </c>
      <c r="C3360" s="65">
        <v>2023</v>
      </c>
      <c r="D3360" s="65" t="s">
        <v>314</v>
      </c>
      <c r="E3360" s="65" t="s">
        <v>301</v>
      </c>
      <c r="F3360" s="65" t="s">
        <v>297</v>
      </c>
      <c r="G3360" s="65"/>
      <c r="H3360" s="65"/>
      <c r="I3360" s="66">
        <v>1609810.421737062</v>
      </c>
    </row>
    <row r="3361" spans="1:9" hidden="1">
      <c r="A3361" s="67" t="s">
        <v>295</v>
      </c>
      <c r="B3361" s="68">
        <v>2038</v>
      </c>
      <c r="C3361" s="68">
        <v>2023</v>
      </c>
      <c r="D3361" s="68" t="s">
        <v>314</v>
      </c>
      <c r="E3361" s="68" t="s">
        <v>301</v>
      </c>
      <c r="F3361" s="68" t="s">
        <v>298</v>
      </c>
      <c r="G3361" s="68"/>
      <c r="H3361" s="68"/>
      <c r="I3361" s="69">
        <v>741799.39470233012</v>
      </c>
    </row>
    <row r="3362" spans="1:9" hidden="1">
      <c r="A3362" s="64" t="s">
        <v>295</v>
      </c>
      <c r="B3362" s="65">
        <v>2038</v>
      </c>
      <c r="C3362" s="65">
        <v>2023</v>
      </c>
      <c r="D3362" s="65" t="s">
        <v>314</v>
      </c>
      <c r="E3362" s="65" t="s">
        <v>301</v>
      </c>
      <c r="F3362" s="65" t="s">
        <v>40</v>
      </c>
      <c r="G3362" s="65"/>
      <c r="H3362" s="65"/>
      <c r="I3362" s="66">
        <v>2151760.485317586</v>
      </c>
    </row>
    <row r="3363" spans="1:9" hidden="1">
      <c r="A3363" s="67" t="s">
        <v>295</v>
      </c>
      <c r="B3363" s="68">
        <v>2038</v>
      </c>
      <c r="C3363" s="68">
        <v>2023</v>
      </c>
      <c r="D3363" s="68" t="s">
        <v>314</v>
      </c>
      <c r="E3363" s="68" t="s">
        <v>305</v>
      </c>
      <c r="F3363" s="68" t="s">
        <v>297</v>
      </c>
      <c r="G3363" s="68"/>
      <c r="H3363" s="68"/>
      <c r="I3363" s="69">
        <v>16969.118060000001</v>
      </c>
    </row>
    <row r="3364" spans="1:9" hidden="1">
      <c r="A3364" s="64" t="s">
        <v>295</v>
      </c>
      <c r="B3364" s="65">
        <v>2038</v>
      </c>
      <c r="C3364" s="65">
        <v>2023</v>
      </c>
      <c r="D3364" s="65" t="s">
        <v>314</v>
      </c>
      <c r="E3364" s="65" t="s">
        <v>305</v>
      </c>
      <c r="F3364" s="65" t="s">
        <v>298</v>
      </c>
      <c r="G3364" s="65"/>
      <c r="H3364" s="65"/>
      <c r="I3364" s="66">
        <v>9386.2566299999999</v>
      </c>
    </row>
    <row r="3365" spans="1:9" hidden="1">
      <c r="A3365" s="67" t="s">
        <v>295</v>
      </c>
      <c r="B3365" s="68">
        <v>2038</v>
      </c>
      <c r="C3365" s="68">
        <v>2023</v>
      </c>
      <c r="D3365" s="68" t="s">
        <v>314</v>
      </c>
      <c r="E3365" s="68" t="s">
        <v>305</v>
      </c>
      <c r="F3365" s="68" t="s">
        <v>40</v>
      </c>
      <c r="G3365" s="68"/>
      <c r="H3365" s="68"/>
      <c r="I3365" s="69">
        <v>199418.68976000001</v>
      </c>
    </row>
    <row r="3366" spans="1:9" hidden="1">
      <c r="A3366" s="64" t="s">
        <v>295</v>
      </c>
      <c r="B3366" s="65">
        <v>2039</v>
      </c>
      <c r="C3366" s="65">
        <v>2023</v>
      </c>
      <c r="D3366" s="65" t="s">
        <v>296</v>
      </c>
      <c r="E3366" s="65" t="s">
        <v>294</v>
      </c>
      <c r="F3366" s="65" t="s">
        <v>297</v>
      </c>
      <c r="G3366" s="65"/>
      <c r="H3366" s="65"/>
      <c r="I3366" s="66">
        <v>920559.42852518964</v>
      </c>
    </row>
    <row r="3367" spans="1:9" hidden="1">
      <c r="A3367" s="67" t="s">
        <v>295</v>
      </c>
      <c r="B3367" s="68">
        <v>2039</v>
      </c>
      <c r="C3367" s="68">
        <v>2023</v>
      </c>
      <c r="D3367" s="68" t="s">
        <v>296</v>
      </c>
      <c r="E3367" s="68" t="s">
        <v>294</v>
      </c>
      <c r="F3367" s="68" t="s">
        <v>298</v>
      </c>
      <c r="G3367" s="68"/>
      <c r="H3367" s="68"/>
      <c r="I3367" s="69">
        <v>468066.93290227151</v>
      </c>
    </row>
    <row r="3368" spans="1:9" hidden="1">
      <c r="A3368" s="64" t="s">
        <v>295</v>
      </c>
      <c r="B3368" s="65">
        <v>2039</v>
      </c>
      <c r="C3368" s="65">
        <v>2023</v>
      </c>
      <c r="D3368" s="65" t="s">
        <v>296</v>
      </c>
      <c r="E3368" s="65" t="s">
        <v>294</v>
      </c>
      <c r="F3368" s="65" t="s">
        <v>40</v>
      </c>
      <c r="G3368" s="65"/>
      <c r="H3368" s="65"/>
      <c r="I3368" s="66">
        <v>1405637.2006704661</v>
      </c>
    </row>
    <row r="3369" spans="1:9" hidden="1">
      <c r="A3369" s="67" t="s">
        <v>295</v>
      </c>
      <c r="B3369" s="68">
        <v>2039</v>
      </c>
      <c r="C3369" s="68">
        <v>2023</v>
      </c>
      <c r="D3369" s="68" t="s">
        <v>296</v>
      </c>
      <c r="E3369" s="68" t="s">
        <v>301</v>
      </c>
      <c r="F3369" s="68" t="s">
        <v>297</v>
      </c>
      <c r="G3369" s="68"/>
      <c r="H3369" s="68"/>
      <c r="I3369" s="69">
        <v>1095495.389033606</v>
      </c>
    </row>
    <row r="3370" spans="1:9" hidden="1">
      <c r="A3370" s="64" t="s">
        <v>295</v>
      </c>
      <c r="B3370" s="65">
        <v>2039</v>
      </c>
      <c r="C3370" s="65">
        <v>2023</v>
      </c>
      <c r="D3370" s="65" t="s">
        <v>296</v>
      </c>
      <c r="E3370" s="65" t="s">
        <v>301</v>
      </c>
      <c r="F3370" s="65" t="s">
        <v>298</v>
      </c>
      <c r="G3370" s="65"/>
      <c r="H3370" s="65"/>
      <c r="I3370" s="66">
        <v>546144.5822913287</v>
      </c>
    </row>
    <row r="3371" spans="1:9" hidden="1">
      <c r="A3371" s="67" t="s">
        <v>295</v>
      </c>
      <c r="B3371" s="68">
        <v>2039</v>
      </c>
      <c r="C3371" s="68">
        <v>2023</v>
      </c>
      <c r="D3371" s="68" t="s">
        <v>296</v>
      </c>
      <c r="E3371" s="68" t="s">
        <v>301</v>
      </c>
      <c r="F3371" s="68" t="s">
        <v>40</v>
      </c>
      <c r="G3371" s="68"/>
      <c r="H3371" s="68"/>
      <c r="I3371" s="69">
        <v>1660166.679266016</v>
      </c>
    </row>
    <row r="3372" spans="1:9" hidden="1">
      <c r="A3372" s="64" t="s">
        <v>295</v>
      </c>
      <c r="B3372" s="65">
        <v>2039</v>
      </c>
      <c r="C3372" s="65">
        <v>2023</v>
      </c>
      <c r="D3372" s="65" t="s">
        <v>296</v>
      </c>
      <c r="E3372" s="65" t="s">
        <v>305</v>
      </c>
      <c r="F3372" s="65" t="s">
        <v>297</v>
      </c>
      <c r="G3372" s="65"/>
      <c r="H3372" s="65"/>
      <c r="I3372" s="66">
        <v>12235.072700000001</v>
      </c>
    </row>
    <row r="3373" spans="1:9" hidden="1">
      <c r="A3373" s="67" t="s">
        <v>295</v>
      </c>
      <c r="B3373" s="68">
        <v>2039</v>
      </c>
      <c r="C3373" s="68">
        <v>2023</v>
      </c>
      <c r="D3373" s="68" t="s">
        <v>296</v>
      </c>
      <c r="E3373" s="68" t="s">
        <v>305</v>
      </c>
      <c r="F3373" s="68" t="s">
        <v>298</v>
      </c>
      <c r="G3373" s="68"/>
      <c r="H3373" s="68"/>
      <c r="I3373" s="69">
        <v>8639.1566300000013</v>
      </c>
    </row>
    <row r="3374" spans="1:9" hidden="1">
      <c r="A3374" s="64" t="s">
        <v>295</v>
      </c>
      <c r="B3374" s="65">
        <v>2039</v>
      </c>
      <c r="C3374" s="65">
        <v>2023</v>
      </c>
      <c r="D3374" s="65" t="s">
        <v>296</v>
      </c>
      <c r="E3374" s="65" t="s">
        <v>305</v>
      </c>
      <c r="F3374" s="65" t="s">
        <v>40</v>
      </c>
      <c r="G3374" s="65"/>
      <c r="H3374" s="65"/>
      <c r="I3374" s="66">
        <v>152896.73808000001</v>
      </c>
    </row>
    <row r="3375" spans="1:9" hidden="1">
      <c r="A3375" s="67" t="s">
        <v>295</v>
      </c>
      <c r="B3375" s="68">
        <v>2039</v>
      </c>
      <c r="C3375" s="68">
        <v>2023</v>
      </c>
      <c r="D3375" s="68" t="s">
        <v>309</v>
      </c>
      <c r="E3375" s="68" t="s">
        <v>294</v>
      </c>
      <c r="F3375" s="68" t="s">
        <v>297</v>
      </c>
      <c r="G3375" s="68"/>
      <c r="H3375" s="68"/>
      <c r="I3375" s="69">
        <v>38800.755801037849</v>
      </c>
    </row>
    <row r="3376" spans="1:9" hidden="1">
      <c r="A3376" s="64" t="s">
        <v>295</v>
      </c>
      <c r="B3376" s="65">
        <v>2039</v>
      </c>
      <c r="C3376" s="65">
        <v>2023</v>
      </c>
      <c r="D3376" s="65" t="s">
        <v>309</v>
      </c>
      <c r="E3376" s="65" t="s">
        <v>294</v>
      </c>
      <c r="F3376" s="65" t="s">
        <v>298</v>
      </c>
      <c r="G3376" s="65"/>
      <c r="H3376" s="65"/>
      <c r="I3376" s="66">
        <v>270965.66409876518</v>
      </c>
    </row>
    <row r="3377" spans="1:9" hidden="1">
      <c r="A3377" s="67" t="s">
        <v>295</v>
      </c>
      <c r="B3377" s="68">
        <v>2039</v>
      </c>
      <c r="C3377" s="68">
        <v>2023</v>
      </c>
      <c r="D3377" s="68" t="s">
        <v>309</v>
      </c>
      <c r="E3377" s="68" t="s">
        <v>294</v>
      </c>
      <c r="F3377" s="68" t="s">
        <v>40</v>
      </c>
      <c r="G3377" s="68"/>
      <c r="H3377" s="68"/>
      <c r="I3377" s="69">
        <v>309766.24007431552</v>
      </c>
    </row>
    <row r="3378" spans="1:9" hidden="1">
      <c r="A3378" s="64" t="s">
        <v>295</v>
      </c>
      <c r="B3378" s="65">
        <v>2039</v>
      </c>
      <c r="C3378" s="65">
        <v>2023</v>
      </c>
      <c r="D3378" s="65" t="s">
        <v>309</v>
      </c>
      <c r="E3378" s="65" t="s">
        <v>301</v>
      </c>
      <c r="F3378" s="65" t="s">
        <v>297</v>
      </c>
      <c r="G3378" s="65"/>
      <c r="H3378" s="65"/>
      <c r="I3378" s="66">
        <v>43368.369721395196</v>
      </c>
    </row>
    <row r="3379" spans="1:9" hidden="1">
      <c r="A3379" s="67" t="s">
        <v>295</v>
      </c>
      <c r="B3379" s="68">
        <v>2039</v>
      </c>
      <c r="C3379" s="68">
        <v>2023</v>
      </c>
      <c r="D3379" s="68" t="s">
        <v>309</v>
      </c>
      <c r="E3379" s="68" t="s">
        <v>301</v>
      </c>
      <c r="F3379" s="68" t="s">
        <v>298</v>
      </c>
      <c r="G3379" s="68"/>
      <c r="H3379" s="68"/>
      <c r="I3379" s="69">
        <v>321529.9510718821</v>
      </c>
    </row>
    <row r="3380" spans="1:9" hidden="1">
      <c r="A3380" s="64" t="s">
        <v>295</v>
      </c>
      <c r="B3380" s="65">
        <v>2039</v>
      </c>
      <c r="C3380" s="65">
        <v>2023</v>
      </c>
      <c r="D3380" s="65" t="s">
        <v>309</v>
      </c>
      <c r="E3380" s="65" t="s">
        <v>301</v>
      </c>
      <c r="F3380" s="65" t="s">
        <v>40</v>
      </c>
      <c r="G3380" s="65"/>
      <c r="H3380" s="65"/>
      <c r="I3380" s="66">
        <v>364898.2808137142</v>
      </c>
    </row>
    <row r="3381" spans="1:9" hidden="1">
      <c r="A3381" s="67" t="s">
        <v>295</v>
      </c>
      <c r="B3381" s="68">
        <v>2039</v>
      </c>
      <c r="C3381" s="68">
        <v>2023</v>
      </c>
      <c r="D3381" s="68" t="s">
        <v>309</v>
      </c>
      <c r="E3381" s="68" t="s">
        <v>305</v>
      </c>
      <c r="F3381" s="68" t="s">
        <v>297</v>
      </c>
      <c r="G3381" s="68"/>
      <c r="H3381" s="68"/>
      <c r="I3381" s="69">
        <v>60.015659999999997</v>
      </c>
    </row>
    <row r="3382" spans="1:9" hidden="1">
      <c r="A3382" s="64" t="s">
        <v>295</v>
      </c>
      <c r="B3382" s="65">
        <v>2039</v>
      </c>
      <c r="C3382" s="65">
        <v>2023</v>
      </c>
      <c r="D3382" s="65" t="s">
        <v>309</v>
      </c>
      <c r="E3382" s="65" t="s">
        <v>305</v>
      </c>
      <c r="F3382" s="65" t="s">
        <v>298</v>
      </c>
      <c r="G3382" s="65"/>
      <c r="H3382" s="65"/>
      <c r="I3382" s="66">
        <v>7117.05663</v>
      </c>
    </row>
    <row r="3383" spans="1:9" hidden="1">
      <c r="A3383" s="67" t="s">
        <v>295</v>
      </c>
      <c r="B3383" s="68">
        <v>2039</v>
      </c>
      <c r="C3383" s="68">
        <v>2023</v>
      </c>
      <c r="D3383" s="68" t="s">
        <v>309</v>
      </c>
      <c r="E3383" s="68" t="s">
        <v>305</v>
      </c>
      <c r="F3383" s="68" t="s">
        <v>40</v>
      </c>
      <c r="G3383" s="68"/>
      <c r="H3383" s="68"/>
      <c r="I3383" s="69">
        <v>48150.572289999996</v>
      </c>
    </row>
    <row r="3384" spans="1:9" hidden="1">
      <c r="A3384" s="64" t="s">
        <v>295</v>
      </c>
      <c r="B3384" s="65">
        <v>2039</v>
      </c>
      <c r="C3384" s="65">
        <v>2023</v>
      </c>
      <c r="D3384" s="65" t="s">
        <v>315</v>
      </c>
      <c r="E3384" s="65" t="s">
        <v>294</v>
      </c>
      <c r="F3384" s="65" t="s">
        <v>297</v>
      </c>
      <c r="G3384" s="65"/>
      <c r="H3384" s="65"/>
      <c r="I3384" s="66">
        <v>94355.902883241433</v>
      </c>
    </row>
    <row r="3385" spans="1:9" hidden="1">
      <c r="A3385" s="67" t="s">
        <v>295</v>
      </c>
      <c r="B3385" s="68">
        <v>2039</v>
      </c>
      <c r="C3385" s="68">
        <v>2023</v>
      </c>
      <c r="D3385" s="68" t="s">
        <v>315</v>
      </c>
      <c r="E3385" s="68" t="s">
        <v>294</v>
      </c>
      <c r="F3385" s="68" t="s">
        <v>298</v>
      </c>
      <c r="G3385" s="68"/>
      <c r="H3385" s="68"/>
      <c r="I3385" s="69">
        <v>179799.74068748811</v>
      </c>
    </row>
    <row r="3386" spans="1:9" hidden="1">
      <c r="A3386" s="64" t="s">
        <v>295</v>
      </c>
      <c r="B3386" s="65">
        <v>2039</v>
      </c>
      <c r="C3386" s="65">
        <v>2023</v>
      </c>
      <c r="D3386" s="65" t="s">
        <v>315</v>
      </c>
      <c r="E3386" s="65" t="s">
        <v>294</v>
      </c>
      <c r="F3386" s="65" t="s">
        <v>40</v>
      </c>
      <c r="G3386" s="65"/>
      <c r="H3386" s="65"/>
      <c r="I3386" s="66">
        <v>274155.40359083249</v>
      </c>
    </row>
    <row r="3387" spans="1:9" hidden="1">
      <c r="A3387" s="67" t="s">
        <v>295</v>
      </c>
      <c r="B3387" s="68">
        <v>2039</v>
      </c>
      <c r="C3387" s="68">
        <v>2023</v>
      </c>
      <c r="D3387" s="68" t="s">
        <v>315</v>
      </c>
      <c r="E3387" s="68" t="s">
        <v>301</v>
      </c>
      <c r="F3387" s="68" t="s">
        <v>297</v>
      </c>
      <c r="G3387" s="68"/>
      <c r="H3387" s="68"/>
      <c r="I3387" s="69">
        <v>100647.5788135311</v>
      </c>
    </row>
    <row r="3388" spans="1:9" hidden="1">
      <c r="A3388" s="64" t="s">
        <v>295</v>
      </c>
      <c r="B3388" s="65">
        <v>2039</v>
      </c>
      <c r="C3388" s="65">
        <v>2023</v>
      </c>
      <c r="D3388" s="65" t="s">
        <v>315</v>
      </c>
      <c r="E3388" s="65" t="s">
        <v>301</v>
      </c>
      <c r="F3388" s="65" t="s">
        <v>298</v>
      </c>
      <c r="G3388" s="65"/>
      <c r="H3388" s="65"/>
      <c r="I3388" s="66">
        <v>205462.5787873033</v>
      </c>
    </row>
    <row r="3389" spans="1:9" hidden="1">
      <c r="A3389" s="67" t="s">
        <v>295</v>
      </c>
      <c r="B3389" s="68">
        <v>2039</v>
      </c>
      <c r="C3389" s="68">
        <v>2023</v>
      </c>
      <c r="D3389" s="68" t="s">
        <v>315</v>
      </c>
      <c r="E3389" s="68" t="s">
        <v>301</v>
      </c>
      <c r="F3389" s="68" t="s">
        <v>40</v>
      </c>
      <c r="G3389" s="68"/>
      <c r="H3389" s="68"/>
      <c r="I3389" s="69">
        <v>306109.91759062791</v>
      </c>
    </row>
    <row r="3390" spans="1:9" hidden="1">
      <c r="A3390" s="64" t="s">
        <v>295</v>
      </c>
      <c r="B3390" s="65">
        <v>2039</v>
      </c>
      <c r="C3390" s="65">
        <v>2023</v>
      </c>
      <c r="D3390" s="65" t="s">
        <v>315</v>
      </c>
      <c r="E3390" s="65" t="s">
        <v>305</v>
      </c>
      <c r="F3390" s="65" t="s">
        <v>297</v>
      </c>
      <c r="G3390" s="65"/>
      <c r="H3390" s="65"/>
      <c r="I3390" s="66">
        <v>1094.5287000000001</v>
      </c>
    </row>
    <row r="3391" spans="1:9" hidden="1">
      <c r="A3391" s="67" t="s">
        <v>295</v>
      </c>
      <c r="B3391" s="68">
        <v>2039</v>
      </c>
      <c r="C3391" s="68">
        <v>2023</v>
      </c>
      <c r="D3391" s="68" t="s">
        <v>315</v>
      </c>
      <c r="E3391" s="68" t="s">
        <v>305</v>
      </c>
      <c r="F3391" s="68" t="s">
        <v>298</v>
      </c>
      <c r="G3391" s="68"/>
      <c r="H3391" s="68"/>
      <c r="I3391" s="69">
        <v>1452.2</v>
      </c>
    </row>
    <row r="3392" spans="1:9" hidden="1">
      <c r="A3392" s="64" t="s">
        <v>295</v>
      </c>
      <c r="B3392" s="65">
        <v>2039</v>
      </c>
      <c r="C3392" s="65">
        <v>2023</v>
      </c>
      <c r="D3392" s="65" t="s">
        <v>315</v>
      </c>
      <c r="E3392" s="65" t="s">
        <v>305</v>
      </c>
      <c r="F3392" s="65" t="s">
        <v>40</v>
      </c>
      <c r="G3392" s="65"/>
      <c r="H3392" s="65"/>
      <c r="I3392" s="66">
        <v>21374.028699999999</v>
      </c>
    </row>
    <row r="3393" spans="1:9" hidden="1">
      <c r="A3393" s="67" t="s">
        <v>295</v>
      </c>
      <c r="B3393" s="68">
        <v>2039</v>
      </c>
      <c r="C3393" s="68">
        <v>2023</v>
      </c>
      <c r="D3393" s="68" t="s">
        <v>316</v>
      </c>
      <c r="E3393" s="68" t="s">
        <v>294</v>
      </c>
      <c r="F3393" s="68" t="s">
        <v>297</v>
      </c>
      <c r="G3393" s="68"/>
      <c r="H3393" s="68"/>
      <c r="I3393" s="69">
        <v>451003.8325322523</v>
      </c>
    </row>
    <row r="3394" spans="1:9" hidden="1">
      <c r="A3394" s="64" t="s">
        <v>295</v>
      </c>
      <c r="B3394" s="65">
        <v>2039</v>
      </c>
      <c r="C3394" s="65">
        <v>2023</v>
      </c>
      <c r="D3394" s="65" t="s">
        <v>316</v>
      </c>
      <c r="E3394" s="65" t="s">
        <v>294</v>
      </c>
      <c r="F3394" s="65" t="s">
        <v>298</v>
      </c>
      <c r="G3394" s="65"/>
      <c r="H3394" s="65"/>
      <c r="I3394" s="66">
        <v>3285.4622473229228</v>
      </c>
    </row>
    <row r="3395" spans="1:9" hidden="1">
      <c r="A3395" s="67" t="s">
        <v>295</v>
      </c>
      <c r="B3395" s="68">
        <v>2039</v>
      </c>
      <c r="C3395" s="68">
        <v>2023</v>
      </c>
      <c r="D3395" s="68" t="s">
        <v>316</v>
      </c>
      <c r="E3395" s="68" t="s">
        <v>294</v>
      </c>
      <c r="F3395" s="68" t="s">
        <v>40</v>
      </c>
      <c r="G3395" s="68"/>
      <c r="H3395" s="68"/>
      <c r="I3395" s="69">
        <v>471300.07388477417</v>
      </c>
    </row>
    <row r="3396" spans="1:9" hidden="1">
      <c r="A3396" s="64" t="s">
        <v>295</v>
      </c>
      <c r="B3396" s="65">
        <v>2039</v>
      </c>
      <c r="C3396" s="65">
        <v>2023</v>
      </c>
      <c r="D3396" s="65" t="s">
        <v>316</v>
      </c>
      <c r="E3396" s="65" t="s">
        <v>301</v>
      </c>
      <c r="F3396" s="65" t="s">
        <v>297</v>
      </c>
      <c r="G3396" s="65"/>
      <c r="H3396" s="65"/>
      <c r="I3396" s="66">
        <v>549134.24468830018</v>
      </c>
    </row>
    <row r="3397" spans="1:9" hidden="1">
      <c r="A3397" s="67" t="s">
        <v>295</v>
      </c>
      <c r="B3397" s="68">
        <v>2039</v>
      </c>
      <c r="C3397" s="68">
        <v>2023</v>
      </c>
      <c r="D3397" s="68" t="s">
        <v>316</v>
      </c>
      <c r="E3397" s="68" t="s">
        <v>301</v>
      </c>
      <c r="F3397" s="68" t="s">
        <v>298</v>
      </c>
      <c r="G3397" s="68"/>
      <c r="H3397" s="68"/>
      <c r="I3397" s="69">
        <v>3494.2198711617252</v>
      </c>
    </row>
    <row r="3398" spans="1:9" hidden="1">
      <c r="A3398" s="64" t="s">
        <v>295</v>
      </c>
      <c r="B3398" s="65">
        <v>2039</v>
      </c>
      <c r="C3398" s="65">
        <v>2023</v>
      </c>
      <c r="D3398" s="65" t="s">
        <v>316</v>
      </c>
      <c r="E3398" s="65" t="s">
        <v>301</v>
      </c>
      <c r="F3398" s="65" t="s">
        <v>40</v>
      </c>
      <c r="G3398" s="65"/>
      <c r="H3398" s="65"/>
      <c r="I3398" s="66">
        <v>571154.97248031246</v>
      </c>
    </row>
    <row r="3399" spans="1:9" hidden="1">
      <c r="A3399" s="67" t="s">
        <v>295</v>
      </c>
      <c r="B3399" s="68">
        <v>2039</v>
      </c>
      <c r="C3399" s="68">
        <v>2023</v>
      </c>
      <c r="D3399" s="68" t="s">
        <v>316</v>
      </c>
      <c r="E3399" s="68" t="s">
        <v>305</v>
      </c>
      <c r="F3399" s="68" t="s">
        <v>297</v>
      </c>
      <c r="G3399" s="68"/>
      <c r="H3399" s="68"/>
      <c r="I3399" s="69">
        <v>9168.5985900000014</v>
      </c>
    </row>
    <row r="3400" spans="1:9" hidden="1">
      <c r="A3400" s="64" t="s">
        <v>295</v>
      </c>
      <c r="B3400" s="65">
        <v>2039</v>
      </c>
      <c r="C3400" s="65">
        <v>2023</v>
      </c>
      <c r="D3400" s="65" t="s">
        <v>316</v>
      </c>
      <c r="E3400" s="65" t="s">
        <v>305</v>
      </c>
      <c r="F3400" s="65" t="s">
        <v>298</v>
      </c>
      <c r="G3400" s="65"/>
      <c r="H3400" s="65"/>
      <c r="I3400" s="66">
        <v>0</v>
      </c>
    </row>
    <row r="3401" spans="1:9" hidden="1">
      <c r="A3401" s="67" t="s">
        <v>295</v>
      </c>
      <c r="B3401" s="68">
        <v>2039</v>
      </c>
      <c r="C3401" s="68">
        <v>2023</v>
      </c>
      <c r="D3401" s="68" t="s">
        <v>316</v>
      </c>
      <c r="E3401" s="68" t="s">
        <v>305</v>
      </c>
      <c r="F3401" s="68" t="s">
        <v>40</v>
      </c>
      <c r="G3401" s="68"/>
      <c r="H3401" s="68"/>
      <c r="I3401" s="69">
        <v>44163.007339999996</v>
      </c>
    </row>
    <row r="3402" spans="1:9" hidden="1">
      <c r="A3402" s="64" t="s">
        <v>295</v>
      </c>
      <c r="B3402" s="65">
        <v>2039</v>
      </c>
      <c r="C3402" s="65">
        <v>2023</v>
      </c>
      <c r="D3402" s="65" t="s">
        <v>317</v>
      </c>
      <c r="E3402" s="65" t="s">
        <v>294</v>
      </c>
      <c r="F3402" s="65" t="s">
        <v>297</v>
      </c>
      <c r="G3402" s="65"/>
      <c r="H3402" s="65"/>
      <c r="I3402" s="66">
        <v>147.4519939800384</v>
      </c>
    </row>
    <row r="3403" spans="1:9" hidden="1">
      <c r="A3403" s="67" t="s">
        <v>295</v>
      </c>
      <c r="B3403" s="68">
        <v>2039</v>
      </c>
      <c r="C3403" s="68">
        <v>2023</v>
      </c>
      <c r="D3403" s="68" t="s">
        <v>317</v>
      </c>
      <c r="E3403" s="68" t="s">
        <v>294</v>
      </c>
      <c r="F3403" s="68" t="s">
        <v>298</v>
      </c>
      <c r="G3403" s="68"/>
      <c r="H3403" s="68"/>
      <c r="I3403" s="69">
        <v>0</v>
      </c>
    </row>
    <row r="3404" spans="1:9" hidden="1">
      <c r="A3404" s="64" t="s">
        <v>295</v>
      </c>
      <c r="B3404" s="65">
        <v>2039</v>
      </c>
      <c r="C3404" s="65">
        <v>2023</v>
      </c>
      <c r="D3404" s="65" t="s">
        <v>317</v>
      </c>
      <c r="E3404" s="65" t="s">
        <v>294</v>
      </c>
      <c r="F3404" s="65" t="s">
        <v>40</v>
      </c>
      <c r="G3404" s="65"/>
      <c r="H3404" s="65"/>
      <c r="I3404" s="66">
        <v>17126.31482085173</v>
      </c>
    </row>
    <row r="3405" spans="1:9" hidden="1">
      <c r="A3405" s="67" t="s">
        <v>295</v>
      </c>
      <c r="B3405" s="68">
        <v>2039</v>
      </c>
      <c r="C3405" s="68">
        <v>2023</v>
      </c>
      <c r="D3405" s="68" t="s">
        <v>317</v>
      </c>
      <c r="E3405" s="68" t="s">
        <v>301</v>
      </c>
      <c r="F3405" s="68" t="s">
        <v>297</v>
      </c>
      <c r="G3405" s="68"/>
      <c r="H3405" s="68"/>
      <c r="I3405" s="69">
        <v>159.18247226468301</v>
      </c>
    </row>
    <row r="3406" spans="1:9" hidden="1">
      <c r="A3406" s="64" t="s">
        <v>295</v>
      </c>
      <c r="B3406" s="65">
        <v>2039</v>
      </c>
      <c r="C3406" s="65">
        <v>2023</v>
      </c>
      <c r="D3406" s="65" t="s">
        <v>317</v>
      </c>
      <c r="E3406" s="65" t="s">
        <v>301</v>
      </c>
      <c r="F3406" s="65" t="s">
        <v>298</v>
      </c>
      <c r="G3406" s="65"/>
      <c r="H3406" s="65"/>
      <c r="I3406" s="66">
        <v>0</v>
      </c>
    </row>
    <row r="3407" spans="1:9" hidden="1">
      <c r="A3407" s="67" t="s">
        <v>295</v>
      </c>
      <c r="B3407" s="68">
        <v>2039</v>
      </c>
      <c r="C3407" s="68">
        <v>2023</v>
      </c>
      <c r="D3407" s="68" t="s">
        <v>317</v>
      </c>
      <c r="E3407" s="68" t="s">
        <v>301</v>
      </c>
      <c r="F3407" s="68" t="s">
        <v>40</v>
      </c>
      <c r="G3407" s="68"/>
      <c r="H3407" s="68"/>
      <c r="I3407" s="69">
        <v>18679.82706702518</v>
      </c>
    </row>
    <row r="3408" spans="1:9" hidden="1">
      <c r="A3408" s="64" t="s">
        <v>295</v>
      </c>
      <c r="B3408" s="65">
        <v>2039</v>
      </c>
      <c r="C3408" s="65">
        <v>2023</v>
      </c>
      <c r="D3408" s="65" t="s">
        <v>317</v>
      </c>
      <c r="E3408" s="65" t="s">
        <v>305</v>
      </c>
      <c r="F3408" s="65" t="s">
        <v>297</v>
      </c>
      <c r="G3408" s="65"/>
      <c r="H3408" s="65"/>
      <c r="I3408" s="66">
        <v>1.303E-2</v>
      </c>
    </row>
    <row r="3409" spans="1:9" hidden="1">
      <c r="A3409" s="67" t="s">
        <v>295</v>
      </c>
      <c r="B3409" s="68">
        <v>2039</v>
      </c>
      <c r="C3409" s="68">
        <v>2023</v>
      </c>
      <c r="D3409" s="68" t="s">
        <v>317</v>
      </c>
      <c r="E3409" s="68" t="s">
        <v>305</v>
      </c>
      <c r="F3409" s="68" t="s">
        <v>40</v>
      </c>
      <c r="G3409" s="68"/>
      <c r="H3409" s="68"/>
      <c r="I3409" s="69">
        <v>522.62177999999994</v>
      </c>
    </row>
    <row r="3410" spans="1:9" hidden="1">
      <c r="A3410" s="64" t="s">
        <v>295</v>
      </c>
      <c r="B3410" s="65">
        <v>2039</v>
      </c>
      <c r="C3410" s="65">
        <v>2023</v>
      </c>
      <c r="D3410" s="65" t="s">
        <v>318</v>
      </c>
      <c r="E3410" s="65" t="s">
        <v>294</v>
      </c>
      <c r="F3410" s="65" t="s">
        <v>297</v>
      </c>
      <c r="G3410" s="65"/>
      <c r="H3410" s="65"/>
      <c r="I3410" s="66">
        <v>429097.18518316752</v>
      </c>
    </row>
    <row r="3411" spans="1:9" hidden="1">
      <c r="A3411" s="67" t="s">
        <v>295</v>
      </c>
      <c r="B3411" s="68">
        <v>2039</v>
      </c>
      <c r="C3411" s="68">
        <v>2023</v>
      </c>
      <c r="D3411" s="68" t="s">
        <v>318</v>
      </c>
      <c r="E3411" s="68" t="s">
        <v>294</v>
      </c>
      <c r="F3411" s="68" t="s">
        <v>298</v>
      </c>
      <c r="G3411" s="68"/>
      <c r="H3411" s="68"/>
      <c r="I3411" s="69">
        <v>0</v>
      </c>
    </row>
    <row r="3412" spans="1:9" hidden="1">
      <c r="A3412" s="64" t="s">
        <v>295</v>
      </c>
      <c r="B3412" s="65">
        <v>2039</v>
      </c>
      <c r="C3412" s="65">
        <v>2023</v>
      </c>
      <c r="D3412" s="65" t="s">
        <v>318</v>
      </c>
      <c r="E3412" s="65" t="s">
        <v>294</v>
      </c>
      <c r="F3412" s="65" t="s">
        <v>40</v>
      </c>
      <c r="G3412" s="65"/>
      <c r="H3412" s="65"/>
      <c r="I3412" s="66">
        <v>429097.18518316752</v>
      </c>
    </row>
    <row r="3413" spans="1:9" hidden="1">
      <c r="A3413" s="67" t="s">
        <v>295</v>
      </c>
      <c r="B3413" s="68">
        <v>2039</v>
      </c>
      <c r="C3413" s="68">
        <v>2023</v>
      </c>
      <c r="D3413" s="68" t="s">
        <v>318</v>
      </c>
      <c r="E3413" s="68" t="s">
        <v>301</v>
      </c>
      <c r="F3413" s="68" t="s">
        <v>297</v>
      </c>
      <c r="G3413" s="68"/>
      <c r="H3413" s="68"/>
      <c r="I3413" s="69">
        <v>525670.45190296846</v>
      </c>
    </row>
    <row r="3414" spans="1:9" hidden="1">
      <c r="A3414" s="64" t="s">
        <v>295</v>
      </c>
      <c r="B3414" s="65">
        <v>2039</v>
      </c>
      <c r="C3414" s="65">
        <v>2023</v>
      </c>
      <c r="D3414" s="65" t="s">
        <v>318</v>
      </c>
      <c r="E3414" s="65" t="s">
        <v>301</v>
      </c>
      <c r="F3414" s="65" t="s">
        <v>298</v>
      </c>
      <c r="G3414" s="65"/>
      <c r="H3414" s="65"/>
      <c r="I3414" s="66">
        <v>0</v>
      </c>
    </row>
    <row r="3415" spans="1:9" hidden="1">
      <c r="A3415" s="67" t="s">
        <v>295</v>
      </c>
      <c r="B3415" s="68">
        <v>2039</v>
      </c>
      <c r="C3415" s="68">
        <v>2023</v>
      </c>
      <c r="D3415" s="68" t="s">
        <v>318</v>
      </c>
      <c r="E3415" s="68" t="s">
        <v>301</v>
      </c>
      <c r="F3415" s="68" t="s">
        <v>40</v>
      </c>
      <c r="G3415" s="68"/>
      <c r="H3415" s="68"/>
      <c r="I3415" s="69">
        <v>525670.45190296846</v>
      </c>
    </row>
    <row r="3416" spans="1:9" hidden="1">
      <c r="A3416" s="64" t="s">
        <v>295</v>
      </c>
      <c r="B3416" s="65">
        <v>2039</v>
      </c>
      <c r="C3416" s="65">
        <v>2023</v>
      </c>
      <c r="D3416" s="65" t="s">
        <v>318</v>
      </c>
      <c r="E3416" s="65" t="s">
        <v>305</v>
      </c>
      <c r="F3416" s="65" t="s">
        <v>297</v>
      </c>
      <c r="G3416" s="65"/>
      <c r="H3416" s="65"/>
      <c r="I3416" s="66">
        <v>9071.8487000000005</v>
      </c>
    </row>
    <row r="3417" spans="1:9" hidden="1">
      <c r="A3417" s="67" t="s">
        <v>295</v>
      </c>
      <c r="B3417" s="68">
        <v>2039</v>
      </c>
      <c r="C3417" s="68">
        <v>2023</v>
      </c>
      <c r="D3417" s="68" t="s">
        <v>318</v>
      </c>
      <c r="E3417" s="68" t="s">
        <v>305</v>
      </c>
      <c r="F3417" s="68" t="s">
        <v>40</v>
      </c>
      <c r="G3417" s="68"/>
      <c r="H3417" s="68"/>
      <c r="I3417" s="69">
        <v>41591.248699999996</v>
      </c>
    </row>
    <row r="3418" spans="1:9" hidden="1">
      <c r="A3418" s="64" t="s">
        <v>295</v>
      </c>
      <c r="B3418" s="65">
        <v>2039</v>
      </c>
      <c r="C3418" s="65">
        <v>2023</v>
      </c>
      <c r="D3418" s="65" t="s">
        <v>320</v>
      </c>
      <c r="E3418" s="65" t="s">
        <v>294</v>
      </c>
      <c r="F3418" s="65" t="s">
        <v>297</v>
      </c>
      <c r="G3418" s="65"/>
      <c r="H3418" s="65"/>
      <c r="I3418" s="66">
        <v>3340.270678487188</v>
      </c>
    </row>
    <row r="3419" spans="1:9" hidden="1">
      <c r="A3419" s="67" t="s">
        <v>295</v>
      </c>
      <c r="B3419" s="68">
        <v>2039</v>
      </c>
      <c r="C3419" s="68">
        <v>2023</v>
      </c>
      <c r="D3419" s="68" t="s">
        <v>320</v>
      </c>
      <c r="E3419" s="68" t="s">
        <v>294</v>
      </c>
      <c r="F3419" s="68" t="s">
        <v>298</v>
      </c>
      <c r="G3419" s="68"/>
      <c r="H3419" s="68"/>
      <c r="I3419" s="69">
        <v>0</v>
      </c>
    </row>
    <row r="3420" spans="1:9" hidden="1">
      <c r="A3420" s="64" t="s">
        <v>295</v>
      </c>
      <c r="B3420" s="65">
        <v>2039</v>
      </c>
      <c r="C3420" s="65">
        <v>2023</v>
      </c>
      <c r="D3420" s="65" t="s">
        <v>320</v>
      </c>
      <c r="E3420" s="65" t="s">
        <v>294</v>
      </c>
      <c r="F3420" s="65" t="s">
        <v>40</v>
      </c>
      <c r="G3420" s="65"/>
      <c r="H3420" s="65"/>
      <c r="I3420" s="66">
        <v>3340.270678487188</v>
      </c>
    </row>
    <row r="3421" spans="1:9" hidden="1">
      <c r="A3421" s="67" t="s">
        <v>295</v>
      </c>
      <c r="B3421" s="68">
        <v>2039</v>
      </c>
      <c r="C3421" s="68">
        <v>2023</v>
      </c>
      <c r="D3421" s="68" t="s">
        <v>320</v>
      </c>
      <c r="E3421" s="68" t="s">
        <v>301</v>
      </c>
      <c r="F3421" s="68" t="s">
        <v>297</v>
      </c>
      <c r="G3421" s="68"/>
      <c r="H3421" s="68"/>
      <c r="I3421" s="69">
        <v>4278.8485881418483</v>
      </c>
    </row>
    <row r="3422" spans="1:9" hidden="1">
      <c r="A3422" s="64" t="s">
        <v>295</v>
      </c>
      <c r="B3422" s="65">
        <v>2039</v>
      </c>
      <c r="C3422" s="65">
        <v>2023</v>
      </c>
      <c r="D3422" s="65" t="s">
        <v>320</v>
      </c>
      <c r="E3422" s="65" t="s">
        <v>301</v>
      </c>
      <c r="F3422" s="65" t="s">
        <v>298</v>
      </c>
      <c r="G3422" s="65"/>
      <c r="H3422" s="65"/>
      <c r="I3422" s="66">
        <v>0</v>
      </c>
    </row>
    <row r="3423" spans="1:9" hidden="1">
      <c r="A3423" s="67" t="s">
        <v>295</v>
      </c>
      <c r="B3423" s="68">
        <v>2039</v>
      </c>
      <c r="C3423" s="68">
        <v>2023</v>
      </c>
      <c r="D3423" s="68" t="s">
        <v>320</v>
      </c>
      <c r="E3423" s="68" t="s">
        <v>301</v>
      </c>
      <c r="F3423" s="68" t="s">
        <v>40</v>
      </c>
      <c r="G3423" s="68"/>
      <c r="H3423" s="68"/>
      <c r="I3423" s="69">
        <v>4278.8485881418483</v>
      </c>
    </row>
    <row r="3424" spans="1:9" hidden="1">
      <c r="A3424" s="64" t="s">
        <v>295</v>
      </c>
      <c r="B3424" s="65">
        <v>2039</v>
      </c>
      <c r="C3424" s="65">
        <v>2023</v>
      </c>
      <c r="D3424" s="65" t="s">
        <v>320</v>
      </c>
      <c r="E3424" s="65" t="s">
        <v>305</v>
      </c>
      <c r="F3424" s="65" t="s">
        <v>297</v>
      </c>
      <c r="G3424" s="65"/>
      <c r="H3424" s="65"/>
      <c r="I3424" s="66">
        <v>39</v>
      </c>
    </row>
    <row r="3425" spans="1:9" hidden="1">
      <c r="A3425" s="67" t="s">
        <v>295</v>
      </c>
      <c r="B3425" s="68">
        <v>2039</v>
      </c>
      <c r="C3425" s="68">
        <v>2023</v>
      </c>
      <c r="D3425" s="68" t="s">
        <v>320</v>
      </c>
      <c r="E3425" s="68" t="s">
        <v>305</v>
      </c>
      <c r="F3425" s="68" t="s">
        <v>40</v>
      </c>
      <c r="G3425" s="68"/>
      <c r="H3425" s="68"/>
      <c r="I3425" s="69">
        <v>1324.5</v>
      </c>
    </row>
    <row r="3426" spans="1:9" hidden="1">
      <c r="A3426" s="64" t="s">
        <v>295</v>
      </c>
      <c r="B3426" s="65">
        <v>2039</v>
      </c>
      <c r="C3426" s="65">
        <v>2023</v>
      </c>
      <c r="D3426" s="65" t="s">
        <v>321</v>
      </c>
      <c r="E3426" s="65" t="s">
        <v>294</v>
      </c>
      <c r="F3426" s="65" t="s">
        <v>297</v>
      </c>
      <c r="G3426" s="65"/>
      <c r="H3426" s="65"/>
      <c r="I3426" s="66">
        <v>17230.00110925674</v>
      </c>
    </row>
    <row r="3427" spans="1:9" hidden="1">
      <c r="A3427" s="67" t="s">
        <v>295</v>
      </c>
      <c r="B3427" s="68">
        <v>2039</v>
      </c>
      <c r="C3427" s="68">
        <v>2023</v>
      </c>
      <c r="D3427" s="68" t="s">
        <v>321</v>
      </c>
      <c r="E3427" s="68" t="s">
        <v>294</v>
      </c>
      <c r="F3427" s="68" t="s">
        <v>298</v>
      </c>
      <c r="G3427" s="68"/>
      <c r="H3427" s="68"/>
      <c r="I3427" s="69">
        <v>0</v>
      </c>
    </row>
    <row r="3428" spans="1:9" hidden="1">
      <c r="A3428" s="64" t="s">
        <v>295</v>
      </c>
      <c r="B3428" s="65">
        <v>2039</v>
      </c>
      <c r="C3428" s="65">
        <v>2023</v>
      </c>
      <c r="D3428" s="65" t="s">
        <v>321</v>
      </c>
      <c r="E3428" s="65" t="s">
        <v>294</v>
      </c>
      <c r="F3428" s="65" t="s">
        <v>40</v>
      </c>
      <c r="G3428" s="65"/>
      <c r="H3428" s="65"/>
      <c r="I3428" s="66">
        <v>17230.000949256741</v>
      </c>
    </row>
    <row r="3429" spans="1:9" hidden="1">
      <c r="A3429" s="67" t="s">
        <v>295</v>
      </c>
      <c r="B3429" s="68">
        <v>2039</v>
      </c>
      <c r="C3429" s="68">
        <v>2023</v>
      </c>
      <c r="D3429" s="68" t="s">
        <v>321</v>
      </c>
      <c r="E3429" s="68" t="s">
        <v>301</v>
      </c>
      <c r="F3429" s="68" t="s">
        <v>297</v>
      </c>
      <c r="G3429" s="68"/>
      <c r="H3429" s="68"/>
      <c r="I3429" s="69">
        <v>17572.241767734529</v>
      </c>
    </row>
    <row r="3430" spans="1:9" hidden="1">
      <c r="A3430" s="64" t="s">
        <v>295</v>
      </c>
      <c r="B3430" s="65">
        <v>2039</v>
      </c>
      <c r="C3430" s="65">
        <v>2023</v>
      </c>
      <c r="D3430" s="65" t="s">
        <v>321</v>
      </c>
      <c r="E3430" s="65" t="s">
        <v>301</v>
      </c>
      <c r="F3430" s="65" t="s">
        <v>298</v>
      </c>
      <c r="G3430" s="65"/>
      <c r="H3430" s="65"/>
      <c r="I3430" s="66">
        <v>0</v>
      </c>
    </row>
    <row r="3431" spans="1:9" hidden="1">
      <c r="A3431" s="67" t="s">
        <v>295</v>
      </c>
      <c r="B3431" s="68">
        <v>2039</v>
      </c>
      <c r="C3431" s="68">
        <v>2023</v>
      </c>
      <c r="D3431" s="68" t="s">
        <v>321</v>
      </c>
      <c r="E3431" s="68" t="s">
        <v>301</v>
      </c>
      <c r="F3431" s="68" t="s">
        <v>40</v>
      </c>
      <c r="G3431" s="68"/>
      <c r="H3431" s="68"/>
      <c r="I3431" s="69">
        <v>17572.24160773453</v>
      </c>
    </row>
    <row r="3432" spans="1:9" hidden="1">
      <c r="A3432" s="64" t="s">
        <v>295</v>
      </c>
      <c r="B3432" s="65">
        <v>2039</v>
      </c>
      <c r="C3432" s="65">
        <v>2023</v>
      </c>
      <c r="D3432" s="65" t="s">
        <v>321</v>
      </c>
      <c r="E3432" s="65" t="s">
        <v>305</v>
      </c>
      <c r="F3432" s="65" t="s">
        <v>297</v>
      </c>
      <c r="G3432" s="65"/>
      <c r="H3432" s="65"/>
      <c r="I3432" s="66">
        <v>50.536859999999997</v>
      </c>
    </row>
    <row r="3433" spans="1:9" hidden="1">
      <c r="A3433" s="67" t="s">
        <v>295</v>
      </c>
      <c r="B3433" s="68">
        <v>2039</v>
      </c>
      <c r="C3433" s="68">
        <v>2023</v>
      </c>
      <c r="D3433" s="68" t="s">
        <v>321</v>
      </c>
      <c r="E3433" s="68" t="s">
        <v>305</v>
      </c>
      <c r="F3433" s="68" t="s">
        <v>40</v>
      </c>
      <c r="G3433" s="68"/>
      <c r="H3433" s="68"/>
      <c r="I3433" s="69">
        <v>405.03685999999999</v>
      </c>
    </row>
    <row r="3434" spans="1:9" hidden="1">
      <c r="A3434" s="64" t="s">
        <v>295</v>
      </c>
      <c r="B3434" s="65">
        <v>2039</v>
      </c>
      <c r="C3434" s="65">
        <v>2023</v>
      </c>
      <c r="D3434" s="65" t="s">
        <v>322</v>
      </c>
      <c r="E3434" s="65" t="s">
        <v>294</v>
      </c>
      <c r="F3434" s="65" t="s">
        <v>297</v>
      </c>
      <c r="G3434" s="65"/>
      <c r="H3434" s="65"/>
      <c r="I3434" s="66">
        <v>1207.440557360869</v>
      </c>
    </row>
    <row r="3435" spans="1:9" hidden="1">
      <c r="A3435" s="67" t="s">
        <v>295</v>
      </c>
      <c r="B3435" s="68">
        <v>2039</v>
      </c>
      <c r="C3435" s="68">
        <v>2023</v>
      </c>
      <c r="D3435" s="68" t="s">
        <v>322</v>
      </c>
      <c r="E3435" s="68" t="s">
        <v>294</v>
      </c>
      <c r="F3435" s="68" t="s">
        <v>298</v>
      </c>
      <c r="G3435" s="68"/>
      <c r="H3435" s="68"/>
      <c r="I3435" s="69">
        <v>3317.162995650227</v>
      </c>
    </row>
    <row r="3436" spans="1:9" hidden="1">
      <c r="A3436" s="64" t="s">
        <v>295</v>
      </c>
      <c r="B3436" s="65">
        <v>2039</v>
      </c>
      <c r="C3436" s="65">
        <v>2023</v>
      </c>
      <c r="D3436" s="65" t="s">
        <v>322</v>
      </c>
      <c r="E3436" s="65" t="s">
        <v>294</v>
      </c>
      <c r="F3436" s="65" t="s">
        <v>40</v>
      </c>
      <c r="G3436" s="65"/>
      <c r="H3436" s="65"/>
      <c r="I3436" s="66">
        <v>4524.5035430110956</v>
      </c>
    </row>
    <row r="3437" spans="1:9" hidden="1">
      <c r="A3437" s="67" t="s">
        <v>295</v>
      </c>
      <c r="B3437" s="68">
        <v>2039</v>
      </c>
      <c r="C3437" s="68">
        <v>2023</v>
      </c>
      <c r="D3437" s="68" t="s">
        <v>322</v>
      </c>
      <c r="E3437" s="68" t="s">
        <v>301</v>
      </c>
      <c r="F3437" s="68" t="s">
        <v>297</v>
      </c>
      <c r="G3437" s="68"/>
      <c r="H3437" s="68"/>
      <c r="I3437" s="69">
        <v>1471.9095991906329</v>
      </c>
    </row>
    <row r="3438" spans="1:9" hidden="1">
      <c r="A3438" s="64" t="s">
        <v>295</v>
      </c>
      <c r="B3438" s="65">
        <v>2039</v>
      </c>
      <c r="C3438" s="65">
        <v>2023</v>
      </c>
      <c r="D3438" s="65" t="s">
        <v>322</v>
      </c>
      <c r="E3438" s="65" t="s">
        <v>301</v>
      </c>
      <c r="F3438" s="65" t="s">
        <v>298</v>
      </c>
      <c r="G3438" s="65"/>
      <c r="H3438" s="65"/>
      <c r="I3438" s="66">
        <v>3500.254995251732</v>
      </c>
    </row>
    <row r="3439" spans="1:9" hidden="1">
      <c r="A3439" s="67" t="s">
        <v>295</v>
      </c>
      <c r="B3439" s="68">
        <v>2039</v>
      </c>
      <c r="C3439" s="68">
        <v>2023</v>
      </c>
      <c r="D3439" s="68" t="s">
        <v>322</v>
      </c>
      <c r="E3439" s="68" t="s">
        <v>301</v>
      </c>
      <c r="F3439" s="68" t="s">
        <v>40</v>
      </c>
      <c r="G3439" s="68"/>
      <c r="H3439" s="68"/>
      <c r="I3439" s="69">
        <v>4972.0645844423643</v>
      </c>
    </row>
    <row r="3440" spans="1:9" hidden="1">
      <c r="A3440" s="64" t="s">
        <v>295</v>
      </c>
      <c r="B3440" s="65">
        <v>2039</v>
      </c>
      <c r="C3440" s="65">
        <v>2023</v>
      </c>
      <c r="D3440" s="65" t="s">
        <v>322</v>
      </c>
      <c r="E3440" s="65" t="s">
        <v>305</v>
      </c>
      <c r="F3440" s="65" t="s">
        <v>297</v>
      </c>
      <c r="G3440" s="65"/>
      <c r="H3440" s="65"/>
      <c r="I3440" s="66">
        <v>7.2</v>
      </c>
    </row>
    <row r="3441" spans="1:9" hidden="1">
      <c r="A3441" s="67" t="s">
        <v>295</v>
      </c>
      <c r="B3441" s="68">
        <v>2039</v>
      </c>
      <c r="C3441" s="68">
        <v>2023</v>
      </c>
      <c r="D3441" s="68" t="s">
        <v>322</v>
      </c>
      <c r="E3441" s="68" t="s">
        <v>305</v>
      </c>
      <c r="F3441" s="68" t="s">
        <v>40</v>
      </c>
      <c r="G3441" s="68"/>
      <c r="H3441" s="68"/>
      <c r="I3441" s="69">
        <v>319.5</v>
      </c>
    </row>
    <row r="3442" spans="1:9" hidden="1">
      <c r="A3442" s="64" t="s">
        <v>295</v>
      </c>
      <c r="B3442" s="65">
        <v>2039</v>
      </c>
      <c r="C3442" s="65">
        <v>2023</v>
      </c>
      <c r="D3442" s="65" t="s">
        <v>323</v>
      </c>
      <c r="E3442" s="65" t="s">
        <v>294</v>
      </c>
      <c r="F3442" s="65" t="s">
        <v>297</v>
      </c>
      <c r="G3442" s="65"/>
      <c r="H3442" s="65"/>
      <c r="I3442" s="66">
        <v>284297.63351265452</v>
      </c>
    </row>
    <row r="3443" spans="1:9" hidden="1">
      <c r="A3443" s="67" t="s">
        <v>295</v>
      </c>
      <c r="B3443" s="68">
        <v>2039</v>
      </c>
      <c r="C3443" s="68">
        <v>2023</v>
      </c>
      <c r="D3443" s="68" t="s">
        <v>323</v>
      </c>
      <c r="E3443" s="68" t="s">
        <v>294</v>
      </c>
      <c r="F3443" s="68" t="s">
        <v>298</v>
      </c>
      <c r="G3443" s="68"/>
      <c r="H3443" s="68"/>
      <c r="I3443" s="69">
        <v>1332.5285649987211</v>
      </c>
    </row>
    <row r="3444" spans="1:9" hidden="1">
      <c r="A3444" s="64" t="s">
        <v>295</v>
      </c>
      <c r="B3444" s="65">
        <v>2039</v>
      </c>
      <c r="C3444" s="65">
        <v>2023</v>
      </c>
      <c r="D3444" s="65" t="s">
        <v>323</v>
      </c>
      <c r="E3444" s="65" t="s">
        <v>294</v>
      </c>
      <c r="F3444" s="65" t="s">
        <v>40</v>
      </c>
      <c r="G3444" s="65"/>
      <c r="H3444" s="65"/>
      <c r="I3444" s="66">
        <v>285630.16206084349</v>
      </c>
    </row>
    <row r="3445" spans="1:9" hidden="1">
      <c r="A3445" s="67" t="s">
        <v>295</v>
      </c>
      <c r="B3445" s="68">
        <v>2039</v>
      </c>
      <c r="C3445" s="68">
        <v>2023</v>
      </c>
      <c r="D3445" s="68" t="s">
        <v>323</v>
      </c>
      <c r="E3445" s="68" t="s">
        <v>301</v>
      </c>
      <c r="F3445" s="68" t="s">
        <v>297</v>
      </c>
      <c r="G3445" s="68"/>
      <c r="H3445" s="68"/>
      <c r="I3445" s="69">
        <v>348093.3109085444</v>
      </c>
    </row>
    <row r="3446" spans="1:9" hidden="1">
      <c r="A3446" s="64" t="s">
        <v>295</v>
      </c>
      <c r="B3446" s="65">
        <v>2039</v>
      </c>
      <c r="C3446" s="65">
        <v>2023</v>
      </c>
      <c r="D3446" s="65" t="s">
        <v>323</v>
      </c>
      <c r="E3446" s="65" t="s">
        <v>301</v>
      </c>
      <c r="F3446" s="65" t="s">
        <v>298</v>
      </c>
      <c r="G3446" s="65"/>
      <c r="H3446" s="65"/>
      <c r="I3446" s="66">
        <v>1489.8554128165961</v>
      </c>
    </row>
    <row r="3447" spans="1:9" hidden="1">
      <c r="A3447" s="67" t="s">
        <v>295</v>
      </c>
      <c r="B3447" s="68">
        <v>2039</v>
      </c>
      <c r="C3447" s="68">
        <v>2023</v>
      </c>
      <c r="D3447" s="68" t="s">
        <v>323</v>
      </c>
      <c r="E3447" s="68" t="s">
        <v>301</v>
      </c>
      <c r="F3447" s="68" t="s">
        <v>40</v>
      </c>
      <c r="G3447" s="68"/>
      <c r="H3447" s="68"/>
      <c r="I3447" s="69">
        <v>349583.26633136102</v>
      </c>
    </row>
    <row r="3448" spans="1:9" hidden="1">
      <c r="A3448" s="64" t="s">
        <v>295</v>
      </c>
      <c r="B3448" s="65">
        <v>2039</v>
      </c>
      <c r="C3448" s="65">
        <v>2023</v>
      </c>
      <c r="D3448" s="65" t="s">
        <v>323</v>
      </c>
      <c r="E3448" s="65" t="s">
        <v>305</v>
      </c>
      <c r="F3448" s="65" t="s">
        <v>297</v>
      </c>
      <c r="G3448" s="65"/>
      <c r="H3448" s="65"/>
      <c r="I3448" s="66">
        <v>1477.22975</v>
      </c>
    </row>
    <row r="3449" spans="1:9" hidden="1">
      <c r="A3449" s="67" t="s">
        <v>295</v>
      </c>
      <c r="B3449" s="68">
        <v>2039</v>
      </c>
      <c r="C3449" s="68">
        <v>2023</v>
      </c>
      <c r="D3449" s="68" t="s">
        <v>323</v>
      </c>
      <c r="E3449" s="68" t="s">
        <v>305</v>
      </c>
      <c r="F3449" s="68" t="s">
        <v>40</v>
      </c>
      <c r="G3449" s="68"/>
      <c r="H3449" s="68"/>
      <c r="I3449" s="69">
        <v>19286.62975</v>
      </c>
    </row>
    <row r="3450" spans="1:9" hidden="1">
      <c r="A3450" s="64" t="s">
        <v>295</v>
      </c>
      <c r="B3450" s="65">
        <v>2039</v>
      </c>
      <c r="C3450" s="65">
        <v>2023</v>
      </c>
      <c r="D3450" s="65" t="s">
        <v>324</v>
      </c>
      <c r="E3450" s="65" t="s">
        <v>294</v>
      </c>
      <c r="F3450" s="65" t="s">
        <v>297</v>
      </c>
      <c r="G3450" s="65"/>
      <c r="H3450" s="65"/>
      <c r="I3450" s="66">
        <v>3532.2217099999998</v>
      </c>
    </row>
    <row r="3451" spans="1:9" hidden="1">
      <c r="A3451" s="67" t="s">
        <v>295</v>
      </c>
      <c r="B3451" s="68">
        <v>2039</v>
      </c>
      <c r="C3451" s="68">
        <v>2023</v>
      </c>
      <c r="D3451" s="68" t="s">
        <v>324</v>
      </c>
      <c r="E3451" s="68" t="s">
        <v>294</v>
      </c>
      <c r="F3451" s="68" t="s">
        <v>298</v>
      </c>
      <c r="G3451" s="68"/>
      <c r="H3451" s="68"/>
      <c r="I3451" s="69">
        <v>0</v>
      </c>
    </row>
    <row r="3452" spans="1:9" hidden="1">
      <c r="A3452" s="64" t="s">
        <v>295</v>
      </c>
      <c r="B3452" s="65">
        <v>2039</v>
      </c>
      <c r="C3452" s="65">
        <v>2023</v>
      </c>
      <c r="D3452" s="65" t="s">
        <v>324</v>
      </c>
      <c r="E3452" s="65" t="s">
        <v>294</v>
      </c>
      <c r="F3452" s="65" t="s">
        <v>40</v>
      </c>
      <c r="G3452" s="65"/>
      <c r="H3452" s="65"/>
      <c r="I3452" s="66">
        <v>3532.2217099999998</v>
      </c>
    </row>
    <row r="3453" spans="1:9" hidden="1">
      <c r="A3453" s="67" t="s">
        <v>295</v>
      </c>
      <c r="B3453" s="68">
        <v>2039</v>
      </c>
      <c r="C3453" s="68">
        <v>2023</v>
      </c>
      <c r="D3453" s="68" t="s">
        <v>324</v>
      </c>
      <c r="E3453" s="68" t="s">
        <v>301</v>
      </c>
      <c r="F3453" s="68" t="s">
        <v>297</v>
      </c>
      <c r="G3453" s="68"/>
      <c r="H3453" s="68"/>
      <c r="I3453" s="69">
        <v>3532.6353399999998</v>
      </c>
    </row>
    <row r="3454" spans="1:9" hidden="1">
      <c r="A3454" s="64" t="s">
        <v>295</v>
      </c>
      <c r="B3454" s="65">
        <v>2039</v>
      </c>
      <c r="C3454" s="65">
        <v>2023</v>
      </c>
      <c r="D3454" s="65" t="s">
        <v>324</v>
      </c>
      <c r="E3454" s="65" t="s">
        <v>301</v>
      </c>
      <c r="F3454" s="65" t="s">
        <v>298</v>
      </c>
      <c r="G3454" s="65"/>
      <c r="H3454" s="65"/>
      <c r="I3454" s="66">
        <v>0</v>
      </c>
    </row>
    <row r="3455" spans="1:9" hidden="1">
      <c r="A3455" s="67" t="s">
        <v>295</v>
      </c>
      <c r="B3455" s="68">
        <v>2039</v>
      </c>
      <c r="C3455" s="68">
        <v>2023</v>
      </c>
      <c r="D3455" s="68" t="s">
        <v>324</v>
      </c>
      <c r="E3455" s="68" t="s">
        <v>301</v>
      </c>
      <c r="F3455" s="68" t="s">
        <v>40</v>
      </c>
      <c r="G3455" s="68"/>
      <c r="H3455" s="68"/>
      <c r="I3455" s="69">
        <v>3532.6353399999998</v>
      </c>
    </row>
    <row r="3456" spans="1:9" hidden="1">
      <c r="A3456" s="64" t="s">
        <v>295</v>
      </c>
      <c r="B3456" s="65">
        <v>2039</v>
      </c>
      <c r="C3456" s="65">
        <v>2023</v>
      </c>
      <c r="D3456" s="65" t="s">
        <v>324</v>
      </c>
      <c r="E3456" s="65" t="s">
        <v>305</v>
      </c>
      <c r="F3456" s="65" t="s">
        <v>297</v>
      </c>
      <c r="G3456" s="65"/>
      <c r="H3456" s="65"/>
      <c r="I3456" s="66">
        <v>4.0999999999999996</v>
      </c>
    </row>
    <row r="3457" spans="1:9" hidden="1">
      <c r="A3457" s="67" t="s">
        <v>295</v>
      </c>
      <c r="B3457" s="68">
        <v>2039</v>
      </c>
      <c r="C3457" s="68">
        <v>2023</v>
      </c>
      <c r="D3457" s="68" t="s">
        <v>324</v>
      </c>
      <c r="E3457" s="68" t="s">
        <v>305</v>
      </c>
      <c r="F3457" s="68" t="s">
        <v>40</v>
      </c>
      <c r="G3457" s="68"/>
      <c r="H3457" s="68"/>
      <c r="I3457" s="69">
        <v>1246.2</v>
      </c>
    </row>
    <row r="3458" spans="1:9" hidden="1">
      <c r="A3458" s="64" t="s">
        <v>295</v>
      </c>
      <c r="B3458" s="65">
        <v>2039</v>
      </c>
      <c r="C3458" s="65">
        <v>2023</v>
      </c>
      <c r="D3458" s="65" t="s">
        <v>325</v>
      </c>
      <c r="E3458" s="65" t="s">
        <v>294</v>
      </c>
      <c r="F3458" s="65" t="s">
        <v>297</v>
      </c>
      <c r="G3458" s="65"/>
      <c r="H3458" s="65"/>
      <c r="I3458" s="66">
        <v>48630.402046003641</v>
      </c>
    </row>
    <row r="3459" spans="1:9" hidden="1">
      <c r="A3459" s="67" t="s">
        <v>295</v>
      </c>
      <c r="B3459" s="68">
        <v>2039</v>
      </c>
      <c r="C3459" s="68">
        <v>2023</v>
      </c>
      <c r="D3459" s="68" t="s">
        <v>325</v>
      </c>
      <c r="E3459" s="68" t="s">
        <v>294</v>
      </c>
      <c r="F3459" s="68" t="s">
        <v>298</v>
      </c>
      <c r="G3459" s="68"/>
      <c r="H3459" s="68"/>
      <c r="I3459" s="69">
        <v>12683.8173036966</v>
      </c>
    </row>
    <row r="3460" spans="1:9" hidden="1">
      <c r="A3460" s="64" t="s">
        <v>295</v>
      </c>
      <c r="B3460" s="65">
        <v>2039</v>
      </c>
      <c r="C3460" s="65">
        <v>2023</v>
      </c>
      <c r="D3460" s="65" t="s">
        <v>325</v>
      </c>
      <c r="E3460" s="65" t="s">
        <v>294</v>
      </c>
      <c r="F3460" s="65" t="s">
        <v>40</v>
      </c>
      <c r="G3460" s="65"/>
      <c r="H3460" s="65"/>
      <c r="I3460" s="66">
        <v>61314.119339700243</v>
      </c>
    </row>
    <row r="3461" spans="1:9" hidden="1">
      <c r="A3461" s="67" t="s">
        <v>295</v>
      </c>
      <c r="B3461" s="68">
        <v>2039</v>
      </c>
      <c r="C3461" s="68">
        <v>2023</v>
      </c>
      <c r="D3461" s="68" t="s">
        <v>325</v>
      </c>
      <c r="E3461" s="68" t="s">
        <v>301</v>
      </c>
      <c r="F3461" s="68" t="s">
        <v>297</v>
      </c>
      <c r="G3461" s="68"/>
      <c r="H3461" s="68"/>
      <c r="I3461" s="69">
        <v>50780.709551835032</v>
      </c>
    </row>
    <row r="3462" spans="1:9" hidden="1">
      <c r="A3462" s="64" t="s">
        <v>295</v>
      </c>
      <c r="B3462" s="65">
        <v>2039</v>
      </c>
      <c r="C3462" s="65">
        <v>2023</v>
      </c>
      <c r="D3462" s="65" t="s">
        <v>325</v>
      </c>
      <c r="E3462" s="65" t="s">
        <v>301</v>
      </c>
      <c r="F3462" s="65" t="s">
        <v>298</v>
      </c>
      <c r="G3462" s="65"/>
      <c r="H3462" s="65"/>
      <c r="I3462" s="66">
        <v>14168.077168164969</v>
      </c>
    </row>
    <row r="3463" spans="1:9" hidden="1">
      <c r="A3463" s="67" t="s">
        <v>295</v>
      </c>
      <c r="B3463" s="68">
        <v>2039</v>
      </c>
      <c r="C3463" s="68">
        <v>2023</v>
      </c>
      <c r="D3463" s="68" t="s">
        <v>325</v>
      </c>
      <c r="E3463" s="68" t="s">
        <v>301</v>
      </c>
      <c r="F3463" s="68" t="s">
        <v>40</v>
      </c>
      <c r="G3463" s="68"/>
      <c r="H3463" s="68"/>
      <c r="I3463" s="69">
        <v>64948.78673</v>
      </c>
    </row>
    <row r="3464" spans="1:9" hidden="1">
      <c r="A3464" s="64" t="s">
        <v>295</v>
      </c>
      <c r="B3464" s="65">
        <v>2039</v>
      </c>
      <c r="C3464" s="65">
        <v>2023</v>
      </c>
      <c r="D3464" s="65" t="s">
        <v>325</v>
      </c>
      <c r="E3464" s="65" t="s">
        <v>305</v>
      </c>
      <c r="F3464" s="65" t="s">
        <v>297</v>
      </c>
      <c r="G3464" s="65"/>
      <c r="H3464" s="65"/>
      <c r="I3464" s="66">
        <v>430.5</v>
      </c>
    </row>
    <row r="3465" spans="1:9" hidden="1">
      <c r="A3465" s="67" t="s">
        <v>295</v>
      </c>
      <c r="B3465" s="68">
        <v>2039</v>
      </c>
      <c r="C3465" s="68">
        <v>2023</v>
      </c>
      <c r="D3465" s="68" t="s">
        <v>325</v>
      </c>
      <c r="E3465" s="68" t="s">
        <v>305</v>
      </c>
      <c r="F3465" s="68" t="s">
        <v>298</v>
      </c>
      <c r="G3465" s="68"/>
      <c r="H3465" s="68"/>
      <c r="I3465" s="69">
        <v>69.900000000000006</v>
      </c>
    </row>
    <row r="3466" spans="1:9" hidden="1">
      <c r="A3466" s="64" t="s">
        <v>295</v>
      </c>
      <c r="B3466" s="65">
        <v>2039</v>
      </c>
      <c r="C3466" s="65">
        <v>2023</v>
      </c>
      <c r="D3466" s="65" t="s">
        <v>325</v>
      </c>
      <c r="E3466" s="65" t="s">
        <v>305</v>
      </c>
      <c r="F3466" s="65" t="s">
        <v>40</v>
      </c>
      <c r="G3466" s="65"/>
      <c r="H3466" s="65"/>
      <c r="I3466" s="66">
        <v>18676.2</v>
      </c>
    </row>
    <row r="3467" spans="1:9" hidden="1">
      <c r="A3467" s="67" t="s">
        <v>295</v>
      </c>
      <c r="B3467" s="68">
        <v>2039</v>
      </c>
      <c r="C3467" s="68">
        <v>2023</v>
      </c>
      <c r="D3467" s="68" t="s">
        <v>326</v>
      </c>
      <c r="E3467" s="68" t="s">
        <v>294</v>
      </c>
      <c r="F3467" s="68" t="s">
        <v>297</v>
      </c>
      <c r="G3467" s="68"/>
      <c r="H3467" s="68"/>
      <c r="I3467" s="69">
        <v>0</v>
      </c>
    </row>
    <row r="3468" spans="1:9" hidden="1">
      <c r="A3468" s="64" t="s">
        <v>295</v>
      </c>
      <c r="B3468" s="65">
        <v>2039</v>
      </c>
      <c r="C3468" s="65">
        <v>2023</v>
      </c>
      <c r="D3468" s="65" t="s">
        <v>326</v>
      </c>
      <c r="E3468" s="65" t="s">
        <v>294</v>
      </c>
      <c r="F3468" s="65" t="s">
        <v>298</v>
      </c>
      <c r="G3468" s="65"/>
      <c r="H3468" s="65"/>
      <c r="I3468" s="66">
        <v>0</v>
      </c>
    </row>
    <row r="3469" spans="1:9" hidden="1">
      <c r="A3469" s="67" t="s">
        <v>295</v>
      </c>
      <c r="B3469" s="68">
        <v>2039</v>
      </c>
      <c r="C3469" s="68">
        <v>2023</v>
      </c>
      <c r="D3469" s="68" t="s">
        <v>326</v>
      </c>
      <c r="E3469" s="68" t="s">
        <v>294</v>
      </c>
      <c r="F3469" s="68" t="s">
        <v>40</v>
      </c>
      <c r="G3469" s="68"/>
      <c r="H3469" s="68"/>
      <c r="I3469" s="69">
        <v>0</v>
      </c>
    </row>
    <row r="3470" spans="1:9" hidden="1">
      <c r="A3470" s="64" t="s">
        <v>295</v>
      </c>
      <c r="B3470" s="65">
        <v>2039</v>
      </c>
      <c r="C3470" s="65">
        <v>2023</v>
      </c>
      <c r="D3470" s="65" t="s">
        <v>326</v>
      </c>
      <c r="E3470" s="65" t="s">
        <v>301</v>
      </c>
      <c r="F3470" s="65" t="s">
        <v>297</v>
      </c>
      <c r="G3470" s="65"/>
      <c r="H3470" s="65"/>
      <c r="I3470" s="66">
        <v>0</v>
      </c>
    </row>
    <row r="3471" spans="1:9" hidden="1">
      <c r="A3471" s="67" t="s">
        <v>295</v>
      </c>
      <c r="B3471" s="68">
        <v>2039</v>
      </c>
      <c r="C3471" s="68">
        <v>2023</v>
      </c>
      <c r="D3471" s="68" t="s">
        <v>326</v>
      </c>
      <c r="E3471" s="68" t="s">
        <v>301</v>
      </c>
      <c r="F3471" s="68" t="s">
        <v>298</v>
      </c>
      <c r="G3471" s="68"/>
      <c r="H3471" s="68"/>
      <c r="I3471" s="69">
        <v>0</v>
      </c>
    </row>
    <row r="3472" spans="1:9" hidden="1">
      <c r="A3472" s="64" t="s">
        <v>295</v>
      </c>
      <c r="B3472" s="65">
        <v>2039</v>
      </c>
      <c r="C3472" s="65">
        <v>2023</v>
      </c>
      <c r="D3472" s="65" t="s">
        <v>326</v>
      </c>
      <c r="E3472" s="65" t="s">
        <v>301</v>
      </c>
      <c r="F3472" s="65" t="s">
        <v>40</v>
      </c>
      <c r="G3472" s="65"/>
      <c r="H3472" s="65"/>
      <c r="I3472" s="66">
        <v>0</v>
      </c>
    </row>
    <row r="3473" spans="1:9" hidden="1">
      <c r="A3473" s="67" t="s">
        <v>295</v>
      </c>
      <c r="B3473" s="68">
        <v>2039</v>
      </c>
      <c r="C3473" s="68">
        <v>2023</v>
      </c>
      <c r="D3473" s="68" t="s">
        <v>304</v>
      </c>
      <c r="E3473" s="68" t="s">
        <v>294</v>
      </c>
      <c r="F3473" s="68" t="s">
        <v>297</v>
      </c>
      <c r="G3473" s="68"/>
      <c r="H3473" s="68"/>
      <c r="I3473" s="69">
        <v>47199.704035648931</v>
      </c>
    </row>
    <row r="3474" spans="1:9" hidden="1">
      <c r="A3474" s="64" t="s">
        <v>295</v>
      </c>
      <c r="B3474" s="65">
        <v>2039</v>
      </c>
      <c r="C3474" s="65">
        <v>2023</v>
      </c>
      <c r="D3474" s="65" t="s">
        <v>304</v>
      </c>
      <c r="E3474" s="65" t="s">
        <v>294</v>
      </c>
      <c r="F3474" s="65" t="s">
        <v>298</v>
      </c>
      <c r="G3474" s="65"/>
      <c r="H3474" s="65"/>
      <c r="I3474" s="66">
        <v>168896.10459373691</v>
      </c>
    </row>
    <row r="3475" spans="1:9" hidden="1">
      <c r="A3475" s="67" t="s">
        <v>295</v>
      </c>
      <c r="B3475" s="68">
        <v>2039</v>
      </c>
      <c r="C3475" s="68">
        <v>2023</v>
      </c>
      <c r="D3475" s="68" t="s">
        <v>304</v>
      </c>
      <c r="E3475" s="68" t="s">
        <v>294</v>
      </c>
      <c r="F3475" s="68" t="s">
        <v>40</v>
      </c>
      <c r="G3475" s="68"/>
      <c r="H3475" s="68"/>
      <c r="I3475" s="69">
        <v>215835.42872296931</v>
      </c>
    </row>
    <row r="3476" spans="1:9" hidden="1">
      <c r="A3476" s="64" t="s">
        <v>295</v>
      </c>
      <c r="B3476" s="65">
        <v>2039</v>
      </c>
      <c r="C3476" s="65">
        <v>2023</v>
      </c>
      <c r="D3476" s="65" t="s">
        <v>304</v>
      </c>
      <c r="E3476" s="65" t="s">
        <v>301</v>
      </c>
      <c r="F3476" s="65" t="s">
        <v>297</v>
      </c>
      <c r="G3476" s="65"/>
      <c r="H3476" s="65"/>
      <c r="I3476" s="66">
        <v>50393.47902231427</v>
      </c>
    </row>
    <row r="3477" spans="1:9" hidden="1">
      <c r="A3477" s="67" t="s">
        <v>295</v>
      </c>
      <c r="B3477" s="68">
        <v>2039</v>
      </c>
      <c r="C3477" s="68">
        <v>2023</v>
      </c>
      <c r="D3477" s="68" t="s">
        <v>304</v>
      </c>
      <c r="E3477" s="68" t="s">
        <v>301</v>
      </c>
      <c r="F3477" s="68" t="s">
        <v>298</v>
      </c>
      <c r="G3477" s="68"/>
      <c r="H3477" s="68"/>
      <c r="I3477" s="69">
        <v>178621.79919673631</v>
      </c>
    </row>
    <row r="3478" spans="1:9" hidden="1">
      <c r="A3478" s="64" t="s">
        <v>295</v>
      </c>
      <c r="B3478" s="65">
        <v>2039</v>
      </c>
      <c r="C3478" s="65">
        <v>2023</v>
      </c>
      <c r="D3478" s="65" t="s">
        <v>304</v>
      </c>
      <c r="E3478" s="65" t="s">
        <v>301</v>
      </c>
      <c r="F3478" s="65" t="s">
        <v>40</v>
      </c>
      <c r="G3478" s="65"/>
      <c r="H3478" s="65"/>
      <c r="I3478" s="66">
        <v>228755.6099908246</v>
      </c>
    </row>
    <row r="3479" spans="1:9" hidden="1">
      <c r="A3479" s="67" t="s">
        <v>295</v>
      </c>
      <c r="B3479" s="68">
        <v>2039</v>
      </c>
      <c r="C3479" s="68">
        <v>2023</v>
      </c>
      <c r="D3479" s="68" t="s">
        <v>304</v>
      </c>
      <c r="E3479" s="68" t="s">
        <v>305</v>
      </c>
      <c r="F3479" s="68" t="s">
        <v>297</v>
      </c>
      <c r="G3479" s="68"/>
      <c r="H3479" s="68"/>
      <c r="I3479" s="69">
        <v>1173.6294600000001</v>
      </c>
    </row>
    <row r="3480" spans="1:9" hidden="1">
      <c r="A3480" s="64" t="s">
        <v>295</v>
      </c>
      <c r="B3480" s="65">
        <v>2039</v>
      </c>
      <c r="C3480" s="65">
        <v>2023</v>
      </c>
      <c r="D3480" s="65" t="s">
        <v>304</v>
      </c>
      <c r="E3480" s="65" t="s">
        <v>305</v>
      </c>
      <c r="F3480" s="65" t="s">
        <v>298</v>
      </c>
      <c r="G3480" s="65"/>
      <c r="H3480" s="65"/>
      <c r="I3480" s="66">
        <v>757.8</v>
      </c>
    </row>
    <row r="3481" spans="1:9" hidden="1">
      <c r="A3481" s="67" t="s">
        <v>295</v>
      </c>
      <c r="B3481" s="68">
        <v>2039</v>
      </c>
      <c r="C3481" s="68">
        <v>2023</v>
      </c>
      <c r="D3481" s="68" t="s">
        <v>304</v>
      </c>
      <c r="E3481" s="68" t="s">
        <v>305</v>
      </c>
      <c r="F3481" s="68" t="s">
        <v>40</v>
      </c>
      <c r="G3481" s="68"/>
      <c r="H3481" s="68"/>
      <c r="I3481" s="69">
        <v>17066.62946</v>
      </c>
    </row>
    <row r="3482" spans="1:9" hidden="1">
      <c r="A3482" s="64" t="s">
        <v>295</v>
      </c>
      <c r="B3482" s="65">
        <v>2039</v>
      </c>
      <c r="C3482" s="65">
        <v>2023</v>
      </c>
      <c r="D3482" s="65" t="s">
        <v>306</v>
      </c>
      <c r="E3482" s="65" t="s">
        <v>294</v>
      </c>
      <c r="F3482" s="65" t="s">
        <v>297</v>
      </c>
      <c r="G3482" s="65"/>
      <c r="H3482" s="65"/>
      <c r="I3482" s="66">
        <v>350972.22683224932</v>
      </c>
    </row>
    <row r="3483" spans="1:9" hidden="1">
      <c r="A3483" s="67" t="s">
        <v>295</v>
      </c>
      <c r="B3483" s="68">
        <v>2039</v>
      </c>
      <c r="C3483" s="68">
        <v>2023</v>
      </c>
      <c r="D3483" s="68" t="s">
        <v>306</v>
      </c>
      <c r="E3483" s="68" t="s">
        <v>294</v>
      </c>
      <c r="F3483" s="68" t="s">
        <v>40</v>
      </c>
      <c r="G3483" s="68"/>
      <c r="H3483" s="68"/>
      <c r="I3483" s="69">
        <v>350972.22683224932</v>
      </c>
    </row>
    <row r="3484" spans="1:9" hidden="1">
      <c r="A3484" s="64" t="s">
        <v>295</v>
      </c>
      <c r="B3484" s="65">
        <v>2039</v>
      </c>
      <c r="C3484" s="65">
        <v>2023</v>
      </c>
      <c r="D3484" s="65" t="s">
        <v>306</v>
      </c>
      <c r="E3484" s="65" t="s">
        <v>301</v>
      </c>
      <c r="F3484" s="65" t="s">
        <v>297</v>
      </c>
      <c r="G3484" s="65"/>
      <c r="H3484" s="65"/>
      <c r="I3484" s="66">
        <v>367775.75326341123</v>
      </c>
    </row>
    <row r="3485" spans="1:9" hidden="1">
      <c r="A3485" s="67" t="s">
        <v>295</v>
      </c>
      <c r="B3485" s="68">
        <v>2039</v>
      </c>
      <c r="C3485" s="68">
        <v>2023</v>
      </c>
      <c r="D3485" s="68" t="s">
        <v>306</v>
      </c>
      <c r="E3485" s="68" t="s">
        <v>301</v>
      </c>
      <c r="F3485" s="68" t="s">
        <v>40</v>
      </c>
      <c r="G3485" s="68"/>
      <c r="H3485" s="68"/>
      <c r="I3485" s="69">
        <v>367775.75326341123</v>
      </c>
    </row>
    <row r="3486" spans="1:9" hidden="1">
      <c r="A3486" s="64" t="s">
        <v>295</v>
      </c>
      <c r="B3486" s="65">
        <v>2039</v>
      </c>
      <c r="C3486" s="65">
        <v>2023</v>
      </c>
      <c r="D3486" s="65" t="s">
        <v>306</v>
      </c>
      <c r="E3486" s="65" t="s">
        <v>305</v>
      </c>
      <c r="F3486" s="65" t="s">
        <v>297</v>
      </c>
      <c r="G3486" s="65"/>
      <c r="H3486" s="65"/>
      <c r="I3486" s="66">
        <v>2065.85257</v>
      </c>
    </row>
    <row r="3487" spans="1:9" hidden="1">
      <c r="A3487" s="67" t="s">
        <v>295</v>
      </c>
      <c r="B3487" s="68">
        <v>2039</v>
      </c>
      <c r="C3487" s="68">
        <v>2023</v>
      </c>
      <c r="D3487" s="68" t="s">
        <v>306</v>
      </c>
      <c r="E3487" s="68" t="s">
        <v>305</v>
      </c>
      <c r="F3487" s="68" t="s">
        <v>40</v>
      </c>
      <c r="G3487" s="68"/>
      <c r="H3487" s="68"/>
      <c r="I3487" s="69">
        <v>35481.652570000013</v>
      </c>
    </row>
    <row r="3488" spans="1:9" hidden="1">
      <c r="A3488" s="64" t="s">
        <v>295</v>
      </c>
      <c r="B3488" s="65">
        <v>2039</v>
      </c>
      <c r="C3488" s="65">
        <v>2023</v>
      </c>
      <c r="D3488" s="65" t="s">
        <v>307</v>
      </c>
      <c r="E3488" s="65" t="s">
        <v>294</v>
      </c>
      <c r="F3488" s="65" t="s">
        <v>40</v>
      </c>
      <c r="G3488" s="65"/>
      <c r="H3488" s="65"/>
      <c r="I3488" s="66">
        <v>-247190.36263745531</v>
      </c>
    </row>
    <row r="3489" spans="1:9" hidden="1">
      <c r="A3489" s="67" t="s">
        <v>295</v>
      </c>
      <c r="B3489" s="68">
        <v>2039</v>
      </c>
      <c r="C3489" s="68">
        <v>2023</v>
      </c>
      <c r="D3489" s="68" t="s">
        <v>307</v>
      </c>
      <c r="E3489" s="68" t="s">
        <v>301</v>
      </c>
      <c r="F3489" s="68" t="s">
        <v>40</v>
      </c>
      <c r="G3489" s="68"/>
      <c r="H3489" s="68"/>
      <c r="I3489" s="69">
        <v>-215959.38711119979</v>
      </c>
    </row>
    <row r="3490" spans="1:9" hidden="1">
      <c r="A3490" s="64" t="s">
        <v>295</v>
      </c>
      <c r="B3490" s="65">
        <v>2039</v>
      </c>
      <c r="C3490" s="65">
        <v>2023</v>
      </c>
      <c r="D3490" s="65" t="s">
        <v>307</v>
      </c>
      <c r="E3490" s="65" t="s">
        <v>305</v>
      </c>
      <c r="F3490" s="65" t="s">
        <v>40</v>
      </c>
      <c r="G3490" s="65"/>
      <c r="H3490" s="65"/>
      <c r="I3490" s="66">
        <v>-13653.912539999999</v>
      </c>
    </row>
    <row r="3491" spans="1:9" hidden="1">
      <c r="A3491" s="67" t="s">
        <v>295</v>
      </c>
      <c r="B3491" s="68">
        <v>2039</v>
      </c>
      <c r="C3491" s="68">
        <v>2023</v>
      </c>
      <c r="D3491" s="68" t="s">
        <v>327</v>
      </c>
      <c r="E3491" s="68" t="s">
        <v>294</v>
      </c>
      <c r="F3491" s="68" t="s">
        <v>40</v>
      </c>
      <c r="G3491" s="68"/>
      <c r="H3491" s="68"/>
      <c r="I3491" s="69">
        <v>-294186.05646868428</v>
      </c>
    </row>
    <row r="3492" spans="1:9" hidden="1">
      <c r="A3492" s="64" t="s">
        <v>295</v>
      </c>
      <c r="B3492" s="65">
        <v>2039</v>
      </c>
      <c r="C3492" s="65">
        <v>2023</v>
      </c>
      <c r="D3492" s="65" t="s">
        <v>327</v>
      </c>
      <c r="E3492" s="65" t="s">
        <v>301</v>
      </c>
      <c r="F3492" s="65" t="s">
        <v>40</v>
      </c>
      <c r="G3492" s="65"/>
      <c r="H3492" s="65"/>
      <c r="I3492" s="66">
        <v>-273478.40225942171</v>
      </c>
    </row>
    <row r="3493" spans="1:9" hidden="1">
      <c r="A3493" s="67" t="s">
        <v>295</v>
      </c>
      <c r="B3493" s="68">
        <v>2039</v>
      </c>
      <c r="C3493" s="68">
        <v>2023</v>
      </c>
      <c r="D3493" s="68" t="s">
        <v>327</v>
      </c>
      <c r="E3493" s="68" t="s">
        <v>305</v>
      </c>
      <c r="F3493" s="68" t="s">
        <v>40</v>
      </c>
      <c r="G3493" s="68"/>
      <c r="H3493" s="68"/>
      <c r="I3493" s="69">
        <v>-17743.14169</v>
      </c>
    </row>
    <row r="3494" spans="1:9" hidden="1">
      <c r="A3494" s="64" t="s">
        <v>295</v>
      </c>
      <c r="B3494" s="65">
        <v>2039</v>
      </c>
      <c r="C3494" s="65">
        <v>2023</v>
      </c>
      <c r="D3494" s="65" t="s">
        <v>328</v>
      </c>
      <c r="E3494" s="65" t="s">
        <v>294</v>
      </c>
      <c r="F3494" s="65" t="s">
        <v>40</v>
      </c>
      <c r="G3494" s="65"/>
      <c r="H3494" s="65"/>
      <c r="I3494" s="66">
        <v>25497.98964103551</v>
      </c>
    </row>
    <row r="3495" spans="1:9" hidden="1">
      <c r="A3495" s="67" t="s">
        <v>295</v>
      </c>
      <c r="B3495" s="68">
        <v>2039</v>
      </c>
      <c r="C3495" s="68">
        <v>2023</v>
      </c>
      <c r="D3495" s="68" t="s">
        <v>328</v>
      </c>
      <c r="E3495" s="68" t="s">
        <v>301</v>
      </c>
      <c r="F3495" s="68" t="s">
        <v>40</v>
      </c>
      <c r="G3495" s="68"/>
      <c r="H3495" s="68"/>
      <c r="I3495" s="69">
        <v>32597.391691113058</v>
      </c>
    </row>
    <row r="3496" spans="1:9" hidden="1">
      <c r="A3496" s="64" t="s">
        <v>295</v>
      </c>
      <c r="B3496" s="65">
        <v>2039</v>
      </c>
      <c r="C3496" s="65">
        <v>2023</v>
      </c>
      <c r="D3496" s="65" t="s">
        <v>328</v>
      </c>
      <c r="E3496" s="65" t="s">
        <v>305</v>
      </c>
      <c r="F3496" s="65" t="s">
        <v>40</v>
      </c>
      <c r="G3496" s="65"/>
      <c r="H3496" s="65"/>
      <c r="I3496" s="66">
        <v>-2234.1959000000002</v>
      </c>
    </row>
    <row r="3497" spans="1:9" hidden="1">
      <c r="A3497" s="67" t="s">
        <v>295</v>
      </c>
      <c r="B3497" s="68">
        <v>2039</v>
      </c>
      <c r="C3497" s="68">
        <v>2023</v>
      </c>
      <c r="D3497" s="68" t="s">
        <v>329</v>
      </c>
      <c r="E3497" s="68" t="s">
        <v>294</v>
      </c>
      <c r="F3497" s="68" t="s">
        <v>40</v>
      </c>
      <c r="G3497" s="68"/>
      <c r="H3497" s="68"/>
      <c r="I3497" s="69">
        <v>12962.63984128572</v>
      </c>
    </row>
    <row r="3498" spans="1:9" hidden="1">
      <c r="A3498" s="64" t="s">
        <v>295</v>
      </c>
      <c r="B3498" s="65">
        <v>2039</v>
      </c>
      <c r="C3498" s="65">
        <v>2023</v>
      </c>
      <c r="D3498" s="65" t="s">
        <v>329</v>
      </c>
      <c r="E3498" s="65" t="s">
        <v>301</v>
      </c>
      <c r="F3498" s="65" t="s">
        <v>40</v>
      </c>
      <c r="G3498" s="65"/>
      <c r="H3498" s="65"/>
      <c r="I3498" s="66">
        <v>13984.78378872249</v>
      </c>
    </row>
    <row r="3499" spans="1:9" hidden="1">
      <c r="A3499" s="67" t="s">
        <v>295</v>
      </c>
      <c r="B3499" s="68">
        <v>2039</v>
      </c>
      <c r="C3499" s="68">
        <v>2023</v>
      </c>
      <c r="D3499" s="68" t="s">
        <v>329</v>
      </c>
      <c r="E3499" s="68" t="s">
        <v>305</v>
      </c>
      <c r="F3499" s="68" t="s">
        <v>40</v>
      </c>
      <c r="G3499" s="68"/>
      <c r="H3499" s="68"/>
      <c r="I3499" s="69">
        <v>3963.07197</v>
      </c>
    </row>
    <row r="3500" spans="1:9" hidden="1">
      <c r="A3500" s="64" t="s">
        <v>295</v>
      </c>
      <c r="B3500" s="65">
        <v>2039</v>
      </c>
      <c r="C3500" s="65">
        <v>2023</v>
      </c>
      <c r="D3500" s="65" t="s">
        <v>330</v>
      </c>
      <c r="E3500" s="65" t="s">
        <v>294</v>
      </c>
      <c r="F3500" s="65" t="s">
        <v>40</v>
      </c>
      <c r="G3500" s="65"/>
      <c r="H3500" s="65"/>
      <c r="I3500" s="66">
        <v>11904.51803030442</v>
      </c>
    </row>
    <row r="3501" spans="1:9" hidden="1">
      <c r="A3501" s="67" t="s">
        <v>295</v>
      </c>
      <c r="B3501" s="68">
        <v>2039</v>
      </c>
      <c r="C3501" s="68">
        <v>2023</v>
      </c>
      <c r="D3501" s="68" t="s">
        <v>330</v>
      </c>
      <c r="E3501" s="68" t="s">
        <v>301</v>
      </c>
      <c r="F3501" s="68" t="s">
        <v>40</v>
      </c>
      <c r="G3501" s="68"/>
      <c r="H3501" s="68"/>
      <c r="I3501" s="69">
        <v>12962.648110302051</v>
      </c>
    </row>
    <row r="3502" spans="1:9" hidden="1">
      <c r="A3502" s="64" t="s">
        <v>295</v>
      </c>
      <c r="B3502" s="65">
        <v>2039</v>
      </c>
      <c r="C3502" s="65">
        <v>2023</v>
      </c>
      <c r="D3502" s="65" t="s">
        <v>330</v>
      </c>
      <c r="E3502" s="65" t="s">
        <v>305</v>
      </c>
      <c r="F3502" s="65" t="s">
        <v>40</v>
      </c>
      <c r="G3502" s="65"/>
      <c r="H3502" s="65"/>
      <c r="I3502" s="66">
        <v>765.28647999999998</v>
      </c>
    </row>
    <row r="3503" spans="1:9" hidden="1">
      <c r="A3503" s="67" t="s">
        <v>295</v>
      </c>
      <c r="B3503" s="68">
        <v>2039</v>
      </c>
      <c r="C3503" s="68">
        <v>2023</v>
      </c>
      <c r="D3503" s="68" t="s">
        <v>331</v>
      </c>
      <c r="E3503" s="68" t="s">
        <v>294</v>
      </c>
      <c r="F3503" s="68" t="s">
        <v>40</v>
      </c>
      <c r="G3503" s="68"/>
      <c r="H3503" s="68"/>
      <c r="I3503" s="69">
        <v>30097.136503846941</v>
      </c>
    </row>
    <row r="3504" spans="1:9" hidden="1">
      <c r="A3504" s="64" t="s">
        <v>295</v>
      </c>
      <c r="B3504" s="65">
        <v>2039</v>
      </c>
      <c r="C3504" s="65">
        <v>2023</v>
      </c>
      <c r="D3504" s="65" t="s">
        <v>331</v>
      </c>
      <c r="E3504" s="65" t="s">
        <v>301</v>
      </c>
      <c r="F3504" s="65" t="s">
        <v>40</v>
      </c>
      <c r="G3504" s="65"/>
      <c r="H3504" s="65"/>
      <c r="I3504" s="66">
        <v>30552.695136308459</v>
      </c>
    </row>
    <row r="3505" spans="1:9" hidden="1">
      <c r="A3505" s="67" t="s">
        <v>295</v>
      </c>
      <c r="B3505" s="68">
        <v>2039</v>
      </c>
      <c r="C3505" s="68">
        <v>2023</v>
      </c>
      <c r="D3505" s="68" t="s">
        <v>331</v>
      </c>
      <c r="E3505" s="68" t="s">
        <v>305</v>
      </c>
      <c r="F3505" s="68" t="s">
        <v>40</v>
      </c>
      <c r="G3505" s="68"/>
      <c r="H3505" s="68"/>
      <c r="I3505" s="69">
        <v>3096.5688300000002</v>
      </c>
    </row>
    <row r="3506" spans="1:9" hidden="1">
      <c r="A3506" s="64" t="s">
        <v>295</v>
      </c>
      <c r="B3506" s="65">
        <v>2039</v>
      </c>
      <c r="C3506" s="65">
        <v>2023</v>
      </c>
      <c r="D3506" s="65" t="s">
        <v>332</v>
      </c>
      <c r="E3506" s="65" t="s">
        <v>294</v>
      </c>
      <c r="F3506" s="65" t="s">
        <v>40</v>
      </c>
      <c r="G3506" s="65"/>
      <c r="H3506" s="65"/>
      <c r="I3506" s="66">
        <v>482.95453000000009</v>
      </c>
    </row>
    <row r="3507" spans="1:9" hidden="1">
      <c r="A3507" s="67" t="s">
        <v>295</v>
      </c>
      <c r="B3507" s="68">
        <v>2039</v>
      </c>
      <c r="C3507" s="68">
        <v>2023</v>
      </c>
      <c r="D3507" s="68" t="s">
        <v>332</v>
      </c>
      <c r="E3507" s="68" t="s">
        <v>301</v>
      </c>
      <c r="F3507" s="68" t="s">
        <v>40</v>
      </c>
      <c r="G3507" s="68"/>
      <c r="H3507" s="68"/>
      <c r="I3507" s="69">
        <v>343.85550000000012</v>
      </c>
    </row>
    <row r="3508" spans="1:9" hidden="1">
      <c r="A3508" s="64" t="s">
        <v>295</v>
      </c>
      <c r="B3508" s="65">
        <v>2039</v>
      </c>
      <c r="C3508" s="65">
        <v>2023</v>
      </c>
      <c r="D3508" s="65" t="s">
        <v>332</v>
      </c>
      <c r="E3508" s="65" t="s">
        <v>305</v>
      </c>
      <c r="F3508" s="65" t="s">
        <v>40</v>
      </c>
      <c r="G3508" s="65"/>
      <c r="H3508" s="65"/>
      <c r="I3508" s="66">
        <v>323.87777</v>
      </c>
    </row>
    <row r="3509" spans="1:9" hidden="1">
      <c r="A3509" s="67" t="s">
        <v>295</v>
      </c>
      <c r="B3509" s="68">
        <v>2039</v>
      </c>
      <c r="C3509" s="68">
        <v>2023</v>
      </c>
      <c r="D3509" s="68" t="s">
        <v>333</v>
      </c>
      <c r="E3509" s="68" t="s">
        <v>294</v>
      </c>
      <c r="F3509" s="68" t="s">
        <v>40</v>
      </c>
      <c r="G3509" s="68"/>
      <c r="H3509" s="68"/>
      <c r="I3509" s="69">
        <v>-33413.301140000003</v>
      </c>
    </row>
    <row r="3510" spans="1:9" hidden="1">
      <c r="A3510" s="64" t="s">
        <v>295</v>
      </c>
      <c r="B3510" s="65">
        <v>2039</v>
      </c>
      <c r="C3510" s="65">
        <v>2023</v>
      </c>
      <c r="D3510" s="65" t="s">
        <v>333</v>
      </c>
      <c r="E3510" s="65" t="s">
        <v>301</v>
      </c>
      <c r="F3510" s="65" t="s">
        <v>40</v>
      </c>
      <c r="G3510" s="65"/>
      <c r="H3510" s="65"/>
      <c r="I3510" s="66">
        <v>-33170.049429999999</v>
      </c>
    </row>
    <row r="3511" spans="1:9" hidden="1">
      <c r="A3511" s="67" t="s">
        <v>295</v>
      </c>
      <c r="B3511" s="68">
        <v>2039</v>
      </c>
      <c r="C3511" s="68">
        <v>2023</v>
      </c>
      <c r="D3511" s="68" t="s">
        <v>333</v>
      </c>
      <c r="E3511" s="68" t="s">
        <v>305</v>
      </c>
      <c r="F3511" s="68" t="s">
        <v>40</v>
      </c>
      <c r="G3511" s="68"/>
      <c r="H3511" s="68"/>
      <c r="I3511" s="69">
        <v>-1825.26</v>
      </c>
    </row>
    <row r="3512" spans="1:9" hidden="1">
      <c r="A3512" s="64" t="s">
        <v>295</v>
      </c>
      <c r="B3512" s="65">
        <v>2039</v>
      </c>
      <c r="C3512" s="65">
        <v>2023</v>
      </c>
      <c r="D3512" s="65" t="s">
        <v>334</v>
      </c>
      <c r="E3512" s="65" t="s">
        <v>294</v>
      </c>
      <c r="F3512" s="65" t="s">
        <v>40</v>
      </c>
      <c r="G3512" s="65"/>
      <c r="H3512" s="65"/>
      <c r="I3512" s="66">
        <v>253.85033000000001</v>
      </c>
    </row>
    <row r="3513" spans="1:9" hidden="1">
      <c r="A3513" s="67" t="s">
        <v>295</v>
      </c>
      <c r="B3513" s="68">
        <v>2039</v>
      </c>
      <c r="C3513" s="68">
        <v>2023</v>
      </c>
      <c r="D3513" s="68" t="s">
        <v>334</v>
      </c>
      <c r="E3513" s="68" t="s">
        <v>301</v>
      </c>
      <c r="F3513" s="68" t="s">
        <v>40</v>
      </c>
      <c r="G3513" s="68"/>
      <c r="H3513" s="68"/>
      <c r="I3513" s="69">
        <v>253.85033000000001</v>
      </c>
    </row>
    <row r="3514" spans="1:9" hidden="1">
      <c r="A3514" s="64" t="s">
        <v>295</v>
      </c>
      <c r="B3514" s="65">
        <v>2039</v>
      </c>
      <c r="C3514" s="65">
        <v>2023</v>
      </c>
      <c r="D3514" s="65" t="s">
        <v>308</v>
      </c>
      <c r="E3514" s="65" t="s">
        <v>294</v>
      </c>
      <c r="F3514" s="65" t="s">
        <v>297</v>
      </c>
      <c r="G3514" s="65"/>
      <c r="H3514" s="65"/>
      <c r="I3514" s="66">
        <v>70247.345158669603</v>
      </c>
    </row>
    <row r="3515" spans="1:9" hidden="1">
      <c r="A3515" s="67" t="s">
        <v>295</v>
      </c>
      <c r="B3515" s="68">
        <v>2039</v>
      </c>
      <c r="C3515" s="68">
        <v>2023</v>
      </c>
      <c r="D3515" s="68" t="s">
        <v>308</v>
      </c>
      <c r="E3515" s="68" t="s">
        <v>294</v>
      </c>
      <c r="F3515" s="68" t="s">
        <v>298</v>
      </c>
      <c r="G3515" s="68"/>
      <c r="H3515" s="68"/>
      <c r="I3515" s="69">
        <v>236.71502672403531</v>
      </c>
    </row>
    <row r="3516" spans="1:9" hidden="1">
      <c r="A3516" s="64" t="s">
        <v>295</v>
      </c>
      <c r="B3516" s="65">
        <v>2039</v>
      </c>
      <c r="C3516" s="65">
        <v>2023</v>
      </c>
      <c r="D3516" s="65" t="s">
        <v>308</v>
      </c>
      <c r="E3516" s="65" t="s">
        <v>294</v>
      </c>
      <c r="F3516" s="65" t="s">
        <v>40</v>
      </c>
      <c r="G3516" s="65"/>
      <c r="H3516" s="65"/>
      <c r="I3516" s="66">
        <v>70484.060185393639</v>
      </c>
    </row>
    <row r="3517" spans="1:9" hidden="1">
      <c r="A3517" s="67" t="s">
        <v>295</v>
      </c>
      <c r="B3517" s="68">
        <v>2039</v>
      </c>
      <c r="C3517" s="68">
        <v>2023</v>
      </c>
      <c r="D3517" s="68" t="s">
        <v>308</v>
      </c>
      <c r="E3517" s="68" t="s">
        <v>301</v>
      </c>
      <c r="F3517" s="68" t="s">
        <v>297</v>
      </c>
      <c r="G3517" s="68"/>
      <c r="H3517" s="68"/>
      <c r="I3517" s="69">
        <v>71262.191468666424</v>
      </c>
    </row>
    <row r="3518" spans="1:9" hidden="1">
      <c r="A3518" s="64" t="s">
        <v>295</v>
      </c>
      <c r="B3518" s="65">
        <v>2039</v>
      </c>
      <c r="C3518" s="65">
        <v>2023</v>
      </c>
      <c r="D3518" s="65" t="s">
        <v>308</v>
      </c>
      <c r="E3518" s="65" t="s">
        <v>301</v>
      </c>
      <c r="F3518" s="65" t="s">
        <v>298</v>
      </c>
      <c r="G3518" s="65"/>
      <c r="H3518" s="65"/>
      <c r="I3518" s="66">
        <v>236.7150267227025</v>
      </c>
    </row>
    <row r="3519" spans="1:9" hidden="1">
      <c r="A3519" s="67" t="s">
        <v>295</v>
      </c>
      <c r="B3519" s="68">
        <v>2039</v>
      </c>
      <c r="C3519" s="68">
        <v>2023</v>
      </c>
      <c r="D3519" s="68" t="s">
        <v>308</v>
      </c>
      <c r="E3519" s="68" t="s">
        <v>301</v>
      </c>
      <c r="F3519" s="68" t="s">
        <v>40</v>
      </c>
      <c r="G3519" s="68"/>
      <c r="H3519" s="68"/>
      <c r="I3519" s="69">
        <v>71392.007492293589</v>
      </c>
    </row>
    <row r="3520" spans="1:9" hidden="1">
      <c r="A3520" s="64" t="s">
        <v>295</v>
      </c>
      <c r="B3520" s="65">
        <v>2039</v>
      </c>
      <c r="C3520" s="65">
        <v>2023</v>
      </c>
      <c r="D3520" s="65" t="s">
        <v>308</v>
      </c>
      <c r="E3520" s="65" t="s">
        <v>305</v>
      </c>
      <c r="F3520" s="65" t="s">
        <v>297</v>
      </c>
      <c r="G3520" s="65"/>
      <c r="H3520" s="65"/>
      <c r="I3520" s="66">
        <v>1678.7349300000001</v>
      </c>
    </row>
    <row r="3521" spans="1:9" hidden="1">
      <c r="A3521" s="67" t="s">
        <v>295</v>
      </c>
      <c r="B3521" s="68">
        <v>2039</v>
      </c>
      <c r="C3521" s="68">
        <v>2023</v>
      </c>
      <c r="D3521" s="68" t="s">
        <v>308</v>
      </c>
      <c r="E3521" s="68" t="s">
        <v>305</v>
      </c>
      <c r="F3521" s="68" t="s">
        <v>40</v>
      </c>
      <c r="G3521" s="68"/>
      <c r="H3521" s="68"/>
      <c r="I3521" s="69">
        <v>10300.53493</v>
      </c>
    </row>
    <row r="3522" spans="1:9" hidden="1">
      <c r="A3522" s="64" t="s">
        <v>295</v>
      </c>
      <c r="B3522" s="65">
        <v>2039</v>
      </c>
      <c r="C3522" s="65">
        <v>2023</v>
      </c>
      <c r="D3522" s="65" t="s">
        <v>310</v>
      </c>
      <c r="E3522" s="65" t="s">
        <v>294</v>
      </c>
      <c r="F3522" s="65" t="s">
        <v>297</v>
      </c>
      <c r="G3522" s="65"/>
      <c r="H3522" s="65"/>
      <c r="I3522" s="66">
        <v>160</v>
      </c>
    </row>
    <row r="3523" spans="1:9" hidden="1">
      <c r="A3523" s="67" t="s">
        <v>295</v>
      </c>
      <c r="B3523" s="68">
        <v>2039</v>
      </c>
      <c r="C3523" s="68">
        <v>2023</v>
      </c>
      <c r="D3523" s="68" t="s">
        <v>310</v>
      </c>
      <c r="E3523" s="68" t="s">
        <v>294</v>
      </c>
      <c r="F3523" s="68" t="s">
        <v>40</v>
      </c>
      <c r="G3523" s="68"/>
      <c r="H3523" s="68"/>
      <c r="I3523" s="69">
        <v>122750.46031301261</v>
      </c>
    </row>
    <row r="3524" spans="1:9" hidden="1">
      <c r="A3524" s="64" t="s">
        <v>295</v>
      </c>
      <c r="B3524" s="65">
        <v>2039</v>
      </c>
      <c r="C3524" s="65">
        <v>2023</v>
      </c>
      <c r="D3524" s="65" t="s">
        <v>310</v>
      </c>
      <c r="E3524" s="65" t="s">
        <v>301</v>
      </c>
      <c r="F3524" s="65" t="s">
        <v>297</v>
      </c>
      <c r="G3524" s="65"/>
      <c r="H3524" s="65"/>
      <c r="I3524" s="66">
        <v>160</v>
      </c>
    </row>
    <row r="3525" spans="1:9" hidden="1">
      <c r="A3525" s="67" t="s">
        <v>295</v>
      </c>
      <c r="B3525" s="68">
        <v>2039</v>
      </c>
      <c r="C3525" s="68">
        <v>2023</v>
      </c>
      <c r="D3525" s="68" t="s">
        <v>310</v>
      </c>
      <c r="E3525" s="68" t="s">
        <v>301</v>
      </c>
      <c r="F3525" s="68" t="s">
        <v>40</v>
      </c>
      <c r="G3525" s="68"/>
      <c r="H3525" s="68"/>
      <c r="I3525" s="69">
        <v>130494.4325721957</v>
      </c>
    </row>
    <row r="3526" spans="1:9" hidden="1">
      <c r="A3526" s="64" t="s">
        <v>295</v>
      </c>
      <c r="B3526" s="65">
        <v>2039</v>
      </c>
      <c r="C3526" s="65">
        <v>2023</v>
      </c>
      <c r="D3526" s="65" t="s">
        <v>310</v>
      </c>
      <c r="E3526" s="65" t="s">
        <v>305</v>
      </c>
      <c r="F3526" s="65" t="s">
        <v>40</v>
      </c>
      <c r="G3526" s="65"/>
      <c r="H3526" s="65"/>
      <c r="I3526" s="66">
        <v>1263.51016</v>
      </c>
    </row>
    <row r="3527" spans="1:9" hidden="1">
      <c r="A3527" s="67" t="s">
        <v>295</v>
      </c>
      <c r="B3527" s="68">
        <v>2039</v>
      </c>
      <c r="C3527" s="68">
        <v>2023</v>
      </c>
      <c r="D3527" s="68" t="s">
        <v>311</v>
      </c>
      <c r="E3527" s="68" t="s">
        <v>294</v>
      </c>
      <c r="F3527" s="68" t="s">
        <v>297</v>
      </c>
      <c r="G3527" s="68"/>
      <c r="H3527" s="68"/>
      <c r="I3527" s="69">
        <v>832.5</v>
      </c>
    </row>
    <row r="3528" spans="1:9" hidden="1">
      <c r="A3528" s="64" t="s">
        <v>295</v>
      </c>
      <c r="B3528" s="65">
        <v>2039</v>
      </c>
      <c r="C3528" s="65">
        <v>2023</v>
      </c>
      <c r="D3528" s="65" t="s">
        <v>311</v>
      </c>
      <c r="E3528" s="65" t="s">
        <v>294</v>
      </c>
      <c r="F3528" s="65" t="s">
        <v>40</v>
      </c>
      <c r="G3528" s="65"/>
      <c r="H3528" s="65"/>
      <c r="I3528" s="66">
        <v>140861.76973225409</v>
      </c>
    </row>
    <row r="3529" spans="1:9" hidden="1">
      <c r="A3529" s="67" t="s">
        <v>295</v>
      </c>
      <c r="B3529" s="68">
        <v>2039</v>
      </c>
      <c r="C3529" s="68">
        <v>2023</v>
      </c>
      <c r="D3529" s="68" t="s">
        <v>311</v>
      </c>
      <c r="E3529" s="68" t="s">
        <v>301</v>
      </c>
      <c r="F3529" s="68" t="s">
        <v>297</v>
      </c>
      <c r="G3529" s="68"/>
      <c r="H3529" s="68"/>
      <c r="I3529" s="69">
        <v>832.5</v>
      </c>
    </row>
    <row r="3530" spans="1:9" hidden="1">
      <c r="A3530" s="64" t="s">
        <v>295</v>
      </c>
      <c r="B3530" s="65">
        <v>2039</v>
      </c>
      <c r="C3530" s="65">
        <v>2023</v>
      </c>
      <c r="D3530" s="65" t="s">
        <v>311</v>
      </c>
      <c r="E3530" s="65" t="s">
        <v>301</v>
      </c>
      <c r="F3530" s="65" t="s">
        <v>40</v>
      </c>
      <c r="G3530" s="65"/>
      <c r="H3530" s="65"/>
      <c r="I3530" s="66">
        <v>143155.8385134759</v>
      </c>
    </row>
    <row r="3531" spans="1:9" hidden="1">
      <c r="A3531" s="67" t="s">
        <v>295</v>
      </c>
      <c r="B3531" s="68">
        <v>2039</v>
      </c>
      <c r="C3531" s="68">
        <v>2023</v>
      </c>
      <c r="D3531" s="68" t="s">
        <v>311</v>
      </c>
      <c r="E3531" s="68" t="s">
        <v>305</v>
      </c>
      <c r="F3531" s="68" t="s">
        <v>40</v>
      </c>
      <c r="G3531" s="68"/>
      <c r="H3531" s="68"/>
      <c r="I3531" s="69">
        <v>967.8</v>
      </c>
    </row>
    <row r="3532" spans="1:9" hidden="1">
      <c r="A3532" s="64" t="s">
        <v>295</v>
      </c>
      <c r="B3532" s="65">
        <v>2039</v>
      </c>
      <c r="C3532" s="65">
        <v>2023</v>
      </c>
      <c r="D3532" s="65" t="s">
        <v>312</v>
      </c>
      <c r="E3532" s="65" t="s">
        <v>294</v>
      </c>
      <c r="F3532" s="65" t="s">
        <v>297</v>
      </c>
      <c r="G3532" s="65"/>
      <c r="H3532" s="65"/>
      <c r="I3532" s="66">
        <v>699.65418999999997</v>
      </c>
    </row>
    <row r="3533" spans="1:9" hidden="1">
      <c r="A3533" s="67" t="s">
        <v>295</v>
      </c>
      <c r="B3533" s="68">
        <v>2039</v>
      </c>
      <c r="C3533" s="68">
        <v>2023</v>
      </c>
      <c r="D3533" s="68" t="s">
        <v>312</v>
      </c>
      <c r="E3533" s="68" t="s">
        <v>294</v>
      </c>
      <c r="F3533" s="68" t="s">
        <v>40</v>
      </c>
      <c r="G3533" s="68"/>
      <c r="H3533" s="68"/>
      <c r="I3533" s="69">
        <v>843.55418999999995</v>
      </c>
    </row>
    <row r="3534" spans="1:9" hidden="1">
      <c r="A3534" s="64" t="s">
        <v>295</v>
      </c>
      <c r="B3534" s="65">
        <v>2039</v>
      </c>
      <c r="C3534" s="65">
        <v>2023</v>
      </c>
      <c r="D3534" s="65" t="s">
        <v>312</v>
      </c>
      <c r="E3534" s="65" t="s">
        <v>301</v>
      </c>
      <c r="F3534" s="65" t="s">
        <v>297</v>
      </c>
      <c r="G3534" s="65"/>
      <c r="H3534" s="65"/>
      <c r="I3534" s="66">
        <v>702.16146000000003</v>
      </c>
    </row>
    <row r="3535" spans="1:9" hidden="1">
      <c r="A3535" s="67" t="s">
        <v>295</v>
      </c>
      <c r="B3535" s="68">
        <v>2039</v>
      </c>
      <c r="C3535" s="68">
        <v>2023</v>
      </c>
      <c r="D3535" s="68" t="s">
        <v>312</v>
      </c>
      <c r="E3535" s="68" t="s">
        <v>301</v>
      </c>
      <c r="F3535" s="68" t="s">
        <v>40</v>
      </c>
      <c r="G3535" s="68"/>
      <c r="H3535" s="68"/>
      <c r="I3535" s="69">
        <v>846.06146000000001</v>
      </c>
    </row>
    <row r="3536" spans="1:9" hidden="1">
      <c r="A3536" s="64" t="s">
        <v>295</v>
      </c>
      <c r="B3536" s="65">
        <v>2039</v>
      </c>
      <c r="C3536" s="65">
        <v>2023</v>
      </c>
      <c r="D3536" s="65" t="s">
        <v>313</v>
      </c>
      <c r="E3536" s="65" t="s">
        <v>294</v>
      </c>
      <c r="F3536" s="65" t="s">
        <v>297</v>
      </c>
      <c r="G3536" s="65"/>
      <c r="H3536" s="65"/>
      <c r="I3536" s="66">
        <v>1389876.129651757</v>
      </c>
    </row>
    <row r="3537" spans="1:9" hidden="1">
      <c r="A3537" s="67" t="s">
        <v>295</v>
      </c>
      <c r="B3537" s="68">
        <v>2039</v>
      </c>
      <c r="C3537" s="68">
        <v>2023</v>
      </c>
      <c r="D3537" s="68" t="s">
        <v>313</v>
      </c>
      <c r="E3537" s="68" t="s">
        <v>294</v>
      </c>
      <c r="F3537" s="68" t="s">
        <v>298</v>
      </c>
      <c r="G3537" s="68"/>
      <c r="H3537" s="68"/>
      <c r="I3537" s="69">
        <v>637199.77251273242</v>
      </c>
    </row>
    <row r="3538" spans="1:9" hidden="1">
      <c r="A3538" s="64" t="s">
        <v>295</v>
      </c>
      <c r="B3538" s="65">
        <v>2039</v>
      </c>
      <c r="C3538" s="65">
        <v>2023</v>
      </c>
      <c r="D3538" s="65" t="s">
        <v>313</v>
      </c>
      <c r="E3538" s="65" t="s">
        <v>294</v>
      </c>
      <c r="F3538" s="65" t="s">
        <v>40</v>
      </c>
      <c r="G3538" s="65"/>
      <c r="H3538" s="65"/>
      <c r="I3538" s="66">
        <v>2043826.681511078</v>
      </c>
    </row>
    <row r="3539" spans="1:9" hidden="1">
      <c r="A3539" s="67" t="s">
        <v>295</v>
      </c>
      <c r="B3539" s="68">
        <v>2039</v>
      </c>
      <c r="C3539" s="68">
        <v>2023</v>
      </c>
      <c r="D3539" s="68" t="s">
        <v>313</v>
      </c>
      <c r="E3539" s="68" t="s">
        <v>301</v>
      </c>
      <c r="F3539" s="68" t="s">
        <v>297</v>
      </c>
      <c r="G3539" s="68"/>
      <c r="H3539" s="68"/>
      <c r="I3539" s="69">
        <v>1585628.654247998</v>
      </c>
    </row>
    <row r="3540" spans="1:9" hidden="1">
      <c r="A3540" s="64" t="s">
        <v>295</v>
      </c>
      <c r="B3540" s="65">
        <v>2039</v>
      </c>
      <c r="C3540" s="65">
        <v>2023</v>
      </c>
      <c r="D3540" s="65" t="s">
        <v>313</v>
      </c>
      <c r="E3540" s="65" t="s">
        <v>301</v>
      </c>
      <c r="F3540" s="65" t="s">
        <v>298</v>
      </c>
      <c r="G3540" s="65"/>
      <c r="H3540" s="65"/>
      <c r="I3540" s="66">
        <v>725003.31652478769</v>
      </c>
    </row>
    <row r="3541" spans="1:9" hidden="1">
      <c r="A3541" s="67" t="s">
        <v>295</v>
      </c>
      <c r="B3541" s="68">
        <v>2039</v>
      </c>
      <c r="C3541" s="68">
        <v>2023</v>
      </c>
      <c r="D3541" s="68" t="s">
        <v>313</v>
      </c>
      <c r="E3541" s="68" t="s">
        <v>301</v>
      </c>
      <c r="F3541" s="68" t="s">
        <v>40</v>
      </c>
      <c r="G3541" s="68"/>
      <c r="H3541" s="68"/>
      <c r="I3541" s="69">
        <v>2328792.1791225448</v>
      </c>
    </row>
    <row r="3542" spans="1:9" hidden="1">
      <c r="A3542" s="64" t="s">
        <v>295</v>
      </c>
      <c r="B3542" s="65">
        <v>2039</v>
      </c>
      <c r="C3542" s="65">
        <v>2023</v>
      </c>
      <c r="D3542" s="65" t="s">
        <v>313</v>
      </c>
      <c r="E3542" s="65" t="s">
        <v>305</v>
      </c>
      <c r="F3542" s="65" t="s">
        <v>297</v>
      </c>
      <c r="G3542" s="65"/>
      <c r="H3542" s="65"/>
      <c r="I3542" s="66">
        <v>17153.289669999998</v>
      </c>
    </row>
    <row r="3543" spans="1:9" hidden="1">
      <c r="A3543" s="67" t="s">
        <v>295</v>
      </c>
      <c r="B3543" s="68">
        <v>2039</v>
      </c>
      <c r="C3543" s="68">
        <v>2023</v>
      </c>
      <c r="D3543" s="68" t="s">
        <v>313</v>
      </c>
      <c r="E3543" s="68" t="s">
        <v>305</v>
      </c>
      <c r="F3543" s="68" t="s">
        <v>298</v>
      </c>
      <c r="G3543" s="68"/>
      <c r="H3543" s="68"/>
      <c r="I3543" s="69">
        <v>9396.9566300000006</v>
      </c>
    </row>
    <row r="3544" spans="1:9" hidden="1">
      <c r="A3544" s="64" t="s">
        <v>295</v>
      </c>
      <c r="B3544" s="65">
        <v>2039</v>
      </c>
      <c r="C3544" s="65">
        <v>2023</v>
      </c>
      <c r="D3544" s="65" t="s">
        <v>313</v>
      </c>
      <c r="E3544" s="65" t="s">
        <v>305</v>
      </c>
      <c r="F3544" s="65" t="s">
        <v>40</v>
      </c>
      <c r="G3544" s="65"/>
      <c r="H3544" s="65"/>
      <c r="I3544" s="66">
        <v>215745.55506000001</v>
      </c>
    </row>
    <row r="3545" spans="1:9" hidden="1">
      <c r="A3545" s="67" t="s">
        <v>295</v>
      </c>
      <c r="B3545" s="68">
        <v>2039</v>
      </c>
      <c r="C3545" s="68">
        <v>2023</v>
      </c>
      <c r="D3545" s="68" t="s">
        <v>314</v>
      </c>
      <c r="E3545" s="68" t="s">
        <v>294</v>
      </c>
      <c r="F3545" s="68" t="s">
        <v>297</v>
      </c>
      <c r="G3545" s="68"/>
      <c r="H3545" s="68"/>
      <c r="I3545" s="69">
        <v>1389876.129651757</v>
      </c>
    </row>
    <row r="3546" spans="1:9" hidden="1">
      <c r="A3546" s="64" t="s">
        <v>295</v>
      </c>
      <c r="B3546" s="65">
        <v>2039</v>
      </c>
      <c r="C3546" s="65">
        <v>2023</v>
      </c>
      <c r="D3546" s="65" t="s">
        <v>314</v>
      </c>
      <c r="E3546" s="65" t="s">
        <v>294</v>
      </c>
      <c r="F3546" s="65" t="s">
        <v>298</v>
      </c>
      <c r="G3546" s="65"/>
      <c r="H3546" s="65"/>
      <c r="I3546" s="66">
        <v>637199.67251273245</v>
      </c>
    </row>
    <row r="3547" spans="1:9" hidden="1">
      <c r="A3547" s="67" t="s">
        <v>295</v>
      </c>
      <c r="B3547" s="68">
        <v>2039</v>
      </c>
      <c r="C3547" s="68">
        <v>2023</v>
      </c>
      <c r="D3547" s="68" t="s">
        <v>314</v>
      </c>
      <c r="E3547" s="68" t="s">
        <v>294</v>
      </c>
      <c r="F3547" s="68" t="s">
        <v>40</v>
      </c>
      <c r="G3547" s="68"/>
      <c r="H3547" s="68"/>
      <c r="I3547" s="69">
        <v>1796636.358883623</v>
      </c>
    </row>
    <row r="3548" spans="1:9" hidden="1">
      <c r="A3548" s="64" t="s">
        <v>295</v>
      </c>
      <c r="B3548" s="65">
        <v>2039</v>
      </c>
      <c r="C3548" s="65">
        <v>2023</v>
      </c>
      <c r="D3548" s="65" t="s">
        <v>314</v>
      </c>
      <c r="E3548" s="65" t="s">
        <v>301</v>
      </c>
      <c r="F3548" s="65" t="s">
        <v>297</v>
      </c>
      <c r="G3548" s="65"/>
      <c r="H3548" s="65"/>
      <c r="I3548" s="66">
        <v>1585628.654247998</v>
      </c>
    </row>
    <row r="3549" spans="1:9" hidden="1">
      <c r="A3549" s="67" t="s">
        <v>295</v>
      </c>
      <c r="B3549" s="68">
        <v>2039</v>
      </c>
      <c r="C3549" s="68">
        <v>2023</v>
      </c>
      <c r="D3549" s="68" t="s">
        <v>314</v>
      </c>
      <c r="E3549" s="68" t="s">
        <v>301</v>
      </c>
      <c r="F3549" s="68" t="s">
        <v>298</v>
      </c>
      <c r="G3549" s="68"/>
      <c r="H3549" s="68"/>
      <c r="I3549" s="69">
        <v>725003.21652478771</v>
      </c>
    </row>
    <row r="3550" spans="1:9" hidden="1">
      <c r="A3550" s="64" t="s">
        <v>295</v>
      </c>
      <c r="B3550" s="65">
        <v>2039</v>
      </c>
      <c r="C3550" s="65">
        <v>2023</v>
      </c>
      <c r="D3550" s="65" t="s">
        <v>314</v>
      </c>
      <c r="E3550" s="65" t="s">
        <v>301</v>
      </c>
      <c r="F3550" s="65" t="s">
        <v>40</v>
      </c>
      <c r="G3550" s="65"/>
      <c r="H3550" s="65"/>
      <c r="I3550" s="66">
        <v>2112823.8534113448</v>
      </c>
    </row>
    <row r="3551" spans="1:9" hidden="1">
      <c r="A3551" s="67" t="s">
        <v>295</v>
      </c>
      <c r="B3551" s="68">
        <v>2039</v>
      </c>
      <c r="C3551" s="68">
        <v>2023</v>
      </c>
      <c r="D3551" s="68" t="s">
        <v>314</v>
      </c>
      <c r="E3551" s="68" t="s">
        <v>305</v>
      </c>
      <c r="F3551" s="68" t="s">
        <v>297</v>
      </c>
      <c r="G3551" s="68"/>
      <c r="H3551" s="68"/>
      <c r="I3551" s="69">
        <v>17153.289669999998</v>
      </c>
    </row>
    <row r="3552" spans="1:9" hidden="1">
      <c r="A3552" s="64" t="s">
        <v>295</v>
      </c>
      <c r="B3552" s="65">
        <v>2039</v>
      </c>
      <c r="C3552" s="65">
        <v>2023</v>
      </c>
      <c r="D3552" s="65" t="s">
        <v>314</v>
      </c>
      <c r="E3552" s="65" t="s">
        <v>305</v>
      </c>
      <c r="F3552" s="65" t="s">
        <v>298</v>
      </c>
      <c r="G3552" s="65"/>
      <c r="H3552" s="65"/>
      <c r="I3552" s="66">
        <v>9396.9566300000006</v>
      </c>
    </row>
    <row r="3553" spans="1:9" hidden="1">
      <c r="A3553" s="67" t="s">
        <v>295</v>
      </c>
      <c r="B3553" s="68">
        <v>2039</v>
      </c>
      <c r="C3553" s="68">
        <v>2023</v>
      </c>
      <c r="D3553" s="68" t="s">
        <v>314</v>
      </c>
      <c r="E3553" s="68" t="s">
        <v>305</v>
      </c>
      <c r="F3553" s="68" t="s">
        <v>40</v>
      </c>
      <c r="G3553" s="68"/>
      <c r="H3553" s="68"/>
      <c r="I3553" s="69">
        <v>202403.56252000001</v>
      </c>
    </row>
    <row r="3554" spans="1:9" hidden="1">
      <c r="A3554" s="64" t="s">
        <v>295</v>
      </c>
      <c r="B3554" s="65">
        <v>2040</v>
      </c>
      <c r="C3554" s="65">
        <v>2023</v>
      </c>
      <c r="D3554" s="65" t="s">
        <v>296</v>
      </c>
      <c r="E3554" s="65" t="s">
        <v>294</v>
      </c>
      <c r="F3554" s="65" t="s">
        <v>297</v>
      </c>
      <c r="G3554" s="65"/>
      <c r="H3554" s="65"/>
      <c r="I3554" s="66">
        <v>895035.38853594055</v>
      </c>
    </row>
    <row r="3555" spans="1:9" hidden="1">
      <c r="A3555" s="67" t="s">
        <v>295</v>
      </c>
      <c r="B3555" s="68">
        <v>2040</v>
      </c>
      <c r="C3555" s="68">
        <v>2023</v>
      </c>
      <c r="D3555" s="68" t="s">
        <v>296</v>
      </c>
      <c r="E3555" s="68" t="s">
        <v>294</v>
      </c>
      <c r="F3555" s="68" t="s">
        <v>298</v>
      </c>
      <c r="G3555" s="68"/>
      <c r="H3555" s="68"/>
      <c r="I3555" s="69">
        <v>457412.54857031652</v>
      </c>
    </row>
    <row r="3556" spans="1:9" hidden="1">
      <c r="A3556" s="64" t="s">
        <v>295</v>
      </c>
      <c r="B3556" s="65">
        <v>2040</v>
      </c>
      <c r="C3556" s="65">
        <v>2023</v>
      </c>
      <c r="D3556" s="65" t="s">
        <v>296</v>
      </c>
      <c r="E3556" s="65" t="s">
        <v>294</v>
      </c>
      <c r="F3556" s="65" t="s">
        <v>40</v>
      </c>
      <c r="G3556" s="65"/>
      <c r="H3556" s="65"/>
      <c r="I3556" s="66">
        <v>1369555.1406144919</v>
      </c>
    </row>
    <row r="3557" spans="1:9" hidden="1">
      <c r="A3557" s="67" t="s">
        <v>295</v>
      </c>
      <c r="B3557" s="68">
        <v>2040</v>
      </c>
      <c r="C3557" s="68">
        <v>2023</v>
      </c>
      <c r="D3557" s="68" t="s">
        <v>296</v>
      </c>
      <c r="E3557" s="68" t="s">
        <v>301</v>
      </c>
      <c r="F3557" s="68" t="s">
        <v>297</v>
      </c>
      <c r="G3557" s="68"/>
      <c r="H3557" s="68"/>
      <c r="I3557" s="69">
        <v>1075369.6300859391</v>
      </c>
    </row>
    <row r="3558" spans="1:9" hidden="1">
      <c r="A3558" s="64" t="s">
        <v>295</v>
      </c>
      <c r="B3558" s="65">
        <v>2040</v>
      </c>
      <c r="C3558" s="65">
        <v>2023</v>
      </c>
      <c r="D3558" s="65" t="s">
        <v>296</v>
      </c>
      <c r="E3558" s="65" t="s">
        <v>301</v>
      </c>
      <c r="F3558" s="65" t="s">
        <v>298</v>
      </c>
      <c r="G3558" s="65"/>
      <c r="H3558" s="65"/>
      <c r="I3558" s="66">
        <v>532486.10980351223</v>
      </c>
    </row>
    <row r="3559" spans="1:9" hidden="1">
      <c r="A3559" s="67" t="s">
        <v>295</v>
      </c>
      <c r="B3559" s="68">
        <v>2040</v>
      </c>
      <c r="C3559" s="68">
        <v>2023</v>
      </c>
      <c r="D3559" s="68" t="s">
        <v>296</v>
      </c>
      <c r="E3559" s="68" t="s">
        <v>301</v>
      </c>
      <c r="F3559" s="68" t="s">
        <v>40</v>
      </c>
      <c r="G3559" s="68"/>
      <c r="H3559" s="68"/>
      <c r="I3559" s="69">
        <v>1626502.5355493261</v>
      </c>
    </row>
    <row r="3560" spans="1:9" hidden="1">
      <c r="A3560" s="64" t="s">
        <v>295</v>
      </c>
      <c r="B3560" s="65">
        <v>2040</v>
      </c>
      <c r="C3560" s="65">
        <v>2023</v>
      </c>
      <c r="D3560" s="65" t="s">
        <v>296</v>
      </c>
      <c r="E3560" s="65" t="s">
        <v>305</v>
      </c>
      <c r="F3560" s="65" t="s">
        <v>297</v>
      </c>
      <c r="G3560" s="65"/>
      <c r="H3560" s="65"/>
      <c r="I3560" s="66">
        <v>12401.03283</v>
      </c>
    </row>
    <row r="3561" spans="1:9" hidden="1">
      <c r="A3561" s="67" t="s">
        <v>295</v>
      </c>
      <c r="B3561" s="68">
        <v>2040</v>
      </c>
      <c r="C3561" s="68">
        <v>2023</v>
      </c>
      <c r="D3561" s="68" t="s">
        <v>296</v>
      </c>
      <c r="E3561" s="68" t="s">
        <v>305</v>
      </c>
      <c r="F3561" s="68" t="s">
        <v>298</v>
      </c>
      <c r="G3561" s="68"/>
      <c r="H3561" s="68"/>
      <c r="I3561" s="69">
        <v>8682.4862599999997</v>
      </c>
    </row>
    <row r="3562" spans="1:9" hidden="1">
      <c r="A3562" s="64" t="s">
        <v>295</v>
      </c>
      <c r="B3562" s="65">
        <v>2040</v>
      </c>
      <c r="C3562" s="65">
        <v>2023</v>
      </c>
      <c r="D3562" s="65" t="s">
        <v>296</v>
      </c>
      <c r="E3562" s="65" t="s">
        <v>305</v>
      </c>
      <c r="F3562" s="65" t="s">
        <v>40</v>
      </c>
      <c r="G3562" s="65"/>
      <c r="H3562" s="65"/>
      <c r="I3562" s="66">
        <v>154496.03229999999</v>
      </c>
    </row>
    <row r="3563" spans="1:9" hidden="1">
      <c r="A3563" s="67" t="s">
        <v>295</v>
      </c>
      <c r="B3563" s="68">
        <v>2040</v>
      </c>
      <c r="C3563" s="68">
        <v>2023</v>
      </c>
      <c r="D3563" s="68" t="s">
        <v>309</v>
      </c>
      <c r="E3563" s="68" t="s">
        <v>294</v>
      </c>
      <c r="F3563" s="68" t="s">
        <v>297</v>
      </c>
      <c r="G3563" s="68"/>
      <c r="H3563" s="68"/>
      <c r="I3563" s="69">
        <v>38194.24375267914</v>
      </c>
    </row>
    <row r="3564" spans="1:9" hidden="1">
      <c r="A3564" s="64" t="s">
        <v>295</v>
      </c>
      <c r="B3564" s="65">
        <v>2040</v>
      </c>
      <c r="C3564" s="65">
        <v>2023</v>
      </c>
      <c r="D3564" s="65" t="s">
        <v>309</v>
      </c>
      <c r="E3564" s="65" t="s">
        <v>294</v>
      </c>
      <c r="F3564" s="65" t="s">
        <v>298</v>
      </c>
      <c r="G3564" s="65"/>
      <c r="H3564" s="65"/>
      <c r="I3564" s="66">
        <v>263496.68894532201</v>
      </c>
    </row>
    <row r="3565" spans="1:9" hidden="1">
      <c r="A3565" s="67" t="s">
        <v>295</v>
      </c>
      <c r="B3565" s="68">
        <v>2040</v>
      </c>
      <c r="C3565" s="68">
        <v>2023</v>
      </c>
      <c r="D3565" s="68" t="s">
        <v>309</v>
      </c>
      <c r="E3565" s="68" t="s">
        <v>294</v>
      </c>
      <c r="F3565" s="68" t="s">
        <v>40</v>
      </c>
      <c r="G3565" s="68"/>
      <c r="H3565" s="68"/>
      <c r="I3565" s="69">
        <v>301690.6328325136</v>
      </c>
    </row>
    <row r="3566" spans="1:9" hidden="1">
      <c r="A3566" s="64" t="s">
        <v>295</v>
      </c>
      <c r="B3566" s="65">
        <v>2040</v>
      </c>
      <c r="C3566" s="65">
        <v>2023</v>
      </c>
      <c r="D3566" s="65" t="s">
        <v>309</v>
      </c>
      <c r="E3566" s="65" t="s">
        <v>301</v>
      </c>
      <c r="F3566" s="65" t="s">
        <v>297</v>
      </c>
      <c r="G3566" s="65"/>
      <c r="H3566" s="65"/>
      <c r="I3566" s="66">
        <v>42111.829033594382</v>
      </c>
    </row>
    <row r="3567" spans="1:9" hidden="1">
      <c r="A3567" s="67" t="s">
        <v>295</v>
      </c>
      <c r="B3567" s="68">
        <v>2040</v>
      </c>
      <c r="C3567" s="68">
        <v>2023</v>
      </c>
      <c r="D3567" s="68" t="s">
        <v>309</v>
      </c>
      <c r="E3567" s="68" t="s">
        <v>301</v>
      </c>
      <c r="F3567" s="68" t="s">
        <v>298</v>
      </c>
      <c r="G3567" s="68"/>
      <c r="H3567" s="68"/>
      <c r="I3567" s="69">
        <v>310895.69664534112</v>
      </c>
    </row>
    <row r="3568" spans="1:9" hidden="1">
      <c r="A3568" s="64" t="s">
        <v>295</v>
      </c>
      <c r="B3568" s="65">
        <v>2040</v>
      </c>
      <c r="C3568" s="65">
        <v>2023</v>
      </c>
      <c r="D3568" s="65" t="s">
        <v>309</v>
      </c>
      <c r="E3568" s="65" t="s">
        <v>301</v>
      </c>
      <c r="F3568" s="65" t="s">
        <v>40</v>
      </c>
      <c r="G3568" s="65"/>
      <c r="H3568" s="65"/>
      <c r="I3568" s="66">
        <v>353007.2256792736</v>
      </c>
    </row>
    <row r="3569" spans="1:9" hidden="1">
      <c r="A3569" s="67" t="s">
        <v>295</v>
      </c>
      <c r="B3569" s="68">
        <v>2040</v>
      </c>
      <c r="C3569" s="68">
        <v>2023</v>
      </c>
      <c r="D3569" s="68" t="s">
        <v>309</v>
      </c>
      <c r="E3569" s="68" t="s">
        <v>305</v>
      </c>
      <c r="F3569" s="68" t="s">
        <v>297</v>
      </c>
      <c r="G3569" s="68"/>
      <c r="H3569" s="68"/>
      <c r="I3569" s="69">
        <v>55.770530000000001</v>
      </c>
    </row>
    <row r="3570" spans="1:9" hidden="1">
      <c r="A3570" s="64" t="s">
        <v>295</v>
      </c>
      <c r="B3570" s="65">
        <v>2040</v>
      </c>
      <c r="C3570" s="65">
        <v>2023</v>
      </c>
      <c r="D3570" s="65" t="s">
        <v>309</v>
      </c>
      <c r="E3570" s="65" t="s">
        <v>305</v>
      </c>
      <c r="F3570" s="65" t="s">
        <v>298</v>
      </c>
      <c r="G3570" s="65"/>
      <c r="H3570" s="65"/>
      <c r="I3570" s="66">
        <v>7152.1862600000004</v>
      </c>
    </row>
    <row r="3571" spans="1:9" hidden="1">
      <c r="A3571" s="67" t="s">
        <v>295</v>
      </c>
      <c r="B3571" s="68">
        <v>2040</v>
      </c>
      <c r="C3571" s="68">
        <v>2023</v>
      </c>
      <c r="D3571" s="68" t="s">
        <v>309</v>
      </c>
      <c r="E3571" s="68" t="s">
        <v>305</v>
      </c>
      <c r="F3571" s="68" t="s">
        <v>40</v>
      </c>
      <c r="G3571" s="68"/>
      <c r="H3571" s="68"/>
      <c r="I3571" s="69">
        <v>48181.4568</v>
      </c>
    </row>
    <row r="3572" spans="1:9" hidden="1">
      <c r="A3572" s="64" t="s">
        <v>295</v>
      </c>
      <c r="B3572" s="65">
        <v>2040</v>
      </c>
      <c r="C3572" s="65">
        <v>2023</v>
      </c>
      <c r="D3572" s="65" t="s">
        <v>315</v>
      </c>
      <c r="E3572" s="65" t="s">
        <v>294</v>
      </c>
      <c r="F3572" s="65" t="s">
        <v>297</v>
      </c>
      <c r="G3572" s="65"/>
      <c r="H3572" s="65"/>
      <c r="I3572" s="66">
        <v>93558.419639181564</v>
      </c>
    </row>
    <row r="3573" spans="1:9" hidden="1">
      <c r="A3573" s="67" t="s">
        <v>295</v>
      </c>
      <c r="B3573" s="68">
        <v>2040</v>
      </c>
      <c r="C3573" s="68">
        <v>2023</v>
      </c>
      <c r="D3573" s="68" t="s">
        <v>315</v>
      </c>
      <c r="E3573" s="68" t="s">
        <v>294</v>
      </c>
      <c r="F3573" s="68" t="s">
        <v>298</v>
      </c>
      <c r="G3573" s="68"/>
      <c r="H3573" s="68"/>
      <c r="I3573" s="69">
        <v>176783.98370449999</v>
      </c>
    </row>
    <row r="3574" spans="1:9" hidden="1">
      <c r="A3574" s="64" t="s">
        <v>295</v>
      </c>
      <c r="B3574" s="65">
        <v>2040</v>
      </c>
      <c r="C3574" s="65">
        <v>2023</v>
      </c>
      <c r="D3574" s="65" t="s">
        <v>315</v>
      </c>
      <c r="E3574" s="65" t="s">
        <v>294</v>
      </c>
      <c r="F3574" s="65" t="s">
        <v>40</v>
      </c>
      <c r="G3574" s="65"/>
      <c r="H3574" s="65"/>
      <c r="I3574" s="66">
        <v>270342.00334380119</v>
      </c>
    </row>
    <row r="3575" spans="1:9" hidden="1">
      <c r="A3575" s="67" t="s">
        <v>295</v>
      </c>
      <c r="B3575" s="68">
        <v>2040</v>
      </c>
      <c r="C3575" s="68">
        <v>2023</v>
      </c>
      <c r="D3575" s="68" t="s">
        <v>315</v>
      </c>
      <c r="E3575" s="68" t="s">
        <v>301</v>
      </c>
      <c r="F3575" s="68" t="s">
        <v>297</v>
      </c>
      <c r="G3575" s="68"/>
      <c r="H3575" s="68"/>
      <c r="I3575" s="69">
        <v>99998.426872856813</v>
      </c>
    </row>
    <row r="3576" spans="1:9" hidden="1">
      <c r="A3576" s="64" t="s">
        <v>295</v>
      </c>
      <c r="B3576" s="65">
        <v>2040</v>
      </c>
      <c r="C3576" s="65">
        <v>2023</v>
      </c>
      <c r="D3576" s="65" t="s">
        <v>315</v>
      </c>
      <c r="E3576" s="65" t="s">
        <v>301</v>
      </c>
      <c r="F3576" s="65" t="s">
        <v>298</v>
      </c>
      <c r="G3576" s="65"/>
      <c r="H3576" s="65"/>
      <c r="I3576" s="66">
        <v>202626.7239310219</v>
      </c>
    </row>
    <row r="3577" spans="1:9" hidden="1">
      <c r="A3577" s="67" t="s">
        <v>295</v>
      </c>
      <c r="B3577" s="68">
        <v>2040</v>
      </c>
      <c r="C3577" s="68">
        <v>2023</v>
      </c>
      <c r="D3577" s="68" t="s">
        <v>315</v>
      </c>
      <c r="E3577" s="68" t="s">
        <v>301</v>
      </c>
      <c r="F3577" s="68" t="s">
        <v>40</v>
      </c>
      <c r="G3577" s="68"/>
      <c r="H3577" s="68"/>
      <c r="I3577" s="69">
        <v>302624.55080365413</v>
      </c>
    </row>
    <row r="3578" spans="1:9" hidden="1">
      <c r="A3578" s="64" t="s">
        <v>295</v>
      </c>
      <c r="B3578" s="65">
        <v>2040</v>
      </c>
      <c r="C3578" s="65">
        <v>2023</v>
      </c>
      <c r="D3578" s="65" t="s">
        <v>315</v>
      </c>
      <c r="E3578" s="65" t="s">
        <v>305</v>
      </c>
      <c r="F3578" s="65" t="s">
        <v>297</v>
      </c>
      <c r="G3578" s="65"/>
      <c r="H3578" s="65"/>
      <c r="I3578" s="66">
        <v>1103.61717</v>
      </c>
    </row>
    <row r="3579" spans="1:9" hidden="1">
      <c r="A3579" s="67" t="s">
        <v>295</v>
      </c>
      <c r="B3579" s="68">
        <v>2040</v>
      </c>
      <c r="C3579" s="68">
        <v>2023</v>
      </c>
      <c r="D3579" s="68" t="s">
        <v>315</v>
      </c>
      <c r="E3579" s="68" t="s">
        <v>305</v>
      </c>
      <c r="F3579" s="68" t="s">
        <v>298</v>
      </c>
      <c r="G3579" s="68"/>
      <c r="H3579" s="68"/>
      <c r="I3579" s="69">
        <v>1460.4</v>
      </c>
    </row>
    <row r="3580" spans="1:9" hidden="1">
      <c r="A3580" s="64" t="s">
        <v>295</v>
      </c>
      <c r="B3580" s="65">
        <v>2040</v>
      </c>
      <c r="C3580" s="65">
        <v>2023</v>
      </c>
      <c r="D3580" s="65" t="s">
        <v>315</v>
      </c>
      <c r="E3580" s="65" t="s">
        <v>305</v>
      </c>
      <c r="F3580" s="65" t="s">
        <v>40</v>
      </c>
      <c r="G3580" s="65"/>
      <c r="H3580" s="65"/>
      <c r="I3580" s="66">
        <v>21557.817169999998</v>
      </c>
    </row>
    <row r="3581" spans="1:9" hidden="1">
      <c r="A3581" s="67" t="s">
        <v>295</v>
      </c>
      <c r="B3581" s="68">
        <v>2040</v>
      </c>
      <c r="C3581" s="68">
        <v>2023</v>
      </c>
      <c r="D3581" s="68" t="s">
        <v>316</v>
      </c>
      <c r="E3581" s="68" t="s">
        <v>294</v>
      </c>
      <c r="F3581" s="68" t="s">
        <v>297</v>
      </c>
      <c r="G3581" s="68"/>
      <c r="H3581" s="68"/>
      <c r="I3581" s="69">
        <v>434446.99393411097</v>
      </c>
    </row>
    <row r="3582" spans="1:9" hidden="1">
      <c r="A3582" s="64" t="s">
        <v>295</v>
      </c>
      <c r="B3582" s="65">
        <v>2040</v>
      </c>
      <c r="C3582" s="65">
        <v>2023</v>
      </c>
      <c r="D3582" s="65" t="s">
        <v>316</v>
      </c>
      <c r="E3582" s="65" t="s">
        <v>294</v>
      </c>
      <c r="F3582" s="65" t="s">
        <v>298</v>
      </c>
      <c r="G3582" s="65"/>
      <c r="H3582" s="65"/>
      <c r="I3582" s="66">
        <v>3266.520942699824</v>
      </c>
    </row>
    <row r="3583" spans="1:9" hidden="1">
      <c r="A3583" s="67" t="s">
        <v>295</v>
      </c>
      <c r="B3583" s="68">
        <v>2040</v>
      </c>
      <c r="C3583" s="68">
        <v>2023</v>
      </c>
      <c r="D3583" s="68" t="s">
        <v>316</v>
      </c>
      <c r="E3583" s="68" t="s">
        <v>294</v>
      </c>
      <c r="F3583" s="68" t="s">
        <v>40</v>
      </c>
      <c r="G3583" s="68"/>
      <c r="H3583" s="68"/>
      <c r="I3583" s="69">
        <v>454820.91827688902</v>
      </c>
    </row>
    <row r="3584" spans="1:9" hidden="1">
      <c r="A3584" s="64" t="s">
        <v>295</v>
      </c>
      <c r="B3584" s="65">
        <v>2040</v>
      </c>
      <c r="C3584" s="65">
        <v>2023</v>
      </c>
      <c r="D3584" s="65" t="s">
        <v>316</v>
      </c>
      <c r="E3584" s="65" t="s">
        <v>301</v>
      </c>
      <c r="F3584" s="65" t="s">
        <v>297</v>
      </c>
      <c r="G3584" s="65"/>
      <c r="H3584" s="65"/>
      <c r="I3584" s="66">
        <v>536612.18056652613</v>
      </c>
    </row>
    <row r="3585" spans="1:9" hidden="1">
      <c r="A3585" s="67" t="s">
        <v>295</v>
      </c>
      <c r="B3585" s="68">
        <v>2040</v>
      </c>
      <c r="C3585" s="68">
        <v>2023</v>
      </c>
      <c r="D3585" s="68" t="s">
        <v>316</v>
      </c>
      <c r="E3585" s="68" t="s">
        <v>301</v>
      </c>
      <c r="F3585" s="68" t="s">
        <v>298</v>
      </c>
      <c r="G3585" s="68"/>
      <c r="H3585" s="68"/>
      <c r="I3585" s="69">
        <v>3467.4887669694072</v>
      </c>
    </row>
    <row r="3586" spans="1:9" hidden="1">
      <c r="A3586" s="64" t="s">
        <v>295</v>
      </c>
      <c r="B3586" s="65">
        <v>2040</v>
      </c>
      <c r="C3586" s="65">
        <v>2023</v>
      </c>
      <c r="D3586" s="65" t="s">
        <v>316</v>
      </c>
      <c r="E3586" s="65" t="s">
        <v>301</v>
      </c>
      <c r="F3586" s="65" t="s">
        <v>40</v>
      </c>
      <c r="G3586" s="65"/>
      <c r="H3586" s="65"/>
      <c r="I3586" s="66">
        <v>558726.6650132566</v>
      </c>
    </row>
    <row r="3587" spans="1:9" hidden="1">
      <c r="A3587" s="67" t="s">
        <v>295</v>
      </c>
      <c r="B3587" s="68">
        <v>2040</v>
      </c>
      <c r="C3587" s="68">
        <v>2023</v>
      </c>
      <c r="D3587" s="68" t="s">
        <v>316</v>
      </c>
      <c r="E3587" s="68" t="s">
        <v>305</v>
      </c>
      <c r="F3587" s="68" t="s">
        <v>297</v>
      </c>
      <c r="G3587" s="68"/>
      <c r="H3587" s="68"/>
      <c r="I3587" s="69">
        <v>9337.1456899999994</v>
      </c>
    </row>
    <row r="3588" spans="1:9" hidden="1">
      <c r="A3588" s="64" t="s">
        <v>295</v>
      </c>
      <c r="B3588" s="65">
        <v>2040</v>
      </c>
      <c r="C3588" s="65">
        <v>2023</v>
      </c>
      <c r="D3588" s="65" t="s">
        <v>316</v>
      </c>
      <c r="E3588" s="65" t="s">
        <v>305</v>
      </c>
      <c r="F3588" s="65" t="s">
        <v>298</v>
      </c>
      <c r="G3588" s="65"/>
      <c r="H3588" s="65"/>
      <c r="I3588" s="66">
        <v>0</v>
      </c>
    </row>
    <row r="3589" spans="1:9" hidden="1">
      <c r="A3589" s="67" t="s">
        <v>295</v>
      </c>
      <c r="B3589" s="68">
        <v>2040</v>
      </c>
      <c r="C3589" s="68">
        <v>2023</v>
      </c>
      <c r="D3589" s="68" t="s">
        <v>316</v>
      </c>
      <c r="E3589" s="68" t="s">
        <v>305</v>
      </c>
      <c r="F3589" s="68" t="s">
        <v>40</v>
      </c>
      <c r="G3589" s="68"/>
      <c r="H3589" s="68"/>
      <c r="I3589" s="69">
        <v>45324.258889999997</v>
      </c>
    </row>
    <row r="3590" spans="1:9" hidden="1">
      <c r="A3590" s="64" t="s">
        <v>295</v>
      </c>
      <c r="B3590" s="65">
        <v>2040</v>
      </c>
      <c r="C3590" s="65">
        <v>2023</v>
      </c>
      <c r="D3590" s="65" t="s">
        <v>317</v>
      </c>
      <c r="E3590" s="65" t="s">
        <v>294</v>
      </c>
      <c r="F3590" s="65" t="s">
        <v>297</v>
      </c>
      <c r="G3590" s="65"/>
      <c r="H3590" s="65"/>
      <c r="I3590" s="66">
        <v>147.90199179582211</v>
      </c>
    </row>
    <row r="3591" spans="1:9" hidden="1">
      <c r="A3591" s="67" t="s">
        <v>295</v>
      </c>
      <c r="B3591" s="68">
        <v>2040</v>
      </c>
      <c r="C3591" s="68">
        <v>2023</v>
      </c>
      <c r="D3591" s="68" t="s">
        <v>317</v>
      </c>
      <c r="E3591" s="68" t="s">
        <v>294</v>
      </c>
      <c r="F3591" s="68" t="s">
        <v>298</v>
      </c>
      <c r="G3591" s="68"/>
      <c r="H3591" s="68"/>
      <c r="I3591" s="69">
        <v>0</v>
      </c>
    </row>
    <row r="3592" spans="1:9" hidden="1">
      <c r="A3592" s="64" t="s">
        <v>295</v>
      </c>
      <c r="B3592" s="65">
        <v>2040</v>
      </c>
      <c r="C3592" s="65">
        <v>2023</v>
      </c>
      <c r="D3592" s="65" t="s">
        <v>317</v>
      </c>
      <c r="E3592" s="65" t="s">
        <v>294</v>
      </c>
      <c r="F3592" s="65" t="s">
        <v>40</v>
      </c>
      <c r="G3592" s="65"/>
      <c r="H3592" s="65"/>
      <c r="I3592" s="66">
        <v>17220.424491072219</v>
      </c>
    </row>
    <row r="3593" spans="1:9" hidden="1">
      <c r="A3593" s="67" t="s">
        <v>295</v>
      </c>
      <c r="B3593" s="68">
        <v>2040</v>
      </c>
      <c r="C3593" s="68">
        <v>2023</v>
      </c>
      <c r="D3593" s="68" t="s">
        <v>317</v>
      </c>
      <c r="E3593" s="68" t="s">
        <v>301</v>
      </c>
      <c r="F3593" s="68" t="s">
        <v>297</v>
      </c>
      <c r="G3593" s="68"/>
      <c r="H3593" s="68"/>
      <c r="I3593" s="69">
        <v>160.1389787886815</v>
      </c>
    </row>
    <row r="3594" spans="1:9" hidden="1">
      <c r="A3594" s="64" t="s">
        <v>295</v>
      </c>
      <c r="B3594" s="65">
        <v>2040</v>
      </c>
      <c r="C3594" s="65">
        <v>2023</v>
      </c>
      <c r="D3594" s="65" t="s">
        <v>317</v>
      </c>
      <c r="E3594" s="65" t="s">
        <v>301</v>
      </c>
      <c r="F3594" s="65" t="s">
        <v>298</v>
      </c>
      <c r="G3594" s="65"/>
      <c r="H3594" s="65"/>
      <c r="I3594" s="66">
        <v>0</v>
      </c>
    </row>
    <row r="3595" spans="1:9" hidden="1">
      <c r="A3595" s="67" t="s">
        <v>295</v>
      </c>
      <c r="B3595" s="68">
        <v>2040</v>
      </c>
      <c r="C3595" s="68">
        <v>2023</v>
      </c>
      <c r="D3595" s="68" t="s">
        <v>317</v>
      </c>
      <c r="E3595" s="68" t="s">
        <v>301</v>
      </c>
      <c r="F3595" s="68" t="s">
        <v>40</v>
      </c>
      <c r="G3595" s="68"/>
      <c r="H3595" s="68"/>
      <c r="I3595" s="69">
        <v>18800.34990494337</v>
      </c>
    </row>
    <row r="3596" spans="1:9" hidden="1">
      <c r="A3596" s="64" t="s">
        <v>295</v>
      </c>
      <c r="B3596" s="65">
        <v>2040</v>
      </c>
      <c r="C3596" s="65">
        <v>2023</v>
      </c>
      <c r="D3596" s="65" t="s">
        <v>317</v>
      </c>
      <c r="E3596" s="65" t="s">
        <v>305</v>
      </c>
      <c r="F3596" s="65" t="s">
        <v>297</v>
      </c>
      <c r="G3596" s="65"/>
      <c r="H3596" s="65"/>
      <c r="I3596" s="66">
        <v>1.3050000000000001E-2</v>
      </c>
    </row>
    <row r="3597" spans="1:9" hidden="1">
      <c r="A3597" s="67" t="s">
        <v>295</v>
      </c>
      <c r="B3597" s="68">
        <v>2040</v>
      </c>
      <c r="C3597" s="68">
        <v>2023</v>
      </c>
      <c r="D3597" s="68" t="s">
        <v>317</v>
      </c>
      <c r="E3597" s="68" t="s">
        <v>305</v>
      </c>
      <c r="F3597" s="68" t="s">
        <v>40</v>
      </c>
      <c r="G3597" s="68"/>
      <c r="H3597" s="68"/>
      <c r="I3597" s="69">
        <v>537.32626000000005</v>
      </c>
    </row>
    <row r="3598" spans="1:9" hidden="1">
      <c r="A3598" s="64" t="s">
        <v>295</v>
      </c>
      <c r="B3598" s="65">
        <v>2040</v>
      </c>
      <c r="C3598" s="65">
        <v>2023</v>
      </c>
      <c r="D3598" s="65" t="s">
        <v>318</v>
      </c>
      <c r="E3598" s="65" t="s">
        <v>294</v>
      </c>
      <c r="F3598" s="65" t="s">
        <v>297</v>
      </c>
      <c r="G3598" s="65"/>
      <c r="H3598" s="65"/>
      <c r="I3598" s="66">
        <v>412552.64252313692</v>
      </c>
    </row>
    <row r="3599" spans="1:9" hidden="1">
      <c r="A3599" s="67" t="s">
        <v>295</v>
      </c>
      <c r="B3599" s="68">
        <v>2040</v>
      </c>
      <c r="C3599" s="68">
        <v>2023</v>
      </c>
      <c r="D3599" s="68" t="s">
        <v>318</v>
      </c>
      <c r="E3599" s="68" t="s">
        <v>294</v>
      </c>
      <c r="F3599" s="68" t="s">
        <v>298</v>
      </c>
      <c r="G3599" s="68"/>
      <c r="H3599" s="68"/>
      <c r="I3599" s="69">
        <v>0</v>
      </c>
    </row>
    <row r="3600" spans="1:9" hidden="1">
      <c r="A3600" s="64" t="s">
        <v>295</v>
      </c>
      <c r="B3600" s="65">
        <v>2040</v>
      </c>
      <c r="C3600" s="65">
        <v>2023</v>
      </c>
      <c r="D3600" s="65" t="s">
        <v>318</v>
      </c>
      <c r="E3600" s="65" t="s">
        <v>294</v>
      </c>
      <c r="F3600" s="65" t="s">
        <v>40</v>
      </c>
      <c r="G3600" s="65"/>
      <c r="H3600" s="65"/>
      <c r="I3600" s="66">
        <v>412552.64252313692</v>
      </c>
    </row>
    <row r="3601" spans="1:9" hidden="1">
      <c r="A3601" s="67" t="s">
        <v>295</v>
      </c>
      <c r="B3601" s="68">
        <v>2040</v>
      </c>
      <c r="C3601" s="68">
        <v>2023</v>
      </c>
      <c r="D3601" s="68" t="s">
        <v>318</v>
      </c>
      <c r="E3601" s="68" t="s">
        <v>301</v>
      </c>
      <c r="F3601" s="68" t="s">
        <v>297</v>
      </c>
      <c r="G3601" s="68"/>
      <c r="H3601" s="68"/>
      <c r="I3601" s="69">
        <v>513077.08838971402</v>
      </c>
    </row>
    <row r="3602" spans="1:9" hidden="1">
      <c r="A3602" s="64" t="s">
        <v>295</v>
      </c>
      <c r="B3602" s="65">
        <v>2040</v>
      </c>
      <c r="C3602" s="65">
        <v>2023</v>
      </c>
      <c r="D3602" s="65" t="s">
        <v>318</v>
      </c>
      <c r="E3602" s="65" t="s">
        <v>301</v>
      </c>
      <c r="F3602" s="65" t="s">
        <v>298</v>
      </c>
      <c r="G3602" s="65"/>
      <c r="H3602" s="65"/>
      <c r="I3602" s="66">
        <v>0</v>
      </c>
    </row>
    <row r="3603" spans="1:9" hidden="1">
      <c r="A3603" s="67" t="s">
        <v>295</v>
      </c>
      <c r="B3603" s="68">
        <v>2040</v>
      </c>
      <c r="C3603" s="68">
        <v>2023</v>
      </c>
      <c r="D3603" s="68" t="s">
        <v>318</v>
      </c>
      <c r="E3603" s="68" t="s">
        <v>301</v>
      </c>
      <c r="F3603" s="68" t="s">
        <v>40</v>
      </c>
      <c r="G3603" s="68"/>
      <c r="H3603" s="68"/>
      <c r="I3603" s="69">
        <v>513077.08838971402</v>
      </c>
    </row>
    <row r="3604" spans="1:9" hidden="1">
      <c r="A3604" s="64" t="s">
        <v>295</v>
      </c>
      <c r="B3604" s="65">
        <v>2040</v>
      </c>
      <c r="C3604" s="65">
        <v>2023</v>
      </c>
      <c r="D3604" s="65" t="s">
        <v>318</v>
      </c>
      <c r="E3604" s="65" t="s">
        <v>305</v>
      </c>
      <c r="F3604" s="65" t="s">
        <v>297</v>
      </c>
      <c r="G3604" s="65"/>
      <c r="H3604" s="65"/>
      <c r="I3604" s="66">
        <v>9238.0137299999988</v>
      </c>
    </row>
    <row r="3605" spans="1:9" hidden="1">
      <c r="A3605" s="67" t="s">
        <v>295</v>
      </c>
      <c r="B3605" s="68">
        <v>2040</v>
      </c>
      <c r="C3605" s="68">
        <v>2023</v>
      </c>
      <c r="D3605" s="68" t="s">
        <v>318</v>
      </c>
      <c r="E3605" s="68" t="s">
        <v>305</v>
      </c>
      <c r="F3605" s="68" t="s">
        <v>40</v>
      </c>
      <c r="G3605" s="68"/>
      <c r="H3605" s="68"/>
      <c r="I3605" s="69">
        <v>42674.313730000002</v>
      </c>
    </row>
    <row r="3606" spans="1:9" hidden="1">
      <c r="A3606" s="64" t="s">
        <v>295</v>
      </c>
      <c r="B3606" s="65">
        <v>2040</v>
      </c>
      <c r="C3606" s="65">
        <v>2023</v>
      </c>
      <c r="D3606" s="65" t="s">
        <v>320</v>
      </c>
      <c r="E3606" s="65" t="s">
        <v>294</v>
      </c>
      <c r="F3606" s="65" t="s">
        <v>297</v>
      </c>
      <c r="G3606" s="65"/>
      <c r="H3606" s="65"/>
      <c r="I3606" s="66">
        <v>3313.2403165584069</v>
      </c>
    </row>
    <row r="3607" spans="1:9" hidden="1">
      <c r="A3607" s="67" t="s">
        <v>295</v>
      </c>
      <c r="B3607" s="68">
        <v>2040</v>
      </c>
      <c r="C3607" s="68">
        <v>2023</v>
      </c>
      <c r="D3607" s="68" t="s">
        <v>320</v>
      </c>
      <c r="E3607" s="68" t="s">
        <v>294</v>
      </c>
      <c r="F3607" s="68" t="s">
        <v>298</v>
      </c>
      <c r="G3607" s="68"/>
      <c r="H3607" s="68"/>
      <c r="I3607" s="69">
        <v>0</v>
      </c>
    </row>
    <row r="3608" spans="1:9" hidden="1">
      <c r="A3608" s="64" t="s">
        <v>295</v>
      </c>
      <c r="B3608" s="65">
        <v>2040</v>
      </c>
      <c r="C3608" s="65">
        <v>2023</v>
      </c>
      <c r="D3608" s="65" t="s">
        <v>320</v>
      </c>
      <c r="E3608" s="65" t="s">
        <v>294</v>
      </c>
      <c r="F3608" s="65" t="s">
        <v>40</v>
      </c>
      <c r="G3608" s="65"/>
      <c r="H3608" s="65"/>
      <c r="I3608" s="66">
        <v>3313.2403165584069</v>
      </c>
    </row>
    <row r="3609" spans="1:9" hidden="1">
      <c r="A3609" s="67" t="s">
        <v>295</v>
      </c>
      <c r="B3609" s="68">
        <v>2040</v>
      </c>
      <c r="C3609" s="68">
        <v>2023</v>
      </c>
      <c r="D3609" s="68" t="s">
        <v>320</v>
      </c>
      <c r="E3609" s="68" t="s">
        <v>301</v>
      </c>
      <c r="F3609" s="68" t="s">
        <v>297</v>
      </c>
      <c r="G3609" s="68"/>
      <c r="H3609" s="68"/>
      <c r="I3609" s="69">
        <v>4309.5965178066899</v>
      </c>
    </row>
    <row r="3610" spans="1:9" hidden="1">
      <c r="A3610" s="64" t="s">
        <v>295</v>
      </c>
      <c r="B3610" s="65">
        <v>2040</v>
      </c>
      <c r="C3610" s="65">
        <v>2023</v>
      </c>
      <c r="D3610" s="65" t="s">
        <v>320</v>
      </c>
      <c r="E3610" s="65" t="s">
        <v>301</v>
      </c>
      <c r="F3610" s="65" t="s">
        <v>298</v>
      </c>
      <c r="G3610" s="65"/>
      <c r="H3610" s="65"/>
      <c r="I3610" s="66">
        <v>0</v>
      </c>
    </row>
    <row r="3611" spans="1:9" hidden="1">
      <c r="A3611" s="67" t="s">
        <v>295</v>
      </c>
      <c r="B3611" s="68">
        <v>2040</v>
      </c>
      <c r="C3611" s="68">
        <v>2023</v>
      </c>
      <c r="D3611" s="68" t="s">
        <v>320</v>
      </c>
      <c r="E3611" s="68" t="s">
        <v>301</v>
      </c>
      <c r="F3611" s="68" t="s">
        <v>40</v>
      </c>
      <c r="G3611" s="68"/>
      <c r="H3611" s="68"/>
      <c r="I3611" s="69">
        <v>4309.5965178066899</v>
      </c>
    </row>
    <row r="3612" spans="1:9" hidden="1">
      <c r="A3612" s="64" t="s">
        <v>295</v>
      </c>
      <c r="B3612" s="65">
        <v>2040</v>
      </c>
      <c r="C3612" s="65">
        <v>2023</v>
      </c>
      <c r="D3612" s="65" t="s">
        <v>320</v>
      </c>
      <c r="E3612" s="65" t="s">
        <v>305</v>
      </c>
      <c r="F3612" s="65" t="s">
        <v>297</v>
      </c>
      <c r="G3612" s="65"/>
      <c r="H3612" s="65"/>
      <c r="I3612" s="66">
        <v>39.299999999999997</v>
      </c>
    </row>
    <row r="3613" spans="1:9" hidden="1">
      <c r="A3613" s="67" t="s">
        <v>295</v>
      </c>
      <c r="B3613" s="68">
        <v>2040</v>
      </c>
      <c r="C3613" s="68">
        <v>2023</v>
      </c>
      <c r="D3613" s="68" t="s">
        <v>320</v>
      </c>
      <c r="E3613" s="68" t="s">
        <v>305</v>
      </c>
      <c r="F3613" s="68" t="s">
        <v>40</v>
      </c>
      <c r="G3613" s="68"/>
      <c r="H3613" s="68"/>
      <c r="I3613" s="69">
        <v>1367.2</v>
      </c>
    </row>
    <row r="3614" spans="1:9" hidden="1">
      <c r="A3614" s="64" t="s">
        <v>295</v>
      </c>
      <c r="B3614" s="65">
        <v>2040</v>
      </c>
      <c r="C3614" s="65">
        <v>2023</v>
      </c>
      <c r="D3614" s="65" t="s">
        <v>321</v>
      </c>
      <c r="E3614" s="65" t="s">
        <v>294</v>
      </c>
      <c r="F3614" s="65" t="s">
        <v>297</v>
      </c>
      <c r="G3614" s="65"/>
      <c r="H3614" s="65"/>
      <c r="I3614" s="66">
        <v>17253.215103347749</v>
      </c>
    </row>
    <row r="3615" spans="1:9" hidden="1">
      <c r="A3615" s="67" t="s">
        <v>295</v>
      </c>
      <c r="B3615" s="68">
        <v>2040</v>
      </c>
      <c r="C3615" s="68">
        <v>2023</v>
      </c>
      <c r="D3615" s="68" t="s">
        <v>321</v>
      </c>
      <c r="E3615" s="68" t="s">
        <v>294</v>
      </c>
      <c r="F3615" s="68" t="s">
        <v>298</v>
      </c>
      <c r="G3615" s="68"/>
      <c r="H3615" s="68"/>
      <c r="I3615" s="69">
        <v>0</v>
      </c>
    </row>
    <row r="3616" spans="1:9" hidden="1">
      <c r="A3616" s="64" t="s">
        <v>295</v>
      </c>
      <c r="B3616" s="65">
        <v>2040</v>
      </c>
      <c r="C3616" s="65">
        <v>2023</v>
      </c>
      <c r="D3616" s="65" t="s">
        <v>321</v>
      </c>
      <c r="E3616" s="65" t="s">
        <v>294</v>
      </c>
      <c r="F3616" s="65" t="s">
        <v>40</v>
      </c>
      <c r="G3616" s="65"/>
      <c r="H3616" s="65"/>
      <c r="I3616" s="66">
        <v>17253.215103347749</v>
      </c>
    </row>
    <row r="3617" spans="1:9" hidden="1">
      <c r="A3617" s="67" t="s">
        <v>295</v>
      </c>
      <c r="B3617" s="68">
        <v>2040</v>
      </c>
      <c r="C3617" s="68">
        <v>2023</v>
      </c>
      <c r="D3617" s="68" t="s">
        <v>321</v>
      </c>
      <c r="E3617" s="68" t="s">
        <v>301</v>
      </c>
      <c r="F3617" s="68" t="s">
        <v>297</v>
      </c>
      <c r="G3617" s="68"/>
      <c r="H3617" s="68"/>
      <c r="I3617" s="69">
        <v>17611.07426727052</v>
      </c>
    </row>
    <row r="3618" spans="1:9" hidden="1">
      <c r="A3618" s="64" t="s">
        <v>295</v>
      </c>
      <c r="B3618" s="65">
        <v>2040</v>
      </c>
      <c r="C3618" s="65">
        <v>2023</v>
      </c>
      <c r="D3618" s="65" t="s">
        <v>321</v>
      </c>
      <c r="E3618" s="65" t="s">
        <v>301</v>
      </c>
      <c r="F3618" s="65" t="s">
        <v>298</v>
      </c>
      <c r="G3618" s="65"/>
      <c r="H3618" s="65"/>
      <c r="I3618" s="66">
        <v>0</v>
      </c>
    </row>
    <row r="3619" spans="1:9" hidden="1">
      <c r="A3619" s="67" t="s">
        <v>295</v>
      </c>
      <c r="B3619" s="68">
        <v>2040</v>
      </c>
      <c r="C3619" s="68">
        <v>2023</v>
      </c>
      <c r="D3619" s="68" t="s">
        <v>321</v>
      </c>
      <c r="E3619" s="68" t="s">
        <v>301</v>
      </c>
      <c r="F3619" s="68" t="s">
        <v>40</v>
      </c>
      <c r="G3619" s="68"/>
      <c r="H3619" s="68"/>
      <c r="I3619" s="69">
        <v>17611.07426727052</v>
      </c>
    </row>
    <row r="3620" spans="1:9" hidden="1">
      <c r="A3620" s="64" t="s">
        <v>295</v>
      </c>
      <c r="B3620" s="65">
        <v>2040</v>
      </c>
      <c r="C3620" s="65">
        <v>2023</v>
      </c>
      <c r="D3620" s="65" t="s">
        <v>321</v>
      </c>
      <c r="E3620" s="65" t="s">
        <v>305</v>
      </c>
      <c r="F3620" s="65" t="s">
        <v>297</v>
      </c>
      <c r="G3620" s="65"/>
      <c r="H3620" s="65"/>
      <c r="I3620" s="66">
        <v>52.518909999999998</v>
      </c>
    </row>
    <row r="3621" spans="1:9" hidden="1">
      <c r="A3621" s="67" t="s">
        <v>295</v>
      </c>
      <c r="B3621" s="68">
        <v>2040</v>
      </c>
      <c r="C3621" s="68">
        <v>2023</v>
      </c>
      <c r="D3621" s="68" t="s">
        <v>321</v>
      </c>
      <c r="E3621" s="68" t="s">
        <v>305</v>
      </c>
      <c r="F3621" s="68" t="s">
        <v>40</v>
      </c>
      <c r="G3621" s="68"/>
      <c r="H3621" s="68"/>
      <c r="I3621" s="69">
        <v>417.01891000000001</v>
      </c>
    </row>
    <row r="3622" spans="1:9" hidden="1">
      <c r="A3622" s="64" t="s">
        <v>295</v>
      </c>
      <c r="B3622" s="65">
        <v>2040</v>
      </c>
      <c r="C3622" s="65">
        <v>2023</v>
      </c>
      <c r="D3622" s="65" t="s">
        <v>322</v>
      </c>
      <c r="E3622" s="65" t="s">
        <v>294</v>
      </c>
      <c r="F3622" s="65" t="s">
        <v>297</v>
      </c>
      <c r="G3622" s="65"/>
      <c r="H3622" s="65"/>
      <c r="I3622" s="66">
        <v>1198.850949272153</v>
      </c>
    </row>
    <row r="3623" spans="1:9" hidden="1">
      <c r="A3623" s="67" t="s">
        <v>295</v>
      </c>
      <c r="B3623" s="68">
        <v>2040</v>
      </c>
      <c r="C3623" s="68">
        <v>2023</v>
      </c>
      <c r="D3623" s="68" t="s">
        <v>322</v>
      </c>
      <c r="E3623" s="68" t="s">
        <v>294</v>
      </c>
      <c r="F3623" s="68" t="s">
        <v>298</v>
      </c>
      <c r="G3623" s="68"/>
      <c r="H3623" s="68"/>
      <c r="I3623" s="69">
        <v>3301.3063035016121</v>
      </c>
    </row>
    <row r="3624" spans="1:9" hidden="1">
      <c r="A3624" s="64" t="s">
        <v>295</v>
      </c>
      <c r="B3624" s="65">
        <v>2040</v>
      </c>
      <c r="C3624" s="65">
        <v>2023</v>
      </c>
      <c r="D3624" s="65" t="s">
        <v>322</v>
      </c>
      <c r="E3624" s="65" t="s">
        <v>294</v>
      </c>
      <c r="F3624" s="65" t="s">
        <v>40</v>
      </c>
      <c r="G3624" s="65"/>
      <c r="H3624" s="65"/>
      <c r="I3624" s="66">
        <v>4500.0572327737646</v>
      </c>
    </row>
    <row r="3625" spans="1:9" hidden="1">
      <c r="A3625" s="67" t="s">
        <v>295</v>
      </c>
      <c r="B3625" s="68">
        <v>2040</v>
      </c>
      <c r="C3625" s="68">
        <v>2023</v>
      </c>
      <c r="D3625" s="68" t="s">
        <v>322</v>
      </c>
      <c r="E3625" s="68" t="s">
        <v>301</v>
      </c>
      <c r="F3625" s="68" t="s">
        <v>297</v>
      </c>
      <c r="G3625" s="68"/>
      <c r="H3625" s="68"/>
      <c r="I3625" s="69">
        <v>1473.090012946333</v>
      </c>
    </row>
    <row r="3626" spans="1:9" hidden="1">
      <c r="A3626" s="64" t="s">
        <v>295</v>
      </c>
      <c r="B3626" s="65">
        <v>2040</v>
      </c>
      <c r="C3626" s="65">
        <v>2023</v>
      </c>
      <c r="D3626" s="65" t="s">
        <v>322</v>
      </c>
      <c r="E3626" s="65" t="s">
        <v>301</v>
      </c>
      <c r="F3626" s="65" t="s">
        <v>298</v>
      </c>
      <c r="G3626" s="65"/>
      <c r="H3626" s="65"/>
      <c r="I3626" s="66">
        <v>3474.2273305757271</v>
      </c>
    </row>
    <row r="3627" spans="1:9" hidden="1">
      <c r="A3627" s="67" t="s">
        <v>295</v>
      </c>
      <c r="B3627" s="68">
        <v>2040</v>
      </c>
      <c r="C3627" s="68">
        <v>2023</v>
      </c>
      <c r="D3627" s="68" t="s">
        <v>322</v>
      </c>
      <c r="E3627" s="68" t="s">
        <v>301</v>
      </c>
      <c r="F3627" s="68" t="s">
        <v>40</v>
      </c>
      <c r="G3627" s="68"/>
      <c r="H3627" s="68"/>
      <c r="I3627" s="69">
        <v>4947.2173335220596</v>
      </c>
    </row>
    <row r="3628" spans="1:9" hidden="1">
      <c r="A3628" s="64" t="s">
        <v>295</v>
      </c>
      <c r="B3628" s="65">
        <v>2040</v>
      </c>
      <c r="C3628" s="65">
        <v>2023</v>
      </c>
      <c r="D3628" s="65" t="s">
        <v>322</v>
      </c>
      <c r="E3628" s="65" t="s">
        <v>305</v>
      </c>
      <c r="F3628" s="65" t="s">
        <v>297</v>
      </c>
      <c r="G3628" s="65"/>
      <c r="H3628" s="65"/>
      <c r="I3628" s="66">
        <v>7.2</v>
      </c>
    </row>
    <row r="3629" spans="1:9" hidden="1">
      <c r="A3629" s="67" t="s">
        <v>295</v>
      </c>
      <c r="B3629" s="68">
        <v>2040</v>
      </c>
      <c r="C3629" s="68">
        <v>2023</v>
      </c>
      <c r="D3629" s="68" t="s">
        <v>322</v>
      </c>
      <c r="E3629" s="68" t="s">
        <v>305</v>
      </c>
      <c r="F3629" s="68" t="s">
        <v>40</v>
      </c>
      <c r="G3629" s="68"/>
      <c r="H3629" s="68"/>
      <c r="I3629" s="69">
        <v>328.4</v>
      </c>
    </row>
    <row r="3630" spans="1:9" hidden="1">
      <c r="A3630" s="64" t="s">
        <v>295</v>
      </c>
      <c r="B3630" s="65">
        <v>2040</v>
      </c>
      <c r="C3630" s="65">
        <v>2023</v>
      </c>
      <c r="D3630" s="65" t="s">
        <v>323</v>
      </c>
      <c r="E3630" s="65" t="s">
        <v>294</v>
      </c>
      <c r="F3630" s="65" t="s">
        <v>297</v>
      </c>
      <c r="G3630" s="65"/>
      <c r="H3630" s="65"/>
      <c r="I3630" s="66">
        <v>277204.94497039833</v>
      </c>
    </row>
    <row r="3631" spans="1:9" hidden="1">
      <c r="A3631" s="67" t="s">
        <v>295</v>
      </c>
      <c r="B3631" s="68">
        <v>2040</v>
      </c>
      <c r="C3631" s="68">
        <v>2023</v>
      </c>
      <c r="D3631" s="68" t="s">
        <v>323</v>
      </c>
      <c r="E3631" s="68" t="s">
        <v>294</v>
      </c>
      <c r="F3631" s="68" t="s">
        <v>298</v>
      </c>
      <c r="G3631" s="68"/>
      <c r="H3631" s="68"/>
      <c r="I3631" s="69">
        <v>1307.1238177379871</v>
      </c>
    </row>
    <row r="3632" spans="1:9" hidden="1">
      <c r="A3632" s="64" t="s">
        <v>295</v>
      </c>
      <c r="B3632" s="65">
        <v>2040</v>
      </c>
      <c r="C3632" s="65">
        <v>2023</v>
      </c>
      <c r="D3632" s="65" t="s">
        <v>323</v>
      </c>
      <c r="E3632" s="65" t="s">
        <v>294</v>
      </c>
      <c r="F3632" s="65" t="s">
        <v>40</v>
      </c>
      <c r="G3632" s="65"/>
      <c r="H3632" s="65"/>
      <c r="I3632" s="66">
        <v>278512.06877166149</v>
      </c>
    </row>
    <row r="3633" spans="1:9" hidden="1">
      <c r="A3633" s="67" t="s">
        <v>295</v>
      </c>
      <c r="B3633" s="68">
        <v>2040</v>
      </c>
      <c r="C3633" s="68">
        <v>2023</v>
      </c>
      <c r="D3633" s="68" t="s">
        <v>323</v>
      </c>
      <c r="E3633" s="68" t="s">
        <v>301</v>
      </c>
      <c r="F3633" s="68" t="s">
        <v>297</v>
      </c>
      <c r="G3633" s="68"/>
      <c r="H3633" s="68"/>
      <c r="I3633" s="69">
        <v>342947.36159112671</v>
      </c>
    </row>
    <row r="3634" spans="1:9" hidden="1">
      <c r="A3634" s="64" t="s">
        <v>295</v>
      </c>
      <c r="B3634" s="65">
        <v>2040</v>
      </c>
      <c r="C3634" s="65">
        <v>2023</v>
      </c>
      <c r="D3634" s="65" t="s">
        <v>323</v>
      </c>
      <c r="E3634" s="65" t="s">
        <v>301</v>
      </c>
      <c r="F3634" s="65" t="s">
        <v>298</v>
      </c>
      <c r="G3634" s="65"/>
      <c r="H3634" s="65"/>
      <c r="I3634" s="66">
        <v>1468.4630220148269</v>
      </c>
    </row>
    <row r="3635" spans="1:9" hidden="1">
      <c r="A3635" s="67" t="s">
        <v>295</v>
      </c>
      <c r="B3635" s="68">
        <v>2040</v>
      </c>
      <c r="C3635" s="68">
        <v>2023</v>
      </c>
      <c r="D3635" s="68" t="s">
        <v>323</v>
      </c>
      <c r="E3635" s="68" t="s">
        <v>301</v>
      </c>
      <c r="F3635" s="68" t="s">
        <v>40</v>
      </c>
      <c r="G3635" s="68"/>
      <c r="H3635" s="68"/>
      <c r="I3635" s="69">
        <v>344415.72460314148</v>
      </c>
    </row>
    <row r="3636" spans="1:9" hidden="1">
      <c r="A3636" s="64" t="s">
        <v>295</v>
      </c>
      <c r="B3636" s="65">
        <v>2040</v>
      </c>
      <c r="C3636" s="65">
        <v>2023</v>
      </c>
      <c r="D3636" s="65" t="s">
        <v>323</v>
      </c>
      <c r="E3636" s="65" t="s">
        <v>305</v>
      </c>
      <c r="F3636" s="65" t="s">
        <v>297</v>
      </c>
      <c r="G3636" s="65"/>
      <c r="H3636" s="65"/>
      <c r="I3636" s="66">
        <v>1469.6994400000001</v>
      </c>
    </row>
    <row r="3637" spans="1:9" hidden="1">
      <c r="A3637" s="67" t="s">
        <v>295</v>
      </c>
      <c r="B3637" s="68">
        <v>2040</v>
      </c>
      <c r="C3637" s="68">
        <v>2023</v>
      </c>
      <c r="D3637" s="68" t="s">
        <v>323</v>
      </c>
      <c r="E3637" s="68" t="s">
        <v>305</v>
      </c>
      <c r="F3637" s="68" t="s">
        <v>40</v>
      </c>
      <c r="G3637" s="68"/>
      <c r="H3637" s="68"/>
      <c r="I3637" s="69">
        <v>19509.899440000001</v>
      </c>
    </row>
    <row r="3638" spans="1:9" hidden="1">
      <c r="A3638" s="64" t="s">
        <v>295</v>
      </c>
      <c r="B3638" s="65">
        <v>2040</v>
      </c>
      <c r="C3638" s="65">
        <v>2023</v>
      </c>
      <c r="D3638" s="65" t="s">
        <v>324</v>
      </c>
      <c r="E3638" s="65" t="s">
        <v>294</v>
      </c>
      <c r="F3638" s="65" t="s">
        <v>297</v>
      </c>
      <c r="G3638" s="65"/>
      <c r="H3638" s="65"/>
      <c r="I3638" s="66">
        <v>3526.4542999999999</v>
      </c>
    </row>
    <row r="3639" spans="1:9" hidden="1">
      <c r="A3639" s="67" t="s">
        <v>295</v>
      </c>
      <c r="B3639" s="68">
        <v>2040</v>
      </c>
      <c r="C3639" s="68">
        <v>2023</v>
      </c>
      <c r="D3639" s="68" t="s">
        <v>324</v>
      </c>
      <c r="E3639" s="68" t="s">
        <v>294</v>
      </c>
      <c r="F3639" s="68" t="s">
        <v>298</v>
      </c>
      <c r="G3639" s="68"/>
      <c r="H3639" s="68"/>
      <c r="I3639" s="69">
        <v>0</v>
      </c>
    </row>
    <row r="3640" spans="1:9" hidden="1">
      <c r="A3640" s="64" t="s">
        <v>295</v>
      </c>
      <c r="B3640" s="65">
        <v>2040</v>
      </c>
      <c r="C3640" s="65">
        <v>2023</v>
      </c>
      <c r="D3640" s="65" t="s">
        <v>324</v>
      </c>
      <c r="E3640" s="65" t="s">
        <v>294</v>
      </c>
      <c r="F3640" s="65" t="s">
        <v>40</v>
      </c>
      <c r="G3640" s="65"/>
      <c r="H3640" s="65"/>
      <c r="I3640" s="66">
        <v>3526.4542999999999</v>
      </c>
    </row>
    <row r="3641" spans="1:9" hidden="1">
      <c r="A3641" s="67" t="s">
        <v>295</v>
      </c>
      <c r="B3641" s="68">
        <v>2040</v>
      </c>
      <c r="C3641" s="68">
        <v>2023</v>
      </c>
      <c r="D3641" s="68" t="s">
        <v>324</v>
      </c>
      <c r="E3641" s="68" t="s">
        <v>301</v>
      </c>
      <c r="F3641" s="68" t="s">
        <v>297</v>
      </c>
      <c r="G3641" s="68"/>
      <c r="H3641" s="68"/>
      <c r="I3641" s="69">
        <v>3526.8414299999999</v>
      </c>
    </row>
    <row r="3642" spans="1:9" hidden="1">
      <c r="A3642" s="64" t="s">
        <v>295</v>
      </c>
      <c r="B3642" s="65">
        <v>2040</v>
      </c>
      <c r="C3642" s="65">
        <v>2023</v>
      </c>
      <c r="D3642" s="65" t="s">
        <v>324</v>
      </c>
      <c r="E3642" s="65" t="s">
        <v>301</v>
      </c>
      <c r="F3642" s="65" t="s">
        <v>298</v>
      </c>
      <c r="G3642" s="65"/>
      <c r="H3642" s="65"/>
      <c r="I3642" s="66">
        <v>0</v>
      </c>
    </row>
    <row r="3643" spans="1:9" hidden="1">
      <c r="A3643" s="67" t="s">
        <v>295</v>
      </c>
      <c r="B3643" s="68">
        <v>2040</v>
      </c>
      <c r="C3643" s="68">
        <v>2023</v>
      </c>
      <c r="D3643" s="68" t="s">
        <v>324</v>
      </c>
      <c r="E3643" s="68" t="s">
        <v>301</v>
      </c>
      <c r="F3643" s="68" t="s">
        <v>40</v>
      </c>
      <c r="G3643" s="68"/>
      <c r="H3643" s="68"/>
      <c r="I3643" s="69">
        <v>3526.8414299999999</v>
      </c>
    </row>
    <row r="3644" spans="1:9" hidden="1">
      <c r="A3644" s="64" t="s">
        <v>295</v>
      </c>
      <c r="B3644" s="65">
        <v>2040</v>
      </c>
      <c r="C3644" s="65">
        <v>2023</v>
      </c>
      <c r="D3644" s="65" t="s">
        <v>324</v>
      </c>
      <c r="E3644" s="65" t="s">
        <v>305</v>
      </c>
      <c r="F3644" s="65" t="s">
        <v>297</v>
      </c>
      <c r="G3644" s="65"/>
      <c r="H3644" s="65"/>
      <c r="I3644" s="66">
        <v>4.0999999999999996</v>
      </c>
    </row>
    <row r="3645" spans="1:9" hidden="1">
      <c r="A3645" s="67" t="s">
        <v>295</v>
      </c>
      <c r="B3645" s="68">
        <v>2040</v>
      </c>
      <c r="C3645" s="68">
        <v>2023</v>
      </c>
      <c r="D3645" s="68" t="s">
        <v>324</v>
      </c>
      <c r="E3645" s="68" t="s">
        <v>305</v>
      </c>
      <c r="F3645" s="68" t="s">
        <v>40</v>
      </c>
      <c r="G3645" s="68"/>
      <c r="H3645" s="68"/>
      <c r="I3645" s="69">
        <v>1246.2</v>
      </c>
    </row>
    <row r="3646" spans="1:9" hidden="1">
      <c r="A3646" s="64" t="s">
        <v>295</v>
      </c>
      <c r="B3646" s="65">
        <v>2040</v>
      </c>
      <c r="C3646" s="65">
        <v>2023</v>
      </c>
      <c r="D3646" s="65" t="s">
        <v>325</v>
      </c>
      <c r="E3646" s="65" t="s">
        <v>294</v>
      </c>
      <c r="F3646" s="65" t="s">
        <v>297</v>
      </c>
      <c r="G3646" s="65"/>
      <c r="H3646" s="65"/>
      <c r="I3646" s="66">
        <v>48165.731949570523</v>
      </c>
    </row>
    <row r="3647" spans="1:9" hidden="1">
      <c r="A3647" s="67" t="s">
        <v>295</v>
      </c>
      <c r="B3647" s="68">
        <v>2040</v>
      </c>
      <c r="C3647" s="68">
        <v>2023</v>
      </c>
      <c r="D3647" s="68" t="s">
        <v>325</v>
      </c>
      <c r="E3647" s="68" t="s">
        <v>294</v>
      </c>
      <c r="F3647" s="68" t="s">
        <v>298</v>
      </c>
      <c r="G3647" s="68"/>
      <c r="H3647" s="68"/>
      <c r="I3647" s="69">
        <v>12558.631170056609</v>
      </c>
    </row>
    <row r="3648" spans="1:9" hidden="1">
      <c r="A3648" s="64" t="s">
        <v>295</v>
      </c>
      <c r="B3648" s="65">
        <v>2040</v>
      </c>
      <c r="C3648" s="65">
        <v>2023</v>
      </c>
      <c r="D3648" s="65" t="s">
        <v>325</v>
      </c>
      <c r="E3648" s="65" t="s">
        <v>294</v>
      </c>
      <c r="F3648" s="65" t="s">
        <v>40</v>
      </c>
      <c r="G3648" s="65"/>
      <c r="H3648" s="65"/>
      <c r="I3648" s="66">
        <v>60724.263139627117</v>
      </c>
    </row>
    <row r="3649" spans="1:9" hidden="1">
      <c r="A3649" s="67" t="s">
        <v>295</v>
      </c>
      <c r="B3649" s="68">
        <v>2040</v>
      </c>
      <c r="C3649" s="68">
        <v>2023</v>
      </c>
      <c r="D3649" s="68" t="s">
        <v>325</v>
      </c>
      <c r="E3649" s="68" t="s">
        <v>301</v>
      </c>
      <c r="F3649" s="68" t="s">
        <v>297</v>
      </c>
      <c r="G3649" s="68"/>
      <c r="H3649" s="68"/>
      <c r="I3649" s="69">
        <v>50234.290601835033</v>
      </c>
    </row>
    <row r="3650" spans="1:9" hidden="1">
      <c r="A3650" s="64" t="s">
        <v>295</v>
      </c>
      <c r="B3650" s="65">
        <v>2040</v>
      </c>
      <c r="C3650" s="65">
        <v>2023</v>
      </c>
      <c r="D3650" s="65" t="s">
        <v>325</v>
      </c>
      <c r="E3650" s="65" t="s">
        <v>301</v>
      </c>
      <c r="F3650" s="65" t="s">
        <v>298</v>
      </c>
      <c r="G3650" s="65"/>
      <c r="H3650" s="65"/>
      <c r="I3650" s="66">
        <v>14028.537438164971</v>
      </c>
    </row>
    <row r="3651" spans="1:9" hidden="1">
      <c r="A3651" s="67" t="s">
        <v>295</v>
      </c>
      <c r="B3651" s="68">
        <v>2040</v>
      </c>
      <c r="C3651" s="68">
        <v>2023</v>
      </c>
      <c r="D3651" s="68" t="s">
        <v>325</v>
      </c>
      <c r="E3651" s="68" t="s">
        <v>301</v>
      </c>
      <c r="F3651" s="68" t="s">
        <v>40</v>
      </c>
      <c r="G3651" s="68"/>
      <c r="H3651" s="68"/>
      <c r="I3651" s="69">
        <v>64262.928050000002</v>
      </c>
    </row>
    <row r="3652" spans="1:9" hidden="1">
      <c r="A3652" s="64" t="s">
        <v>295</v>
      </c>
      <c r="B3652" s="65">
        <v>2040</v>
      </c>
      <c r="C3652" s="65">
        <v>2023</v>
      </c>
      <c r="D3652" s="65" t="s">
        <v>325</v>
      </c>
      <c r="E3652" s="65" t="s">
        <v>305</v>
      </c>
      <c r="F3652" s="65" t="s">
        <v>297</v>
      </c>
      <c r="G3652" s="65"/>
      <c r="H3652" s="65"/>
      <c r="I3652" s="66">
        <v>430.7</v>
      </c>
    </row>
    <row r="3653" spans="1:9" hidden="1">
      <c r="A3653" s="67" t="s">
        <v>295</v>
      </c>
      <c r="B3653" s="68">
        <v>2040</v>
      </c>
      <c r="C3653" s="68">
        <v>2023</v>
      </c>
      <c r="D3653" s="68" t="s">
        <v>325</v>
      </c>
      <c r="E3653" s="68" t="s">
        <v>305</v>
      </c>
      <c r="F3653" s="68" t="s">
        <v>298</v>
      </c>
      <c r="G3653" s="68"/>
      <c r="H3653" s="68"/>
      <c r="I3653" s="69">
        <v>69.900000000000006</v>
      </c>
    </row>
    <row r="3654" spans="1:9" hidden="1">
      <c r="A3654" s="64" t="s">
        <v>295</v>
      </c>
      <c r="B3654" s="65">
        <v>2040</v>
      </c>
      <c r="C3654" s="65">
        <v>2023</v>
      </c>
      <c r="D3654" s="65" t="s">
        <v>325</v>
      </c>
      <c r="E3654" s="65" t="s">
        <v>305</v>
      </c>
      <c r="F3654" s="65" t="s">
        <v>40</v>
      </c>
      <c r="G3654" s="65"/>
      <c r="H3654" s="65"/>
      <c r="I3654" s="66">
        <v>18676.400000000001</v>
      </c>
    </row>
    <row r="3655" spans="1:9" hidden="1">
      <c r="A3655" s="67" t="s">
        <v>295</v>
      </c>
      <c r="B3655" s="68">
        <v>2040</v>
      </c>
      <c r="C3655" s="68">
        <v>2023</v>
      </c>
      <c r="D3655" s="68" t="s">
        <v>326</v>
      </c>
      <c r="E3655" s="68" t="s">
        <v>294</v>
      </c>
      <c r="F3655" s="68" t="s">
        <v>297</v>
      </c>
      <c r="G3655" s="68"/>
      <c r="H3655" s="68"/>
      <c r="I3655" s="69">
        <v>0</v>
      </c>
    </row>
    <row r="3656" spans="1:9" hidden="1">
      <c r="A3656" s="64" t="s">
        <v>295</v>
      </c>
      <c r="B3656" s="65">
        <v>2040</v>
      </c>
      <c r="C3656" s="65">
        <v>2023</v>
      </c>
      <c r="D3656" s="65" t="s">
        <v>326</v>
      </c>
      <c r="E3656" s="65" t="s">
        <v>294</v>
      </c>
      <c r="F3656" s="65" t="s">
        <v>298</v>
      </c>
      <c r="G3656" s="65"/>
      <c r="H3656" s="65"/>
      <c r="I3656" s="66">
        <v>0</v>
      </c>
    </row>
    <row r="3657" spans="1:9" hidden="1">
      <c r="A3657" s="67" t="s">
        <v>295</v>
      </c>
      <c r="B3657" s="68">
        <v>2040</v>
      </c>
      <c r="C3657" s="68">
        <v>2023</v>
      </c>
      <c r="D3657" s="68" t="s">
        <v>326</v>
      </c>
      <c r="E3657" s="68" t="s">
        <v>294</v>
      </c>
      <c r="F3657" s="68" t="s">
        <v>40</v>
      </c>
      <c r="G3657" s="68"/>
      <c r="H3657" s="68"/>
      <c r="I3657" s="69">
        <v>0</v>
      </c>
    </row>
    <row r="3658" spans="1:9" hidden="1">
      <c r="A3658" s="64" t="s">
        <v>295</v>
      </c>
      <c r="B3658" s="65">
        <v>2040</v>
      </c>
      <c r="C3658" s="65">
        <v>2023</v>
      </c>
      <c r="D3658" s="65" t="s">
        <v>326</v>
      </c>
      <c r="E3658" s="65" t="s">
        <v>301</v>
      </c>
      <c r="F3658" s="65" t="s">
        <v>297</v>
      </c>
      <c r="G3658" s="65"/>
      <c r="H3658" s="65"/>
      <c r="I3658" s="66">
        <v>0</v>
      </c>
    </row>
    <row r="3659" spans="1:9" hidden="1">
      <c r="A3659" s="67" t="s">
        <v>295</v>
      </c>
      <c r="B3659" s="68">
        <v>2040</v>
      </c>
      <c r="C3659" s="68">
        <v>2023</v>
      </c>
      <c r="D3659" s="68" t="s">
        <v>326</v>
      </c>
      <c r="E3659" s="68" t="s">
        <v>301</v>
      </c>
      <c r="F3659" s="68" t="s">
        <v>298</v>
      </c>
      <c r="G3659" s="68"/>
      <c r="H3659" s="68"/>
      <c r="I3659" s="69">
        <v>0</v>
      </c>
    </row>
    <row r="3660" spans="1:9" hidden="1">
      <c r="A3660" s="64" t="s">
        <v>295</v>
      </c>
      <c r="B3660" s="65">
        <v>2040</v>
      </c>
      <c r="C3660" s="65">
        <v>2023</v>
      </c>
      <c r="D3660" s="65" t="s">
        <v>326</v>
      </c>
      <c r="E3660" s="65" t="s">
        <v>301</v>
      </c>
      <c r="F3660" s="65" t="s">
        <v>40</v>
      </c>
      <c r="G3660" s="65"/>
      <c r="H3660" s="65"/>
      <c r="I3660" s="66">
        <v>0</v>
      </c>
    </row>
    <row r="3661" spans="1:9" hidden="1">
      <c r="A3661" s="67" t="s">
        <v>295</v>
      </c>
      <c r="B3661" s="68">
        <v>2040</v>
      </c>
      <c r="C3661" s="68">
        <v>2023</v>
      </c>
      <c r="D3661" s="68" t="s">
        <v>304</v>
      </c>
      <c r="E3661" s="68" t="s">
        <v>294</v>
      </c>
      <c r="F3661" s="68" t="s">
        <v>297</v>
      </c>
      <c r="G3661" s="68"/>
      <c r="H3661" s="68"/>
      <c r="I3661" s="69">
        <v>46054.486781725936</v>
      </c>
    </row>
    <row r="3662" spans="1:9" hidden="1">
      <c r="A3662" s="64" t="s">
        <v>295</v>
      </c>
      <c r="B3662" s="65">
        <v>2040</v>
      </c>
      <c r="C3662" s="65">
        <v>2023</v>
      </c>
      <c r="D3662" s="65" t="s">
        <v>304</v>
      </c>
      <c r="E3662" s="65" t="s">
        <v>294</v>
      </c>
      <c r="F3662" s="65" t="s">
        <v>298</v>
      </c>
      <c r="G3662" s="65"/>
      <c r="H3662" s="65"/>
      <c r="I3662" s="66">
        <v>166426.95466646709</v>
      </c>
    </row>
    <row r="3663" spans="1:9" hidden="1">
      <c r="A3663" s="67" t="s">
        <v>295</v>
      </c>
      <c r="B3663" s="68">
        <v>2040</v>
      </c>
      <c r="C3663" s="68">
        <v>2023</v>
      </c>
      <c r="D3663" s="68" t="s">
        <v>304</v>
      </c>
      <c r="E3663" s="68" t="s">
        <v>294</v>
      </c>
      <c r="F3663" s="68" t="s">
        <v>40</v>
      </c>
      <c r="G3663" s="68"/>
      <c r="H3663" s="68"/>
      <c r="I3663" s="69">
        <v>212221.16769988241</v>
      </c>
    </row>
    <row r="3664" spans="1:9" hidden="1">
      <c r="A3664" s="64" t="s">
        <v>295</v>
      </c>
      <c r="B3664" s="65">
        <v>2040</v>
      </c>
      <c r="C3664" s="65">
        <v>2023</v>
      </c>
      <c r="D3664" s="65" t="s">
        <v>304</v>
      </c>
      <c r="E3664" s="65" t="s">
        <v>301</v>
      </c>
      <c r="F3664" s="65" t="s">
        <v>297</v>
      </c>
      <c r="G3664" s="65"/>
      <c r="H3664" s="65"/>
      <c r="I3664" s="66">
        <v>49356.481892723663</v>
      </c>
    </row>
    <row r="3665" spans="1:9" hidden="1">
      <c r="A3665" s="67" t="s">
        <v>295</v>
      </c>
      <c r="B3665" s="68">
        <v>2040</v>
      </c>
      <c r="C3665" s="68">
        <v>2023</v>
      </c>
      <c r="D3665" s="68" t="s">
        <v>304</v>
      </c>
      <c r="E3665" s="68" t="s">
        <v>301</v>
      </c>
      <c r="F3665" s="68" t="s">
        <v>298</v>
      </c>
      <c r="G3665" s="68"/>
      <c r="H3665" s="68"/>
      <c r="I3665" s="69">
        <v>176109.59016754621</v>
      </c>
    </row>
    <row r="3666" spans="1:9" hidden="1">
      <c r="A3666" s="64" t="s">
        <v>295</v>
      </c>
      <c r="B3666" s="65">
        <v>2040</v>
      </c>
      <c r="C3666" s="65">
        <v>2023</v>
      </c>
      <c r="D3666" s="65" t="s">
        <v>304</v>
      </c>
      <c r="E3666" s="65" t="s">
        <v>301</v>
      </c>
      <c r="F3666" s="65" t="s">
        <v>40</v>
      </c>
      <c r="G3666" s="65"/>
      <c r="H3666" s="65"/>
      <c r="I3666" s="66">
        <v>225206.59847955679</v>
      </c>
    </row>
    <row r="3667" spans="1:9" hidden="1">
      <c r="A3667" s="67" t="s">
        <v>295</v>
      </c>
      <c r="B3667" s="68">
        <v>2040</v>
      </c>
      <c r="C3667" s="68">
        <v>2023</v>
      </c>
      <c r="D3667" s="68" t="s">
        <v>304</v>
      </c>
      <c r="E3667" s="68" t="s">
        <v>305</v>
      </c>
      <c r="F3667" s="68" t="s">
        <v>297</v>
      </c>
      <c r="G3667" s="68"/>
      <c r="H3667" s="68"/>
      <c r="I3667" s="69">
        <v>1182.38788</v>
      </c>
    </row>
    <row r="3668" spans="1:9" hidden="1">
      <c r="A3668" s="64" t="s">
        <v>295</v>
      </c>
      <c r="B3668" s="65">
        <v>2040</v>
      </c>
      <c r="C3668" s="65">
        <v>2023</v>
      </c>
      <c r="D3668" s="65" t="s">
        <v>304</v>
      </c>
      <c r="E3668" s="65" t="s">
        <v>305</v>
      </c>
      <c r="F3668" s="65" t="s">
        <v>298</v>
      </c>
      <c r="G3668" s="65"/>
      <c r="H3668" s="65"/>
      <c r="I3668" s="66">
        <v>760.3</v>
      </c>
    </row>
    <row r="3669" spans="1:9" hidden="1">
      <c r="A3669" s="67" t="s">
        <v>295</v>
      </c>
      <c r="B3669" s="68">
        <v>2040</v>
      </c>
      <c r="C3669" s="68">
        <v>2023</v>
      </c>
      <c r="D3669" s="68" t="s">
        <v>304</v>
      </c>
      <c r="E3669" s="68" t="s">
        <v>305</v>
      </c>
      <c r="F3669" s="68" t="s">
        <v>40</v>
      </c>
      <c r="G3669" s="68"/>
      <c r="H3669" s="68"/>
      <c r="I3669" s="69">
        <v>17159.887879999998</v>
      </c>
    </row>
    <row r="3670" spans="1:9" hidden="1">
      <c r="A3670" s="64" t="s">
        <v>295</v>
      </c>
      <c r="B3670" s="65">
        <v>2040</v>
      </c>
      <c r="C3670" s="65">
        <v>2023</v>
      </c>
      <c r="D3670" s="65" t="s">
        <v>306</v>
      </c>
      <c r="E3670" s="65" t="s">
        <v>294</v>
      </c>
      <c r="F3670" s="65" t="s">
        <v>297</v>
      </c>
      <c r="G3670" s="65"/>
      <c r="H3670" s="65"/>
      <c r="I3670" s="66">
        <v>350480.08455212403</v>
      </c>
    </row>
    <row r="3671" spans="1:9" hidden="1">
      <c r="A3671" s="67" t="s">
        <v>295</v>
      </c>
      <c r="B3671" s="68">
        <v>2040</v>
      </c>
      <c r="C3671" s="68">
        <v>2023</v>
      </c>
      <c r="D3671" s="68" t="s">
        <v>306</v>
      </c>
      <c r="E3671" s="68" t="s">
        <v>294</v>
      </c>
      <c r="F3671" s="68" t="s">
        <v>40</v>
      </c>
      <c r="G3671" s="68"/>
      <c r="H3671" s="68"/>
      <c r="I3671" s="69">
        <v>350480.08455212403</v>
      </c>
    </row>
    <row r="3672" spans="1:9" hidden="1">
      <c r="A3672" s="64" t="s">
        <v>295</v>
      </c>
      <c r="B3672" s="65">
        <v>2040</v>
      </c>
      <c r="C3672" s="65">
        <v>2023</v>
      </c>
      <c r="D3672" s="65" t="s">
        <v>306</v>
      </c>
      <c r="E3672" s="65" t="s">
        <v>301</v>
      </c>
      <c r="F3672" s="65" t="s">
        <v>297</v>
      </c>
      <c r="G3672" s="65"/>
      <c r="H3672" s="65"/>
      <c r="I3672" s="66">
        <v>367523.3541613376</v>
      </c>
    </row>
    <row r="3673" spans="1:9" hidden="1">
      <c r="A3673" s="67" t="s">
        <v>295</v>
      </c>
      <c r="B3673" s="68">
        <v>2040</v>
      </c>
      <c r="C3673" s="68">
        <v>2023</v>
      </c>
      <c r="D3673" s="68" t="s">
        <v>306</v>
      </c>
      <c r="E3673" s="68" t="s">
        <v>301</v>
      </c>
      <c r="F3673" s="68" t="s">
        <v>40</v>
      </c>
      <c r="G3673" s="68"/>
      <c r="H3673" s="68"/>
      <c r="I3673" s="69">
        <v>367523.3541613376</v>
      </c>
    </row>
    <row r="3674" spans="1:9" hidden="1">
      <c r="A3674" s="64" t="s">
        <v>295</v>
      </c>
      <c r="B3674" s="65">
        <v>2040</v>
      </c>
      <c r="C3674" s="65">
        <v>2023</v>
      </c>
      <c r="D3674" s="65" t="s">
        <v>306</v>
      </c>
      <c r="E3674" s="65" t="s">
        <v>305</v>
      </c>
      <c r="F3674" s="65" t="s">
        <v>297</v>
      </c>
      <c r="G3674" s="65"/>
      <c r="H3674" s="65"/>
      <c r="I3674" s="66">
        <v>2068.6749100000002</v>
      </c>
    </row>
    <row r="3675" spans="1:9" hidden="1">
      <c r="A3675" s="67" t="s">
        <v>295</v>
      </c>
      <c r="B3675" s="68">
        <v>2040</v>
      </c>
      <c r="C3675" s="68">
        <v>2023</v>
      </c>
      <c r="D3675" s="68" t="s">
        <v>306</v>
      </c>
      <c r="E3675" s="68" t="s">
        <v>305</v>
      </c>
      <c r="F3675" s="68" t="s">
        <v>40</v>
      </c>
      <c r="G3675" s="68"/>
      <c r="H3675" s="68"/>
      <c r="I3675" s="69">
        <v>36199.374909999999</v>
      </c>
    </row>
    <row r="3676" spans="1:9" hidden="1">
      <c r="A3676" s="64" t="s">
        <v>295</v>
      </c>
      <c r="B3676" s="65">
        <v>2040</v>
      </c>
      <c r="C3676" s="65">
        <v>2023</v>
      </c>
      <c r="D3676" s="65" t="s">
        <v>307</v>
      </c>
      <c r="E3676" s="65" t="s">
        <v>294</v>
      </c>
      <c r="F3676" s="65" t="s">
        <v>40</v>
      </c>
      <c r="G3676" s="65"/>
      <c r="H3676" s="65"/>
      <c r="I3676" s="66">
        <v>-246260.15020253981</v>
      </c>
    </row>
    <row r="3677" spans="1:9" hidden="1">
      <c r="A3677" s="67" t="s">
        <v>295</v>
      </c>
      <c r="B3677" s="68">
        <v>2040</v>
      </c>
      <c r="C3677" s="68">
        <v>2023</v>
      </c>
      <c r="D3677" s="68" t="s">
        <v>307</v>
      </c>
      <c r="E3677" s="68" t="s">
        <v>301</v>
      </c>
      <c r="F3677" s="68" t="s">
        <v>40</v>
      </c>
      <c r="G3677" s="68"/>
      <c r="H3677" s="68"/>
      <c r="I3677" s="69">
        <v>-215248.21271581401</v>
      </c>
    </row>
    <row r="3678" spans="1:9" hidden="1">
      <c r="A3678" s="64" t="s">
        <v>295</v>
      </c>
      <c r="B3678" s="65">
        <v>2040</v>
      </c>
      <c r="C3678" s="65">
        <v>2023</v>
      </c>
      <c r="D3678" s="65" t="s">
        <v>307</v>
      </c>
      <c r="E3678" s="65" t="s">
        <v>305</v>
      </c>
      <c r="F3678" s="65" t="s">
        <v>40</v>
      </c>
      <c r="G3678" s="65"/>
      <c r="H3678" s="65"/>
      <c r="I3678" s="66">
        <v>-13091.09439</v>
      </c>
    </row>
    <row r="3679" spans="1:9" hidden="1">
      <c r="A3679" s="67" t="s">
        <v>295</v>
      </c>
      <c r="B3679" s="68">
        <v>2040</v>
      </c>
      <c r="C3679" s="68">
        <v>2023</v>
      </c>
      <c r="D3679" s="68" t="s">
        <v>327</v>
      </c>
      <c r="E3679" s="68" t="s">
        <v>294</v>
      </c>
      <c r="F3679" s="68" t="s">
        <v>40</v>
      </c>
      <c r="G3679" s="68"/>
      <c r="H3679" s="68"/>
      <c r="I3679" s="69">
        <v>-291066.07995836041</v>
      </c>
    </row>
    <row r="3680" spans="1:9" hidden="1">
      <c r="A3680" s="64" t="s">
        <v>295</v>
      </c>
      <c r="B3680" s="65">
        <v>2040</v>
      </c>
      <c r="C3680" s="65">
        <v>2023</v>
      </c>
      <c r="D3680" s="65" t="s">
        <v>327</v>
      </c>
      <c r="E3680" s="65" t="s">
        <v>301</v>
      </c>
      <c r="F3680" s="65" t="s">
        <v>40</v>
      </c>
      <c r="G3680" s="65"/>
      <c r="H3680" s="65"/>
      <c r="I3680" s="66">
        <v>-270954.62828256108</v>
      </c>
    </row>
    <row r="3681" spans="1:9" hidden="1">
      <c r="A3681" s="67" t="s">
        <v>295</v>
      </c>
      <c r="B3681" s="68">
        <v>2040</v>
      </c>
      <c r="C3681" s="68">
        <v>2023</v>
      </c>
      <c r="D3681" s="68" t="s">
        <v>327</v>
      </c>
      <c r="E3681" s="68" t="s">
        <v>305</v>
      </c>
      <c r="F3681" s="68" t="s">
        <v>40</v>
      </c>
      <c r="G3681" s="68"/>
      <c r="H3681" s="68"/>
      <c r="I3681" s="69">
        <v>-17471.72162</v>
      </c>
    </row>
    <row r="3682" spans="1:9" hidden="1">
      <c r="A3682" s="64" t="s">
        <v>295</v>
      </c>
      <c r="B3682" s="65">
        <v>2040</v>
      </c>
      <c r="C3682" s="65">
        <v>2023</v>
      </c>
      <c r="D3682" s="65" t="s">
        <v>328</v>
      </c>
      <c r="E3682" s="65" t="s">
        <v>294</v>
      </c>
      <c r="F3682" s="65" t="s">
        <v>40</v>
      </c>
      <c r="G3682" s="65"/>
      <c r="H3682" s="65"/>
      <c r="I3682" s="66">
        <v>25066.804044821769</v>
      </c>
    </row>
    <row r="3683" spans="1:9" hidden="1">
      <c r="A3683" s="67" t="s">
        <v>295</v>
      </c>
      <c r="B3683" s="68">
        <v>2040</v>
      </c>
      <c r="C3683" s="68">
        <v>2023</v>
      </c>
      <c r="D3683" s="68" t="s">
        <v>328</v>
      </c>
      <c r="E3683" s="68" t="s">
        <v>301</v>
      </c>
      <c r="F3683" s="68" t="s">
        <v>40</v>
      </c>
      <c r="G3683" s="68"/>
      <c r="H3683" s="68"/>
      <c r="I3683" s="69">
        <v>32440.81240561105</v>
      </c>
    </row>
    <row r="3684" spans="1:9" hidden="1">
      <c r="A3684" s="64" t="s">
        <v>295</v>
      </c>
      <c r="B3684" s="65">
        <v>2040</v>
      </c>
      <c r="C3684" s="65">
        <v>2023</v>
      </c>
      <c r="D3684" s="65" t="s">
        <v>328</v>
      </c>
      <c r="E3684" s="65" t="s">
        <v>305</v>
      </c>
      <c r="F3684" s="65" t="s">
        <v>40</v>
      </c>
      <c r="G3684" s="65"/>
      <c r="H3684" s="65"/>
      <c r="I3684" s="66">
        <v>-2222.2159900000001</v>
      </c>
    </row>
    <row r="3685" spans="1:9" hidden="1">
      <c r="A3685" s="67" t="s">
        <v>295</v>
      </c>
      <c r="B3685" s="68">
        <v>2040</v>
      </c>
      <c r="C3685" s="68">
        <v>2023</v>
      </c>
      <c r="D3685" s="68" t="s">
        <v>329</v>
      </c>
      <c r="E3685" s="68" t="s">
        <v>294</v>
      </c>
      <c r="F3685" s="68" t="s">
        <v>40</v>
      </c>
      <c r="G3685" s="68"/>
      <c r="H3685" s="68"/>
      <c r="I3685" s="69">
        <v>11523.713078228109</v>
      </c>
    </row>
    <row r="3686" spans="1:9" hidden="1">
      <c r="A3686" s="64" t="s">
        <v>295</v>
      </c>
      <c r="B3686" s="65">
        <v>2040</v>
      </c>
      <c r="C3686" s="65">
        <v>2023</v>
      </c>
      <c r="D3686" s="65" t="s">
        <v>329</v>
      </c>
      <c r="E3686" s="65" t="s">
        <v>301</v>
      </c>
      <c r="F3686" s="65" t="s">
        <v>40</v>
      </c>
      <c r="G3686" s="65"/>
      <c r="H3686" s="65"/>
      <c r="I3686" s="66">
        <v>12575.68147556947</v>
      </c>
    </row>
    <row r="3687" spans="1:9" hidden="1">
      <c r="A3687" s="67" t="s">
        <v>295</v>
      </c>
      <c r="B3687" s="68">
        <v>2040</v>
      </c>
      <c r="C3687" s="68">
        <v>2023</v>
      </c>
      <c r="D3687" s="68" t="s">
        <v>329</v>
      </c>
      <c r="E3687" s="68" t="s">
        <v>305</v>
      </c>
      <c r="F3687" s="68" t="s">
        <v>40</v>
      </c>
      <c r="G3687" s="68"/>
      <c r="H3687" s="68"/>
      <c r="I3687" s="69">
        <v>4216.3139299999993</v>
      </c>
    </row>
    <row r="3688" spans="1:9" hidden="1">
      <c r="A3688" s="64" t="s">
        <v>295</v>
      </c>
      <c r="B3688" s="65">
        <v>2040</v>
      </c>
      <c r="C3688" s="65">
        <v>2023</v>
      </c>
      <c r="D3688" s="65" t="s">
        <v>330</v>
      </c>
      <c r="E3688" s="65" t="s">
        <v>294</v>
      </c>
      <c r="F3688" s="65" t="s">
        <v>40</v>
      </c>
      <c r="G3688" s="65"/>
      <c r="H3688" s="65"/>
      <c r="I3688" s="66">
        <v>11706.18466708511</v>
      </c>
    </row>
    <row r="3689" spans="1:9" hidden="1">
      <c r="A3689" s="67" t="s">
        <v>295</v>
      </c>
      <c r="B3689" s="68">
        <v>2040</v>
      </c>
      <c r="C3689" s="68">
        <v>2023</v>
      </c>
      <c r="D3689" s="68" t="s">
        <v>330</v>
      </c>
      <c r="E3689" s="68" t="s">
        <v>301</v>
      </c>
      <c r="F3689" s="68" t="s">
        <v>40</v>
      </c>
      <c r="G3689" s="68"/>
      <c r="H3689" s="68"/>
      <c r="I3689" s="69">
        <v>12775.32931708439</v>
      </c>
    </row>
    <row r="3690" spans="1:9" hidden="1">
      <c r="A3690" s="64" t="s">
        <v>295</v>
      </c>
      <c r="B3690" s="65">
        <v>2040</v>
      </c>
      <c r="C3690" s="65">
        <v>2023</v>
      </c>
      <c r="D3690" s="65" t="s">
        <v>330</v>
      </c>
      <c r="E3690" s="65" t="s">
        <v>305</v>
      </c>
      <c r="F3690" s="65" t="s">
        <v>40</v>
      </c>
      <c r="G3690" s="65"/>
      <c r="H3690" s="65"/>
      <c r="I3690" s="66">
        <v>765.18648000000007</v>
      </c>
    </row>
    <row r="3691" spans="1:9" hidden="1">
      <c r="A3691" s="67" t="s">
        <v>295</v>
      </c>
      <c r="B3691" s="68">
        <v>2040</v>
      </c>
      <c r="C3691" s="68">
        <v>2023</v>
      </c>
      <c r="D3691" s="68" t="s">
        <v>331</v>
      </c>
      <c r="E3691" s="68" t="s">
        <v>294</v>
      </c>
      <c r="F3691" s="68" t="s">
        <v>40</v>
      </c>
      <c r="G3691" s="68"/>
      <c r="H3691" s="68"/>
      <c r="I3691" s="69">
        <v>29722.721696640281</v>
      </c>
    </row>
    <row r="3692" spans="1:9" hidden="1">
      <c r="A3692" s="64" t="s">
        <v>295</v>
      </c>
      <c r="B3692" s="65">
        <v>2040</v>
      </c>
      <c r="C3692" s="65">
        <v>2023</v>
      </c>
      <c r="D3692" s="65" t="s">
        <v>331</v>
      </c>
      <c r="E3692" s="65" t="s">
        <v>301</v>
      </c>
      <c r="F3692" s="65" t="s">
        <v>40</v>
      </c>
      <c r="G3692" s="65"/>
      <c r="H3692" s="65"/>
      <c r="I3692" s="66">
        <v>30211.379220511739</v>
      </c>
    </row>
    <row r="3693" spans="1:9" hidden="1">
      <c r="A3693" s="67" t="s">
        <v>295</v>
      </c>
      <c r="B3693" s="68">
        <v>2040</v>
      </c>
      <c r="C3693" s="68">
        <v>2023</v>
      </c>
      <c r="D3693" s="68" t="s">
        <v>331</v>
      </c>
      <c r="E3693" s="68" t="s">
        <v>305</v>
      </c>
      <c r="F3693" s="68" t="s">
        <v>40</v>
      </c>
      <c r="G3693" s="68"/>
      <c r="H3693" s="68"/>
      <c r="I3693" s="69">
        <v>3122.4662899999998</v>
      </c>
    </row>
    <row r="3694" spans="1:9" hidden="1">
      <c r="A3694" s="64" t="s">
        <v>295</v>
      </c>
      <c r="B3694" s="65">
        <v>2040</v>
      </c>
      <c r="C3694" s="65">
        <v>2023</v>
      </c>
      <c r="D3694" s="65" t="s">
        <v>332</v>
      </c>
      <c r="E3694" s="65" t="s">
        <v>294</v>
      </c>
      <c r="F3694" s="65" t="s">
        <v>40</v>
      </c>
      <c r="G3694" s="65"/>
      <c r="H3694" s="65"/>
      <c r="I3694" s="66">
        <v>472.71611999999999</v>
      </c>
    </row>
    <row r="3695" spans="1:9" hidden="1">
      <c r="A3695" s="67" t="s">
        <v>295</v>
      </c>
      <c r="B3695" s="68">
        <v>2040</v>
      </c>
      <c r="C3695" s="68">
        <v>2023</v>
      </c>
      <c r="D3695" s="68" t="s">
        <v>332</v>
      </c>
      <c r="E3695" s="68" t="s">
        <v>301</v>
      </c>
      <c r="F3695" s="68" t="s">
        <v>40</v>
      </c>
      <c r="G3695" s="68"/>
      <c r="H3695" s="68"/>
      <c r="I3695" s="69">
        <v>328.11612000000008</v>
      </c>
    </row>
    <row r="3696" spans="1:9" hidden="1">
      <c r="A3696" s="64" t="s">
        <v>295</v>
      </c>
      <c r="B3696" s="65">
        <v>2040</v>
      </c>
      <c r="C3696" s="65">
        <v>2023</v>
      </c>
      <c r="D3696" s="65" t="s">
        <v>332</v>
      </c>
      <c r="E3696" s="65" t="s">
        <v>305</v>
      </c>
      <c r="F3696" s="65" t="s">
        <v>40</v>
      </c>
      <c r="G3696" s="65"/>
      <c r="H3696" s="65"/>
      <c r="I3696" s="66">
        <v>282.97651000000002</v>
      </c>
    </row>
    <row r="3697" spans="1:9" hidden="1">
      <c r="A3697" s="67" t="s">
        <v>295</v>
      </c>
      <c r="B3697" s="68">
        <v>2040</v>
      </c>
      <c r="C3697" s="68">
        <v>2023</v>
      </c>
      <c r="D3697" s="68" t="s">
        <v>333</v>
      </c>
      <c r="E3697" s="68" t="s">
        <v>294</v>
      </c>
      <c r="F3697" s="68" t="s">
        <v>40</v>
      </c>
      <c r="G3697" s="68"/>
      <c r="H3697" s="68"/>
      <c r="I3697" s="69">
        <v>-33120.964169999999</v>
      </c>
    </row>
    <row r="3698" spans="1:9" hidden="1">
      <c r="A3698" s="64" t="s">
        <v>295</v>
      </c>
      <c r="B3698" s="65">
        <v>2040</v>
      </c>
      <c r="C3698" s="65">
        <v>2023</v>
      </c>
      <c r="D3698" s="65" t="s">
        <v>333</v>
      </c>
      <c r="E3698" s="65" t="s">
        <v>301</v>
      </c>
      <c r="F3698" s="65" t="s">
        <v>40</v>
      </c>
      <c r="G3698" s="65"/>
      <c r="H3698" s="65"/>
      <c r="I3698" s="66">
        <v>-32872.75677</v>
      </c>
    </row>
    <row r="3699" spans="1:9" hidden="1">
      <c r="A3699" s="67" t="s">
        <v>295</v>
      </c>
      <c r="B3699" s="68">
        <v>2040</v>
      </c>
      <c r="C3699" s="68">
        <v>2023</v>
      </c>
      <c r="D3699" s="68" t="s">
        <v>333</v>
      </c>
      <c r="E3699" s="68" t="s">
        <v>305</v>
      </c>
      <c r="F3699" s="68" t="s">
        <v>40</v>
      </c>
      <c r="G3699" s="68"/>
      <c r="H3699" s="68"/>
      <c r="I3699" s="69">
        <v>-1784.1</v>
      </c>
    </row>
    <row r="3700" spans="1:9" hidden="1">
      <c r="A3700" s="64" t="s">
        <v>295</v>
      </c>
      <c r="B3700" s="65">
        <v>2040</v>
      </c>
      <c r="C3700" s="65">
        <v>2023</v>
      </c>
      <c r="D3700" s="65" t="s">
        <v>334</v>
      </c>
      <c r="E3700" s="65" t="s">
        <v>294</v>
      </c>
      <c r="F3700" s="65" t="s">
        <v>40</v>
      </c>
      <c r="G3700" s="65"/>
      <c r="H3700" s="65"/>
      <c r="I3700" s="66">
        <v>253.85033000000001</v>
      </c>
    </row>
    <row r="3701" spans="1:9" hidden="1">
      <c r="A3701" s="67" t="s">
        <v>295</v>
      </c>
      <c r="B3701" s="68">
        <v>2040</v>
      </c>
      <c r="C3701" s="68">
        <v>2023</v>
      </c>
      <c r="D3701" s="68" t="s">
        <v>334</v>
      </c>
      <c r="E3701" s="68" t="s">
        <v>301</v>
      </c>
      <c r="F3701" s="68" t="s">
        <v>40</v>
      </c>
      <c r="G3701" s="68"/>
      <c r="H3701" s="68"/>
      <c r="I3701" s="69">
        <v>253.85033000000001</v>
      </c>
    </row>
    <row r="3702" spans="1:9" hidden="1">
      <c r="A3702" s="64" t="s">
        <v>295</v>
      </c>
      <c r="B3702" s="65">
        <v>2040</v>
      </c>
      <c r="C3702" s="65">
        <v>2023</v>
      </c>
      <c r="D3702" s="65" t="s">
        <v>308</v>
      </c>
      <c r="E3702" s="65" t="s">
        <v>294</v>
      </c>
      <c r="F3702" s="65" t="s">
        <v>297</v>
      </c>
      <c r="G3702" s="65"/>
      <c r="H3702" s="65"/>
      <c r="I3702" s="66">
        <v>68292.657512069054</v>
      </c>
    </row>
    <row r="3703" spans="1:9" hidden="1">
      <c r="A3703" s="67" t="s">
        <v>295</v>
      </c>
      <c r="B3703" s="68">
        <v>2040</v>
      </c>
      <c r="C3703" s="68">
        <v>2023</v>
      </c>
      <c r="D3703" s="68" t="s">
        <v>308</v>
      </c>
      <c r="E3703" s="68" t="s">
        <v>294</v>
      </c>
      <c r="F3703" s="68" t="s">
        <v>298</v>
      </c>
      <c r="G3703" s="68"/>
      <c r="H3703" s="68"/>
      <c r="I3703" s="69">
        <v>234.65064460593911</v>
      </c>
    </row>
    <row r="3704" spans="1:9" hidden="1">
      <c r="A3704" s="64" t="s">
        <v>295</v>
      </c>
      <c r="B3704" s="65">
        <v>2040</v>
      </c>
      <c r="C3704" s="65">
        <v>2023</v>
      </c>
      <c r="D3704" s="65" t="s">
        <v>308</v>
      </c>
      <c r="E3704" s="65" t="s">
        <v>294</v>
      </c>
      <c r="F3704" s="65" t="s">
        <v>40</v>
      </c>
      <c r="G3704" s="65"/>
      <c r="H3704" s="65"/>
      <c r="I3704" s="66">
        <v>68527.308156675004</v>
      </c>
    </row>
    <row r="3705" spans="1:9" hidden="1">
      <c r="A3705" s="67" t="s">
        <v>295</v>
      </c>
      <c r="B3705" s="68">
        <v>2040</v>
      </c>
      <c r="C3705" s="68">
        <v>2023</v>
      </c>
      <c r="D3705" s="68" t="s">
        <v>308</v>
      </c>
      <c r="E3705" s="68" t="s">
        <v>301</v>
      </c>
      <c r="F3705" s="68" t="s">
        <v>297</v>
      </c>
      <c r="G3705" s="68"/>
      <c r="H3705" s="68"/>
      <c r="I3705" s="69">
        <v>69305.544742027705</v>
      </c>
    </row>
    <row r="3706" spans="1:9" hidden="1">
      <c r="A3706" s="64" t="s">
        <v>295</v>
      </c>
      <c r="B3706" s="65">
        <v>2040</v>
      </c>
      <c r="C3706" s="65">
        <v>2023</v>
      </c>
      <c r="D3706" s="65" t="s">
        <v>308</v>
      </c>
      <c r="E3706" s="65" t="s">
        <v>301</v>
      </c>
      <c r="F3706" s="65" t="s">
        <v>298</v>
      </c>
      <c r="G3706" s="65"/>
      <c r="H3706" s="65"/>
      <c r="I3706" s="66">
        <v>234.65064458858461</v>
      </c>
    </row>
    <row r="3707" spans="1:9" hidden="1">
      <c r="A3707" s="67" t="s">
        <v>295</v>
      </c>
      <c r="B3707" s="68">
        <v>2040</v>
      </c>
      <c r="C3707" s="68">
        <v>2023</v>
      </c>
      <c r="D3707" s="68" t="s">
        <v>308</v>
      </c>
      <c r="E3707" s="68" t="s">
        <v>301</v>
      </c>
      <c r="F3707" s="68" t="s">
        <v>40</v>
      </c>
      <c r="G3707" s="68"/>
      <c r="H3707" s="68"/>
      <c r="I3707" s="69">
        <v>69434.228645385141</v>
      </c>
    </row>
    <row r="3708" spans="1:9" hidden="1">
      <c r="A3708" s="64" t="s">
        <v>295</v>
      </c>
      <c r="B3708" s="65">
        <v>2040</v>
      </c>
      <c r="C3708" s="65">
        <v>2023</v>
      </c>
      <c r="D3708" s="65" t="s">
        <v>308</v>
      </c>
      <c r="E3708" s="65" t="s">
        <v>305</v>
      </c>
      <c r="F3708" s="65" t="s">
        <v>297</v>
      </c>
      <c r="G3708" s="65"/>
      <c r="H3708" s="65"/>
      <c r="I3708" s="66">
        <v>1684.5238899999999</v>
      </c>
    </row>
    <row r="3709" spans="1:9" hidden="1">
      <c r="A3709" s="67" t="s">
        <v>295</v>
      </c>
      <c r="B3709" s="68">
        <v>2040</v>
      </c>
      <c r="C3709" s="68">
        <v>2023</v>
      </c>
      <c r="D3709" s="68" t="s">
        <v>308</v>
      </c>
      <c r="E3709" s="68" t="s">
        <v>305</v>
      </c>
      <c r="F3709" s="68" t="s">
        <v>40</v>
      </c>
      <c r="G3709" s="68"/>
      <c r="H3709" s="68"/>
      <c r="I3709" s="69">
        <v>10273.32389</v>
      </c>
    </row>
    <row r="3710" spans="1:9" hidden="1">
      <c r="A3710" s="64" t="s">
        <v>295</v>
      </c>
      <c r="B3710" s="65">
        <v>2040</v>
      </c>
      <c r="C3710" s="65">
        <v>2023</v>
      </c>
      <c r="D3710" s="65" t="s">
        <v>310</v>
      </c>
      <c r="E3710" s="65" t="s">
        <v>294</v>
      </c>
      <c r="F3710" s="65" t="s">
        <v>297</v>
      </c>
      <c r="G3710" s="65"/>
      <c r="H3710" s="65"/>
      <c r="I3710" s="66">
        <v>163.1</v>
      </c>
    </row>
    <row r="3711" spans="1:9" hidden="1">
      <c r="A3711" s="67" t="s">
        <v>295</v>
      </c>
      <c r="B3711" s="68">
        <v>2040</v>
      </c>
      <c r="C3711" s="68">
        <v>2023</v>
      </c>
      <c r="D3711" s="68" t="s">
        <v>310</v>
      </c>
      <c r="E3711" s="68" t="s">
        <v>294</v>
      </c>
      <c r="F3711" s="68" t="s">
        <v>40</v>
      </c>
      <c r="G3711" s="68"/>
      <c r="H3711" s="68"/>
      <c r="I3711" s="69">
        <v>122739.27425105219</v>
      </c>
    </row>
    <row r="3712" spans="1:9" hidden="1">
      <c r="A3712" s="64" t="s">
        <v>295</v>
      </c>
      <c r="B3712" s="65">
        <v>2040</v>
      </c>
      <c r="C3712" s="65">
        <v>2023</v>
      </c>
      <c r="D3712" s="65" t="s">
        <v>310</v>
      </c>
      <c r="E3712" s="65" t="s">
        <v>301</v>
      </c>
      <c r="F3712" s="65" t="s">
        <v>297</v>
      </c>
      <c r="G3712" s="65"/>
      <c r="H3712" s="65"/>
      <c r="I3712" s="66">
        <v>163.1</v>
      </c>
    </row>
    <row r="3713" spans="1:9" hidden="1">
      <c r="A3713" s="67" t="s">
        <v>295</v>
      </c>
      <c r="B3713" s="68">
        <v>2040</v>
      </c>
      <c r="C3713" s="68">
        <v>2023</v>
      </c>
      <c r="D3713" s="68" t="s">
        <v>310</v>
      </c>
      <c r="E3713" s="68" t="s">
        <v>301</v>
      </c>
      <c r="F3713" s="68" t="s">
        <v>40</v>
      </c>
      <c r="G3713" s="68"/>
      <c r="H3713" s="68"/>
      <c r="I3713" s="69">
        <v>131192.4752616428</v>
      </c>
    </row>
    <row r="3714" spans="1:9" hidden="1">
      <c r="A3714" s="64" t="s">
        <v>295</v>
      </c>
      <c r="B3714" s="65">
        <v>2040</v>
      </c>
      <c r="C3714" s="65">
        <v>2023</v>
      </c>
      <c r="D3714" s="65" t="s">
        <v>310</v>
      </c>
      <c r="E3714" s="65" t="s">
        <v>305</v>
      </c>
      <c r="F3714" s="65" t="s">
        <v>40</v>
      </c>
      <c r="G3714" s="65"/>
      <c r="H3714" s="65"/>
      <c r="I3714" s="66">
        <v>1267.874</v>
      </c>
    </row>
    <row r="3715" spans="1:9" hidden="1">
      <c r="A3715" s="67" t="s">
        <v>295</v>
      </c>
      <c r="B3715" s="68">
        <v>2040</v>
      </c>
      <c r="C3715" s="68">
        <v>2023</v>
      </c>
      <c r="D3715" s="68" t="s">
        <v>311</v>
      </c>
      <c r="E3715" s="68" t="s">
        <v>294</v>
      </c>
      <c r="F3715" s="68" t="s">
        <v>297</v>
      </c>
      <c r="G3715" s="68"/>
      <c r="H3715" s="68"/>
      <c r="I3715" s="69">
        <v>844.5</v>
      </c>
    </row>
    <row r="3716" spans="1:9" hidden="1">
      <c r="A3716" s="64" t="s">
        <v>295</v>
      </c>
      <c r="B3716" s="65">
        <v>2040</v>
      </c>
      <c r="C3716" s="65">
        <v>2023</v>
      </c>
      <c r="D3716" s="65" t="s">
        <v>311</v>
      </c>
      <c r="E3716" s="65" t="s">
        <v>294</v>
      </c>
      <c r="F3716" s="65" t="s">
        <v>40</v>
      </c>
      <c r="G3716" s="65"/>
      <c r="H3716" s="65"/>
      <c r="I3716" s="66">
        <v>141292.02286229719</v>
      </c>
    </row>
    <row r="3717" spans="1:9" hidden="1">
      <c r="A3717" s="67" t="s">
        <v>295</v>
      </c>
      <c r="B3717" s="68">
        <v>2040</v>
      </c>
      <c r="C3717" s="68">
        <v>2023</v>
      </c>
      <c r="D3717" s="68" t="s">
        <v>311</v>
      </c>
      <c r="E3717" s="68" t="s">
        <v>301</v>
      </c>
      <c r="F3717" s="68" t="s">
        <v>297</v>
      </c>
      <c r="G3717" s="68"/>
      <c r="H3717" s="68"/>
      <c r="I3717" s="69">
        <v>844.5</v>
      </c>
    </row>
    <row r="3718" spans="1:9" hidden="1">
      <c r="A3718" s="64" t="s">
        <v>295</v>
      </c>
      <c r="B3718" s="65">
        <v>2040</v>
      </c>
      <c r="C3718" s="65">
        <v>2023</v>
      </c>
      <c r="D3718" s="65" t="s">
        <v>311</v>
      </c>
      <c r="E3718" s="65" t="s">
        <v>301</v>
      </c>
      <c r="F3718" s="65" t="s">
        <v>40</v>
      </c>
      <c r="G3718" s="65"/>
      <c r="H3718" s="65"/>
      <c r="I3718" s="66">
        <v>143612.55994049591</v>
      </c>
    </row>
    <row r="3719" spans="1:9" hidden="1">
      <c r="A3719" s="67" t="s">
        <v>295</v>
      </c>
      <c r="B3719" s="68">
        <v>2040</v>
      </c>
      <c r="C3719" s="68">
        <v>2023</v>
      </c>
      <c r="D3719" s="68" t="s">
        <v>311</v>
      </c>
      <c r="E3719" s="68" t="s">
        <v>305</v>
      </c>
      <c r="F3719" s="68" t="s">
        <v>40</v>
      </c>
      <c r="G3719" s="68"/>
      <c r="H3719" s="68"/>
      <c r="I3719" s="69">
        <v>979.8</v>
      </c>
    </row>
    <row r="3720" spans="1:9" hidden="1">
      <c r="A3720" s="64" t="s">
        <v>295</v>
      </c>
      <c r="B3720" s="65">
        <v>2040</v>
      </c>
      <c r="C3720" s="65">
        <v>2023</v>
      </c>
      <c r="D3720" s="65" t="s">
        <v>312</v>
      </c>
      <c r="E3720" s="65" t="s">
        <v>294</v>
      </c>
      <c r="F3720" s="65" t="s">
        <v>297</v>
      </c>
      <c r="G3720" s="65"/>
      <c r="H3720" s="65"/>
      <c r="I3720" s="66">
        <v>696.37110000000007</v>
      </c>
    </row>
    <row r="3721" spans="1:9" hidden="1">
      <c r="A3721" s="67" t="s">
        <v>295</v>
      </c>
      <c r="B3721" s="68">
        <v>2040</v>
      </c>
      <c r="C3721" s="68">
        <v>2023</v>
      </c>
      <c r="D3721" s="68" t="s">
        <v>312</v>
      </c>
      <c r="E3721" s="68" t="s">
        <v>294</v>
      </c>
      <c r="F3721" s="68" t="s">
        <v>40</v>
      </c>
      <c r="G3721" s="68"/>
      <c r="H3721" s="68"/>
      <c r="I3721" s="69">
        <v>840.27110000000005</v>
      </c>
    </row>
    <row r="3722" spans="1:9" hidden="1">
      <c r="A3722" s="64" t="s">
        <v>295</v>
      </c>
      <c r="B3722" s="65">
        <v>2040</v>
      </c>
      <c r="C3722" s="65">
        <v>2023</v>
      </c>
      <c r="D3722" s="65" t="s">
        <v>312</v>
      </c>
      <c r="E3722" s="65" t="s">
        <v>301</v>
      </c>
      <c r="F3722" s="65" t="s">
        <v>297</v>
      </c>
      <c r="G3722" s="65"/>
      <c r="H3722" s="65"/>
      <c r="I3722" s="66">
        <v>699.17849999999999</v>
      </c>
    </row>
    <row r="3723" spans="1:9" hidden="1">
      <c r="A3723" s="67" t="s">
        <v>295</v>
      </c>
      <c r="B3723" s="68">
        <v>2040</v>
      </c>
      <c r="C3723" s="68">
        <v>2023</v>
      </c>
      <c r="D3723" s="68" t="s">
        <v>312</v>
      </c>
      <c r="E3723" s="68" t="s">
        <v>301</v>
      </c>
      <c r="F3723" s="68" t="s">
        <v>40</v>
      </c>
      <c r="G3723" s="68"/>
      <c r="H3723" s="68"/>
      <c r="I3723" s="69">
        <v>843.07849999999996</v>
      </c>
    </row>
    <row r="3724" spans="1:9" hidden="1">
      <c r="A3724" s="64" t="s">
        <v>295</v>
      </c>
      <c r="B3724" s="65">
        <v>2040</v>
      </c>
      <c r="C3724" s="65">
        <v>2023</v>
      </c>
      <c r="D3724" s="65" t="s">
        <v>313</v>
      </c>
      <c r="E3724" s="65" t="s">
        <v>294</v>
      </c>
      <c r="F3724" s="65" t="s">
        <v>297</v>
      </c>
      <c r="G3724" s="65"/>
      <c r="H3724" s="65"/>
      <c r="I3724" s="66">
        <v>1360754.1516018601</v>
      </c>
    </row>
    <row r="3725" spans="1:9" hidden="1">
      <c r="A3725" s="67" t="s">
        <v>295</v>
      </c>
      <c r="B3725" s="68">
        <v>2040</v>
      </c>
      <c r="C3725" s="68">
        <v>2023</v>
      </c>
      <c r="D3725" s="68" t="s">
        <v>313</v>
      </c>
      <c r="E3725" s="68" t="s">
        <v>294</v>
      </c>
      <c r="F3725" s="68" t="s">
        <v>298</v>
      </c>
      <c r="G3725" s="68"/>
      <c r="H3725" s="68"/>
      <c r="I3725" s="69">
        <v>624074.15387138957</v>
      </c>
    </row>
    <row r="3726" spans="1:9" hidden="1">
      <c r="A3726" s="64" t="s">
        <v>295</v>
      </c>
      <c r="B3726" s="65">
        <v>2040</v>
      </c>
      <c r="C3726" s="65">
        <v>2023</v>
      </c>
      <c r="D3726" s="65" t="s">
        <v>313</v>
      </c>
      <c r="E3726" s="65" t="s">
        <v>294</v>
      </c>
      <c r="F3726" s="65" t="s">
        <v>40</v>
      </c>
      <c r="G3726" s="65"/>
      <c r="H3726" s="65"/>
      <c r="I3726" s="66">
        <v>2001675.9352631739</v>
      </c>
    </row>
    <row r="3727" spans="1:9" hidden="1">
      <c r="A3727" s="67" t="s">
        <v>295</v>
      </c>
      <c r="B3727" s="68">
        <v>2040</v>
      </c>
      <c r="C3727" s="68">
        <v>2023</v>
      </c>
      <c r="D3727" s="68" t="s">
        <v>313</v>
      </c>
      <c r="E3727" s="68" t="s">
        <v>301</v>
      </c>
      <c r="F3727" s="68" t="s">
        <v>297</v>
      </c>
      <c r="G3727" s="68"/>
      <c r="H3727" s="68"/>
      <c r="I3727" s="69">
        <v>1562254.189372028</v>
      </c>
    </row>
    <row r="3728" spans="1:9" hidden="1">
      <c r="A3728" s="64" t="s">
        <v>295</v>
      </c>
      <c r="B3728" s="65">
        <v>2040</v>
      </c>
      <c r="C3728" s="65">
        <v>2023</v>
      </c>
      <c r="D3728" s="65" t="s">
        <v>313</v>
      </c>
      <c r="E3728" s="65" t="s">
        <v>301</v>
      </c>
      <c r="F3728" s="65" t="s">
        <v>298</v>
      </c>
      <c r="G3728" s="65"/>
      <c r="H3728" s="65"/>
      <c r="I3728" s="66">
        <v>708830.35060564696</v>
      </c>
    </row>
    <row r="3729" spans="1:9" hidden="1">
      <c r="A3729" s="67" t="s">
        <v>295</v>
      </c>
      <c r="B3729" s="68">
        <v>2040</v>
      </c>
      <c r="C3729" s="68">
        <v>2023</v>
      </c>
      <c r="D3729" s="68" t="s">
        <v>313</v>
      </c>
      <c r="E3729" s="68" t="s">
        <v>301</v>
      </c>
      <c r="F3729" s="68" t="s">
        <v>40</v>
      </c>
      <c r="G3729" s="68"/>
      <c r="H3729" s="68"/>
      <c r="I3729" s="69">
        <v>2289366.397915605</v>
      </c>
    </row>
    <row r="3730" spans="1:9" hidden="1">
      <c r="A3730" s="64" t="s">
        <v>295</v>
      </c>
      <c r="B3730" s="65">
        <v>2040</v>
      </c>
      <c r="C3730" s="65">
        <v>2023</v>
      </c>
      <c r="D3730" s="65" t="s">
        <v>313</v>
      </c>
      <c r="E3730" s="65" t="s">
        <v>305</v>
      </c>
      <c r="F3730" s="65" t="s">
        <v>297</v>
      </c>
      <c r="G3730" s="65"/>
      <c r="H3730" s="65"/>
      <c r="I3730" s="66">
        <v>17336.61951</v>
      </c>
    </row>
    <row r="3731" spans="1:9" hidden="1">
      <c r="A3731" s="67" t="s">
        <v>295</v>
      </c>
      <c r="B3731" s="68">
        <v>2040</v>
      </c>
      <c r="C3731" s="68">
        <v>2023</v>
      </c>
      <c r="D3731" s="68" t="s">
        <v>313</v>
      </c>
      <c r="E3731" s="68" t="s">
        <v>305</v>
      </c>
      <c r="F3731" s="68" t="s">
        <v>298</v>
      </c>
      <c r="G3731" s="68"/>
      <c r="H3731" s="68"/>
      <c r="I3731" s="69">
        <v>9442.8862600000011</v>
      </c>
    </row>
    <row r="3732" spans="1:9" hidden="1">
      <c r="A3732" s="64" t="s">
        <v>295</v>
      </c>
      <c r="B3732" s="65">
        <v>2040</v>
      </c>
      <c r="C3732" s="65">
        <v>2023</v>
      </c>
      <c r="D3732" s="65" t="s">
        <v>313</v>
      </c>
      <c r="E3732" s="65" t="s">
        <v>305</v>
      </c>
      <c r="F3732" s="65" t="s">
        <v>40</v>
      </c>
      <c r="G3732" s="65"/>
      <c r="H3732" s="65"/>
      <c r="I3732" s="66">
        <v>218128.51897999999</v>
      </c>
    </row>
    <row r="3733" spans="1:9" hidden="1">
      <c r="A3733" s="67" t="s">
        <v>295</v>
      </c>
      <c r="B3733" s="68">
        <v>2040</v>
      </c>
      <c r="C3733" s="68">
        <v>2023</v>
      </c>
      <c r="D3733" s="68" t="s">
        <v>314</v>
      </c>
      <c r="E3733" s="68" t="s">
        <v>294</v>
      </c>
      <c r="F3733" s="68" t="s">
        <v>297</v>
      </c>
      <c r="G3733" s="68"/>
      <c r="H3733" s="68"/>
      <c r="I3733" s="69">
        <v>1360754.1516018601</v>
      </c>
    </row>
    <row r="3734" spans="1:9" hidden="1">
      <c r="A3734" s="64" t="s">
        <v>295</v>
      </c>
      <c r="B3734" s="65">
        <v>2040</v>
      </c>
      <c r="C3734" s="65">
        <v>2023</v>
      </c>
      <c r="D3734" s="65" t="s">
        <v>314</v>
      </c>
      <c r="E3734" s="65" t="s">
        <v>294</v>
      </c>
      <c r="F3734" s="65" t="s">
        <v>298</v>
      </c>
      <c r="G3734" s="65"/>
      <c r="H3734" s="65"/>
      <c r="I3734" s="66">
        <v>624074.15387138957</v>
      </c>
    </row>
    <row r="3735" spans="1:9" hidden="1">
      <c r="A3735" s="67" t="s">
        <v>295</v>
      </c>
      <c r="B3735" s="68">
        <v>2040</v>
      </c>
      <c r="C3735" s="68">
        <v>2023</v>
      </c>
      <c r="D3735" s="68" t="s">
        <v>314</v>
      </c>
      <c r="E3735" s="68" t="s">
        <v>294</v>
      </c>
      <c r="F3735" s="68" t="s">
        <v>40</v>
      </c>
      <c r="G3735" s="68"/>
      <c r="H3735" s="68"/>
      <c r="I3735" s="69">
        <v>1755415.6850406339</v>
      </c>
    </row>
    <row r="3736" spans="1:9" hidden="1">
      <c r="A3736" s="64" t="s">
        <v>295</v>
      </c>
      <c r="B3736" s="65">
        <v>2040</v>
      </c>
      <c r="C3736" s="65">
        <v>2023</v>
      </c>
      <c r="D3736" s="65" t="s">
        <v>314</v>
      </c>
      <c r="E3736" s="65" t="s">
        <v>301</v>
      </c>
      <c r="F3736" s="65" t="s">
        <v>297</v>
      </c>
      <c r="G3736" s="65"/>
      <c r="H3736" s="65"/>
      <c r="I3736" s="66">
        <v>1562254.189372028</v>
      </c>
    </row>
    <row r="3737" spans="1:9" hidden="1">
      <c r="A3737" s="67" t="s">
        <v>295</v>
      </c>
      <c r="B3737" s="68">
        <v>2040</v>
      </c>
      <c r="C3737" s="68">
        <v>2023</v>
      </c>
      <c r="D3737" s="68" t="s">
        <v>314</v>
      </c>
      <c r="E3737" s="68" t="s">
        <v>301</v>
      </c>
      <c r="F3737" s="68" t="s">
        <v>298</v>
      </c>
      <c r="G3737" s="68"/>
      <c r="H3737" s="68"/>
      <c r="I3737" s="69">
        <v>708830.35060564696</v>
      </c>
    </row>
    <row r="3738" spans="1:9" hidden="1">
      <c r="A3738" s="64" t="s">
        <v>295</v>
      </c>
      <c r="B3738" s="65">
        <v>2040</v>
      </c>
      <c r="C3738" s="65">
        <v>2023</v>
      </c>
      <c r="D3738" s="65" t="s">
        <v>314</v>
      </c>
      <c r="E3738" s="65" t="s">
        <v>301</v>
      </c>
      <c r="F3738" s="65" t="s">
        <v>40</v>
      </c>
      <c r="G3738" s="65"/>
      <c r="H3738" s="65"/>
      <c r="I3738" s="66">
        <v>2074109.330979791</v>
      </c>
    </row>
    <row r="3739" spans="1:9" hidden="1">
      <c r="A3739" s="67" t="s">
        <v>295</v>
      </c>
      <c r="B3739" s="68">
        <v>2040</v>
      </c>
      <c r="C3739" s="68">
        <v>2023</v>
      </c>
      <c r="D3739" s="68" t="s">
        <v>314</v>
      </c>
      <c r="E3739" s="68" t="s">
        <v>305</v>
      </c>
      <c r="F3739" s="68" t="s">
        <v>297</v>
      </c>
      <c r="G3739" s="68"/>
      <c r="H3739" s="68"/>
      <c r="I3739" s="69">
        <v>17336.61951</v>
      </c>
    </row>
    <row r="3740" spans="1:9" hidden="1">
      <c r="A3740" s="64" t="s">
        <v>295</v>
      </c>
      <c r="B3740" s="65">
        <v>2040</v>
      </c>
      <c r="C3740" s="65">
        <v>2023</v>
      </c>
      <c r="D3740" s="65" t="s">
        <v>314</v>
      </c>
      <c r="E3740" s="65" t="s">
        <v>305</v>
      </c>
      <c r="F3740" s="65" t="s">
        <v>298</v>
      </c>
      <c r="G3740" s="65"/>
      <c r="H3740" s="65"/>
      <c r="I3740" s="66">
        <v>9442.8862600000011</v>
      </c>
    </row>
    <row r="3741" spans="1:9" hidden="1">
      <c r="A3741" s="67" t="s">
        <v>295</v>
      </c>
      <c r="B3741" s="68">
        <v>2040</v>
      </c>
      <c r="C3741" s="68">
        <v>2023</v>
      </c>
      <c r="D3741" s="68" t="s">
        <v>314</v>
      </c>
      <c r="E3741" s="68" t="s">
        <v>305</v>
      </c>
      <c r="F3741" s="68" t="s">
        <v>40</v>
      </c>
      <c r="G3741" s="68"/>
      <c r="H3741" s="68"/>
      <c r="I3741" s="69">
        <v>205349.62458999999</v>
      </c>
    </row>
    <row r="3742" spans="1:9" hidden="1">
      <c r="A3742" s="64" t="s">
        <v>295</v>
      </c>
      <c r="B3742" s="65">
        <v>2041</v>
      </c>
      <c r="C3742" s="65">
        <v>2023</v>
      </c>
      <c r="D3742" s="65" t="s">
        <v>296</v>
      </c>
      <c r="E3742" s="65" t="s">
        <v>294</v>
      </c>
      <c r="F3742" s="65" t="s">
        <v>297</v>
      </c>
      <c r="G3742" s="65"/>
      <c r="H3742" s="65"/>
      <c r="I3742" s="66">
        <v>878157.13600127422</v>
      </c>
    </row>
    <row r="3743" spans="1:9" hidden="1">
      <c r="A3743" s="67" t="s">
        <v>295</v>
      </c>
      <c r="B3743" s="68">
        <v>2041</v>
      </c>
      <c r="C3743" s="68">
        <v>2023</v>
      </c>
      <c r="D3743" s="68" t="s">
        <v>296</v>
      </c>
      <c r="E3743" s="68" t="s">
        <v>294</v>
      </c>
      <c r="F3743" s="68" t="s">
        <v>298</v>
      </c>
      <c r="G3743" s="68"/>
      <c r="H3743" s="68"/>
      <c r="I3743" s="69">
        <v>449525.5245730012</v>
      </c>
    </row>
    <row r="3744" spans="1:9" hidden="1">
      <c r="A3744" s="64" t="s">
        <v>295</v>
      </c>
      <c r="B3744" s="65">
        <v>2041</v>
      </c>
      <c r="C3744" s="65">
        <v>2023</v>
      </c>
      <c r="D3744" s="65" t="s">
        <v>296</v>
      </c>
      <c r="E3744" s="65" t="s">
        <v>294</v>
      </c>
      <c r="F3744" s="65" t="s">
        <v>40</v>
      </c>
      <c r="G3744" s="65"/>
      <c r="H3744" s="65"/>
      <c r="I3744" s="66">
        <v>1344742.622749123</v>
      </c>
    </row>
    <row r="3745" spans="1:9" hidden="1">
      <c r="A3745" s="67" t="s">
        <v>295</v>
      </c>
      <c r="B3745" s="68">
        <v>2041</v>
      </c>
      <c r="C3745" s="68">
        <v>2023</v>
      </c>
      <c r="D3745" s="68" t="s">
        <v>296</v>
      </c>
      <c r="E3745" s="68" t="s">
        <v>301</v>
      </c>
      <c r="F3745" s="68" t="s">
        <v>297</v>
      </c>
      <c r="G3745" s="68"/>
      <c r="H3745" s="68"/>
      <c r="I3745" s="69">
        <v>1059938.4403855619</v>
      </c>
    </row>
    <row r="3746" spans="1:9" hidden="1">
      <c r="A3746" s="64" t="s">
        <v>295</v>
      </c>
      <c r="B3746" s="65">
        <v>2041</v>
      </c>
      <c r="C3746" s="65">
        <v>2023</v>
      </c>
      <c r="D3746" s="65" t="s">
        <v>296</v>
      </c>
      <c r="E3746" s="65" t="s">
        <v>301</v>
      </c>
      <c r="F3746" s="65" t="s">
        <v>298</v>
      </c>
      <c r="G3746" s="65"/>
      <c r="H3746" s="65"/>
      <c r="I3746" s="66">
        <v>525473.81599115161</v>
      </c>
    </row>
    <row r="3747" spans="1:9" hidden="1">
      <c r="A3747" s="67" t="s">
        <v>295</v>
      </c>
      <c r="B3747" s="68">
        <v>2041</v>
      </c>
      <c r="C3747" s="68">
        <v>2023</v>
      </c>
      <c r="D3747" s="68" t="s">
        <v>296</v>
      </c>
      <c r="E3747" s="68" t="s">
        <v>301</v>
      </c>
      <c r="F3747" s="68" t="s">
        <v>40</v>
      </c>
      <c r="G3747" s="68"/>
      <c r="H3747" s="68"/>
      <c r="I3747" s="69">
        <v>1604067.2768753429</v>
      </c>
    </row>
    <row r="3748" spans="1:9" hidden="1">
      <c r="A3748" s="64" t="s">
        <v>295</v>
      </c>
      <c r="B3748" s="65">
        <v>2041</v>
      </c>
      <c r="C3748" s="65">
        <v>2023</v>
      </c>
      <c r="D3748" s="65" t="s">
        <v>296</v>
      </c>
      <c r="E3748" s="65" t="s">
        <v>305</v>
      </c>
      <c r="F3748" s="65" t="s">
        <v>297</v>
      </c>
      <c r="G3748" s="65"/>
      <c r="H3748" s="65"/>
      <c r="I3748" s="66">
        <v>12425.883</v>
      </c>
    </row>
    <row r="3749" spans="1:9" hidden="1">
      <c r="A3749" s="67" t="s">
        <v>295</v>
      </c>
      <c r="B3749" s="68">
        <v>2041</v>
      </c>
      <c r="C3749" s="68">
        <v>2023</v>
      </c>
      <c r="D3749" s="68" t="s">
        <v>296</v>
      </c>
      <c r="E3749" s="68" t="s">
        <v>305</v>
      </c>
      <c r="F3749" s="68" t="s">
        <v>298</v>
      </c>
      <c r="G3749" s="68"/>
      <c r="H3749" s="68"/>
      <c r="I3749" s="69">
        <v>8723.1613799999996</v>
      </c>
    </row>
    <row r="3750" spans="1:9" hidden="1">
      <c r="A3750" s="64" t="s">
        <v>295</v>
      </c>
      <c r="B3750" s="65">
        <v>2041</v>
      </c>
      <c r="C3750" s="65">
        <v>2023</v>
      </c>
      <c r="D3750" s="65" t="s">
        <v>296</v>
      </c>
      <c r="E3750" s="65" t="s">
        <v>305</v>
      </c>
      <c r="F3750" s="65" t="s">
        <v>40</v>
      </c>
      <c r="G3750" s="65"/>
      <c r="H3750" s="65"/>
      <c r="I3750" s="66">
        <v>155192.79042999999</v>
      </c>
    </row>
    <row r="3751" spans="1:9" hidden="1">
      <c r="A3751" s="67" t="s">
        <v>295</v>
      </c>
      <c r="B3751" s="68">
        <v>2041</v>
      </c>
      <c r="C3751" s="68">
        <v>2023</v>
      </c>
      <c r="D3751" s="68" t="s">
        <v>309</v>
      </c>
      <c r="E3751" s="68" t="s">
        <v>294</v>
      </c>
      <c r="F3751" s="68" t="s">
        <v>297</v>
      </c>
      <c r="G3751" s="68"/>
      <c r="H3751" s="68"/>
      <c r="I3751" s="69">
        <v>38447.518869889223</v>
      </c>
    </row>
    <row r="3752" spans="1:9" hidden="1">
      <c r="A3752" s="64" t="s">
        <v>295</v>
      </c>
      <c r="B3752" s="65">
        <v>2041</v>
      </c>
      <c r="C3752" s="65">
        <v>2023</v>
      </c>
      <c r="D3752" s="65" t="s">
        <v>309</v>
      </c>
      <c r="E3752" s="65" t="s">
        <v>294</v>
      </c>
      <c r="F3752" s="65" t="s">
        <v>298</v>
      </c>
      <c r="G3752" s="65"/>
      <c r="H3752" s="65"/>
      <c r="I3752" s="66">
        <v>259240.08061471529</v>
      </c>
    </row>
    <row r="3753" spans="1:9" hidden="1">
      <c r="A3753" s="67" t="s">
        <v>295</v>
      </c>
      <c r="B3753" s="68">
        <v>2041</v>
      </c>
      <c r="C3753" s="68">
        <v>2023</v>
      </c>
      <c r="D3753" s="68" t="s">
        <v>309</v>
      </c>
      <c r="E3753" s="68" t="s">
        <v>294</v>
      </c>
      <c r="F3753" s="68" t="s">
        <v>40</v>
      </c>
      <c r="G3753" s="68"/>
      <c r="H3753" s="68"/>
      <c r="I3753" s="69">
        <v>297570.46920754568</v>
      </c>
    </row>
    <row r="3754" spans="1:9" hidden="1">
      <c r="A3754" s="64" t="s">
        <v>295</v>
      </c>
      <c r="B3754" s="65">
        <v>2041</v>
      </c>
      <c r="C3754" s="65">
        <v>2023</v>
      </c>
      <c r="D3754" s="65" t="s">
        <v>309</v>
      </c>
      <c r="E3754" s="65" t="s">
        <v>301</v>
      </c>
      <c r="F3754" s="65" t="s">
        <v>297</v>
      </c>
      <c r="G3754" s="65"/>
      <c r="H3754" s="65"/>
      <c r="I3754" s="66">
        <v>41873.323146783558</v>
      </c>
    </row>
    <row r="3755" spans="1:9" hidden="1">
      <c r="A3755" s="67" t="s">
        <v>295</v>
      </c>
      <c r="B3755" s="68">
        <v>2041</v>
      </c>
      <c r="C3755" s="68">
        <v>2023</v>
      </c>
      <c r="D3755" s="68" t="s">
        <v>309</v>
      </c>
      <c r="E3755" s="68" t="s">
        <v>301</v>
      </c>
      <c r="F3755" s="68" t="s">
        <v>298</v>
      </c>
      <c r="G3755" s="68"/>
      <c r="H3755" s="68"/>
      <c r="I3755" s="69">
        <v>307297.05746694969</v>
      </c>
    </row>
    <row r="3756" spans="1:9" hidden="1">
      <c r="A3756" s="64" t="s">
        <v>295</v>
      </c>
      <c r="B3756" s="65">
        <v>2041</v>
      </c>
      <c r="C3756" s="65">
        <v>2023</v>
      </c>
      <c r="D3756" s="65" t="s">
        <v>309</v>
      </c>
      <c r="E3756" s="65" t="s">
        <v>301</v>
      </c>
      <c r="F3756" s="65" t="s">
        <v>40</v>
      </c>
      <c r="G3756" s="65"/>
      <c r="H3756" s="65"/>
      <c r="I3756" s="66">
        <v>349068.49172588531</v>
      </c>
    </row>
    <row r="3757" spans="1:9" hidden="1">
      <c r="A3757" s="67" t="s">
        <v>295</v>
      </c>
      <c r="B3757" s="68">
        <v>2041</v>
      </c>
      <c r="C3757" s="68">
        <v>2023</v>
      </c>
      <c r="D3757" s="68" t="s">
        <v>309</v>
      </c>
      <c r="E3757" s="68" t="s">
        <v>305</v>
      </c>
      <c r="F3757" s="68" t="s">
        <v>297</v>
      </c>
      <c r="G3757" s="68"/>
      <c r="H3757" s="68"/>
      <c r="I3757" s="69">
        <v>53.863199999999999</v>
      </c>
    </row>
    <row r="3758" spans="1:9" hidden="1">
      <c r="A3758" s="64" t="s">
        <v>295</v>
      </c>
      <c r="B3758" s="65">
        <v>2041</v>
      </c>
      <c r="C3758" s="65">
        <v>2023</v>
      </c>
      <c r="D3758" s="65" t="s">
        <v>309</v>
      </c>
      <c r="E3758" s="65" t="s">
        <v>305</v>
      </c>
      <c r="F3758" s="65" t="s">
        <v>298</v>
      </c>
      <c r="G3758" s="65"/>
      <c r="H3758" s="65"/>
      <c r="I3758" s="66">
        <v>7185.2813800000004</v>
      </c>
    </row>
    <row r="3759" spans="1:9" hidden="1">
      <c r="A3759" s="67" t="s">
        <v>295</v>
      </c>
      <c r="B3759" s="68">
        <v>2041</v>
      </c>
      <c r="C3759" s="68">
        <v>2023</v>
      </c>
      <c r="D3759" s="68" t="s">
        <v>309</v>
      </c>
      <c r="E3759" s="68" t="s">
        <v>305</v>
      </c>
      <c r="F3759" s="68" t="s">
        <v>40</v>
      </c>
      <c r="G3759" s="68"/>
      <c r="H3759" s="68"/>
      <c r="I3759" s="69">
        <v>48212.64458</v>
      </c>
    </row>
    <row r="3760" spans="1:9" hidden="1">
      <c r="A3760" s="64" t="s">
        <v>295</v>
      </c>
      <c r="B3760" s="65">
        <v>2041</v>
      </c>
      <c r="C3760" s="65">
        <v>2023</v>
      </c>
      <c r="D3760" s="65" t="s">
        <v>315</v>
      </c>
      <c r="E3760" s="65" t="s">
        <v>294</v>
      </c>
      <c r="F3760" s="65" t="s">
        <v>297</v>
      </c>
      <c r="G3760" s="65"/>
      <c r="H3760" s="65"/>
      <c r="I3760" s="66">
        <v>93706.696493757539</v>
      </c>
    </row>
    <row r="3761" spans="1:9" hidden="1">
      <c r="A3761" s="67" t="s">
        <v>295</v>
      </c>
      <c r="B3761" s="68">
        <v>2041</v>
      </c>
      <c r="C3761" s="68">
        <v>2023</v>
      </c>
      <c r="D3761" s="68" t="s">
        <v>315</v>
      </c>
      <c r="E3761" s="68" t="s">
        <v>294</v>
      </c>
      <c r="F3761" s="68" t="s">
        <v>298</v>
      </c>
      <c r="G3761" s="68"/>
      <c r="H3761" s="68"/>
      <c r="I3761" s="69">
        <v>173680.56748430649</v>
      </c>
    </row>
    <row r="3762" spans="1:9" hidden="1">
      <c r="A3762" s="64" t="s">
        <v>295</v>
      </c>
      <c r="B3762" s="65">
        <v>2041</v>
      </c>
      <c r="C3762" s="65">
        <v>2023</v>
      </c>
      <c r="D3762" s="65" t="s">
        <v>315</v>
      </c>
      <c r="E3762" s="65" t="s">
        <v>294</v>
      </c>
      <c r="F3762" s="65" t="s">
        <v>40</v>
      </c>
      <c r="G3762" s="65"/>
      <c r="H3762" s="65"/>
      <c r="I3762" s="66">
        <v>267260.90579809411</v>
      </c>
    </row>
    <row r="3763" spans="1:9" hidden="1">
      <c r="A3763" s="67" t="s">
        <v>295</v>
      </c>
      <c r="B3763" s="68">
        <v>2041</v>
      </c>
      <c r="C3763" s="68">
        <v>2023</v>
      </c>
      <c r="D3763" s="68" t="s">
        <v>315</v>
      </c>
      <c r="E3763" s="68" t="s">
        <v>301</v>
      </c>
      <c r="F3763" s="68" t="s">
        <v>297</v>
      </c>
      <c r="G3763" s="68"/>
      <c r="H3763" s="68"/>
      <c r="I3763" s="69">
        <v>100248.93749363811</v>
      </c>
    </row>
    <row r="3764" spans="1:9" hidden="1">
      <c r="A3764" s="64" t="s">
        <v>295</v>
      </c>
      <c r="B3764" s="65">
        <v>2041</v>
      </c>
      <c r="C3764" s="65">
        <v>2023</v>
      </c>
      <c r="D3764" s="65" t="s">
        <v>315</v>
      </c>
      <c r="E3764" s="65" t="s">
        <v>301</v>
      </c>
      <c r="F3764" s="65" t="s">
        <v>298</v>
      </c>
      <c r="G3764" s="65"/>
      <c r="H3764" s="65"/>
      <c r="I3764" s="66">
        <v>199710.76697638989</v>
      </c>
    </row>
    <row r="3765" spans="1:9" hidden="1">
      <c r="A3765" s="67" t="s">
        <v>295</v>
      </c>
      <c r="B3765" s="68">
        <v>2041</v>
      </c>
      <c r="C3765" s="68">
        <v>2023</v>
      </c>
      <c r="D3765" s="68" t="s">
        <v>315</v>
      </c>
      <c r="E3765" s="68" t="s">
        <v>301</v>
      </c>
      <c r="F3765" s="68" t="s">
        <v>40</v>
      </c>
      <c r="G3765" s="68"/>
      <c r="H3765" s="68"/>
      <c r="I3765" s="69">
        <v>299835.76205708738</v>
      </c>
    </row>
    <row r="3766" spans="1:9" hidden="1">
      <c r="A3766" s="64" t="s">
        <v>295</v>
      </c>
      <c r="B3766" s="65">
        <v>2041</v>
      </c>
      <c r="C3766" s="65">
        <v>2023</v>
      </c>
      <c r="D3766" s="65" t="s">
        <v>315</v>
      </c>
      <c r="E3766" s="65" t="s">
        <v>305</v>
      </c>
      <c r="F3766" s="65" t="s">
        <v>297</v>
      </c>
      <c r="G3766" s="65"/>
      <c r="H3766" s="65"/>
      <c r="I3766" s="66">
        <v>1112.3987</v>
      </c>
    </row>
    <row r="3767" spans="1:9" hidden="1">
      <c r="A3767" s="67" t="s">
        <v>295</v>
      </c>
      <c r="B3767" s="68">
        <v>2041</v>
      </c>
      <c r="C3767" s="68">
        <v>2023</v>
      </c>
      <c r="D3767" s="68" t="s">
        <v>315</v>
      </c>
      <c r="E3767" s="68" t="s">
        <v>305</v>
      </c>
      <c r="F3767" s="68" t="s">
        <v>298</v>
      </c>
      <c r="G3767" s="68"/>
      <c r="H3767" s="68"/>
      <c r="I3767" s="69">
        <v>1467.98</v>
      </c>
    </row>
    <row r="3768" spans="1:9" hidden="1">
      <c r="A3768" s="64" t="s">
        <v>295</v>
      </c>
      <c r="B3768" s="65">
        <v>2041</v>
      </c>
      <c r="C3768" s="65">
        <v>2023</v>
      </c>
      <c r="D3768" s="65" t="s">
        <v>315</v>
      </c>
      <c r="E3768" s="65" t="s">
        <v>305</v>
      </c>
      <c r="F3768" s="65" t="s">
        <v>40</v>
      </c>
      <c r="G3768" s="65"/>
      <c r="H3768" s="65"/>
      <c r="I3768" s="66">
        <v>21846.6787</v>
      </c>
    </row>
    <row r="3769" spans="1:9" hidden="1">
      <c r="A3769" s="67" t="s">
        <v>295</v>
      </c>
      <c r="B3769" s="68">
        <v>2041</v>
      </c>
      <c r="C3769" s="68">
        <v>2023</v>
      </c>
      <c r="D3769" s="68" t="s">
        <v>316</v>
      </c>
      <c r="E3769" s="68" t="s">
        <v>294</v>
      </c>
      <c r="F3769" s="68" t="s">
        <v>297</v>
      </c>
      <c r="G3769" s="68"/>
      <c r="H3769" s="68"/>
      <c r="I3769" s="69">
        <v>423747.06595246127</v>
      </c>
    </row>
    <row r="3770" spans="1:9" hidden="1">
      <c r="A3770" s="64" t="s">
        <v>295</v>
      </c>
      <c r="B3770" s="65">
        <v>2041</v>
      </c>
      <c r="C3770" s="65">
        <v>2023</v>
      </c>
      <c r="D3770" s="65" t="s">
        <v>316</v>
      </c>
      <c r="E3770" s="65" t="s">
        <v>294</v>
      </c>
      <c r="F3770" s="65" t="s">
        <v>298</v>
      </c>
      <c r="G3770" s="65"/>
      <c r="H3770" s="65"/>
      <c r="I3770" s="66">
        <v>3253.1521080767229</v>
      </c>
    </row>
    <row r="3771" spans="1:9" hidden="1">
      <c r="A3771" s="67" t="s">
        <v>295</v>
      </c>
      <c r="B3771" s="68">
        <v>2041</v>
      </c>
      <c r="C3771" s="68">
        <v>2023</v>
      </c>
      <c r="D3771" s="68" t="s">
        <v>316</v>
      </c>
      <c r="E3771" s="68" t="s">
        <v>294</v>
      </c>
      <c r="F3771" s="68" t="s">
        <v>40</v>
      </c>
      <c r="G3771" s="68"/>
      <c r="H3771" s="68"/>
      <c r="I3771" s="69">
        <v>444192.78729662922</v>
      </c>
    </row>
    <row r="3772" spans="1:9" hidden="1">
      <c r="A3772" s="64" t="s">
        <v>295</v>
      </c>
      <c r="B3772" s="65">
        <v>2041</v>
      </c>
      <c r="C3772" s="65">
        <v>2023</v>
      </c>
      <c r="D3772" s="65" t="s">
        <v>316</v>
      </c>
      <c r="E3772" s="65" t="s">
        <v>301</v>
      </c>
      <c r="F3772" s="65" t="s">
        <v>297</v>
      </c>
      <c r="G3772" s="65"/>
      <c r="H3772" s="65"/>
      <c r="I3772" s="66">
        <v>527122.97840912547</v>
      </c>
    </row>
    <row r="3773" spans="1:9" hidden="1">
      <c r="A3773" s="67" t="s">
        <v>295</v>
      </c>
      <c r="B3773" s="68">
        <v>2041</v>
      </c>
      <c r="C3773" s="68">
        <v>2023</v>
      </c>
      <c r="D3773" s="68" t="s">
        <v>316</v>
      </c>
      <c r="E3773" s="68" t="s">
        <v>301</v>
      </c>
      <c r="F3773" s="68" t="s">
        <v>298</v>
      </c>
      <c r="G3773" s="68"/>
      <c r="H3773" s="68"/>
      <c r="I3773" s="69">
        <v>3457.4484328138651</v>
      </c>
    </row>
    <row r="3774" spans="1:9" hidden="1">
      <c r="A3774" s="64" t="s">
        <v>295</v>
      </c>
      <c r="B3774" s="65">
        <v>2041</v>
      </c>
      <c r="C3774" s="65">
        <v>2023</v>
      </c>
      <c r="D3774" s="65" t="s">
        <v>316</v>
      </c>
      <c r="E3774" s="65" t="s">
        <v>301</v>
      </c>
      <c r="F3774" s="65" t="s">
        <v>40</v>
      </c>
      <c r="G3774" s="65"/>
      <c r="H3774" s="65"/>
      <c r="I3774" s="66">
        <v>549350.66679248575</v>
      </c>
    </row>
    <row r="3775" spans="1:9" hidden="1">
      <c r="A3775" s="67" t="s">
        <v>295</v>
      </c>
      <c r="B3775" s="68">
        <v>2041</v>
      </c>
      <c r="C3775" s="68">
        <v>2023</v>
      </c>
      <c r="D3775" s="68" t="s">
        <v>316</v>
      </c>
      <c r="E3775" s="68" t="s">
        <v>305</v>
      </c>
      <c r="F3775" s="68" t="s">
        <v>297</v>
      </c>
      <c r="G3775" s="68"/>
      <c r="H3775" s="68"/>
      <c r="I3775" s="69">
        <v>9353.2728499999994</v>
      </c>
    </row>
    <row r="3776" spans="1:9" hidden="1">
      <c r="A3776" s="64" t="s">
        <v>295</v>
      </c>
      <c r="B3776" s="65">
        <v>2041</v>
      </c>
      <c r="C3776" s="65">
        <v>2023</v>
      </c>
      <c r="D3776" s="65" t="s">
        <v>316</v>
      </c>
      <c r="E3776" s="65" t="s">
        <v>305</v>
      </c>
      <c r="F3776" s="65" t="s">
        <v>298</v>
      </c>
      <c r="G3776" s="65"/>
      <c r="H3776" s="65"/>
      <c r="I3776" s="66">
        <v>0</v>
      </c>
    </row>
    <row r="3777" spans="1:9" hidden="1">
      <c r="A3777" s="67" t="s">
        <v>295</v>
      </c>
      <c r="B3777" s="68">
        <v>2041</v>
      </c>
      <c r="C3777" s="68">
        <v>2023</v>
      </c>
      <c r="D3777" s="68" t="s">
        <v>316</v>
      </c>
      <c r="E3777" s="68" t="s">
        <v>305</v>
      </c>
      <c r="F3777" s="68" t="s">
        <v>40</v>
      </c>
      <c r="G3777" s="68"/>
      <c r="H3777" s="68"/>
      <c r="I3777" s="69">
        <v>45384.7189</v>
      </c>
    </row>
    <row r="3778" spans="1:9" hidden="1">
      <c r="A3778" s="64" t="s">
        <v>295</v>
      </c>
      <c r="B3778" s="65">
        <v>2041</v>
      </c>
      <c r="C3778" s="65">
        <v>2023</v>
      </c>
      <c r="D3778" s="65" t="s">
        <v>317</v>
      </c>
      <c r="E3778" s="65" t="s">
        <v>294</v>
      </c>
      <c r="F3778" s="65" t="s">
        <v>297</v>
      </c>
      <c r="G3778" s="65"/>
      <c r="H3778" s="65"/>
      <c r="I3778" s="66">
        <v>147.58843342410921</v>
      </c>
    </row>
    <row r="3779" spans="1:9" hidden="1">
      <c r="A3779" s="67" t="s">
        <v>295</v>
      </c>
      <c r="B3779" s="68">
        <v>2041</v>
      </c>
      <c r="C3779" s="68">
        <v>2023</v>
      </c>
      <c r="D3779" s="68" t="s">
        <v>317</v>
      </c>
      <c r="E3779" s="68" t="s">
        <v>294</v>
      </c>
      <c r="F3779" s="68" t="s">
        <v>298</v>
      </c>
      <c r="G3779" s="68"/>
      <c r="H3779" s="68"/>
      <c r="I3779" s="69">
        <v>0</v>
      </c>
    </row>
    <row r="3780" spans="1:9" hidden="1">
      <c r="A3780" s="64" t="s">
        <v>295</v>
      </c>
      <c r="B3780" s="65">
        <v>2041</v>
      </c>
      <c r="C3780" s="65">
        <v>2023</v>
      </c>
      <c r="D3780" s="65" t="s">
        <v>317</v>
      </c>
      <c r="E3780" s="65" t="s">
        <v>294</v>
      </c>
      <c r="F3780" s="65" t="s">
        <v>40</v>
      </c>
      <c r="G3780" s="65"/>
      <c r="H3780" s="65"/>
      <c r="I3780" s="66">
        <v>17216.537809318019</v>
      </c>
    </row>
    <row r="3781" spans="1:9" hidden="1">
      <c r="A3781" s="67" t="s">
        <v>295</v>
      </c>
      <c r="B3781" s="68">
        <v>2041</v>
      </c>
      <c r="C3781" s="68">
        <v>2023</v>
      </c>
      <c r="D3781" s="68" t="s">
        <v>317</v>
      </c>
      <c r="E3781" s="68" t="s">
        <v>301</v>
      </c>
      <c r="F3781" s="68" t="s">
        <v>297</v>
      </c>
      <c r="G3781" s="68"/>
      <c r="H3781" s="68"/>
      <c r="I3781" s="69">
        <v>159.91386609306289</v>
      </c>
    </row>
    <row r="3782" spans="1:9" hidden="1">
      <c r="A3782" s="64" t="s">
        <v>295</v>
      </c>
      <c r="B3782" s="65">
        <v>2041</v>
      </c>
      <c r="C3782" s="65">
        <v>2023</v>
      </c>
      <c r="D3782" s="65" t="s">
        <v>317</v>
      </c>
      <c r="E3782" s="65" t="s">
        <v>301</v>
      </c>
      <c r="F3782" s="65" t="s">
        <v>298</v>
      </c>
      <c r="G3782" s="65"/>
      <c r="H3782" s="65"/>
      <c r="I3782" s="66">
        <v>0</v>
      </c>
    </row>
    <row r="3783" spans="1:9" hidden="1">
      <c r="A3783" s="67" t="s">
        <v>295</v>
      </c>
      <c r="B3783" s="68">
        <v>2041</v>
      </c>
      <c r="C3783" s="68">
        <v>2023</v>
      </c>
      <c r="D3783" s="68" t="s">
        <v>317</v>
      </c>
      <c r="E3783" s="68" t="s">
        <v>301</v>
      </c>
      <c r="F3783" s="68" t="s">
        <v>40</v>
      </c>
      <c r="G3783" s="68"/>
      <c r="H3783" s="68"/>
      <c r="I3783" s="69">
        <v>18812.580625791619</v>
      </c>
    </row>
    <row r="3784" spans="1:9" hidden="1">
      <c r="A3784" s="64" t="s">
        <v>295</v>
      </c>
      <c r="B3784" s="65">
        <v>2041</v>
      </c>
      <c r="C3784" s="65">
        <v>2023</v>
      </c>
      <c r="D3784" s="65" t="s">
        <v>317</v>
      </c>
      <c r="E3784" s="65" t="s">
        <v>305</v>
      </c>
      <c r="F3784" s="65" t="s">
        <v>297</v>
      </c>
      <c r="G3784" s="65"/>
      <c r="H3784" s="65"/>
      <c r="I3784" s="66">
        <v>1.336E-2</v>
      </c>
    </row>
    <row r="3785" spans="1:9" hidden="1">
      <c r="A3785" s="67" t="s">
        <v>295</v>
      </c>
      <c r="B3785" s="68">
        <v>2041</v>
      </c>
      <c r="C3785" s="68">
        <v>2023</v>
      </c>
      <c r="D3785" s="68" t="s">
        <v>317</v>
      </c>
      <c r="E3785" s="68" t="s">
        <v>305</v>
      </c>
      <c r="F3785" s="68" t="s">
        <v>40</v>
      </c>
      <c r="G3785" s="68"/>
      <c r="H3785" s="68"/>
      <c r="I3785" s="69">
        <v>537.49941000000001</v>
      </c>
    </row>
    <row r="3786" spans="1:9" hidden="1">
      <c r="A3786" s="64" t="s">
        <v>295</v>
      </c>
      <c r="B3786" s="65">
        <v>2041</v>
      </c>
      <c r="C3786" s="65">
        <v>2023</v>
      </c>
      <c r="D3786" s="65" t="s">
        <v>318</v>
      </c>
      <c r="E3786" s="65" t="s">
        <v>294</v>
      </c>
      <c r="F3786" s="65" t="s">
        <v>297</v>
      </c>
      <c r="G3786" s="65"/>
      <c r="H3786" s="65"/>
      <c r="I3786" s="66">
        <v>401905.35657715052</v>
      </c>
    </row>
    <row r="3787" spans="1:9" hidden="1">
      <c r="A3787" s="67" t="s">
        <v>295</v>
      </c>
      <c r="B3787" s="68">
        <v>2041</v>
      </c>
      <c r="C3787" s="68">
        <v>2023</v>
      </c>
      <c r="D3787" s="68" t="s">
        <v>318</v>
      </c>
      <c r="E3787" s="68" t="s">
        <v>294</v>
      </c>
      <c r="F3787" s="68" t="s">
        <v>298</v>
      </c>
      <c r="G3787" s="68"/>
      <c r="H3787" s="68"/>
      <c r="I3787" s="69">
        <v>0</v>
      </c>
    </row>
    <row r="3788" spans="1:9" hidden="1">
      <c r="A3788" s="64" t="s">
        <v>295</v>
      </c>
      <c r="B3788" s="65">
        <v>2041</v>
      </c>
      <c r="C3788" s="65">
        <v>2023</v>
      </c>
      <c r="D3788" s="65" t="s">
        <v>318</v>
      </c>
      <c r="E3788" s="65" t="s">
        <v>294</v>
      </c>
      <c r="F3788" s="65" t="s">
        <v>40</v>
      </c>
      <c r="G3788" s="65"/>
      <c r="H3788" s="65"/>
      <c r="I3788" s="66">
        <v>401985.53495516442</v>
      </c>
    </row>
    <row r="3789" spans="1:9" hidden="1">
      <c r="A3789" s="67" t="s">
        <v>295</v>
      </c>
      <c r="B3789" s="68">
        <v>2041</v>
      </c>
      <c r="C3789" s="68">
        <v>2023</v>
      </c>
      <c r="D3789" s="68" t="s">
        <v>318</v>
      </c>
      <c r="E3789" s="68" t="s">
        <v>301</v>
      </c>
      <c r="F3789" s="68" t="s">
        <v>297</v>
      </c>
      <c r="G3789" s="68"/>
      <c r="H3789" s="68"/>
      <c r="I3789" s="69">
        <v>503565.22563036782</v>
      </c>
    </row>
    <row r="3790" spans="1:9" hidden="1">
      <c r="A3790" s="64" t="s">
        <v>295</v>
      </c>
      <c r="B3790" s="65">
        <v>2041</v>
      </c>
      <c r="C3790" s="65">
        <v>2023</v>
      </c>
      <c r="D3790" s="65" t="s">
        <v>318</v>
      </c>
      <c r="E3790" s="65" t="s">
        <v>301</v>
      </c>
      <c r="F3790" s="65" t="s">
        <v>298</v>
      </c>
      <c r="G3790" s="65"/>
      <c r="H3790" s="65"/>
      <c r="I3790" s="66">
        <v>0</v>
      </c>
    </row>
    <row r="3791" spans="1:9" hidden="1">
      <c r="A3791" s="67" t="s">
        <v>295</v>
      </c>
      <c r="B3791" s="68">
        <v>2041</v>
      </c>
      <c r="C3791" s="68">
        <v>2023</v>
      </c>
      <c r="D3791" s="68" t="s">
        <v>318</v>
      </c>
      <c r="E3791" s="68" t="s">
        <v>301</v>
      </c>
      <c r="F3791" s="68" t="s">
        <v>40</v>
      </c>
      <c r="G3791" s="68"/>
      <c r="H3791" s="68"/>
      <c r="I3791" s="69">
        <v>503669.78196338721</v>
      </c>
    </row>
    <row r="3792" spans="1:9" hidden="1">
      <c r="A3792" s="64" t="s">
        <v>295</v>
      </c>
      <c r="B3792" s="65">
        <v>2041</v>
      </c>
      <c r="C3792" s="65">
        <v>2023</v>
      </c>
      <c r="D3792" s="65" t="s">
        <v>318</v>
      </c>
      <c r="E3792" s="65" t="s">
        <v>305</v>
      </c>
      <c r="F3792" s="65" t="s">
        <v>297</v>
      </c>
      <c r="G3792" s="65"/>
      <c r="H3792" s="65"/>
      <c r="I3792" s="66">
        <v>9253.7376100000001</v>
      </c>
    </row>
    <row r="3793" spans="1:9" hidden="1">
      <c r="A3793" s="67" t="s">
        <v>295</v>
      </c>
      <c r="B3793" s="68">
        <v>2041</v>
      </c>
      <c r="C3793" s="68">
        <v>2023</v>
      </c>
      <c r="D3793" s="68" t="s">
        <v>318</v>
      </c>
      <c r="E3793" s="68" t="s">
        <v>305</v>
      </c>
      <c r="F3793" s="68" t="s">
        <v>40</v>
      </c>
      <c r="G3793" s="68"/>
      <c r="H3793" s="68"/>
      <c r="I3793" s="69">
        <v>42699.877610000003</v>
      </c>
    </row>
    <row r="3794" spans="1:9" hidden="1">
      <c r="A3794" s="64" t="s">
        <v>295</v>
      </c>
      <c r="B3794" s="65">
        <v>2041</v>
      </c>
      <c r="C3794" s="65">
        <v>2023</v>
      </c>
      <c r="D3794" s="65" t="s">
        <v>320</v>
      </c>
      <c r="E3794" s="65" t="s">
        <v>294</v>
      </c>
      <c r="F3794" s="65" t="s">
        <v>297</v>
      </c>
      <c r="G3794" s="65"/>
      <c r="H3794" s="65"/>
      <c r="I3794" s="66">
        <v>3292.6180459511202</v>
      </c>
    </row>
    <row r="3795" spans="1:9" hidden="1">
      <c r="A3795" s="67" t="s">
        <v>295</v>
      </c>
      <c r="B3795" s="68">
        <v>2041</v>
      </c>
      <c r="C3795" s="68">
        <v>2023</v>
      </c>
      <c r="D3795" s="68" t="s">
        <v>320</v>
      </c>
      <c r="E3795" s="68" t="s">
        <v>294</v>
      </c>
      <c r="F3795" s="68" t="s">
        <v>298</v>
      </c>
      <c r="G3795" s="68"/>
      <c r="H3795" s="68"/>
      <c r="I3795" s="69">
        <v>0</v>
      </c>
    </row>
    <row r="3796" spans="1:9" hidden="1">
      <c r="A3796" s="64" t="s">
        <v>295</v>
      </c>
      <c r="B3796" s="65">
        <v>2041</v>
      </c>
      <c r="C3796" s="65">
        <v>2023</v>
      </c>
      <c r="D3796" s="65" t="s">
        <v>320</v>
      </c>
      <c r="E3796" s="65" t="s">
        <v>294</v>
      </c>
      <c r="F3796" s="65" t="s">
        <v>40</v>
      </c>
      <c r="G3796" s="65"/>
      <c r="H3796" s="65"/>
      <c r="I3796" s="66">
        <v>3292.9604447709198</v>
      </c>
    </row>
    <row r="3797" spans="1:9" hidden="1">
      <c r="A3797" s="67" t="s">
        <v>295</v>
      </c>
      <c r="B3797" s="68">
        <v>2041</v>
      </c>
      <c r="C3797" s="68">
        <v>2023</v>
      </c>
      <c r="D3797" s="68" t="s">
        <v>320</v>
      </c>
      <c r="E3797" s="68" t="s">
        <v>301</v>
      </c>
      <c r="F3797" s="68" t="s">
        <v>297</v>
      </c>
      <c r="G3797" s="68"/>
      <c r="H3797" s="68"/>
      <c r="I3797" s="69">
        <v>4332.6358519636206</v>
      </c>
    </row>
    <row r="3798" spans="1:9" hidden="1">
      <c r="A3798" s="64" t="s">
        <v>295</v>
      </c>
      <c r="B3798" s="65">
        <v>2041</v>
      </c>
      <c r="C3798" s="65">
        <v>2023</v>
      </c>
      <c r="D3798" s="65" t="s">
        <v>320</v>
      </c>
      <c r="E3798" s="65" t="s">
        <v>301</v>
      </c>
      <c r="F3798" s="65" t="s">
        <v>298</v>
      </c>
      <c r="G3798" s="65"/>
      <c r="H3798" s="65"/>
      <c r="I3798" s="66">
        <v>0</v>
      </c>
    </row>
    <row r="3799" spans="1:9" hidden="1">
      <c r="A3799" s="67" t="s">
        <v>295</v>
      </c>
      <c r="B3799" s="68">
        <v>2041</v>
      </c>
      <c r="C3799" s="68">
        <v>2023</v>
      </c>
      <c r="D3799" s="68" t="s">
        <v>320</v>
      </c>
      <c r="E3799" s="68" t="s">
        <v>301</v>
      </c>
      <c r="F3799" s="68" t="s">
        <v>40</v>
      </c>
      <c r="G3799" s="68"/>
      <c r="H3799" s="68"/>
      <c r="I3799" s="69">
        <v>4332.9772838138697</v>
      </c>
    </row>
    <row r="3800" spans="1:9" hidden="1">
      <c r="A3800" s="64" t="s">
        <v>295</v>
      </c>
      <c r="B3800" s="65">
        <v>2041</v>
      </c>
      <c r="C3800" s="65">
        <v>2023</v>
      </c>
      <c r="D3800" s="65" t="s">
        <v>320</v>
      </c>
      <c r="E3800" s="65" t="s">
        <v>305</v>
      </c>
      <c r="F3800" s="65" t="s">
        <v>297</v>
      </c>
      <c r="G3800" s="65"/>
      <c r="H3800" s="65"/>
      <c r="I3800" s="66">
        <v>39.94</v>
      </c>
    </row>
    <row r="3801" spans="1:9" hidden="1">
      <c r="A3801" s="67" t="s">
        <v>295</v>
      </c>
      <c r="B3801" s="68">
        <v>2041</v>
      </c>
      <c r="C3801" s="68">
        <v>2023</v>
      </c>
      <c r="D3801" s="68" t="s">
        <v>320</v>
      </c>
      <c r="E3801" s="68" t="s">
        <v>305</v>
      </c>
      <c r="F3801" s="68" t="s">
        <v>40</v>
      </c>
      <c r="G3801" s="68"/>
      <c r="H3801" s="68"/>
      <c r="I3801" s="69">
        <v>1402.02</v>
      </c>
    </row>
    <row r="3802" spans="1:9" hidden="1">
      <c r="A3802" s="64" t="s">
        <v>295</v>
      </c>
      <c r="B3802" s="65">
        <v>2041</v>
      </c>
      <c r="C3802" s="65">
        <v>2023</v>
      </c>
      <c r="D3802" s="65" t="s">
        <v>321</v>
      </c>
      <c r="E3802" s="65" t="s">
        <v>294</v>
      </c>
      <c r="F3802" s="65" t="s">
        <v>297</v>
      </c>
      <c r="G3802" s="65"/>
      <c r="H3802" s="65"/>
      <c r="I3802" s="66">
        <v>17226.434739523731</v>
      </c>
    </row>
    <row r="3803" spans="1:9" hidden="1">
      <c r="A3803" s="67" t="s">
        <v>295</v>
      </c>
      <c r="B3803" s="68">
        <v>2041</v>
      </c>
      <c r="C3803" s="68">
        <v>2023</v>
      </c>
      <c r="D3803" s="68" t="s">
        <v>321</v>
      </c>
      <c r="E3803" s="68" t="s">
        <v>294</v>
      </c>
      <c r="F3803" s="68" t="s">
        <v>298</v>
      </c>
      <c r="G3803" s="68"/>
      <c r="H3803" s="68"/>
      <c r="I3803" s="69">
        <v>0</v>
      </c>
    </row>
    <row r="3804" spans="1:9" hidden="1">
      <c r="A3804" s="64" t="s">
        <v>295</v>
      </c>
      <c r="B3804" s="65">
        <v>2041</v>
      </c>
      <c r="C3804" s="65">
        <v>2023</v>
      </c>
      <c r="D3804" s="65" t="s">
        <v>321</v>
      </c>
      <c r="E3804" s="65" t="s">
        <v>294</v>
      </c>
      <c r="F3804" s="65" t="s">
        <v>40</v>
      </c>
      <c r="G3804" s="65"/>
      <c r="H3804" s="65"/>
      <c r="I3804" s="66">
        <v>17231.608139611009</v>
      </c>
    </row>
    <row r="3805" spans="1:9" hidden="1">
      <c r="A3805" s="67" t="s">
        <v>295</v>
      </c>
      <c r="B3805" s="68">
        <v>2041</v>
      </c>
      <c r="C3805" s="68">
        <v>2023</v>
      </c>
      <c r="D3805" s="68" t="s">
        <v>321</v>
      </c>
      <c r="E3805" s="68" t="s">
        <v>301</v>
      </c>
      <c r="F3805" s="68" t="s">
        <v>297</v>
      </c>
      <c r="G3805" s="68"/>
      <c r="H3805" s="68"/>
      <c r="I3805" s="69">
        <v>17603.013873998982</v>
      </c>
    </row>
    <row r="3806" spans="1:9" hidden="1">
      <c r="A3806" s="64" t="s">
        <v>295</v>
      </c>
      <c r="B3806" s="65">
        <v>2041</v>
      </c>
      <c r="C3806" s="65">
        <v>2023</v>
      </c>
      <c r="D3806" s="65" t="s">
        <v>321</v>
      </c>
      <c r="E3806" s="65" t="s">
        <v>301</v>
      </c>
      <c r="F3806" s="65" t="s">
        <v>298</v>
      </c>
      <c r="G3806" s="65"/>
      <c r="H3806" s="65"/>
      <c r="I3806" s="66">
        <v>0</v>
      </c>
    </row>
    <row r="3807" spans="1:9" hidden="1">
      <c r="A3807" s="67" t="s">
        <v>295</v>
      </c>
      <c r="B3807" s="68">
        <v>2041</v>
      </c>
      <c r="C3807" s="68">
        <v>2023</v>
      </c>
      <c r="D3807" s="68" t="s">
        <v>321</v>
      </c>
      <c r="E3807" s="68" t="s">
        <v>301</v>
      </c>
      <c r="F3807" s="68" t="s">
        <v>40</v>
      </c>
      <c r="G3807" s="68"/>
      <c r="H3807" s="68"/>
      <c r="I3807" s="69">
        <v>17608.12223689126</v>
      </c>
    </row>
    <row r="3808" spans="1:9" hidden="1">
      <c r="A3808" s="64" t="s">
        <v>295</v>
      </c>
      <c r="B3808" s="65">
        <v>2041</v>
      </c>
      <c r="C3808" s="65">
        <v>2023</v>
      </c>
      <c r="D3808" s="65" t="s">
        <v>321</v>
      </c>
      <c r="E3808" s="65" t="s">
        <v>305</v>
      </c>
      <c r="F3808" s="65" t="s">
        <v>297</v>
      </c>
      <c r="G3808" s="65"/>
      <c r="H3808" s="65"/>
      <c r="I3808" s="66">
        <v>52.281869999999998</v>
      </c>
    </row>
    <row r="3809" spans="1:9" hidden="1">
      <c r="A3809" s="67" t="s">
        <v>295</v>
      </c>
      <c r="B3809" s="68">
        <v>2041</v>
      </c>
      <c r="C3809" s="68">
        <v>2023</v>
      </c>
      <c r="D3809" s="68" t="s">
        <v>321</v>
      </c>
      <c r="E3809" s="68" t="s">
        <v>305</v>
      </c>
      <c r="F3809" s="68" t="s">
        <v>40</v>
      </c>
      <c r="G3809" s="68"/>
      <c r="H3809" s="68"/>
      <c r="I3809" s="69">
        <v>416.86187000000001</v>
      </c>
    </row>
    <row r="3810" spans="1:9" hidden="1">
      <c r="A3810" s="64" t="s">
        <v>295</v>
      </c>
      <c r="B3810" s="65">
        <v>2041</v>
      </c>
      <c r="C3810" s="65">
        <v>2023</v>
      </c>
      <c r="D3810" s="65" t="s">
        <v>322</v>
      </c>
      <c r="E3810" s="65" t="s">
        <v>294</v>
      </c>
      <c r="F3810" s="65" t="s">
        <v>297</v>
      </c>
      <c r="G3810" s="65"/>
      <c r="H3810" s="65"/>
      <c r="I3810" s="66">
        <v>1193.6251164118639</v>
      </c>
    </row>
    <row r="3811" spans="1:9" hidden="1">
      <c r="A3811" s="67" t="s">
        <v>295</v>
      </c>
      <c r="B3811" s="68">
        <v>2041</v>
      </c>
      <c r="C3811" s="68">
        <v>2023</v>
      </c>
      <c r="D3811" s="68" t="s">
        <v>322</v>
      </c>
      <c r="E3811" s="68" t="s">
        <v>294</v>
      </c>
      <c r="F3811" s="68" t="s">
        <v>298</v>
      </c>
      <c r="G3811" s="68"/>
      <c r="H3811" s="68"/>
      <c r="I3811" s="69">
        <v>3291.0220813529959</v>
      </c>
    </row>
    <row r="3812" spans="1:9" hidden="1">
      <c r="A3812" s="64" t="s">
        <v>295</v>
      </c>
      <c r="B3812" s="65">
        <v>2041</v>
      </c>
      <c r="C3812" s="65">
        <v>2023</v>
      </c>
      <c r="D3812" s="65" t="s">
        <v>322</v>
      </c>
      <c r="E3812" s="65" t="s">
        <v>294</v>
      </c>
      <c r="F3812" s="65" t="s">
        <v>40</v>
      </c>
      <c r="G3812" s="65"/>
      <c r="H3812" s="65"/>
      <c r="I3812" s="66">
        <v>4484.6271977648612</v>
      </c>
    </row>
    <row r="3813" spans="1:9" hidden="1">
      <c r="A3813" s="67" t="s">
        <v>295</v>
      </c>
      <c r="B3813" s="68">
        <v>2041</v>
      </c>
      <c r="C3813" s="68">
        <v>2023</v>
      </c>
      <c r="D3813" s="68" t="s">
        <v>322</v>
      </c>
      <c r="E3813" s="68" t="s">
        <v>301</v>
      </c>
      <c r="F3813" s="68" t="s">
        <v>297</v>
      </c>
      <c r="G3813" s="68"/>
      <c r="H3813" s="68"/>
      <c r="I3813" s="69">
        <v>1480.9354967020331</v>
      </c>
    </row>
    <row r="3814" spans="1:9" hidden="1">
      <c r="A3814" s="64" t="s">
        <v>295</v>
      </c>
      <c r="B3814" s="65">
        <v>2041</v>
      </c>
      <c r="C3814" s="65">
        <v>2023</v>
      </c>
      <c r="D3814" s="65" t="s">
        <v>322</v>
      </c>
      <c r="E3814" s="65" t="s">
        <v>301</v>
      </c>
      <c r="F3814" s="65" t="s">
        <v>298</v>
      </c>
      <c r="G3814" s="65"/>
      <c r="H3814" s="65"/>
      <c r="I3814" s="66">
        <v>3464.890435899722</v>
      </c>
    </row>
    <row r="3815" spans="1:9" hidden="1">
      <c r="A3815" s="67" t="s">
        <v>295</v>
      </c>
      <c r="B3815" s="68">
        <v>2041</v>
      </c>
      <c r="C3815" s="68">
        <v>2023</v>
      </c>
      <c r="D3815" s="68" t="s">
        <v>322</v>
      </c>
      <c r="E3815" s="68" t="s">
        <v>301</v>
      </c>
      <c r="F3815" s="68" t="s">
        <v>40</v>
      </c>
      <c r="G3815" s="68"/>
      <c r="H3815" s="68"/>
      <c r="I3815" s="69">
        <v>4945.8059326017556</v>
      </c>
    </row>
    <row r="3816" spans="1:9" hidden="1">
      <c r="A3816" s="64" t="s">
        <v>295</v>
      </c>
      <c r="B3816" s="65">
        <v>2041</v>
      </c>
      <c r="C3816" s="65">
        <v>2023</v>
      </c>
      <c r="D3816" s="65" t="s">
        <v>322</v>
      </c>
      <c r="E3816" s="65" t="s">
        <v>305</v>
      </c>
      <c r="F3816" s="65" t="s">
        <v>297</v>
      </c>
      <c r="G3816" s="65"/>
      <c r="H3816" s="65"/>
      <c r="I3816" s="66">
        <v>7.2</v>
      </c>
    </row>
    <row r="3817" spans="1:9" hidden="1">
      <c r="A3817" s="67" t="s">
        <v>295</v>
      </c>
      <c r="B3817" s="68">
        <v>2041</v>
      </c>
      <c r="C3817" s="68">
        <v>2023</v>
      </c>
      <c r="D3817" s="68" t="s">
        <v>322</v>
      </c>
      <c r="E3817" s="68" t="s">
        <v>305</v>
      </c>
      <c r="F3817" s="68" t="s">
        <v>40</v>
      </c>
      <c r="G3817" s="68"/>
      <c r="H3817" s="68"/>
      <c r="I3817" s="69">
        <v>328.44</v>
      </c>
    </row>
    <row r="3818" spans="1:9" hidden="1">
      <c r="A3818" s="64" t="s">
        <v>295</v>
      </c>
      <c r="B3818" s="65">
        <v>2041</v>
      </c>
      <c r="C3818" s="65">
        <v>2023</v>
      </c>
      <c r="D3818" s="65" t="s">
        <v>323</v>
      </c>
      <c r="E3818" s="65" t="s">
        <v>294</v>
      </c>
      <c r="F3818" s="65" t="s">
        <v>297</v>
      </c>
      <c r="G3818" s="65"/>
      <c r="H3818" s="65"/>
      <c r="I3818" s="66">
        <v>272189.71714226762</v>
      </c>
    </row>
    <row r="3819" spans="1:9" hidden="1">
      <c r="A3819" s="67" t="s">
        <v>295</v>
      </c>
      <c r="B3819" s="68">
        <v>2041</v>
      </c>
      <c r="C3819" s="68">
        <v>2023</v>
      </c>
      <c r="D3819" s="68" t="s">
        <v>323</v>
      </c>
      <c r="E3819" s="68" t="s">
        <v>294</v>
      </c>
      <c r="F3819" s="68" t="s">
        <v>298</v>
      </c>
      <c r="G3819" s="68"/>
      <c r="H3819" s="68"/>
      <c r="I3819" s="69">
        <v>1229.755170430072</v>
      </c>
    </row>
    <row r="3820" spans="1:9" hidden="1">
      <c r="A3820" s="64" t="s">
        <v>295</v>
      </c>
      <c r="B3820" s="65">
        <v>2041</v>
      </c>
      <c r="C3820" s="65">
        <v>2023</v>
      </c>
      <c r="D3820" s="65" t="s">
        <v>323</v>
      </c>
      <c r="E3820" s="65" t="s">
        <v>294</v>
      </c>
      <c r="F3820" s="65" t="s">
        <v>40</v>
      </c>
      <c r="G3820" s="65"/>
      <c r="H3820" s="65"/>
      <c r="I3820" s="66">
        <v>273529.1449059255</v>
      </c>
    </row>
    <row r="3821" spans="1:9" hidden="1">
      <c r="A3821" s="67" t="s">
        <v>295</v>
      </c>
      <c r="B3821" s="68">
        <v>2041</v>
      </c>
      <c r="C3821" s="68">
        <v>2023</v>
      </c>
      <c r="D3821" s="68" t="s">
        <v>323</v>
      </c>
      <c r="E3821" s="68" t="s">
        <v>301</v>
      </c>
      <c r="F3821" s="68" t="s">
        <v>297</v>
      </c>
      <c r="G3821" s="68"/>
      <c r="H3821" s="68"/>
      <c r="I3821" s="69">
        <v>338534.16559727688</v>
      </c>
    </row>
    <row r="3822" spans="1:9" hidden="1">
      <c r="A3822" s="64" t="s">
        <v>295</v>
      </c>
      <c r="B3822" s="65">
        <v>2041</v>
      </c>
      <c r="C3822" s="65">
        <v>2023</v>
      </c>
      <c r="D3822" s="65" t="s">
        <v>323</v>
      </c>
      <c r="E3822" s="65" t="s">
        <v>301</v>
      </c>
      <c r="F3822" s="65" t="s">
        <v>298</v>
      </c>
      <c r="G3822" s="65"/>
      <c r="H3822" s="65"/>
      <c r="I3822" s="66">
        <v>1389.912767087568</v>
      </c>
    </row>
    <row r="3823" spans="1:9" hidden="1">
      <c r="A3823" s="67" t="s">
        <v>295</v>
      </c>
      <c r="B3823" s="68">
        <v>2041</v>
      </c>
      <c r="C3823" s="68">
        <v>2023</v>
      </c>
      <c r="D3823" s="68" t="s">
        <v>323</v>
      </c>
      <c r="E3823" s="68" t="s">
        <v>301</v>
      </c>
      <c r="F3823" s="68" t="s">
        <v>40</v>
      </c>
      <c r="G3823" s="68"/>
      <c r="H3823" s="68"/>
      <c r="I3823" s="69">
        <v>340033.52023325692</v>
      </c>
    </row>
    <row r="3824" spans="1:9" hidden="1">
      <c r="A3824" s="64" t="s">
        <v>295</v>
      </c>
      <c r="B3824" s="65">
        <v>2041</v>
      </c>
      <c r="C3824" s="65">
        <v>2023</v>
      </c>
      <c r="D3824" s="65" t="s">
        <v>323</v>
      </c>
      <c r="E3824" s="65" t="s">
        <v>305</v>
      </c>
      <c r="F3824" s="65" t="s">
        <v>297</v>
      </c>
      <c r="G3824" s="65"/>
      <c r="H3824" s="65"/>
      <c r="I3824" s="66">
        <v>1471.32825</v>
      </c>
    </row>
    <row r="3825" spans="1:9" hidden="1">
      <c r="A3825" s="67" t="s">
        <v>295</v>
      </c>
      <c r="B3825" s="68">
        <v>2041</v>
      </c>
      <c r="C3825" s="68">
        <v>2023</v>
      </c>
      <c r="D3825" s="68" t="s">
        <v>323</v>
      </c>
      <c r="E3825" s="68" t="s">
        <v>305</v>
      </c>
      <c r="F3825" s="68" t="s">
        <v>40</v>
      </c>
      <c r="G3825" s="68"/>
      <c r="H3825" s="68"/>
      <c r="I3825" s="69">
        <v>19825.948250000001</v>
      </c>
    </row>
    <row r="3826" spans="1:9" hidden="1">
      <c r="A3826" s="64" t="s">
        <v>295</v>
      </c>
      <c r="B3826" s="65">
        <v>2041</v>
      </c>
      <c r="C3826" s="65">
        <v>2023</v>
      </c>
      <c r="D3826" s="65" t="s">
        <v>324</v>
      </c>
      <c r="E3826" s="65" t="s">
        <v>294</v>
      </c>
      <c r="F3826" s="65" t="s">
        <v>297</v>
      </c>
      <c r="G3826" s="65"/>
      <c r="H3826" s="65"/>
      <c r="I3826" s="66">
        <v>3513.808566903168</v>
      </c>
    </row>
    <row r="3827" spans="1:9" hidden="1">
      <c r="A3827" s="67" t="s">
        <v>295</v>
      </c>
      <c r="B3827" s="68">
        <v>2041</v>
      </c>
      <c r="C3827" s="68">
        <v>2023</v>
      </c>
      <c r="D3827" s="68" t="s">
        <v>324</v>
      </c>
      <c r="E3827" s="68" t="s">
        <v>294</v>
      </c>
      <c r="F3827" s="68" t="s">
        <v>298</v>
      </c>
      <c r="G3827" s="68"/>
      <c r="H3827" s="68"/>
      <c r="I3827" s="69">
        <v>0</v>
      </c>
    </row>
    <row r="3828" spans="1:9" hidden="1">
      <c r="A3828" s="64" t="s">
        <v>295</v>
      </c>
      <c r="B3828" s="65">
        <v>2041</v>
      </c>
      <c r="C3828" s="65">
        <v>2023</v>
      </c>
      <c r="D3828" s="65" t="s">
        <v>324</v>
      </c>
      <c r="E3828" s="65" t="s">
        <v>294</v>
      </c>
      <c r="F3828" s="65" t="s">
        <v>40</v>
      </c>
      <c r="G3828" s="65"/>
      <c r="H3828" s="65"/>
      <c r="I3828" s="66">
        <v>3514.6545966278741</v>
      </c>
    </row>
    <row r="3829" spans="1:9" hidden="1">
      <c r="A3829" s="67" t="s">
        <v>295</v>
      </c>
      <c r="B3829" s="68">
        <v>2041</v>
      </c>
      <c r="C3829" s="68">
        <v>2023</v>
      </c>
      <c r="D3829" s="68" t="s">
        <v>324</v>
      </c>
      <c r="E3829" s="68" t="s">
        <v>301</v>
      </c>
      <c r="F3829" s="68" t="s">
        <v>297</v>
      </c>
      <c r="G3829" s="68"/>
      <c r="H3829" s="68"/>
      <c r="I3829" s="69">
        <v>3514.249196903168</v>
      </c>
    </row>
    <row r="3830" spans="1:9" hidden="1">
      <c r="A3830" s="64" t="s">
        <v>295</v>
      </c>
      <c r="B3830" s="65">
        <v>2041</v>
      </c>
      <c r="C3830" s="65">
        <v>2023</v>
      </c>
      <c r="D3830" s="65" t="s">
        <v>324</v>
      </c>
      <c r="E3830" s="65" t="s">
        <v>301</v>
      </c>
      <c r="F3830" s="65" t="s">
        <v>298</v>
      </c>
      <c r="G3830" s="65"/>
      <c r="H3830" s="65"/>
      <c r="I3830" s="66">
        <v>0</v>
      </c>
    </row>
    <row r="3831" spans="1:9" hidden="1">
      <c r="A3831" s="67" t="s">
        <v>295</v>
      </c>
      <c r="B3831" s="68">
        <v>2041</v>
      </c>
      <c r="C3831" s="68">
        <v>2023</v>
      </c>
      <c r="D3831" s="68" t="s">
        <v>324</v>
      </c>
      <c r="E3831" s="68" t="s">
        <v>301</v>
      </c>
      <c r="F3831" s="68" t="s">
        <v>40</v>
      </c>
      <c r="G3831" s="68"/>
      <c r="H3831" s="68"/>
      <c r="I3831" s="69">
        <v>3515.0952266278732</v>
      </c>
    </row>
    <row r="3832" spans="1:9" hidden="1">
      <c r="A3832" s="64" t="s">
        <v>295</v>
      </c>
      <c r="B3832" s="65">
        <v>2041</v>
      </c>
      <c r="C3832" s="65">
        <v>2023</v>
      </c>
      <c r="D3832" s="65" t="s">
        <v>324</v>
      </c>
      <c r="E3832" s="65" t="s">
        <v>305</v>
      </c>
      <c r="F3832" s="65" t="s">
        <v>297</v>
      </c>
      <c r="G3832" s="65"/>
      <c r="H3832" s="65"/>
      <c r="I3832" s="66">
        <v>4.0999999999999996</v>
      </c>
    </row>
    <row r="3833" spans="1:9" hidden="1">
      <c r="A3833" s="67" t="s">
        <v>295</v>
      </c>
      <c r="B3833" s="68">
        <v>2041</v>
      </c>
      <c r="C3833" s="68">
        <v>2023</v>
      </c>
      <c r="D3833" s="68" t="s">
        <v>324</v>
      </c>
      <c r="E3833" s="68" t="s">
        <v>305</v>
      </c>
      <c r="F3833" s="68" t="s">
        <v>40</v>
      </c>
      <c r="G3833" s="68"/>
      <c r="H3833" s="68"/>
      <c r="I3833" s="69">
        <v>1246.2</v>
      </c>
    </row>
    <row r="3834" spans="1:9" hidden="1">
      <c r="A3834" s="64" t="s">
        <v>295</v>
      </c>
      <c r="B3834" s="65">
        <v>2041</v>
      </c>
      <c r="C3834" s="65">
        <v>2023</v>
      </c>
      <c r="D3834" s="65" t="s">
        <v>325</v>
      </c>
      <c r="E3834" s="65" t="s">
        <v>294</v>
      </c>
      <c r="F3834" s="65" t="s">
        <v>297</v>
      </c>
      <c r="G3834" s="65"/>
      <c r="H3834" s="65"/>
      <c r="I3834" s="66">
        <v>46613.708995995461</v>
      </c>
    </row>
    <row r="3835" spans="1:9" hidden="1">
      <c r="A3835" s="67" t="s">
        <v>295</v>
      </c>
      <c r="B3835" s="68">
        <v>2041</v>
      </c>
      <c r="C3835" s="68">
        <v>2023</v>
      </c>
      <c r="D3835" s="68" t="s">
        <v>325</v>
      </c>
      <c r="E3835" s="68" t="s">
        <v>294</v>
      </c>
      <c r="F3835" s="68" t="s">
        <v>298</v>
      </c>
      <c r="G3835" s="68"/>
      <c r="H3835" s="68"/>
      <c r="I3835" s="69">
        <v>12122.269205472559</v>
      </c>
    </row>
    <row r="3836" spans="1:9" hidden="1">
      <c r="A3836" s="64" t="s">
        <v>295</v>
      </c>
      <c r="B3836" s="65">
        <v>2041</v>
      </c>
      <c r="C3836" s="65">
        <v>2023</v>
      </c>
      <c r="D3836" s="65" t="s">
        <v>325</v>
      </c>
      <c r="E3836" s="65" t="s">
        <v>294</v>
      </c>
      <c r="F3836" s="65" t="s">
        <v>40</v>
      </c>
      <c r="G3836" s="65"/>
      <c r="H3836" s="65"/>
      <c r="I3836" s="66">
        <v>58735.900954300552</v>
      </c>
    </row>
    <row r="3837" spans="1:9" hidden="1">
      <c r="A3837" s="67" t="s">
        <v>295</v>
      </c>
      <c r="B3837" s="68">
        <v>2041</v>
      </c>
      <c r="C3837" s="68">
        <v>2023</v>
      </c>
      <c r="D3837" s="68" t="s">
        <v>325</v>
      </c>
      <c r="E3837" s="68" t="s">
        <v>301</v>
      </c>
      <c r="F3837" s="68" t="s">
        <v>297</v>
      </c>
      <c r="G3837" s="68"/>
      <c r="H3837" s="68"/>
      <c r="I3837" s="69">
        <v>48705.946531835027</v>
      </c>
    </row>
    <row r="3838" spans="1:9" hidden="1">
      <c r="A3838" s="64" t="s">
        <v>295</v>
      </c>
      <c r="B3838" s="65">
        <v>2041</v>
      </c>
      <c r="C3838" s="65">
        <v>2023</v>
      </c>
      <c r="D3838" s="65" t="s">
        <v>325</v>
      </c>
      <c r="E3838" s="65" t="s">
        <v>301</v>
      </c>
      <c r="F3838" s="65" t="s">
        <v>298</v>
      </c>
      <c r="G3838" s="65"/>
      <c r="H3838" s="65"/>
      <c r="I3838" s="66">
        <v>13619.09033816497</v>
      </c>
    </row>
    <row r="3839" spans="1:9" hidden="1">
      <c r="A3839" s="67" t="s">
        <v>295</v>
      </c>
      <c r="B3839" s="68">
        <v>2041</v>
      </c>
      <c r="C3839" s="68">
        <v>2023</v>
      </c>
      <c r="D3839" s="68" t="s">
        <v>325</v>
      </c>
      <c r="E3839" s="68" t="s">
        <v>301</v>
      </c>
      <c r="F3839" s="68" t="s">
        <v>40</v>
      </c>
      <c r="G3839" s="68"/>
      <c r="H3839" s="68"/>
      <c r="I3839" s="69">
        <v>62325.040860000001</v>
      </c>
    </row>
    <row r="3840" spans="1:9" hidden="1">
      <c r="A3840" s="64" t="s">
        <v>295</v>
      </c>
      <c r="B3840" s="65">
        <v>2041</v>
      </c>
      <c r="C3840" s="65">
        <v>2023</v>
      </c>
      <c r="D3840" s="65" t="s">
        <v>325</v>
      </c>
      <c r="E3840" s="65" t="s">
        <v>305</v>
      </c>
      <c r="F3840" s="65" t="s">
        <v>297</v>
      </c>
      <c r="G3840" s="65"/>
      <c r="H3840" s="65"/>
      <c r="I3840" s="66">
        <v>430.9</v>
      </c>
    </row>
    <row r="3841" spans="1:9" hidden="1">
      <c r="A3841" s="67" t="s">
        <v>295</v>
      </c>
      <c r="B3841" s="68">
        <v>2041</v>
      </c>
      <c r="C3841" s="68">
        <v>2023</v>
      </c>
      <c r="D3841" s="68" t="s">
        <v>325</v>
      </c>
      <c r="E3841" s="68" t="s">
        <v>305</v>
      </c>
      <c r="F3841" s="68" t="s">
        <v>298</v>
      </c>
      <c r="G3841" s="68"/>
      <c r="H3841" s="68"/>
      <c r="I3841" s="69">
        <v>69.900000000000006</v>
      </c>
    </row>
    <row r="3842" spans="1:9" hidden="1">
      <c r="A3842" s="64" t="s">
        <v>295</v>
      </c>
      <c r="B3842" s="65">
        <v>2041</v>
      </c>
      <c r="C3842" s="65">
        <v>2023</v>
      </c>
      <c r="D3842" s="65" t="s">
        <v>325</v>
      </c>
      <c r="E3842" s="65" t="s">
        <v>305</v>
      </c>
      <c r="F3842" s="65" t="s">
        <v>40</v>
      </c>
      <c r="G3842" s="65"/>
      <c r="H3842" s="65"/>
      <c r="I3842" s="66">
        <v>18676.599999999999</v>
      </c>
    </row>
    <row r="3843" spans="1:9" hidden="1">
      <c r="A3843" s="67" t="s">
        <v>295</v>
      </c>
      <c r="B3843" s="68">
        <v>2041</v>
      </c>
      <c r="C3843" s="68">
        <v>2023</v>
      </c>
      <c r="D3843" s="68" t="s">
        <v>326</v>
      </c>
      <c r="E3843" s="68" t="s">
        <v>294</v>
      </c>
      <c r="F3843" s="68" t="s">
        <v>297</v>
      </c>
      <c r="G3843" s="68"/>
      <c r="H3843" s="68"/>
      <c r="I3843" s="69">
        <v>0</v>
      </c>
    </row>
    <row r="3844" spans="1:9" hidden="1">
      <c r="A3844" s="64" t="s">
        <v>295</v>
      </c>
      <c r="B3844" s="65">
        <v>2041</v>
      </c>
      <c r="C3844" s="65">
        <v>2023</v>
      </c>
      <c r="D3844" s="65" t="s">
        <v>326</v>
      </c>
      <c r="E3844" s="65" t="s">
        <v>294</v>
      </c>
      <c r="F3844" s="65" t="s">
        <v>298</v>
      </c>
      <c r="G3844" s="65"/>
      <c r="H3844" s="65"/>
      <c r="I3844" s="66">
        <v>0</v>
      </c>
    </row>
    <row r="3845" spans="1:9" hidden="1">
      <c r="A3845" s="67" t="s">
        <v>295</v>
      </c>
      <c r="B3845" s="68">
        <v>2041</v>
      </c>
      <c r="C3845" s="68">
        <v>2023</v>
      </c>
      <c r="D3845" s="68" t="s">
        <v>326</v>
      </c>
      <c r="E3845" s="68" t="s">
        <v>294</v>
      </c>
      <c r="F3845" s="68" t="s">
        <v>40</v>
      </c>
      <c r="G3845" s="68"/>
      <c r="H3845" s="68"/>
      <c r="I3845" s="69">
        <v>0</v>
      </c>
    </row>
    <row r="3846" spans="1:9" hidden="1">
      <c r="A3846" s="64" t="s">
        <v>295</v>
      </c>
      <c r="B3846" s="65">
        <v>2041</v>
      </c>
      <c r="C3846" s="65">
        <v>2023</v>
      </c>
      <c r="D3846" s="65" t="s">
        <v>326</v>
      </c>
      <c r="E3846" s="65" t="s">
        <v>301</v>
      </c>
      <c r="F3846" s="65" t="s">
        <v>297</v>
      </c>
      <c r="G3846" s="65"/>
      <c r="H3846" s="65"/>
      <c r="I3846" s="66">
        <v>0</v>
      </c>
    </row>
    <row r="3847" spans="1:9" hidden="1">
      <c r="A3847" s="67" t="s">
        <v>295</v>
      </c>
      <c r="B3847" s="68">
        <v>2041</v>
      </c>
      <c r="C3847" s="68">
        <v>2023</v>
      </c>
      <c r="D3847" s="68" t="s">
        <v>326</v>
      </c>
      <c r="E3847" s="68" t="s">
        <v>301</v>
      </c>
      <c r="F3847" s="68" t="s">
        <v>298</v>
      </c>
      <c r="G3847" s="68"/>
      <c r="H3847" s="68"/>
      <c r="I3847" s="69">
        <v>0</v>
      </c>
    </row>
    <row r="3848" spans="1:9" hidden="1">
      <c r="A3848" s="64" t="s">
        <v>295</v>
      </c>
      <c r="B3848" s="65">
        <v>2041</v>
      </c>
      <c r="C3848" s="65">
        <v>2023</v>
      </c>
      <c r="D3848" s="65" t="s">
        <v>326</v>
      </c>
      <c r="E3848" s="65" t="s">
        <v>301</v>
      </c>
      <c r="F3848" s="65" t="s">
        <v>40</v>
      </c>
      <c r="G3848" s="65"/>
      <c r="H3848" s="65"/>
      <c r="I3848" s="66">
        <v>0</v>
      </c>
    </row>
    <row r="3849" spans="1:9" hidden="1">
      <c r="A3849" s="67" t="s">
        <v>295</v>
      </c>
      <c r="B3849" s="68">
        <v>2041</v>
      </c>
      <c r="C3849" s="68">
        <v>2023</v>
      </c>
      <c r="D3849" s="68" t="s">
        <v>304</v>
      </c>
      <c r="E3849" s="68" t="s">
        <v>294</v>
      </c>
      <c r="F3849" s="68" t="s">
        <v>297</v>
      </c>
      <c r="G3849" s="68"/>
      <c r="H3849" s="68"/>
      <c r="I3849" s="69">
        <v>45530.2746663578</v>
      </c>
    </row>
    <row r="3850" spans="1:9" hidden="1">
      <c r="A3850" s="64" t="s">
        <v>295</v>
      </c>
      <c r="B3850" s="65">
        <v>2041</v>
      </c>
      <c r="C3850" s="65">
        <v>2023</v>
      </c>
      <c r="D3850" s="65" t="s">
        <v>304</v>
      </c>
      <c r="E3850" s="65" t="s">
        <v>294</v>
      </c>
      <c r="F3850" s="65" t="s">
        <v>298</v>
      </c>
      <c r="G3850" s="65"/>
      <c r="H3850" s="65"/>
      <c r="I3850" s="66">
        <v>167679.6460943213</v>
      </c>
    </row>
    <row r="3851" spans="1:9" hidden="1">
      <c r="A3851" s="67" t="s">
        <v>295</v>
      </c>
      <c r="B3851" s="68">
        <v>2041</v>
      </c>
      <c r="C3851" s="68">
        <v>2023</v>
      </c>
      <c r="D3851" s="68" t="s">
        <v>304</v>
      </c>
      <c r="E3851" s="68" t="s">
        <v>294</v>
      </c>
      <c r="F3851" s="68" t="s">
        <v>40</v>
      </c>
      <c r="G3851" s="68"/>
      <c r="H3851" s="68"/>
      <c r="I3851" s="69">
        <v>212954.46315815311</v>
      </c>
    </row>
    <row r="3852" spans="1:9" hidden="1">
      <c r="A3852" s="64" t="s">
        <v>295</v>
      </c>
      <c r="B3852" s="65">
        <v>2041</v>
      </c>
      <c r="C3852" s="65">
        <v>2023</v>
      </c>
      <c r="D3852" s="65" t="s">
        <v>304</v>
      </c>
      <c r="E3852" s="65" t="s">
        <v>301</v>
      </c>
      <c r="F3852" s="65" t="s">
        <v>297</v>
      </c>
      <c r="G3852" s="65"/>
      <c r="H3852" s="65"/>
      <c r="I3852" s="66">
        <v>48844.678593732307</v>
      </c>
    </row>
    <row r="3853" spans="1:9" hidden="1">
      <c r="A3853" s="67" t="s">
        <v>295</v>
      </c>
      <c r="B3853" s="68">
        <v>2041</v>
      </c>
      <c r="C3853" s="68">
        <v>2023</v>
      </c>
      <c r="D3853" s="68" t="s">
        <v>304</v>
      </c>
      <c r="E3853" s="68" t="s">
        <v>301</v>
      </c>
      <c r="F3853" s="68" t="s">
        <v>298</v>
      </c>
      <c r="G3853" s="68"/>
      <c r="H3853" s="68"/>
      <c r="I3853" s="69">
        <v>177398.52202394581</v>
      </c>
    </row>
    <row r="3854" spans="1:9" hidden="1">
      <c r="A3854" s="64" t="s">
        <v>295</v>
      </c>
      <c r="B3854" s="65">
        <v>2041</v>
      </c>
      <c r="C3854" s="65">
        <v>2023</v>
      </c>
      <c r="D3854" s="65" t="s">
        <v>304</v>
      </c>
      <c r="E3854" s="65" t="s">
        <v>301</v>
      </c>
      <c r="F3854" s="65" t="s">
        <v>40</v>
      </c>
      <c r="G3854" s="65"/>
      <c r="H3854" s="65"/>
      <c r="I3854" s="66">
        <v>225984.05968448491</v>
      </c>
    </row>
    <row r="3855" spans="1:9" hidden="1">
      <c r="A3855" s="67" t="s">
        <v>295</v>
      </c>
      <c r="B3855" s="68">
        <v>2041</v>
      </c>
      <c r="C3855" s="68">
        <v>2023</v>
      </c>
      <c r="D3855" s="68" t="s">
        <v>304</v>
      </c>
      <c r="E3855" s="68" t="s">
        <v>305</v>
      </c>
      <c r="F3855" s="68" t="s">
        <v>297</v>
      </c>
      <c r="G3855" s="68"/>
      <c r="H3855" s="68"/>
      <c r="I3855" s="69">
        <v>1189.5315900000001</v>
      </c>
    </row>
    <row r="3856" spans="1:9" hidden="1">
      <c r="A3856" s="64" t="s">
        <v>295</v>
      </c>
      <c r="B3856" s="65">
        <v>2041</v>
      </c>
      <c r="C3856" s="65">
        <v>2023</v>
      </c>
      <c r="D3856" s="65" t="s">
        <v>304</v>
      </c>
      <c r="E3856" s="65" t="s">
        <v>305</v>
      </c>
      <c r="F3856" s="65" t="s">
        <v>298</v>
      </c>
      <c r="G3856" s="65"/>
      <c r="H3856" s="65"/>
      <c r="I3856" s="66">
        <v>761.72</v>
      </c>
    </row>
    <row r="3857" spans="1:9" hidden="1">
      <c r="A3857" s="67" t="s">
        <v>295</v>
      </c>
      <c r="B3857" s="68">
        <v>2041</v>
      </c>
      <c r="C3857" s="68">
        <v>2023</v>
      </c>
      <c r="D3857" s="68" t="s">
        <v>304</v>
      </c>
      <c r="E3857" s="68" t="s">
        <v>305</v>
      </c>
      <c r="F3857" s="68" t="s">
        <v>40</v>
      </c>
      <c r="G3857" s="68"/>
      <c r="H3857" s="68"/>
      <c r="I3857" s="69">
        <v>17248.371589999999</v>
      </c>
    </row>
    <row r="3858" spans="1:9" hidden="1">
      <c r="A3858" s="64" t="s">
        <v>295</v>
      </c>
      <c r="B3858" s="65">
        <v>2041</v>
      </c>
      <c r="C3858" s="65">
        <v>2023</v>
      </c>
      <c r="D3858" s="65" t="s">
        <v>306</v>
      </c>
      <c r="E3858" s="65" t="s">
        <v>294</v>
      </c>
      <c r="F3858" s="65" t="s">
        <v>297</v>
      </c>
      <c r="G3858" s="65"/>
      <c r="H3858" s="65"/>
      <c r="I3858" s="66">
        <v>349713.60786587378</v>
      </c>
    </row>
    <row r="3859" spans="1:9" hidden="1">
      <c r="A3859" s="67" t="s">
        <v>295</v>
      </c>
      <c r="B3859" s="68">
        <v>2041</v>
      </c>
      <c r="C3859" s="68">
        <v>2023</v>
      </c>
      <c r="D3859" s="68" t="s">
        <v>306</v>
      </c>
      <c r="E3859" s="68" t="s">
        <v>294</v>
      </c>
      <c r="F3859" s="68" t="s">
        <v>40</v>
      </c>
      <c r="G3859" s="68"/>
      <c r="H3859" s="68"/>
      <c r="I3859" s="69">
        <v>349544.09243204183</v>
      </c>
    </row>
    <row r="3860" spans="1:9" hidden="1">
      <c r="A3860" s="64" t="s">
        <v>295</v>
      </c>
      <c r="B3860" s="65">
        <v>2041</v>
      </c>
      <c r="C3860" s="65">
        <v>2023</v>
      </c>
      <c r="D3860" s="65" t="s">
        <v>306</v>
      </c>
      <c r="E3860" s="65" t="s">
        <v>301</v>
      </c>
      <c r="F3860" s="65" t="s">
        <v>297</v>
      </c>
      <c r="G3860" s="65"/>
      <c r="H3860" s="65"/>
      <c r="I3860" s="66">
        <v>367006.00020926388</v>
      </c>
    </row>
    <row r="3861" spans="1:9" hidden="1">
      <c r="A3861" s="67" t="s">
        <v>295</v>
      </c>
      <c r="B3861" s="68">
        <v>2041</v>
      </c>
      <c r="C3861" s="68">
        <v>2023</v>
      </c>
      <c r="D3861" s="68" t="s">
        <v>306</v>
      </c>
      <c r="E3861" s="68" t="s">
        <v>301</v>
      </c>
      <c r="F3861" s="68" t="s">
        <v>40</v>
      </c>
      <c r="G3861" s="68"/>
      <c r="H3861" s="68"/>
      <c r="I3861" s="69">
        <v>367006.00020926388</v>
      </c>
    </row>
    <row r="3862" spans="1:9" hidden="1">
      <c r="A3862" s="64" t="s">
        <v>295</v>
      </c>
      <c r="B3862" s="65">
        <v>2041</v>
      </c>
      <c r="C3862" s="65">
        <v>2023</v>
      </c>
      <c r="D3862" s="65" t="s">
        <v>306</v>
      </c>
      <c r="E3862" s="65" t="s">
        <v>305</v>
      </c>
      <c r="F3862" s="65" t="s">
        <v>297</v>
      </c>
      <c r="G3862" s="65"/>
      <c r="H3862" s="65"/>
      <c r="I3862" s="66">
        <v>2071.3347100000001</v>
      </c>
    </row>
    <row r="3863" spans="1:9" hidden="1">
      <c r="A3863" s="67" t="s">
        <v>295</v>
      </c>
      <c r="B3863" s="68">
        <v>2041</v>
      </c>
      <c r="C3863" s="68">
        <v>2023</v>
      </c>
      <c r="D3863" s="68" t="s">
        <v>306</v>
      </c>
      <c r="E3863" s="68" t="s">
        <v>305</v>
      </c>
      <c r="F3863" s="68" t="s">
        <v>40</v>
      </c>
      <c r="G3863" s="68"/>
      <c r="H3863" s="68"/>
      <c r="I3863" s="69">
        <v>36698.35471</v>
      </c>
    </row>
    <row r="3864" spans="1:9" hidden="1">
      <c r="A3864" s="64" t="s">
        <v>295</v>
      </c>
      <c r="B3864" s="65">
        <v>2041</v>
      </c>
      <c r="C3864" s="65">
        <v>2023</v>
      </c>
      <c r="D3864" s="65" t="s">
        <v>307</v>
      </c>
      <c r="E3864" s="65" t="s">
        <v>294</v>
      </c>
      <c r="F3864" s="65" t="s">
        <v>40</v>
      </c>
      <c r="G3864" s="65"/>
      <c r="H3864" s="65"/>
      <c r="I3864" s="66">
        <v>-245465.06924431221</v>
      </c>
    </row>
    <row r="3865" spans="1:9" hidden="1">
      <c r="A3865" s="67" t="s">
        <v>295</v>
      </c>
      <c r="B3865" s="68">
        <v>2041</v>
      </c>
      <c r="C3865" s="68">
        <v>2023</v>
      </c>
      <c r="D3865" s="68" t="s">
        <v>307</v>
      </c>
      <c r="E3865" s="68" t="s">
        <v>301</v>
      </c>
      <c r="F3865" s="68" t="s">
        <v>40</v>
      </c>
      <c r="G3865" s="68"/>
      <c r="H3865" s="68"/>
      <c r="I3865" s="69">
        <v>-215532.36055251441</v>
      </c>
    </row>
    <row r="3866" spans="1:9" hidden="1">
      <c r="A3866" s="64" t="s">
        <v>295</v>
      </c>
      <c r="B3866" s="65">
        <v>2041</v>
      </c>
      <c r="C3866" s="65">
        <v>2023</v>
      </c>
      <c r="D3866" s="65" t="s">
        <v>307</v>
      </c>
      <c r="E3866" s="65" t="s">
        <v>305</v>
      </c>
      <c r="F3866" s="65" t="s">
        <v>40</v>
      </c>
      <c r="G3866" s="65"/>
      <c r="H3866" s="65"/>
      <c r="I3866" s="66">
        <v>-12457.493049999999</v>
      </c>
    </row>
    <row r="3867" spans="1:9" hidden="1">
      <c r="A3867" s="67" t="s">
        <v>295</v>
      </c>
      <c r="B3867" s="68">
        <v>2041</v>
      </c>
      <c r="C3867" s="68">
        <v>2023</v>
      </c>
      <c r="D3867" s="68" t="s">
        <v>327</v>
      </c>
      <c r="E3867" s="68" t="s">
        <v>294</v>
      </c>
      <c r="F3867" s="68" t="s">
        <v>40</v>
      </c>
      <c r="G3867" s="68"/>
      <c r="H3867" s="68"/>
      <c r="I3867" s="69">
        <v>-289147.05789852922</v>
      </c>
    </row>
    <row r="3868" spans="1:9" hidden="1">
      <c r="A3868" s="64" t="s">
        <v>295</v>
      </c>
      <c r="B3868" s="65">
        <v>2041</v>
      </c>
      <c r="C3868" s="65">
        <v>2023</v>
      </c>
      <c r="D3868" s="65" t="s">
        <v>327</v>
      </c>
      <c r="E3868" s="65" t="s">
        <v>301</v>
      </c>
      <c r="F3868" s="65" t="s">
        <v>40</v>
      </c>
      <c r="G3868" s="65"/>
      <c r="H3868" s="65"/>
      <c r="I3868" s="66">
        <v>-269698.54150544538</v>
      </c>
    </row>
    <row r="3869" spans="1:9" hidden="1">
      <c r="A3869" s="67" t="s">
        <v>295</v>
      </c>
      <c r="B3869" s="68">
        <v>2041</v>
      </c>
      <c r="C3869" s="68">
        <v>2023</v>
      </c>
      <c r="D3869" s="68" t="s">
        <v>327</v>
      </c>
      <c r="E3869" s="68" t="s">
        <v>305</v>
      </c>
      <c r="F3869" s="68" t="s">
        <v>40</v>
      </c>
      <c r="G3869" s="68"/>
      <c r="H3869" s="68"/>
      <c r="I3869" s="69">
        <v>-17195.561570000002</v>
      </c>
    </row>
    <row r="3870" spans="1:9" hidden="1">
      <c r="A3870" s="64" t="s">
        <v>295</v>
      </c>
      <c r="B3870" s="65">
        <v>2041</v>
      </c>
      <c r="C3870" s="65">
        <v>2023</v>
      </c>
      <c r="D3870" s="65" t="s">
        <v>328</v>
      </c>
      <c r="E3870" s="65" t="s">
        <v>294</v>
      </c>
      <c r="F3870" s="65" t="s">
        <v>40</v>
      </c>
      <c r="G3870" s="65"/>
      <c r="H3870" s="65"/>
      <c r="I3870" s="66">
        <v>24502.527298740351</v>
      </c>
    </row>
    <row r="3871" spans="1:9" hidden="1">
      <c r="A3871" s="67" t="s">
        <v>295</v>
      </c>
      <c r="B3871" s="68">
        <v>2041</v>
      </c>
      <c r="C3871" s="68">
        <v>2023</v>
      </c>
      <c r="D3871" s="68" t="s">
        <v>328</v>
      </c>
      <c r="E3871" s="68" t="s">
        <v>301</v>
      </c>
      <c r="F3871" s="68" t="s">
        <v>40</v>
      </c>
      <c r="G3871" s="68"/>
      <c r="H3871" s="68"/>
      <c r="I3871" s="69">
        <v>32185.042208481918</v>
      </c>
    </row>
    <row r="3872" spans="1:9" hidden="1">
      <c r="A3872" s="64" t="s">
        <v>295</v>
      </c>
      <c r="B3872" s="65">
        <v>2041</v>
      </c>
      <c r="C3872" s="65">
        <v>2023</v>
      </c>
      <c r="D3872" s="65" t="s">
        <v>328</v>
      </c>
      <c r="E3872" s="65" t="s">
        <v>305</v>
      </c>
      <c r="F3872" s="65" t="s">
        <v>40</v>
      </c>
      <c r="G3872" s="65"/>
      <c r="H3872" s="65"/>
      <c r="I3872" s="66">
        <v>-2210.8361100000002</v>
      </c>
    </row>
    <row r="3873" spans="1:9" hidden="1">
      <c r="A3873" s="67" t="s">
        <v>295</v>
      </c>
      <c r="B3873" s="68">
        <v>2041</v>
      </c>
      <c r="C3873" s="68">
        <v>2023</v>
      </c>
      <c r="D3873" s="68" t="s">
        <v>329</v>
      </c>
      <c r="E3873" s="68" t="s">
        <v>294</v>
      </c>
      <c r="F3873" s="68" t="s">
        <v>40</v>
      </c>
      <c r="G3873" s="68"/>
      <c r="H3873" s="68"/>
      <c r="I3873" s="69">
        <v>11473.762670835329</v>
      </c>
    </row>
    <row r="3874" spans="1:9" hidden="1">
      <c r="A3874" s="64" t="s">
        <v>295</v>
      </c>
      <c r="B3874" s="65">
        <v>2041</v>
      </c>
      <c r="C3874" s="65">
        <v>2023</v>
      </c>
      <c r="D3874" s="65" t="s">
        <v>329</v>
      </c>
      <c r="E3874" s="65" t="s">
        <v>301</v>
      </c>
      <c r="F3874" s="65" t="s">
        <v>40</v>
      </c>
      <c r="G3874" s="65"/>
      <c r="H3874" s="65"/>
      <c r="I3874" s="66">
        <v>11757.905188129051</v>
      </c>
    </row>
    <row r="3875" spans="1:9" hidden="1">
      <c r="A3875" s="67" t="s">
        <v>295</v>
      </c>
      <c r="B3875" s="68">
        <v>2041</v>
      </c>
      <c r="C3875" s="68">
        <v>2023</v>
      </c>
      <c r="D3875" s="68" t="s">
        <v>329</v>
      </c>
      <c r="E3875" s="68" t="s">
        <v>305</v>
      </c>
      <c r="F3875" s="68" t="s">
        <v>40</v>
      </c>
      <c r="G3875" s="68"/>
      <c r="H3875" s="68"/>
      <c r="I3875" s="69">
        <v>4481.7937699999993</v>
      </c>
    </row>
    <row r="3876" spans="1:9" hidden="1">
      <c r="A3876" s="64" t="s">
        <v>295</v>
      </c>
      <c r="B3876" s="65">
        <v>2041</v>
      </c>
      <c r="C3876" s="65">
        <v>2023</v>
      </c>
      <c r="D3876" s="65" t="s">
        <v>330</v>
      </c>
      <c r="E3876" s="65" t="s">
        <v>294</v>
      </c>
      <c r="F3876" s="65" t="s">
        <v>40</v>
      </c>
      <c r="G3876" s="65"/>
      <c r="H3876" s="65"/>
      <c r="I3876" s="66">
        <v>11697.019952035131</v>
      </c>
    </row>
    <row r="3877" spans="1:9" hidden="1">
      <c r="A3877" s="67" t="s">
        <v>295</v>
      </c>
      <c r="B3877" s="68">
        <v>2041</v>
      </c>
      <c r="C3877" s="68">
        <v>2023</v>
      </c>
      <c r="D3877" s="68" t="s">
        <v>330</v>
      </c>
      <c r="E3877" s="68" t="s">
        <v>301</v>
      </c>
      <c r="F3877" s="68" t="s">
        <v>40</v>
      </c>
      <c r="G3877" s="68"/>
      <c r="H3877" s="68"/>
      <c r="I3877" s="69">
        <v>12825.921968922579</v>
      </c>
    </row>
    <row r="3878" spans="1:9" hidden="1">
      <c r="A3878" s="64" t="s">
        <v>295</v>
      </c>
      <c r="B3878" s="65">
        <v>2041</v>
      </c>
      <c r="C3878" s="65">
        <v>2023</v>
      </c>
      <c r="D3878" s="65" t="s">
        <v>330</v>
      </c>
      <c r="E3878" s="65" t="s">
        <v>305</v>
      </c>
      <c r="F3878" s="65" t="s">
        <v>40</v>
      </c>
      <c r="G3878" s="65"/>
      <c r="H3878" s="65"/>
      <c r="I3878" s="66">
        <v>765.00648000000001</v>
      </c>
    </row>
    <row r="3879" spans="1:9" hidden="1">
      <c r="A3879" s="67" t="s">
        <v>295</v>
      </c>
      <c r="B3879" s="68">
        <v>2041</v>
      </c>
      <c r="C3879" s="68">
        <v>2023</v>
      </c>
      <c r="D3879" s="68" t="s">
        <v>331</v>
      </c>
      <c r="E3879" s="68" t="s">
        <v>294</v>
      </c>
      <c r="F3879" s="68" t="s">
        <v>40</v>
      </c>
      <c r="G3879" s="68"/>
      <c r="H3879" s="68"/>
      <c r="I3879" s="69">
        <v>29522.945004140311</v>
      </c>
    </row>
    <row r="3880" spans="1:9" hidden="1">
      <c r="A3880" s="64" t="s">
        <v>295</v>
      </c>
      <c r="B3880" s="65">
        <v>2041</v>
      </c>
      <c r="C3880" s="65">
        <v>2023</v>
      </c>
      <c r="D3880" s="65" t="s">
        <v>331</v>
      </c>
      <c r="E3880" s="65" t="s">
        <v>301</v>
      </c>
      <c r="F3880" s="65" t="s">
        <v>40</v>
      </c>
      <c r="G3880" s="65"/>
      <c r="H3880" s="65"/>
      <c r="I3880" s="66">
        <v>29615.758935059519</v>
      </c>
    </row>
    <row r="3881" spans="1:9" hidden="1">
      <c r="A3881" s="67" t="s">
        <v>295</v>
      </c>
      <c r="B3881" s="68">
        <v>2041</v>
      </c>
      <c r="C3881" s="68">
        <v>2023</v>
      </c>
      <c r="D3881" s="68" t="s">
        <v>331</v>
      </c>
      <c r="E3881" s="68" t="s">
        <v>305</v>
      </c>
      <c r="F3881" s="68" t="s">
        <v>40</v>
      </c>
      <c r="G3881" s="68"/>
      <c r="H3881" s="68"/>
      <c r="I3881" s="69">
        <v>3148.8879099999999</v>
      </c>
    </row>
    <row r="3882" spans="1:9" hidden="1">
      <c r="A3882" s="64" t="s">
        <v>295</v>
      </c>
      <c r="B3882" s="65">
        <v>2041</v>
      </c>
      <c r="C3882" s="65">
        <v>2023</v>
      </c>
      <c r="D3882" s="65" t="s">
        <v>332</v>
      </c>
      <c r="E3882" s="65" t="s">
        <v>294</v>
      </c>
      <c r="F3882" s="65" t="s">
        <v>40</v>
      </c>
      <c r="G3882" s="65"/>
      <c r="H3882" s="65"/>
      <c r="I3882" s="66">
        <v>480.0859999999999</v>
      </c>
    </row>
    <row r="3883" spans="1:9" hidden="1">
      <c r="A3883" s="67" t="s">
        <v>295</v>
      </c>
      <c r="B3883" s="68">
        <v>2041</v>
      </c>
      <c r="C3883" s="68">
        <v>2023</v>
      </c>
      <c r="D3883" s="68" t="s">
        <v>332</v>
      </c>
      <c r="E3883" s="68" t="s">
        <v>301</v>
      </c>
      <c r="F3883" s="68" t="s">
        <v>40</v>
      </c>
      <c r="G3883" s="68"/>
      <c r="H3883" s="68"/>
      <c r="I3883" s="69">
        <v>329.86599999999987</v>
      </c>
    </row>
    <row r="3884" spans="1:9" hidden="1">
      <c r="A3884" s="64" t="s">
        <v>295</v>
      </c>
      <c r="B3884" s="65">
        <v>2041</v>
      </c>
      <c r="C3884" s="65">
        <v>2023</v>
      </c>
      <c r="D3884" s="65" t="s">
        <v>332</v>
      </c>
      <c r="E3884" s="65" t="s">
        <v>305</v>
      </c>
      <c r="F3884" s="65" t="s">
        <v>40</v>
      </c>
      <c r="G3884" s="65"/>
      <c r="H3884" s="65"/>
      <c r="I3884" s="66">
        <v>291.51648</v>
      </c>
    </row>
    <row r="3885" spans="1:9" hidden="1">
      <c r="A3885" s="67" t="s">
        <v>295</v>
      </c>
      <c r="B3885" s="68">
        <v>2041</v>
      </c>
      <c r="C3885" s="68">
        <v>2023</v>
      </c>
      <c r="D3885" s="68" t="s">
        <v>333</v>
      </c>
      <c r="E3885" s="68" t="s">
        <v>294</v>
      </c>
      <c r="F3885" s="68" t="s">
        <v>40</v>
      </c>
      <c r="G3885" s="68"/>
      <c r="H3885" s="68"/>
      <c r="I3885" s="69">
        <v>-33437.586973466212</v>
      </c>
    </row>
    <row r="3886" spans="1:9" hidden="1">
      <c r="A3886" s="64" t="s">
        <v>295</v>
      </c>
      <c r="B3886" s="65">
        <v>2041</v>
      </c>
      <c r="C3886" s="65">
        <v>2023</v>
      </c>
      <c r="D3886" s="65" t="s">
        <v>333</v>
      </c>
      <c r="E3886" s="65" t="s">
        <v>301</v>
      </c>
      <c r="F3886" s="65" t="s">
        <v>40</v>
      </c>
      <c r="G3886" s="65"/>
      <c r="H3886" s="65"/>
      <c r="I3886" s="66">
        <v>-32954.07134346621</v>
      </c>
    </row>
    <row r="3887" spans="1:9" hidden="1">
      <c r="A3887" s="67" t="s">
        <v>295</v>
      </c>
      <c r="B3887" s="68">
        <v>2041</v>
      </c>
      <c r="C3887" s="68">
        <v>2023</v>
      </c>
      <c r="D3887" s="68" t="s">
        <v>333</v>
      </c>
      <c r="E3887" s="68" t="s">
        <v>305</v>
      </c>
      <c r="F3887" s="68" t="s">
        <v>40</v>
      </c>
      <c r="G3887" s="68"/>
      <c r="H3887" s="68"/>
      <c r="I3887" s="69">
        <v>-1738.32</v>
      </c>
    </row>
    <row r="3888" spans="1:9" hidden="1">
      <c r="A3888" s="64" t="s">
        <v>295</v>
      </c>
      <c r="B3888" s="65">
        <v>2041</v>
      </c>
      <c r="C3888" s="65">
        <v>2023</v>
      </c>
      <c r="D3888" s="65" t="s">
        <v>334</v>
      </c>
      <c r="E3888" s="65" t="s">
        <v>294</v>
      </c>
      <c r="F3888" s="65" t="s">
        <v>40</v>
      </c>
      <c r="G3888" s="65"/>
      <c r="H3888" s="65"/>
      <c r="I3888" s="66">
        <v>253.85033000000001</v>
      </c>
    </row>
    <row r="3889" spans="1:9" hidden="1">
      <c r="A3889" s="67" t="s">
        <v>295</v>
      </c>
      <c r="B3889" s="68">
        <v>2041</v>
      </c>
      <c r="C3889" s="68">
        <v>2023</v>
      </c>
      <c r="D3889" s="68" t="s">
        <v>334</v>
      </c>
      <c r="E3889" s="68" t="s">
        <v>301</v>
      </c>
      <c r="F3889" s="68" t="s">
        <v>40</v>
      </c>
      <c r="G3889" s="68"/>
      <c r="H3889" s="68"/>
      <c r="I3889" s="69">
        <v>253.85033000000001</v>
      </c>
    </row>
    <row r="3890" spans="1:9" hidden="1">
      <c r="A3890" s="64" t="s">
        <v>295</v>
      </c>
      <c r="B3890" s="65">
        <v>2041</v>
      </c>
      <c r="C3890" s="65">
        <v>2023</v>
      </c>
      <c r="D3890" s="65" t="s">
        <v>308</v>
      </c>
      <c r="E3890" s="65" t="s">
        <v>294</v>
      </c>
      <c r="F3890" s="65" t="s">
        <v>297</v>
      </c>
      <c r="G3890" s="65"/>
      <c r="H3890" s="65"/>
      <c r="I3890" s="66">
        <v>67045.594795468511</v>
      </c>
    </row>
    <row r="3891" spans="1:9" hidden="1">
      <c r="A3891" s="67" t="s">
        <v>295</v>
      </c>
      <c r="B3891" s="68">
        <v>2041</v>
      </c>
      <c r="C3891" s="68">
        <v>2023</v>
      </c>
      <c r="D3891" s="68" t="s">
        <v>308</v>
      </c>
      <c r="E3891" s="68" t="s">
        <v>294</v>
      </c>
      <c r="F3891" s="68" t="s">
        <v>298</v>
      </c>
      <c r="G3891" s="68"/>
      <c r="H3891" s="68"/>
      <c r="I3891" s="69">
        <v>232.58626248784299</v>
      </c>
    </row>
    <row r="3892" spans="1:9" hidden="1">
      <c r="A3892" s="64" t="s">
        <v>295</v>
      </c>
      <c r="B3892" s="65">
        <v>2041</v>
      </c>
      <c r="C3892" s="65">
        <v>2023</v>
      </c>
      <c r="D3892" s="65" t="s">
        <v>308</v>
      </c>
      <c r="E3892" s="65" t="s">
        <v>294</v>
      </c>
      <c r="F3892" s="65" t="s">
        <v>40</v>
      </c>
      <c r="G3892" s="65"/>
      <c r="H3892" s="65"/>
      <c r="I3892" s="66">
        <v>67312.83029795636</v>
      </c>
    </row>
    <row r="3893" spans="1:9" hidden="1">
      <c r="A3893" s="67" t="s">
        <v>295</v>
      </c>
      <c r="B3893" s="68">
        <v>2041</v>
      </c>
      <c r="C3893" s="68">
        <v>2023</v>
      </c>
      <c r="D3893" s="68" t="s">
        <v>308</v>
      </c>
      <c r="E3893" s="68" t="s">
        <v>301</v>
      </c>
      <c r="F3893" s="68" t="s">
        <v>297</v>
      </c>
      <c r="G3893" s="68"/>
      <c r="H3893" s="68"/>
      <c r="I3893" s="69">
        <v>68068.197535436731</v>
      </c>
    </row>
    <row r="3894" spans="1:9" hidden="1">
      <c r="A3894" s="64" t="s">
        <v>295</v>
      </c>
      <c r="B3894" s="65">
        <v>2041</v>
      </c>
      <c r="C3894" s="65">
        <v>2023</v>
      </c>
      <c r="D3894" s="65" t="s">
        <v>308</v>
      </c>
      <c r="E3894" s="65" t="s">
        <v>301</v>
      </c>
      <c r="F3894" s="65" t="s">
        <v>298</v>
      </c>
      <c r="G3894" s="65"/>
      <c r="H3894" s="65"/>
      <c r="I3894" s="66">
        <v>232.5862624745088</v>
      </c>
    </row>
    <row r="3895" spans="1:9" hidden="1">
      <c r="A3895" s="67" t="s">
        <v>295</v>
      </c>
      <c r="B3895" s="68">
        <v>2041</v>
      </c>
      <c r="C3895" s="68">
        <v>2023</v>
      </c>
      <c r="D3895" s="68" t="s">
        <v>308</v>
      </c>
      <c r="E3895" s="68" t="s">
        <v>301</v>
      </c>
      <c r="F3895" s="68" t="s">
        <v>40</v>
      </c>
      <c r="G3895" s="68"/>
      <c r="H3895" s="68"/>
      <c r="I3895" s="69">
        <v>68195.749318535454</v>
      </c>
    </row>
    <row r="3896" spans="1:9" hidden="1">
      <c r="A3896" s="64" t="s">
        <v>295</v>
      </c>
      <c r="B3896" s="65">
        <v>2041</v>
      </c>
      <c r="C3896" s="65">
        <v>2023</v>
      </c>
      <c r="D3896" s="65" t="s">
        <v>308</v>
      </c>
      <c r="E3896" s="65" t="s">
        <v>305</v>
      </c>
      <c r="F3896" s="65" t="s">
        <v>297</v>
      </c>
      <c r="G3896" s="65"/>
      <c r="H3896" s="65"/>
      <c r="I3896" s="66">
        <v>1689.1799100000001</v>
      </c>
    </row>
    <row r="3897" spans="1:9" hidden="1">
      <c r="A3897" s="67" t="s">
        <v>295</v>
      </c>
      <c r="B3897" s="68">
        <v>2041</v>
      </c>
      <c r="C3897" s="68">
        <v>2023</v>
      </c>
      <c r="D3897" s="68" t="s">
        <v>308</v>
      </c>
      <c r="E3897" s="68" t="s">
        <v>305</v>
      </c>
      <c r="F3897" s="68" t="s">
        <v>40</v>
      </c>
      <c r="G3897" s="68"/>
      <c r="H3897" s="68"/>
      <c r="I3897" s="69">
        <v>10248.23991</v>
      </c>
    </row>
    <row r="3898" spans="1:9" hidden="1">
      <c r="A3898" s="64" t="s">
        <v>295</v>
      </c>
      <c r="B3898" s="65">
        <v>2041</v>
      </c>
      <c r="C3898" s="65">
        <v>2023</v>
      </c>
      <c r="D3898" s="65" t="s">
        <v>310</v>
      </c>
      <c r="E3898" s="65" t="s">
        <v>294</v>
      </c>
      <c r="F3898" s="65" t="s">
        <v>297</v>
      </c>
      <c r="G3898" s="65"/>
      <c r="H3898" s="65"/>
      <c r="I3898" s="66">
        <v>166.32</v>
      </c>
    </row>
    <row r="3899" spans="1:9" hidden="1">
      <c r="A3899" s="67" t="s">
        <v>295</v>
      </c>
      <c r="B3899" s="68">
        <v>2041</v>
      </c>
      <c r="C3899" s="68">
        <v>2023</v>
      </c>
      <c r="D3899" s="68" t="s">
        <v>310</v>
      </c>
      <c r="E3899" s="68" t="s">
        <v>294</v>
      </c>
      <c r="F3899" s="68" t="s">
        <v>40</v>
      </c>
      <c r="G3899" s="68"/>
      <c r="H3899" s="68"/>
      <c r="I3899" s="69">
        <v>123344.7217585255</v>
      </c>
    </row>
    <row r="3900" spans="1:9" hidden="1">
      <c r="A3900" s="64" t="s">
        <v>295</v>
      </c>
      <c r="B3900" s="65">
        <v>2041</v>
      </c>
      <c r="C3900" s="65">
        <v>2023</v>
      </c>
      <c r="D3900" s="65" t="s">
        <v>310</v>
      </c>
      <c r="E3900" s="65" t="s">
        <v>301</v>
      </c>
      <c r="F3900" s="65" t="s">
        <v>297</v>
      </c>
      <c r="G3900" s="65"/>
      <c r="H3900" s="65"/>
      <c r="I3900" s="66">
        <v>166.32</v>
      </c>
    </row>
    <row r="3901" spans="1:9" hidden="1">
      <c r="A3901" s="67" t="s">
        <v>295</v>
      </c>
      <c r="B3901" s="68">
        <v>2041</v>
      </c>
      <c r="C3901" s="68">
        <v>2023</v>
      </c>
      <c r="D3901" s="68" t="s">
        <v>310</v>
      </c>
      <c r="E3901" s="68" t="s">
        <v>301</v>
      </c>
      <c r="F3901" s="68" t="s">
        <v>40</v>
      </c>
      <c r="G3901" s="68"/>
      <c r="H3901" s="68"/>
      <c r="I3901" s="69">
        <v>131846.7650582855</v>
      </c>
    </row>
    <row r="3902" spans="1:9" hidden="1">
      <c r="A3902" s="64" t="s">
        <v>295</v>
      </c>
      <c r="B3902" s="65">
        <v>2041</v>
      </c>
      <c r="C3902" s="65">
        <v>2023</v>
      </c>
      <c r="D3902" s="65" t="s">
        <v>310</v>
      </c>
      <c r="E3902" s="65" t="s">
        <v>305</v>
      </c>
      <c r="F3902" s="65" t="s">
        <v>40</v>
      </c>
      <c r="G3902" s="65"/>
      <c r="H3902" s="65"/>
      <c r="I3902" s="66">
        <v>1291.0929900000001</v>
      </c>
    </row>
    <row r="3903" spans="1:9" hidden="1">
      <c r="A3903" s="67" t="s">
        <v>295</v>
      </c>
      <c r="B3903" s="68">
        <v>2041</v>
      </c>
      <c r="C3903" s="68">
        <v>2023</v>
      </c>
      <c r="D3903" s="68" t="s">
        <v>311</v>
      </c>
      <c r="E3903" s="68" t="s">
        <v>294</v>
      </c>
      <c r="F3903" s="68" t="s">
        <v>297</v>
      </c>
      <c r="G3903" s="68"/>
      <c r="H3903" s="68"/>
      <c r="I3903" s="69">
        <v>846.9</v>
      </c>
    </row>
    <row r="3904" spans="1:9" hidden="1">
      <c r="A3904" s="64" t="s">
        <v>295</v>
      </c>
      <c r="B3904" s="65">
        <v>2041</v>
      </c>
      <c r="C3904" s="65">
        <v>2023</v>
      </c>
      <c r="D3904" s="65" t="s">
        <v>311</v>
      </c>
      <c r="E3904" s="65" t="s">
        <v>294</v>
      </c>
      <c r="F3904" s="65" t="s">
        <v>40</v>
      </c>
      <c r="G3904" s="65"/>
      <c r="H3904" s="65"/>
      <c r="I3904" s="66">
        <v>141583.72818533931</v>
      </c>
    </row>
    <row r="3905" spans="1:9" hidden="1">
      <c r="A3905" s="67" t="s">
        <v>295</v>
      </c>
      <c r="B3905" s="68">
        <v>2041</v>
      </c>
      <c r="C3905" s="68">
        <v>2023</v>
      </c>
      <c r="D3905" s="68" t="s">
        <v>311</v>
      </c>
      <c r="E3905" s="68" t="s">
        <v>301</v>
      </c>
      <c r="F3905" s="68" t="s">
        <v>297</v>
      </c>
      <c r="G3905" s="68"/>
      <c r="H3905" s="68"/>
      <c r="I3905" s="69">
        <v>846.9</v>
      </c>
    </row>
    <row r="3906" spans="1:9" hidden="1">
      <c r="A3906" s="64" t="s">
        <v>295</v>
      </c>
      <c r="B3906" s="65">
        <v>2041</v>
      </c>
      <c r="C3906" s="65">
        <v>2023</v>
      </c>
      <c r="D3906" s="65" t="s">
        <v>311</v>
      </c>
      <c r="E3906" s="65" t="s">
        <v>301</v>
      </c>
      <c r="F3906" s="65" t="s">
        <v>40</v>
      </c>
      <c r="G3906" s="65"/>
      <c r="H3906" s="65"/>
      <c r="I3906" s="66">
        <v>143932.20727013019</v>
      </c>
    </row>
    <row r="3907" spans="1:9" hidden="1">
      <c r="A3907" s="67" t="s">
        <v>295</v>
      </c>
      <c r="B3907" s="68">
        <v>2041</v>
      </c>
      <c r="C3907" s="68">
        <v>2023</v>
      </c>
      <c r="D3907" s="68" t="s">
        <v>311</v>
      </c>
      <c r="E3907" s="68" t="s">
        <v>305</v>
      </c>
      <c r="F3907" s="68" t="s">
        <v>40</v>
      </c>
      <c r="G3907" s="68"/>
      <c r="H3907" s="68"/>
      <c r="I3907" s="69">
        <v>985.2</v>
      </c>
    </row>
    <row r="3908" spans="1:9" hidden="1">
      <c r="A3908" s="64" t="s">
        <v>295</v>
      </c>
      <c r="B3908" s="65">
        <v>2041</v>
      </c>
      <c r="C3908" s="65">
        <v>2023</v>
      </c>
      <c r="D3908" s="65" t="s">
        <v>312</v>
      </c>
      <c r="E3908" s="65" t="s">
        <v>294</v>
      </c>
      <c r="F3908" s="65" t="s">
        <v>297</v>
      </c>
      <c r="G3908" s="65"/>
      <c r="H3908" s="65"/>
      <c r="I3908" s="66">
        <v>697.3767600000001</v>
      </c>
    </row>
    <row r="3909" spans="1:9" hidden="1">
      <c r="A3909" s="67" t="s">
        <v>295</v>
      </c>
      <c r="B3909" s="68">
        <v>2041</v>
      </c>
      <c r="C3909" s="68">
        <v>2023</v>
      </c>
      <c r="D3909" s="68" t="s">
        <v>312</v>
      </c>
      <c r="E3909" s="68" t="s">
        <v>294</v>
      </c>
      <c r="F3909" s="68" t="s">
        <v>40</v>
      </c>
      <c r="G3909" s="68"/>
      <c r="H3909" s="68"/>
      <c r="I3909" s="69">
        <v>841.2693344006467</v>
      </c>
    </row>
    <row r="3910" spans="1:9" hidden="1">
      <c r="A3910" s="64" t="s">
        <v>295</v>
      </c>
      <c r="B3910" s="65">
        <v>2041</v>
      </c>
      <c r="C3910" s="65">
        <v>2023</v>
      </c>
      <c r="D3910" s="65" t="s">
        <v>312</v>
      </c>
      <c r="E3910" s="65" t="s">
        <v>301</v>
      </c>
      <c r="F3910" s="65" t="s">
        <v>297</v>
      </c>
      <c r="G3910" s="65"/>
      <c r="H3910" s="65"/>
      <c r="I3910" s="66">
        <v>700.27675999999997</v>
      </c>
    </row>
    <row r="3911" spans="1:9" hidden="1">
      <c r="A3911" s="67" t="s">
        <v>295</v>
      </c>
      <c r="B3911" s="68">
        <v>2041</v>
      </c>
      <c r="C3911" s="68">
        <v>2023</v>
      </c>
      <c r="D3911" s="68" t="s">
        <v>312</v>
      </c>
      <c r="E3911" s="68" t="s">
        <v>301</v>
      </c>
      <c r="F3911" s="68" t="s">
        <v>40</v>
      </c>
      <c r="G3911" s="68"/>
      <c r="H3911" s="68"/>
      <c r="I3911" s="69">
        <v>844.17676000000006</v>
      </c>
    </row>
    <row r="3912" spans="1:9" hidden="1">
      <c r="A3912" s="64" t="s">
        <v>295</v>
      </c>
      <c r="B3912" s="65">
        <v>2041</v>
      </c>
      <c r="C3912" s="65">
        <v>2023</v>
      </c>
      <c r="D3912" s="65" t="s">
        <v>313</v>
      </c>
      <c r="E3912" s="65" t="s">
        <v>294</v>
      </c>
      <c r="F3912" s="65" t="s">
        <v>297</v>
      </c>
      <c r="G3912" s="65"/>
      <c r="H3912" s="65"/>
      <c r="I3912" s="66">
        <v>1340873.2545489741</v>
      </c>
    </row>
    <row r="3913" spans="1:9" hidden="1">
      <c r="A3913" s="67" t="s">
        <v>295</v>
      </c>
      <c r="B3913" s="68">
        <v>2041</v>
      </c>
      <c r="C3913" s="68">
        <v>2023</v>
      </c>
      <c r="D3913" s="68" t="s">
        <v>313</v>
      </c>
      <c r="E3913" s="68" t="s">
        <v>294</v>
      </c>
      <c r="F3913" s="68" t="s">
        <v>298</v>
      </c>
      <c r="G3913" s="68"/>
      <c r="H3913" s="68"/>
      <c r="I3913" s="69">
        <v>617437.71693981043</v>
      </c>
    </row>
    <row r="3914" spans="1:9" hidden="1">
      <c r="A3914" s="64" t="s">
        <v>295</v>
      </c>
      <c r="B3914" s="65">
        <v>2041</v>
      </c>
      <c r="C3914" s="65">
        <v>2023</v>
      </c>
      <c r="D3914" s="65" t="s">
        <v>313</v>
      </c>
      <c r="E3914" s="65" t="s">
        <v>294</v>
      </c>
      <c r="F3914" s="65" t="s">
        <v>40</v>
      </c>
      <c r="G3914" s="65"/>
      <c r="H3914" s="65"/>
      <c r="I3914" s="66">
        <v>1974980.969847274</v>
      </c>
    </row>
    <row r="3915" spans="1:9" hidden="1">
      <c r="A3915" s="67" t="s">
        <v>295</v>
      </c>
      <c r="B3915" s="68">
        <v>2041</v>
      </c>
      <c r="C3915" s="68">
        <v>2023</v>
      </c>
      <c r="D3915" s="68" t="s">
        <v>313</v>
      </c>
      <c r="E3915" s="68" t="s">
        <v>301</v>
      </c>
      <c r="F3915" s="68" t="s">
        <v>297</v>
      </c>
      <c r="G3915" s="68"/>
      <c r="H3915" s="68"/>
      <c r="I3915" s="69">
        <v>1544557.4734939949</v>
      </c>
    </row>
    <row r="3916" spans="1:9" hidden="1">
      <c r="A3916" s="64" t="s">
        <v>295</v>
      </c>
      <c r="B3916" s="65">
        <v>2041</v>
      </c>
      <c r="C3916" s="65">
        <v>2023</v>
      </c>
      <c r="D3916" s="65" t="s">
        <v>313</v>
      </c>
      <c r="E3916" s="65" t="s">
        <v>301</v>
      </c>
      <c r="F3916" s="65" t="s">
        <v>298</v>
      </c>
      <c r="G3916" s="65"/>
      <c r="H3916" s="65"/>
      <c r="I3916" s="66">
        <v>703105.00427757192</v>
      </c>
    </row>
    <row r="3917" spans="1:9" hidden="1">
      <c r="A3917" s="67" t="s">
        <v>295</v>
      </c>
      <c r="B3917" s="68">
        <v>2041</v>
      </c>
      <c r="C3917" s="68">
        <v>2023</v>
      </c>
      <c r="D3917" s="68" t="s">
        <v>313</v>
      </c>
      <c r="E3917" s="68" t="s">
        <v>301</v>
      </c>
      <c r="F3917" s="68" t="s">
        <v>40</v>
      </c>
      <c r="G3917" s="68"/>
      <c r="H3917" s="68"/>
      <c r="I3917" s="69">
        <v>2265953.3506376282</v>
      </c>
    </row>
    <row r="3918" spans="1:9" hidden="1">
      <c r="A3918" s="64" t="s">
        <v>295</v>
      </c>
      <c r="B3918" s="65">
        <v>2041</v>
      </c>
      <c r="C3918" s="65">
        <v>2023</v>
      </c>
      <c r="D3918" s="65" t="s">
        <v>313</v>
      </c>
      <c r="E3918" s="65" t="s">
        <v>305</v>
      </c>
      <c r="F3918" s="65" t="s">
        <v>297</v>
      </c>
      <c r="G3918" s="65"/>
      <c r="H3918" s="65"/>
      <c r="I3918" s="66">
        <v>17375.929199999999</v>
      </c>
    </row>
    <row r="3919" spans="1:9" hidden="1">
      <c r="A3919" s="67" t="s">
        <v>295</v>
      </c>
      <c r="B3919" s="68">
        <v>2041</v>
      </c>
      <c r="C3919" s="68">
        <v>2023</v>
      </c>
      <c r="D3919" s="68" t="s">
        <v>313</v>
      </c>
      <c r="E3919" s="68" t="s">
        <v>305</v>
      </c>
      <c r="F3919" s="68" t="s">
        <v>298</v>
      </c>
      <c r="G3919" s="68"/>
      <c r="H3919" s="68"/>
      <c r="I3919" s="69">
        <v>9484.9813800000011</v>
      </c>
    </row>
    <row r="3920" spans="1:9" hidden="1">
      <c r="A3920" s="64" t="s">
        <v>295</v>
      </c>
      <c r="B3920" s="65">
        <v>2041</v>
      </c>
      <c r="C3920" s="65">
        <v>2023</v>
      </c>
      <c r="D3920" s="65" t="s">
        <v>313</v>
      </c>
      <c r="E3920" s="65" t="s">
        <v>305</v>
      </c>
      <c r="F3920" s="65" t="s">
        <v>40</v>
      </c>
      <c r="G3920" s="65"/>
      <c r="H3920" s="65"/>
      <c r="I3920" s="66">
        <v>219387.69662999999</v>
      </c>
    </row>
    <row r="3921" spans="1:9" hidden="1">
      <c r="A3921" s="67" t="s">
        <v>295</v>
      </c>
      <c r="B3921" s="68">
        <v>2041</v>
      </c>
      <c r="C3921" s="68">
        <v>2023</v>
      </c>
      <c r="D3921" s="68" t="s">
        <v>314</v>
      </c>
      <c r="E3921" s="68" t="s">
        <v>294</v>
      </c>
      <c r="F3921" s="68" t="s">
        <v>297</v>
      </c>
      <c r="G3921" s="68"/>
      <c r="H3921" s="68"/>
      <c r="I3921" s="69">
        <v>1340873.2545489741</v>
      </c>
    </row>
    <row r="3922" spans="1:9" hidden="1">
      <c r="A3922" s="64" t="s">
        <v>295</v>
      </c>
      <c r="B3922" s="65">
        <v>2041</v>
      </c>
      <c r="C3922" s="65">
        <v>2023</v>
      </c>
      <c r="D3922" s="65" t="s">
        <v>314</v>
      </c>
      <c r="E3922" s="65" t="s">
        <v>294</v>
      </c>
      <c r="F3922" s="65" t="s">
        <v>298</v>
      </c>
      <c r="G3922" s="65"/>
      <c r="H3922" s="65"/>
      <c r="I3922" s="66">
        <v>617437.61693981034</v>
      </c>
    </row>
    <row r="3923" spans="1:9" hidden="1">
      <c r="A3923" s="67" t="s">
        <v>295</v>
      </c>
      <c r="B3923" s="68">
        <v>2041</v>
      </c>
      <c r="C3923" s="68">
        <v>2023</v>
      </c>
      <c r="D3923" s="68" t="s">
        <v>314</v>
      </c>
      <c r="E3923" s="68" t="s">
        <v>294</v>
      </c>
      <c r="F3923" s="68" t="s">
        <v>40</v>
      </c>
      <c r="G3923" s="68"/>
      <c r="H3923" s="68"/>
      <c r="I3923" s="69">
        <v>1686226.0948629619</v>
      </c>
    </row>
    <row r="3924" spans="1:9" hidden="1">
      <c r="A3924" s="64" t="s">
        <v>295</v>
      </c>
      <c r="B3924" s="65">
        <v>2041</v>
      </c>
      <c r="C3924" s="65">
        <v>2023</v>
      </c>
      <c r="D3924" s="65" t="s">
        <v>314</v>
      </c>
      <c r="E3924" s="65" t="s">
        <v>301</v>
      </c>
      <c r="F3924" s="65" t="s">
        <v>297</v>
      </c>
      <c r="G3924" s="65"/>
      <c r="H3924" s="65"/>
      <c r="I3924" s="66">
        <v>1544557.4734939949</v>
      </c>
    </row>
    <row r="3925" spans="1:9" hidden="1">
      <c r="A3925" s="67" t="s">
        <v>295</v>
      </c>
      <c r="B3925" s="68">
        <v>2041</v>
      </c>
      <c r="C3925" s="68">
        <v>2023</v>
      </c>
      <c r="D3925" s="68" t="s">
        <v>314</v>
      </c>
      <c r="E3925" s="68" t="s">
        <v>301</v>
      </c>
      <c r="F3925" s="68" t="s">
        <v>298</v>
      </c>
      <c r="G3925" s="68"/>
      <c r="H3925" s="68"/>
      <c r="I3925" s="69">
        <v>703104.90427757194</v>
      </c>
    </row>
    <row r="3926" spans="1:9" hidden="1">
      <c r="A3926" s="64" t="s">
        <v>295</v>
      </c>
      <c r="B3926" s="65">
        <v>2041</v>
      </c>
      <c r="C3926" s="65">
        <v>2023</v>
      </c>
      <c r="D3926" s="65" t="s">
        <v>314</v>
      </c>
      <c r="E3926" s="65" t="s">
        <v>301</v>
      </c>
      <c r="F3926" s="65" t="s">
        <v>40</v>
      </c>
      <c r="G3926" s="65"/>
      <c r="H3926" s="65"/>
      <c r="I3926" s="66">
        <v>2050414.000985113</v>
      </c>
    </row>
    <row r="3927" spans="1:9" hidden="1">
      <c r="A3927" s="67" t="s">
        <v>295</v>
      </c>
      <c r="B3927" s="68">
        <v>2041</v>
      </c>
      <c r="C3927" s="68">
        <v>2023</v>
      </c>
      <c r="D3927" s="68" t="s">
        <v>314</v>
      </c>
      <c r="E3927" s="68" t="s">
        <v>305</v>
      </c>
      <c r="F3927" s="68" t="s">
        <v>297</v>
      </c>
      <c r="G3927" s="68"/>
      <c r="H3927" s="68"/>
      <c r="I3927" s="69">
        <v>17375.929199999999</v>
      </c>
    </row>
    <row r="3928" spans="1:9" hidden="1">
      <c r="A3928" s="64" t="s">
        <v>295</v>
      </c>
      <c r="B3928" s="65">
        <v>2041</v>
      </c>
      <c r="C3928" s="65">
        <v>2023</v>
      </c>
      <c r="D3928" s="65" t="s">
        <v>314</v>
      </c>
      <c r="E3928" s="65" t="s">
        <v>305</v>
      </c>
      <c r="F3928" s="65" t="s">
        <v>298</v>
      </c>
      <c r="G3928" s="65"/>
      <c r="H3928" s="65"/>
      <c r="I3928" s="66">
        <v>9484.9813800000011</v>
      </c>
    </row>
    <row r="3929" spans="1:9" hidden="1">
      <c r="A3929" s="67" t="s">
        <v>295</v>
      </c>
      <c r="B3929" s="68">
        <v>2041</v>
      </c>
      <c r="C3929" s="68">
        <v>2023</v>
      </c>
      <c r="D3929" s="68" t="s">
        <v>314</v>
      </c>
      <c r="E3929" s="68" t="s">
        <v>305</v>
      </c>
      <c r="F3929" s="68" t="s">
        <v>40</v>
      </c>
      <c r="G3929" s="68"/>
      <c r="H3929" s="68"/>
      <c r="I3929" s="69">
        <v>207242.66357999999</v>
      </c>
    </row>
    <row r="3930" spans="1:9" hidden="1">
      <c r="A3930" s="64" t="s">
        <v>295</v>
      </c>
      <c r="B3930" s="65">
        <v>2042</v>
      </c>
      <c r="C3930" s="65">
        <v>2023</v>
      </c>
      <c r="D3930" s="65" t="s">
        <v>296</v>
      </c>
      <c r="E3930" s="65" t="s">
        <v>294</v>
      </c>
      <c r="F3930" s="65" t="s">
        <v>297</v>
      </c>
      <c r="G3930" s="65"/>
      <c r="H3930" s="65"/>
      <c r="I3930" s="66">
        <v>862428.7057014294</v>
      </c>
    </row>
    <row r="3931" spans="1:9" hidden="1">
      <c r="A3931" s="67" t="s">
        <v>295</v>
      </c>
      <c r="B3931" s="68">
        <v>2042</v>
      </c>
      <c r="C3931" s="68">
        <v>2023</v>
      </c>
      <c r="D3931" s="68" t="s">
        <v>296</v>
      </c>
      <c r="E3931" s="68" t="s">
        <v>294</v>
      </c>
      <c r="F3931" s="68" t="s">
        <v>298</v>
      </c>
      <c r="G3931" s="68"/>
      <c r="H3931" s="68"/>
      <c r="I3931" s="69">
        <v>444742.33832514228</v>
      </c>
    </row>
    <row r="3932" spans="1:9" hidden="1">
      <c r="A3932" s="64" t="s">
        <v>295</v>
      </c>
      <c r="B3932" s="65">
        <v>2042</v>
      </c>
      <c r="C3932" s="65">
        <v>2023</v>
      </c>
      <c r="D3932" s="65" t="s">
        <v>296</v>
      </c>
      <c r="E3932" s="65" t="s">
        <v>294</v>
      </c>
      <c r="F3932" s="65" t="s">
        <v>40</v>
      </c>
      <c r="G3932" s="65"/>
      <c r="H3932" s="65"/>
      <c r="I3932" s="66">
        <v>1324183.1395392939</v>
      </c>
    </row>
    <row r="3933" spans="1:9" hidden="1">
      <c r="A3933" s="67" t="s">
        <v>295</v>
      </c>
      <c r="B3933" s="68">
        <v>2042</v>
      </c>
      <c r="C3933" s="68">
        <v>2023</v>
      </c>
      <c r="D3933" s="68" t="s">
        <v>296</v>
      </c>
      <c r="E3933" s="68" t="s">
        <v>301</v>
      </c>
      <c r="F3933" s="68" t="s">
        <v>297</v>
      </c>
      <c r="G3933" s="68"/>
      <c r="H3933" s="68"/>
      <c r="I3933" s="69">
        <v>1045403.8442958629</v>
      </c>
    </row>
    <row r="3934" spans="1:9" hidden="1">
      <c r="A3934" s="64" t="s">
        <v>295</v>
      </c>
      <c r="B3934" s="65">
        <v>2042</v>
      </c>
      <c r="C3934" s="65">
        <v>2023</v>
      </c>
      <c r="D3934" s="65" t="s">
        <v>296</v>
      </c>
      <c r="E3934" s="65" t="s">
        <v>301</v>
      </c>
      <c r="F3934" s="65" t="s">
        <v>298</v>
      </c>
      <c r="G3934" s="65"/>
      <c r="H3934" s="65"/>
      <c r="I3934" s="66">
        <v>521478.30402992701</v>
      </c>
    </row>
    <row r="3935" spans="1:9" hidden="1">
      <c r="A3935" s="67" t="s">
        <v>295</v>
      </c>
      <c r="B3935" s="68">
        <v>2042</v>
      </c>
      <c r="C3935" s="68">
        <v>2023</v>
      </c>
      <c r="D3935" s="68" t="s">
        <v>296</v>
      </c>
      <c r="E3935" s="68" t="s">
        <v>301</v>
      </c>
      <c r="F3935" s="68" t="s">
        <v>40</v>
      </c>
      <c r="G3935" s="68"/>
      <c r="H3935" s="68"/>
      <c r="I3935" s="69">
        <v>1585545.1469431841</v>
      </c>
    </row>
    <row r="3936" spans="1:9" hidden="1">
      <c r="A3936" s="64" t="s">
        <v>295</v>
      </c>
      <c r="B3936" s="65">
        <v>2042</v>
      </c>
      <c r="C3936" s="65">
        <v>2023</v>
      </c>
      <c r="D3936" s="65" t="s">
        <v>296</v>
      </c>
      <c r="E3936" s="65" t="s">
        <v>305</v>
      </c>
      <c r="F3936" s="65" t="s">
        <v>297</v>
      </c>
      <c r="G3936" s="65"/>
      <c r="H3936" s="65"/>
      <c r="I3936" s="66">
        <v>12428.17632</v>
      </c>
    </row>
    <row r="3937" spans="1:9" hidden="1">
      <c r="A3937" s="67" t="s">
        <v>295</v>
      </c>
      <c r="B3937" s="68">
        <v>2042</v>
      </c>
      <c r="C3937" s="68">
        <v>2023</v>
      </c>
      <c r="D3937" s="68" t="s">
        <v>296</v>
      </c>
      <c r="E3937" s="68" t="s">
        <v>305</v>
      </c>
      <c r="F3937" s="68" t="s">
        <v>298</v>
      </c>
      <c r="G3937" s="68"/>
      <c r="H3937" s="68"/>
      <c r="I3937" s="69">
        <v>8744.2799400000004</v>
      </c>
    </row>
    <row r="3938" spans="1:9" hidden="1">
      <c r="A3938" s="64" t="s">
        <v>295</v>
      </c>
      <c r="B3938" s="65">
        <v>2042</v>
      </c>
      <c r="C3938" s="65">
        <v>2023</v>
      </c>
      <c r="D3938" s="65" t="s">
        <v>296</v>
      </c>
      <c r="E3938" s="65" t="s">
        <v>305</v>
      </c>
      <c r="F3938" s="65" t="s">
        <v>40</v>
      </c>
      <c r="G3938" s="65"/>
      <c r="H3938" s="65"/>
      <c r="I3938" s="66">
        <v>155847.39329000001</v>
      </c>
    </row>
    <row r="3939" spans="1:9" hidden="1">
      <c r="A3939" s="67" t="s">
        <v>295</v>
      </c>
      <c r="B3939" s="68">
        <v>2042</v>
      </c>
      <c r="C3939" s="68">
        <v>2023</v>
      </c>
      <c r="D3939" s="68" t="s">
        <v>309</v>
      </c>
      <c r="E3939" s="68" t="s">
        <v>294</v>
      </c>
      <c r="F3939" s="68" t="s">
        <v>297</v>
      </c>
      <c r="G3939" s="68"/>
      <c r="H3939" s="68"/>
      <c r="I3939" s="69">
        <v>38744.70064155521</v>
      </c>
    </row>
    <row r="3940" spans="1:9" hidden="1">
      <c r="A3940" s="64" t="s">
        <v>295</v>
      </c>
      <c r="B3940" s="65">
        <v>2042</v>
      </c>
      <c r="C3940" s="65">
        <v>2023</v>
      </c>
      <c r="D3940" s="65" t="s">
        <v>309</v>
      </c>
      <c r="E3940" s="65" t="s">
        <v>294</v>
      </c>
      <c r="F3940" s="65" t="s">
        <v>298</v>
      </c>
      <c r="G3940" s="65"/>
      <c r="H3940" s="65"/>
      <c r="I3940" s="66">
        <v>258031.88968898469</v>
      </c>
    </row>
    <row r="3941" spans="1:9" hidden="1">
      <c r="A3941" s="67" t="s">
        <v>295</v>
      </c>
      <c r="B3941" s="68">
        <v>2042</v>
      </c>
      <c r="C3941" s="68">
        <v>2023</v>
      </c>
      <c r="D3941" s="68" t="s">
        <v>309</v>
      </c>
      <c r="E3941" s="68" t="s">
        <v>294</v>
      </c>
      <c r="F3941" s="68" t="s">
        <v>40</v>
      </c>
      <c r="G3941" s="68"/>
      <c r="H3941" s="68"/>
      <c r="I3941" s="69">
        <v>296542.52963987947</v>
      </c>
    </row>
    <row r="3942" spans="1:9" hidden="1">
      <c r="A3942" s="64" t="s">
        <v>295</v>
      </c>
      <c r="B3942" s="65">
        <v>2042</v>
      </c>
      <c r="C3942" s="65">
        <v>2023</v>
      </c>
      <c r="D3942" s="65" t="s">
        <v>309</v>
      </c>
      <c r="E3942" s="65" t="s">
        <v>301</v>
      </c>
      <c r="F3942" s="65" t="s">
        <v>297</v>
      </c>
      <c r="G3942" s="65"/>
      <c r="H3942" s="65"/>
      <c r="I3942" s="66">
        <v>41657.738349972737</v>
      </c>
    </row>
    <row r="3943" spans="1:9" hidden="1">
      <c r="A3943" s="67" t="s">
        <v>295</v>
      </c>
      <c r="B3943" s="68">
        <v>2042</v>
      </c>
      <c r="C3943" s="68">
        <v>2023</v>
      </c>
      <c r="D3943" s="68" t="s">
        <v>309</v>
      </c>
      <c r="E3943" s="68" t="s">
        <v>301</v>
      </c>
      <c r="F3943" s="68" t="s">
        <v>298</v>
      </c>
      <c r="G3943" s="68"/>
      <c r="H3943" s="68"/>
      <c r="I3943" s="69">
        <v>306583.16913855833</v>
      </c>
    </row>
    <row r="3944" spans="1:9" hidden="1">
      <c r="A3944" s="64" t="s">
        <v>295</v>
      </c>
      <c r="B3944" s="65">
        <v>2042</v>
      </c>
      <c r="C3944" s="65">
        <v>2023</v>
      </c>
      <c r="D3944" s="65" t="s">
        <v>309</v>
      </c>
      <c r="E3944" s="65" t="s">
        <v>301</v>
      </c>
      <c r="F3944" s="65" t="s">
        <v>40</v>
      </c>
      <c r="G3944" s="65"/>
      <c r="H3944" s="65"/>
      <c r="I3944" s="66">
        <v>348037.42967068922</v>
      </c>
    </row>
    <row r="3945" spans="1:9" hidden="1">
      <c r="A3945" s="67" t="s">
        <v>295</v>
      </c>
      <c r="B3945" s="68">
        <v>2042</v>
      </c>
      <c r="C3945" s="68">
        <v>2023</v>
      </c>
      <c r="D3945" s="68" t="s">
        <v>309</v>
      </c>
      <c r="E3945" s="68" t="s">
        <v>305</v>
      </c>
      <c r="F3945" s="68" t="s">
        <v>297</v>
      </c>
      <c r="G3945" s="68"/>
      <c r="H3945" s="68"/>
      <c r="I3945" s="69">
        <v>51.500250000000001</v>
      </c>
    </row>
    <row r="3946" spans="1:9" hidden="1">
      <c r="A3946" s="64" t="s">
        <v>295</v>
      </c>
      <c r="B3946" s="65">
        <v>2042</v>
      </c>
      <c r="C3946" s="65">
        <v>2023</v>
      </c>
      <c r="D3946" s="65" t="s">
        <v>309</v>
      </c>
      <c r="E3946" s="65" t="s">
        <v>305</v>
      </c>
      <c r="F3946" s="65" t="s">
        <v>298</v>
      </c>
      <c r="G3946" s="65"/>
      <c r="H3946" s="65"/>
      <c r="I3946" s="66">
        <v>7198.8199400000003</v>
      </c>
    </row>
    <row r="3947" spans="1:9" hidden="1">
      <c r="A3947" s="67" t="s">
        <v>295</v>
      </c>
      <c r="B3947" s="68">
        <v>2042</v>
      </c>
      <c r="C3947" s="68">
        <v>2023</v>
      </c>
      <c r="D3947" s="68" t="s">
        <v>309</v>
      </c>
      <c r="E3947" s="68" t="s">
        <v>305</v>
      </c>
      <c r="F3947" s="68" t="s">
        <v>40</v>
      </c>
      <c r="G3947" s="68"/>
      <c r="H3947" s="68"/>
      <c r="I3947" s="69">
        <v>48223.820189999999</v>
      </c>
    </row>
    <row r="3948" spans="1:9" hidden="1">
      <c r="A3948" s="64" t="s">
        <v>295</v>
      </c>
      <c r="B3948" s="65">
        <v>2042</v>
      </c>
      <c r="C3948" s="65">
        <v>2023</v>
      </c>
      <c r="D3948" s="65" t="s">
        <v>315</v>
      </c>
      <c r="E3948" s="65" t="s">
        <v>294</v>
      </c>
      <c r="F3948" s="65" t="s">
        <v>297</v>
      </c>
      <c r="G3948" s="65"/>
      <c r="H3948" s="65"/>
      <c r="I3948" s="66">
        <v>93869.820808992823</v>
      </c>
    </row>
    <row r="3949" spans="1:9" hidden="1">
      <c r="A3949" s="67" t="s">
        <v>295</v>
      </c>
      <c r="B3949" s="68">
        <v>2042</v>
      </c>
      <c r="C3949" s="68">
        <v>2023</v>
      </c>
      <c r="D3949" s="68" t="s">
        <v>315</v>
      </c>
      <c r="E3949" s="68" t="s">
        <v>294</v>
      </c>
      <c r="F3949" s="68" t="s">
        <v>298</v>
      </c>
      <c r="G3949" s="68"/>
      <c r="H3949" s="68"/>
      <c r="I3949" s="69">
        <v>170629.12803922049</v>
      </c>
    </row>
    <row r="3950" spans="1:9" hidden="1">
      <c r="A3950" s="64" t="s">
        <v>295</v>
      </c>
      <c r="B3950" s="65">
        <v>2042</v>
      </c>
      <c r="C3950" s="65">
        <v>2023</v>
      </c>
      <c r="D3950" s="65" t="s">
        <v>315</v>
      </c>
      <c r="E3950" s="65" t="s">
        <v>294</v>
      </c>
      <c r="F3950" s="65" t="s">
        <v>40</v>
      </c>
      <c r="G3950" s="65"/>
      <c r="H3950" s="65"/>
      <c r="I3950" s="66">
        <v>264246.63253538369</v>
      </c>
    </row>
    <row r="3951" spans="1:9" hidden="1">
      <c r="A3951" s="67" t="s">
        <v>295</v>
      </c>
      <c r="B3951" s="68">
        <v>2042</v>
      </c>
      <c r="C3951" s="68">
        <v>2023</v>
      </c>
      <c r="D3951" s="68" t="s">
        <v>315</v>
      </c>
      <c r="E3951" s="68" t="s">
        <v>301</v>
      </c>
      <c r="F3951" s="68" t="s">
        <v>297</v>
      </c>
      <c r="G3951" s="68"/>
      <c r="H3951" s="68"/>
      <c r="I3951" s="69">
        <v>100534.8197047978</v>
      </c>
    </row>
    <row r="3952" spans="1:9" hidden="1">
      <c r="A3952" s="64" t="s">
        <v>295</v>
      </c>
      <c r="B3952" s="65">
        <v>2042</v>
      </c>
      <c r="C3952" s="65">
        <v>2023</v>
      </c>
      <c r="D3952" s="65" t="s">
        <v>315</v>
      </c>
      <c r="E3952" s="65" t="s">
        <v>301</v>
      </c>
      <c r="F3952" s="65" t="s">
        <v>298</v>
      </c>
      <c r="G3952" s="65"/>
      <c r="H3952" s="65"/>
      <c r="I3952" s="66">
        <v>196921.20774289919</v>
      </c>
    </row>
    <row r="3953" spans="1:9" hidden="1">
      <c r="A3953" s="67" t="s">
        <v>295</v>
      </c>
      <c r="B3953" s="68">
        <v>2042</v>
      </c>
      <c r="C3953" s="68">
        <v>2023</v>
      </c>
      <c r="D3953" s="68" t="s">
        <v>315</v>
      </c>
      <c r="E3953" s="68" t="s">
        <v>301</v>
      </c>
      <c r="F3953" s="68" t="s">
        <v>40</v>
      </c>
      <c r="G3953" s="68"/>
      <c r="H3953" s="68"/>
      <c r="I3953" s="69">
        <v>297207.94263930753</v>
      </c>
    </row>
    <row r="3954" spans="1:9" hidden="1">
      <c r="A3954" s="64" t="s">
        <v>295</v>
      </c>
      <c r="B3954" s="65">
        <v>2042</v>
      </c>
      <c r="C3954" s="65">
        <v>2023</v>
      </c>
      <c r="D3954" s="65" t="s">
        <v>315</v>
      </c>
      <c r="E3954" s="65" t="s">
        <v>305</v>
      </c>
      <c r="F3954" s="65" t="s">
        <v>297</v>
      </c>
      <c r="G3954" s="65"/>
      <c r="H3954" s="65"/>
      <c r="I3954" s="66">
        <v>1120.8145199999999</v>
      </c>
    </row>
    <row r="3955" spans="1:9" hidden="1">
      <c r="A3955" s="67" t="s">
        <v>295</v>
      </c>
      <c r="B3955" s="68">
        <v>2042</v>
      </c>
      <c r="C3955" s="68">
        <v>2023</v>
      </c>
      <c r="D3955" s="68" t="s">
        <v>315</v>
      </c>
      <c r="E3955" s="68" t="s">
        <v>305</v>
      </c>
      <c r="F3955" s="68" t="s">
        <v>298</v>
      </c>
      <c r="G3955" s="68"/>
      <c r="H3955" s="68"/>
      <c r="I3955" s="69">
        <v>1475.56</v>
      </c>
    </row>
    <row r="3956" spans="1:9" hidden="1">
      <c r="A3956" s="64" t="s">
        <v>295</v>
      </c>
      <c r="B3956" s="65">
        <v>2042</v>
      </c>
      <c r="C3956" s="65">
        <v>2023</v>
      </c>
      <c r="D3956" s="65" t="s">
        <v>315</v>
      </c>
      <c r="E3956" s="65" t="s">
        <v>305</v>
      </c>
      <c r="F3956" s="65" t="s">
        <v>40</v>
      </c>
      <c r="G3956" s="65"/>
      <c r="H3956" s="65"/>
      <c r="I3956" s="66">
        <v>22135.17452</v>
      </c>
    </row>
    <row r="3957" spans="1:9" hidden="1">
      <c r="A3957" s="67" t="s">
        <v>295</v>
      </c>
      <c r="B3957" s="68">
        <v>2042</v>
      </c>
      <c r="C3957" s="68">
        <v>2023</v>
      </c>
      <c r="D3957" s="68" t="s">
        <v>316</v>
      </c>
      <c r="E3957" s="68" t="s">
        <v>294</v>
      </c>
      <c r="F3957" s="68" t="s">
        <v>297</v>
      </c>
      <c r="G3957" s="68"/>
      <c r="H3957" s="68"/>
      <c r="I3957" s="69">
        <v>413916.00449607917</v>
      </c>
    </row>
    <row r="3958" spans="1:9" hidden="1">
      <c r="A3958" s="64" t="s">
        <v>295</v>
      </c>
      <c r="B3958" s="65">
        <v>2042</v>
      </c>
      <c r="C3958" s="65">
        <v>2023</v>
      </c>
      <c r="D3958" s="65" t="s">
        <v>316</v>
      </c>
      <c r="E3958" s="65" t="s">
        <v>294</v>
      </c>
      <c r="F3958" s="65" t="s">
        <v>298</v>
      </c>
      <c r="G3958" s="65"/>
      <c r="H3958" s="65"/>
      <c r="I3958" s="66">
        <v>3241.2931534536251</v>
      </c>
    </row>
    <row r="3959" spans="1:9" hidden="1">
      <c r="A3959" s="67" t="s">
        <v>295</v>
      </c>
      <c r="B3959" s="68">
        <v>2042</v>
      </c>
      <c r="C3959" s="68">
        <v>2023</v>
      </c>
      <c r="D3959" s="68" t="s">
        <v>316</v>
      </c>
      <c r="E3959" s="68" t="s">
        <v>294</v>
      </c>
      <c r="F3959" s="68" t="s">
        <v>40</v>
      </c>
      <c r="G3959" s="68"/>
      <c r="H3959" s="68"/>
      <c r="I3959" s="69">
        <v>434434.90745048458</v>
      </c>
    </row>
    <row r="3960" spans="1:9" hidden="1">
      <c r="A3960" s="64" t="s">
        <v>295</v>
      </c>
      <c r="B3960" s="65">
        <v>2042</v>
      </c>
      <c r="C3960" s="65">
        <v>2023</v>
      </c>
      <c r="D3960" s="65" t="s">
        <v>316</v>
      </c>
      <c r="E3960" s="65" t="s">
        <v>301</v>
      </c>
      <c r="F3960" s="65" t="s">
        <v>297</v>
      </c>
      <c r="G3960" s="65"/>
      <c r="H3960" s="65"/>
      <c r="I3960" s="66">
        <v>518131.30923034932</v>
      </c>
    </row>
    <row r="3961" spans="1:9" hidden="1">
      <c r="A3961" s="67" t="s">
        <v>295</v>
      </c>
      <c r="B3961" s="68">
        <v>2042</v>
      </c>
      <c r="C3961" s="68">
        <v>2023</v>
      </c>
      <c r="D3961" s="68" t="s">
        <v>316</v>
      </c>
      <c r="E3961" s="68" t="s">
        <v>301</v>
      </c>
      <c r="F3961" s="68" t="s">
        <v>298</v>
      </c>
      <c r="G3961" s="68"/>
      <c r="H3961" s="68"/>
      <c r="I3961" s="69">
        <v>3449.9883786491282</v>
      </c>
    </row>
    <row r="3962" spans="1:9" hidden="1">
      <c r="A3962" s="64" t="s">
        <v>295</v>
      </c>
      <c r="B3962" s="65">
        <v>2042</v>
      </c>
      <c r="C3962" s="65">
        <v>2023</v>
      </c>
      <c r="D3962" s="65" t="s">
        <v>316</v>
      </c>
      <c r="E3962" s="65" t="s">
        <v>301</v>
      </c>
      <c r="F3962" s="65" t="s">
        <v>40</v>
      </c>
      <c r="G3962" s="65"/>
      <c r="H3962" s="65"/>
      <c r="I3962" s="66">
        <v>540474.53508766042</v>
      </c>
    </row>
    <row r="3963" spans="1:9" hidden="1">
      <c r="A3963" s="67" t="s">
        <v>295</v>
      </c>
      <c r="B3963" s="68">
        <v>2042</v>
      </c>
      <c r="C3963" s="68">
        <v>2023</v>
      </c>
      <c r="D3963" s="68" t="s">
        <v>316</v>
      </c>
      <c r="E3963" s="68" t="s">
        <v>305</v>
      </c>
      <c r="F3963" s="68" t="s">
        <v>297</v>
      </c>
      <c r="G3963" s="68"/>
      <c r="H3963" s="68"/>
      <c r="I3963" s="69">
        <v>9352.8762800000004</v>
      </c>
    </row>
    <row r="3964" spans="1:9" hidden="1">
      <c r="A3964" s="64" t="s">
        <v>295</v>
      </c>
      <c r="B3964" s="65">
        <v>2042</v>
      </c>
      <c r="C3964" s="65">
        <v>2023</v>
      </c>
      <c r="D3964" s="65" t="s">
        <v>316</v>
      </c>
      <c r="E3964" s="65" t="s">
        <v>305</v>
      </c>
      <c r="F3964" s="65" t="s">
        <v>298</v>
      </c>
      <c r="G3964" s="65"/>
      <c r="H3964" s="65"/>
      <c r="I3964" s="66">
        <v>0</v>
      </c>
    </row>
    <row r="3965" spans="1:9" hidden="1">
      <c r="A3965" s="67" t="s">
        <v>295</v>
      </c>
      <c r="B3965" s="68">
        <v>2042</v>
      </c>
      <c r="C3965" s="68">
        <v>2023</v>
      </c>
      <c r="D3965" s="68" t="s">
        <v>316</v>
      </c>
      <c r="E3965" s="68" t="s">
        <v>305</v>
      </c>
      <c r="F3965" s="68" t="s">
        <v>40</v>
      </c>
      <c r="G3965" s="68"/>
      <c r="H3965" s="68"/>
      <c r="I3965" s="69">
        <v>45428.613299999997</v>
      </c>
    </row>
    <row r="3966" spans="1:9" hidden="1">
      <c r="A3966" s="64" t="s">
        <v>295</v>
      </c>
      <c r="B3966" s="65">
        <v>2042</v>
      </c>
      <c r="C3966" s="65">
        <v>2023</v>
      </c>
      <c r="D3966" s="65" t="s">
        <v>317</v>
      </c>
      <c r="E3966" s="65" t="s">
        <v>294</v>
      </c>
      <c r="F3966" s="65" t="s">
        <v>297</v>
      </c>
      <c r="G3966" s="65"/>
      <c r="H3966" s="65"/>
      <c r="I3966" s="66">
        <v>147.27394986924111</v>
      </c>
    </row>
    <row r="3967" spans="1:9" hidden="1">
      <c r="A3967" s="67" t="s">
        <v>295</v>
      </c>
      <c r="B3967" s="68">
        <v>2042</v>
      </c>
      <c r="C3967" s="68">
        <v>2023</v>
      </c>
      <c r="D3967" s="68" t="s">
        <v>317</v>
      </c>
      <c r="E3967" s="68" t="s">
        <v>294</v>
      </c>
      <c r="F3967" s="68" t="s">
        <v>298</v>
      </c>
      <c r="G3967" s="68"/>
      <c r="H3967" s="68"/>
      <c r="I3967" s="69">
        <v>0</v>
      </c>
    </row>
    <row r="3968" spans="1:9" hidden="1">
      <c r="A3968" s="64" t="s">
        <v>295</v>
      </c>
      <c r="B3968" s="65">
        <v>2042</v>
      </c>
      <c r="C3968" s="65">
        <v>2023</v>
      </c>
      <c r="D3968" s="65" t="s">
        <v>317</v>
      </c>
      <c r="E3968" s="65" t="s">
        <v>294</v>
      </c>
      <c r="F3968" s="65" t="s">
        <v>40</v>
      </c>
      <c r="G3968" s="65"/>
      <c r="H3968" s="65"/>
      <c r="I3968" s="66">
        <v>17212.524923312489</v>
      </c>
    </row>
    <row r="3969" spans="1:9" hidden="1">
      <c r="A3969" s="67" t="s">
        <v>295</v>
      </c>
      <c r="B3969" s="68">
        <v>2042</v>
      </c>
      <c r="C3969" s="68">
        <v>2023</v>
      </c>
      <c r="D3969" s="68" t="s">
        <v>317</v>
      </c>
      <c r="E3969" s="68" t="s">
        <v>301</v>
      </c>
      <c r="F3969" s="68" t="s">
        <v>297</v>
      </c>
      <c r="G3969" s="68"/>
      <c r="H3969" s="68"/>
      <c r="I3969" s="69">
        <v>159.68844339766761</v>
      </c>
    </row>
    <row r="3970" spans="1:9" hidden="1">
      <c r="A3970" s="64" t="s">
        <v>295</v>
      </c>
      <c r="B3970" s="65">
        <v>2042</v>
      </c>
      <c r="C3970" s="65">
        <v>2023</v>
      </c>
      <c r="D3970" s="65" t="s">
        <v>317</v>
      </c>
      <c r="E3970" s="65" t="s">
        <v>301</v>
      </c>
      <c r="F3970" s="65" t="s">
        <v>298</v>
      </c>
      <c r="G3970" s="65"/>
      <c r="H3970" s="65"/>
      <c r="I3970" s="66">
        <v>0</v>
      </c>
    </row>
    <row r="3971" spans="1:9" hidden="1">
      <c r="A3971" s="67" t="s">
        <v>295</v>
      </c>
      <c r="B3971" s="68">
        <v>2042</v>
      </c>
      <c r="C3971" s="68">
        <v>2023</v>
      </c>
      <c r="D3971" s="68" t="s">
        <v>317</v>
      </c>
      <c r="E3971" s="68" t="s">
        <v>301</v>
      </c>
      <c r="F3971" s="68" t="s">
        <v>40</v>
      </c>
      <c r="G3971" s="68"/>
      <c r="H3971" s="68"/>
      <c r="I3971" s="69">
        <v>18824.864356636572</v>
      </c>
    </row>
    <row r="3972" spans="1:9" hidden="1">
      <c r="A3972" s="64" t="s">
        <v>295</v>
      </c>
      <c r="B3972" s="65">
        <v>2042</v>
      </c>
      <c r="C3972" s="65">
        <v>2023</v>
      </c>
      <c r="D3972" s="65" t="s">
        <v>317</v>
      </c>
      <c r="E3972" s="65" t="s">
        <v>305</v>
      </c>
      <c r="F3972" s="65" t="s">
        <v>297</v>
      </c>
      <c r="G3972" s="65"/>
      <c r="H3972" s="65"/>
      <c r="I3972" s="66">
        <v>1.3429999999999999E-2</v>
      </c>
    </row>
    <row r="3973" spans="1:9" hidden="1">
      <c r="A3973" s="67" t="s">
        <v>295</v>
      </c>
      <c r="B3973" s="68">
        <v>2042</v>
      </c>
      <c r="C3973" s="68">
        <v>2023</v>
      </c>
      <c r="D3973" s="68" t="s">
        <v>317</v>
      </c>
      <c r="E3973" s="68" t="s">
        <v>305</v>
      </c>
      <c r="F3973" s="68" t="s">
        <v>40</v>
      </c>
      <c r="G3973" s="68"/>
      <c r="H3973" s="68"/>
      <c r="I3973" s="69">
        <v>537.63046000000008</v>
      </c>
    </row>
    <row r="3974" spans="1:9" hidden="1">
      <c r="A3974" s="64" t="s">
        <v>295</v>
      </c>
      <c r="B3974" s="65">
        <v>2042</v>
      </c>
      <c r="C3974" s="65">
        <v>2023</v>
      </c>
      <c r="D3974" s="65" t="s">
        <v>318</v>
      </c>
      <c r="E3974" s="65" t="s">
        <v>294</v>
      </c>
      <c r="F3974" s="65" t="s">
        <v>297</v>
      </c>
      <c r="G3974" s="65"/>
      <c r="H3974" s="65"/>
      <c r="I3974" s="66">
        <v>392123.43014153262</v>
      </c>
    </row>
    <row r="3975" spans="1:9" hidden="1">
      <c r="A3975" s="67" t="s">
        <v>295</v>
      </c>
      <c r="B3975" s="68">
        <v>2042</v>
      </c>
      <c r="C3975" s="68">
        <v>2023</v>
      </c>
      <c r="D3975" s="68" t="s">
        <v>318</v>
      </c>
      <c r="E3975" s="68" t="s">
        <v>294</v>
      </c>
      <c r="F3975" s="68" t="s">
        <v>298</v>
      </c>
      <c r="G3975" s="68"/>
      <c r="H3975" s="68"/>
      <c r="I3975" s="69">
        <v>0</v>
      </c>
    </row>
    <row r="3976" spans="1:9" hidden="1">
      <c r="A3976" s="64" t="s">
        <v>295</v>
      </c>
      <c r="B3976" s="65">
        <v>2042</v>
      </c>
      <c r="C3976" s="65">
        <v>2023</v>
      </c>
      <c r="D3976" s="65" t="s">
        <v>318</v>
      </c>
      <c r="E3976" s="65" t="s">
        <v>294</v>
      </c>
      <c r="F3976" s="65" t="s">
        <v>40</v>
      </c>
      <c r="G3976" s="65"/>
      <c r="H3976" s="65"/>
      <c r="I3976" s="66">
        <v>392283.78689561051</v>
      </c>
    </row>
    <row r="3977" spans="1:9" hidden="1">
      <c r="A3977" s="67" t="s">
        <v>295</v>
      </c>
      <c r="B3977" s="68">
        <v>2042</v>
      </c>
      <c r="C3977" s="68">
        <v>2023</v>
      </c>
      <c r="D3977" s="68" t="s">
        <v>318</v>
      </c>
      <c r="E3977" s="68" t="s">
        <v>301</v>
      </c>
      <c r="F3977" s="68" t="s">
        <v>297</v>
      </c>
      <c r="G3977" s="68"/>
      <c r="H3977" s="68"/>
      <c r="I3977" s="69">
        <v>494546.45995963243</v>
      </c>
    </row>
    <row r="3978" spans="1:9" hidden="1">
      <c r="A3978" s="64" t="s">
        <v>295</v>
      </c>
      <c r="B3978" s="65">
        <v>2042</v>
      </c>
      <c r="C3978" s="65">
        <v>2023</v>
      </c>
      <c r="D3978" s="65" t="s">
        <v>318</v>
      </c>
      <c r="E3978" s="65" t="s">
        <v>301</v>
      </c>
      <c r="F3978" s="65" t="s">
        <v>298</v>
      </c>
      <c r="G3978" s="65"/>
      <c r="H3978" s="65"/>
      <c r="I3978" s="66">
        <v>0</v>
      </c>
    </row>
    <row r="3979" spans="1:9" hidden="1">
      <c r="A3979" s="67" t="s">
        <v>295</v>
      </c>
      <c r="B3979" s="68">
        <v>2042</v>
      </c>
      <c r="C3979" s="68">
        <v>2023</v>
      </c>
      <c r="D3979" s="68" t="s">
        <v>318</v>
      </c>
      <c r="E3979" s="68" t="s">
        <v>301</v>
      </c>
      <c r="F3979" s="68" t="s">
        <v>40</v>
      </c>
      <c r="G3979" s="68"/>
      <c r="H3979" s="68"/>
      <c r="I3979" s="69">
        <v>494755.57262312848</v>
      </c>
    </row>
    <row r="3980" spans="1:9" hidden="1">
      <c r="A3980" s="64" t="s">
        <v>295</v>
      </c>
      <c r="B3980" s="65">
        <v>2042</v>
      </c>
      <c r="C3980" s="65">
        <v>2023</v>
      </c>
      <c r="D3980" s="65" t="s">
        <v>318</v>
      </c>
      <c r="E3980" s="65" t="s">
        <v>305</v>
      </c>
      <c r="F3980" s="65" t="s">
        <v>297</v>
      </c>
      <c r="G3980" s="65"/>
      <c r="H3980" s="65"/>
      <c r="I3980" s="66">
        <v>9252.3891599999988</v>
      </c>
    </row>
    <row r="3981" spans="1:9" hidden="1">
      <c r="A3981" s="67" t="s">
        <v>295</v>
      </c>
      <c r="B3981" s="68">
        <v>2042</v>
      </c>
      <c r="C3981" s="68">
        <v>2023</v>
      </c>
      <c r="D3981" s="68" t="s">
        <v>318</v>
      </c>
      <c r="E3981" s="68" t="s">
        <v>305</v>
      </c>
      <c r="F3981" s="68" t="s">
        <v>40</v>
      </c>
      <c r="G3981" s="68"/>
      <c r="H3981" s="68"/>
      <c r="I3981" s="69">
        <v>42708.369160000002</v>
      </c>
    </row>
    <row r="3982" spans="1:9" hidden="1">
      <c r="A3982" s="64" t="s">
        <v>295</v>
      </c>
      <c r="B3982" s="65">
        <v>2042</v>
      </c>
      <c r="C3982" s="65">
        <v>2023</v>
      </c>
      <c r="D3982" s="65" t="s">
        <v>320</v>
      </c>
      <c r="E3982" s="65" t="s">
        <v>294</v>
      </c>
      <c r="F3982" s="65" t="s">
        <v>297</v>
      </c>
      <c r="G3982" s="65"/>
      <c r="H3982" s="65"/>
      <c r="I3982" s="66">
        <v>3269.3876454259839</v>
      </c>
    </row>
    <row r="3983" spans="1:9" hidden="1">
      <c r="A3983" s="67" t="s">
        <v>295</v>
      </c>
      <c r="B3983" s="68">
        <v>2042</v>
      </c>
      <c r="C3983" s="68">
        <v>2023</v>
      </c>
      <c r="D3983" s="68" t="s">
        <v>320</v>
      </c>
      <c r="E3983" s="68" t="s">
        <v>294</v>
      </c>
      <c r="F3983" s="68" t="s">
        <v>298</v>
      </c>
      <c r="G3983" s="68"/>
      <c r="H3983" s="68"/>
      <c r="I3983" s="69">
        <v>0</v>
      </c>
    </row>
    <row r="3984" spans="1:9" hidden="1">
      <c r="A3984" s="64" t="s">
        <v>295</v>
      </c>
      <c r="B3984" s="65">
        <v>2042</v>
      </c>
      <c r="C3984" s="65">
        <v>2023</v>
      </c>
      <c r="D3984" s="65" t="s">
        <v>320</v>
      </c>
      <c r="E3984" s="65" t="s">
        <v>294</v>
      </c>
      <c r="F3984" s="65" t="s">
        <v>40</v>
      </c>
      <c r="G3984" s="65"/>
      <c r="H3984" s="65"/>
      <c r="I3984" s="66">
        <v>3270.0724430572568</v>
      </c>
    </row>
    <row r="3985" spans="1:9" hidden="1">
      <c r="A3985" s="67" t="s">
        <v>295</v>
      </c>
      <c r="B3985" s="68">
        <v>2042</v>
      </c>
      <c r="C3985" s="68">
        <v>2023</v>
      </c>
      <c r="D3985" s="68" t="s">
        <v>320</v>
      </c>
      <c r="E3985" s="68" t="s">
        <v>301</v>
      </c>
      <c r="F3985" s="68" t="s">
        <v>297</v>
      </c>
      <c r="G3985" s="68"/>
      <c r="H3985" s="68"/>
      <c r="I3985" s="69">
        <v>4354.4810861340193</v>
      </c>
    </row>
    <row r="3986" spans="1:9" hidden="1">
      <c r="A3986" s="64" t="s">
        <v>295</v>
      </c>
      <c r="B3986" s="65">
        <v>2042</v>
      </c>
      <c r="C3986" s="65">
        <v>2023</v>
      </c>
      <c r="D3986" s="65" t="s">
        <v>320</v>
      </c>
      <c r="E3986" s="65" t="s">
        <v>301</v>
      </c>
      <c r="F3986" s="65" t="s">
        <v>298</v>
      </c>
      <c r="G3986" s="65"/>
      <c r="H3986" s="65"/>
      <c r="I3986" s="66">
        <v>0</v>
      </c>
    </row>
    <row r="3987" spans="1:9" hidden="1">
      <c r="A3987" s="67" t="s">
        <v>295</v>
      </c>
      <c r="B3987" s="68">
        <v>2042</v>
      </c>
      <c r="C3987" s="68">
        <v>2023</v>
      </c>
      <c r="D3987" s="68" t="s">
        <v>320</v>
      </c>
      <c r="E3987" s="68" t="s">
        <v>301</v>
      </c>
      <c r="F3987" s="68" t="s">
        <v>40</v>
      </c>
      <c r="G3987" s="68"/>
      <c r="H3987" s="68"/>
      <c r="I3987" s="69">
        <v>4355.1639498262139</v>
      </c>
    </row>
    <row r="3988" spans="1:9" hidden="1">
      <c r="A3988" s="64" t="s">
        <v>295</v>
      </c>
      <c r="B3988" s="65">
        <v>2042</v>
      </c>
      <c r="C3988" s="65">
        <v>2023</v>
      </c>
      <c r="D3988" s="65" t="s">
        <v>320</v>
      </c>
      <c r="E3988" s="65" t="s">
        <v>305</v>
      </c>
      <c r="F3988" s="65" t="s">
        <v>297</v>
      </c>
      <c r="G3988" s="65"/>
      <c r="H3988" s="65"/>
      <c r="I3988" s="66">
        <v>40.58</v>
      </c>
    </row>
    <row r="3989" spans="1:9" hidden="1">
      <c r="A3989" s="67" t="s">
        <v>295</v>
      </c>
      <c r="B3989" s="68">
        <v>2042</v>
      </c>
      <c r="C3989" s="68">
        <v>2023</v>
      </c>
      <c r="D3989" s="68" t="s">
        <v>320</v>
      </c>
      <c r="E3989" s="68" t="s">
        <v>305</v>
      </c>
      <c r="F3989" s="68" t="s">
        <v>40</v>
      </c>
      <c r="G3989" s="68"/>
      <c r="H3989" s="68"/>
      <c r="I3989" s="69">
        <v>1436.84</v>
      </c>
    </row>
    <row r="3990" spans="1:9" hidden="1">
      <c r="A3990" s="64" t="s">
        <v>295</v>
      </c>
      <c r="B3990" s="65">
        <v>2042</v>
      </c>
      <c r="C3990" s="65">
        <v>2023</v>
      </c>
      <c r="D3990" s="65" t="s">
        <v>321</v>
      </c>
      <c r="E3990" s="65" t="s">
        <v>294</v>
      </c>
      <c r="F3990" s="65" t="s">
        <v>297</v>
      </c>
      <c r="G3990" s="65"/>
      <c r="H3990" s="65"/>
      <c r="I3990" s="66">
        <v>17205.86236569973</v>
      </c>
    </row>
    <row r="3991" spans="1:9" hidden="1">
      <c r="A3991" s="67" t="s">
        <v>295</v>
      </c>
      <c r="B3991" s="68">
        <v>2042</v>
      </c>
      <c r="C3991" s="68">
        <v>2023</v>
      </c>
      <c r="D3991" s="68" t="s">
        <v>321</v>
      </c>
      <c r="E3991" s="68" t="s">
        <v>294</v>
      </c>
      <c r="F3991" s="68" t="s">
        <v>298</v>
      </c>
      <c r="G3991" s="68"/>
      <c r="H3991" s="68"/>
      <c r="I3991" s="69">
        <v>0</v>
      </c>
    </row>
    <row r="3992" spans="1:9" hidden="1">
      <c r="A3992" s="64" t="s">
        <v>295</v>
      </c>
      <c r="B3992" s="65">
        <v>2042</v>
      </c>
      <c r="C3992" s="65">
        <v>2023</v>
      </c>
      <c r="D3992" s="65" t="s">
        <v>321</v>
      </c>
      <c r="E3992" s="65" t="s">
        <v>294</v>
      </c>
      <c r="F3992" s="65" t="s">
        <v>40</v>
      </c>
      <c r="G3992" s="65"/>
      <c r="H3992" s="65"/>
      <c r="I3992" s="66">
        <v>17216.209325748459</v>
      </c>
    </row>
    <row r="3993" spans="1:9" hidden="1">
      <c r="A3993" s="67" t="s">
        <v>295</v>
      </c>
      <c r="B3993" s="68">
        <v>2042</v>
      </c>
      <c r="C3993" s="68">
        <v>2023</v>
      </c>
      <c r="D3993" s="68" t="s">
        <v>321</v>
      </c>
      <c r="E3993" s="68" t="s">
        <v>301</v>
      </c>
      <c r="F3993" s="68" t="s">
        <v>297</v>
      </c>
      <c r="G3993" s="68"/>
      <c r="H3993" s="68"/>
      <c r="I3993" s="69">
        <v>17600.261470727441</v>
      </c>
    </row>
    <row r="3994" spans="1:9" hidden="1">
      <c r="A3994" s="64" t="s">
        <v>295</v>
      </c>
      <c r="B3994" s="65">
        <v>2042</v>
      </c>
      <c r="C3994" s="65">
        <v>2023</v>
      </c>
      <c r="D3994" s="65" t="s">
        <v>321</v>
      </c>
      <c r="E3994" s="65" t="s">
        <v>301</v>
      </c>
      <c r="F3994" s="65" t="s">
        <v>298</v>
      </c>
      <c r="G3994" s="65"/>
      <c r="H3994" s="65"/>
      <c r="I3994" s="66">
        <v>0</v>
      </c>
    </row>
    <row r="3995" spans="1:9" hidden="1">
      <c r="A3995" s="67" t="s">
        <v>295</v>
      </c>
      <c r="B3995" s="68">
        <v>2042</v>
      </c>
      <c r="C3995" s="68">
        <v>2023</v>
      </c>
      <c r="D3995" s="68" t="s">
        <v>321</v>
      </c>
      <c r="E3995" s="68" t="s">
        <v>301</v>
      </c>
      <c r="F3995" s="68" t="s">
        <v>40</v>
      </c>
      <c r="G3995" s="68"/>
      <c r="H3995" s="68"/>
      <c r="I3995" s="69">
        <v>17610.478356387761</v>
      </c>
    </row>
    <row r="3996" spans="1:9" hidden="1">
      <c r="A3996" s="64" t="s">
        <v>295</v>
      </c>
      <c r="B3996" s="65">
        <v>2042</v>
      </c>
      <c r="C3996" s="65">
        <v>2023</v>
      </c>
      <c r="D3996" s="65" t="s">
        <v>321</v>
      </c>
      <c r="E3996" s="65" t="s">
        <v>305</v>
      </c>
      <c r="F3996" s="65" t="s">
        <v>297</v>
      </c>
      <c r="G3996" s="65"/>
      <c r="H3996" s="65"/>
      <c r="I3996" s="66">
        <v>52.593690000000002</v>
      </c>
    </row>
    <row r="3997" spans="1:9" hidden="1">
      <c r="A3997" s="67" t="s">
        <v>295</v>
      </c>
      <c r="B3997" s="68">
        <v>2042</v>
      </c>
      <c r="C3997" s="68">
        <v>2023</v>
      </c>
      <c r="D3997" s="68" t="s">
        <v>321</v>
      </c>
      <c r="E3997" s="68" t="s">
        <v>305</v>
      </c>
      <c r="F3997" s="68" t="s">
        <v>40</v>
      </c>
      <c r="G3997" s="68"/>
      <c r="H3997" s="68"/>
      <c r="I3997" s="69">
        <v>417.25369000000001</v>
      </c>
    </row>
    <row r="3998" spans="1:9" hidden="1">
      <c r="A3998" s="64" t="s">
        <v>295</v>
      </c>
      <c r="B3998" s="65">
        <v>2042</v>
      </c>
      <c r="C3998" s="65">
        <v>2023</v>
      </c>
      <c r="D3998" s="65" t="s">
        <v>322</v>
      </c>
      <c r="E3998" s="65" t="s">
        <v>294</v>
      </c>
      <c r="F3998" s="65" t="s">
        <v>297</v>
      </c>
      <c r="G3998" s="65"/>
      <c r="H3998" s="65"/>
      <c r="I3998" s="66">
        <v>1188.7073435515749</v>
      </c>
    </row>
    <row r="3999" spans="1:9" hidden="1">
      <c r="A3999" s="67" t="s">
        <v>295</v>
      </c>
      <c r="B3999" s="68">
        <v>2042</v>
      </c>
      <c r="C3999" s="68">
        <v>2023</v>
      </c>
      <c r="D3999" s="68" t="s">
        <v>322</v>
      </c>
      <c r="E3999" s="68" t="s">
        <v>294</v>
      </c>
      <c r="F3999" s="68" t="s">
        <v>298</v>
      </c>
      <c r="G3999" s="68"/>
      <c r="H3999" s="68"/>
      <c r="I3999" s="69">
        <v>3282.2477392043811</v>
      </c>
    </row>
    <row r="4000" spans="1:9" hidden="1">
      <c r="A4000" s="64" t="s">
        <v>295</v>
      </c>
      <c r="B4000" s="65">
        <v>2042</v>
      </c>
      <c r="C4000" s="65">
        <v>2023</v>
      </c>
      <c r="D4000" s="65" t="s">
        <v>322</v>
      </c>
      <c r="E4000" s="65" t="s">
        <v>294</v>
      </c>
      <c r="F4000" s="65" t="s">
        <v>40</v>
      </c>
      <c r="G4000" s="65"/>
      <c r="H4000" s="65"/>
      <c r="I4000" s="66">
        <v>4470.8150827559566</v>
      </c>
    </row>
    <row r="4001" spans="1:9" hidden="1">
      <c r="A4001" s="67" t="s">
        <v>295</v>
      </c>
      <c r="B4001" s="68">
        <v>2042</v>
      </c>
      <c r="C4001" s="68">
        <v>2023</v>
      </c>
      <c r="D4001" s="68" t="s">
        <v>322</v>
      </c>
      <c r="E4001" s="68" t="s">
        <v>301</v>
      </c>
      <c r="F4001" s="68" t="s">
        <v>297</v>
      </c>
      <c r="G4001" s="68"/>
      <c r="H4001" s="68"/>
      <c r="I4001" s="69">
        <v>1489.1032204577341</v>
      </c>
    </row>
    <row r="4002" spans="1:9" hidden="1">
      <c r="A4002" s="64" t="s">
        <v>295</v>
      </c>
      <c r="B4002" s="65">
        <v>2042</v>
      </c>
      <c r="C4002" s="65">
        <v>2023</v>
      </c>
      <c r="D4002" s="65" t="s">
        <v>322</v>
      </c>
      <c r="E4002" s="65" t="s">
        <v>301</v>
      </c>
      <c r="F4002" s="65" t="s">
        <v>298</v>
      </c>
      <c r="G4002" s="65"/>
      <c r="H4002" s="65"/>
      <c r="I4002" s="66">
        <v>3458.1338212237179</v>
      </c>
    </row>
    <row r="4003" spans="1:9" hidden="1">
      <c r="A4003" s="67" t="s">
        <v>295</v>
      </c>
      <c r="B4003" s="68">
        <v>2042</v>
      </c>
      <c r="C4003" s="68">
        <v>2023</v>
      </c>
      <c r="D4003" s="68" t="s">
        <v>322</v>
      </c>
      <c r="E4003" s="68" t="s">
        <v>301</v>
      </c>
      <c r="F4003" s="68" t="s">
        <v>40</v>
      </c>
      <c r="G4003" s="68"/>
      <c r="H4003" s="68"/>
      <c r="I4003" s="69">
        <v>4947.0970516814514</v>
      </c>
    </row>
    <row r="4004" spans="1:9" hidden="1">
      <c r="A4004" s="64" t="s">
        <v>295</v>
      </c>
      <c r="B4004" s="65">
        <v>2042</v>
      </c>
      <c r="C4004" s="65">
        <v>2023</v>
      </c>
      <c r="D4004" s="65" t="s">
        <v>322</v>
      </c>
      <c r="E4004" s="65" t="s">
        <v>305</v>
      </c>
      <c r="F4004" s="65" t="s">
        <v>297</v>
      </c>
      <c r="G4004" s="65"/>
      <c r="H4004" s="65"/>
      <c r="I4004" s="66">
        <v>7.2</v>
      </c>
    </row>
    <row r="4005" spans="1:9" hidden="1">
      <c r="A4005" s="67" t="s">
        <v>295</v>
      </c>
      <c r="B4005" s="68">
        <v>2042</v>
      </c>
      <c r="C4005" s="68">
        <v>2023</v>
      </c>
      <c r="D4005" s="68" t="s">
        <v>322</v>
      </c>
      <c r="E4005" s="68" t="s">
        <v>305</v>
      </c>
      <c r="F4005" s="68" t="s">
        <v>40</v>
      </c>
      <c r="G4005" s="68"/>
      <c r="H4005" s="68"/>
      <c r="I4005" s="69">
        <v>328.48</v>
      </c>
    </row>
    <row r="4006" spans="1:9" hidden="1">
      <c r="A4006" s="64" t="s">
        <v>295</v>
      </c>
      <c r="B4006" s="65">
        <v>2042</v>
      </c>
      <c r="C4006" s="65">
        <v>2023</v>
      </c>
      <c r="D4006" s="65" t="s">
        <v>323</v>
      </c>
      <c r="E4006" s="65" t="s">
        <v>294</v>
      </c>
      <c r="F4006" s="65" t="s">
        <v>297</v>
      </c>
      <c r="G4006" s="65"/>
      <c r="H4006" s="65"/>
      <c r="I4006" s="66">
        <v>267380.43690139073</v>
      </c>
    </row>
    <row r="4007" spans="1:9" hidden="1">
      <c r="A4007" s="67" t="s">
        <v>295</v>
      </c>
      <c r="B4007" s="68">
        <v>2042</v>
      </c>
      <c r="C4007" s="68">
        <v>2023</v>
      </c>
      <c r="D4007" s="68" t="s">
        <v>323</v>
      </c>
      <c r="E4007" s="68" t="s">
        <v>294</v>
      </c>
      <c r="F4007" s="68" t="s">
        <v>298</v>
      </c>
      <c r="G4007" s="68"/>
      <c r="H4007" s="68"/>
      <c r="I4007" s="69">
        <v>1153.3336657489349</v>
      </c>
    </row>
    <row r="4008" spans="1:9" hidden="1">
      <c r="A4008" s="64" t="s">
        <v>295</v>
      </c>
      <c r="B4008" s="65">
        <v>2042</v>
      </c>
      <c r="C4008" s="65">
        <v>2023</v>
      </c>
      <c r="D4008" s="65" t="s">
        <v>323</v>
      </c>
      <c r="E4008" s="65" t="s">
        <v>294</v>
      </c>
      <c r="F4008" s="65" t="s">
        <v>40</v>
      </c>
      <c r="G4008" s="65"/>
      <c r="H4008" s="65"/>
      <c r="I4008" s="66">
        <v>268753.11574730638</v>
      </c>
    </row>
    <row r="4009" spans="1:9" hidden="1">
      <c r="A4009" s="67" t="s">
        <v>295</v>
      </c>
      <c r="B4009" s="68">
        <v>2042</v>
      </c>
      <c r="C4009" s="68">
        <v>2023</v>
      </c>
      <c r="D4009" s="68" t="s">
        <v>323</v>
      </c>
      <c r="E4009" s="68" t="s">
        <v>301</v>
      </c>
      <c r="F4009" s="68" t="s">
        <v>297</v>
      </c>
      <c r="G4009" s="68"/>
      <c r="H4009" s="68"/>
      <c r="I4009" s="69">
        <v>334445.39879510168</v>
      </c>
    </row>
    <row r="4010" spans="1:9" hidden="1">
      <c r="A4010" s="64" t="s">
        <v>295</v>
      </c>
      <c r="B4010" s="65">
        <v>2042</v>
      </c>
      <c r="C4010" s="65">
        <v>2023</v>
      </c>
      <c r="D4010" s="65" t="s">
        <v>323</v>
      </c>
      <c r="E4010" s="65" t="s">
        <v>301</v>
      </c>
      <c r="F4010" s="65" t="s">
        <v>298</v>
      </c>
      <c r="G4010" s="65"/>
      <c r="H4010" s="65"/>
      <c r="I4010" s="66">
        <v>1313.1344221643089</v>
      </c>
    </row>
    <row r="4011" spans="1:9" hidden="1">
      <c r="A4011" s="67" t="s">
        <v>295</v>
      </c>
      <c r="B4011" s="68">
        <v>2042</v>
      </c>
      <c r="C4011" s="68">
        <v>2023</v>
      </c>
      <c r="D4011" s="68" t="s">
        <v>323</v>
      </c>
      <c r="E4011" s="68" t="s">
        <v>301</v>
      </c>
      <c r="F4011" s="68" t="s">
        <v>40</v>
      </c>
      <c r="G4011" s="68"/>
      <c r="H4011" s="68"/>
      <c r="I4011" s="69">
        <v>335977.51693229139</v>
      </c>
    </row>
    <row r="4012" spans="1:9" hidden="1">
      <c r="A4012" s="64" t="s">
        <v>295</v>
      </c>
      <c r="B4012" s="65">
        <v>2042</v>
      </c>
      <c r="C4012" s="65">
        <v>2023</v>
      </c>
      <c r="D4012" s="65" t="s">
        <v>323</v>
      </c>
      <c r="E4012" s="65" t="s">
        <v>305</v>
      </c>
      <c r="F4012" s="65" t="s">
        <v>297</v>
      </c>
      <c r="G4012" s="65"/>
      <c r="H4012" s="65"/>
      <c r="I4012" s="66">
        <v>1467.7452699999999</v>
      </c>
    </row>
    <row r="4013" spans="1:9" hidden="1">
      <c r="A4013" s="67" t="s">
        <v>295</v>
      </c>
      <c r="B4013" s="68">
        <v>2042</v>
      </c>
      <c r="C4013" s="68">
        <v>2023</v>
      </c>
      <c r="D4013" s="68" t="s">
        <v>323</v>
      </c>
      <c r="E4013" s="68" t="s">
        <v>305</v>
      </c>
      <c r="F4013" s="68" t="s">
        <v>40</v>
      </c>
      <c r="G4013" s="68"/>
      <c r="H4013" s="68"/>
      <c r="I4013" s="69">
        <v>20136.78527</v>
      </c>
    </row>
    <row r="4014" spans="1:9" hidden="1">
      <c r="A4014" s="64" t="s">
        <v>295</v>
      </c>
      <c r="B4014" s="65">
        <v>2042</v>
      </c>
      <c r="C4014" s="65">
        <v>2023</v>
      </c>
      <c r="D4014" s="65" t="s">
        <v>324</v>
      </c>
      <c r="E4014" s="65" t="s">
        <v>294</v>
      </c>
      <c r="F4014" s="65" t="s">
        <v>297</v>
      </c>
      <c r="G4014" s="65"/>
      <c r="H4014" s="65"/>
      <c r="I4014" s="66">
        <v>3501.8628438063351</v>
      </c>
    </row>
    <row r="4015" spans="1:9" hidden="1">
      <c r="A4015" s="67" t="s">
        <v>295</v>
      </c>
      <c r="B4015" s="68">
        <v>2042</v>
      </c>
      <c r="C4015" s="68">
        <v>2023</v>
      </c>
      <c r="D4015" s="68" t="s">
        <v>324</v>
      </c>
      <c r="E4015" s="68" t="s">
        <v>294</v>
      </c>
      <c r="F4015" s="68" t="s">
        <v>298</v>
      </c>
      <c r="G4015" s="68"/>
      <c r="H4015" s="68"/>
      <c r="I4015" s="69">
        <v>0</v>
      </c>
    </row>
    <row r="4016" spans="1:9" hidden="1">
      <c r="A4016" s="64" t="s">
        <v>295</v>
      </c>
      <c r="B4016" s="65">
        <v>2042</v>
      </c>
      <c r="C4016" s="65">
        <v>2023</v>
      </c>
      <c r="D4016" s="65" t="s">
        <v>324</v>
      </c>
      <c r="E4016" s="65" t="s">
        <v>294</v>
      </c>
      <c r="F4016" s="65" t="s">
        <v>40</v>
      </c>
      <c r="G4016" s="65"/>
      <c r="H4016" s="65"/>
      <c r="I4016" s="66">
        <v>3503.554903235171</v>
      </c>
    </row>
    <row r="4017" spans="1:9" hidden="1">
      <c r="A4017" s="67" t="s">
        <v>295</v>
      </c>
      <c r="B4017" s="68">
        <v>2042</v>
      </c>
      <c r="C4017" s="68">
        <v>2023</v>
      </c>
      <c r="D4017" s="68" t="s">
        <v>324</v>
      </c>
      <c r="E4017" s="68" t="s">
        <v>301</v>
      </c>
      <c r="F4017" s="68" t="s">
        <v>297</v>
      </c>
      <c r="G4017" s="68"/>
      <c r="H4017" s="68"/>
      <c r="I4017" s="69">
        <v>3502.3569738063352</v>
      </c>
    </row>
    <row r="4018" spans="1:9" hidden="1">
      <c r="A4018" s="64" t="s">
        <v>295</v>
      </c>
      <c r="B4018" s="65">
        <v>2042</v>
      </c>
      <c r="C4018" s="65">
        <v>2023</v>
      </c>
      <c r="D4018" s="65" t="s">
        <v>324</v>
      </c>
      <c r="E4018" s="65" t="s">
        <v>301</v>
      </c>
      <c r="F4018" s="65" t="s">
        <v>298</v>
      </c>
      <c r="G4018" s="65"/>
      <c r="H4018" s="65"/>
      <c r="I4018" s="66">
        <v>0</v>
      </c>
    </row>
    <row r="4019" spans="1:9" hidden="1">
      <c r="A4019" s="67" t="s">
        <v>295</v>
      </c>
      <c r="B4019" s="68">
        <v>2042</v>
      </c>
      <c r="C4019" s="68">
        <v>2023</v>
      </c>
      <c r="D4019" s="68" t="s">
        <v>324</v>
      </c>
      <c r="E4019" s="68" t="s">
        <v>301</v>
      </c>
      <c r="F4019" s="68" t="s">
        <v>40</v>
      </c>
      <c r="G4019" s="68"/>
      <c r="H4019" s="68"/>
      <c r="I4019" s="69">
        <v>3504.049033235171</v>
      </c>
    </row>
    <row r="4020" spans="1:9" hidden="1">
      <c r="A4020" s="64" t="s">
        <v>295</v>
      </c>
      <c r="B4020" s="65">
        <v>2042</v>
      </c>
      <c r="C4020" s="65">
        <v>2023</v>
      </c>
      <c r="D4020" s="65" t="s">
        <v>324</v>
      </c>
      <c r="E4020" s="65" t="s">
        <v>305</v>
      </c>
      <c r="F4020" s="65" t="s">
        <v>297</v>
      </c>
      <c r="G4020" s="65"/>
      <c r="H4020" s="65"/>
      <c r="I4020" s="66">
        <v>4.0999999999999996</v>
      </c>
    </row>
    <row r="4021" spans="1:9" hidden="1">
      <c r="A4021" s="67" t="s">
        <v>295</v>
      </c>
      <c r="B4021" s="68">
        <v>2042</v>
      </c>
      <c r="C4021" s="68">
        <v>2023</v>
      </c>
      <c r="D4021" s="68" t="s">
        <v>324</v>
      </c>
      <c r="E4021" s="68" t="s">
        <v>305</v>
      </c>
      <c r="F4021" s="68" t="s">
        <v>40</v>
      </c>
      <c r="G4021" s="68"/>
      <c r="H4021" s="68"/>
      <c r="I4021" s="69">
        <v>1246.2</v>
      </c>
    </row>
    <row r="4022" spans="1:9" hidden="1">
      <c r="A4022" s="64" t="s">
        <v>295</v>
      </c>
      <c r="B4022" s="65">
        <v>2042</v>
      </c>
      <c r="C4022" s="65">
        <v>2023</v>
      </c>
      <c r="D4022" s="65" t="s">
        <v>325</v>
      </c>
      <c r="E4022" s="65" t="s">
        <v>294</v>
      </c>
      <c r="F4022" s="65" t="s">
        <v>297</v>
      </c>
      <c r="G4022" s="65"/>
      <c r="H4022" s="65"/>
      <c r="I4022" s="66">
        <v>45076.839999605203</v>
      </c>
    </row>
    <row r="4023" spans="1:9" hidden="1">
      <c r="A4023" s="67" t="s">
        <v>295</v>
      </c>
      <c r="B4023" s="68">
        <v>2042</v>
      </c>
      <c r="C4023" s="68">
        <v>2023</v>
      </c>
      <c r="D4023" s="68" t="s">
        <v>325</v>
      </c>
      <c r="E4023" s="68" t="s">
        <v>294</v>
      </c>
      <c r="F4023" s="68" t="s">
        <v>298</v>
      </c>
      <c r="G4023" s="68"/>
      <c r="H4023" s="68"/>
      <c r="I4023" s="69">
        <v>11686.893767734589</v>
      </c>
    </row>
    <row r="4024" spans="1:9" hidden="1">
      <c r="A4024" s="64" t="s">
        <v>295</v>
      </c>
      <c r="B4024" s="65">
        <v>2042</v>
      </c>
      <c r="C4024" s="65">
        <v>2023</v>
      </c>
      <c r="D4024" s="65" t="s">
        <v>325</v>
      </c>
      <c r="E4024" s="65" t="s">
        <v>294</v>
      </c>
      <c r="F4024" s="65" t="s">
        <v>40</v>
      </c>
      <c r="G4024" s="65"/>
      <c r="H4024" s="65"/>
      <c r="I4024" s="66">
        <v>56763.679273004767</v>
      </c>
    </row>
    <row r="4025" spans="1:9" hidden="1">
      <c r="A4025" s="67" t="s">
        <v>295</v>
      </c>
      <c r="B4025" s="68">
        <v>2042</v>
      </c>
      <c r="C4025" s="68">
        <v>2023</v>
      </c>
      <c r="D4025" s="68" t="s">
        <v>325</v>
      </c>
      <c r="E4025" s="68" t="s">
        <v>301</v>
      </c>
      <c r="F4025" s="68" t="s">
        <v>297</v>
      </c>
      <c r="G4025" s="68"/>
      <c r="H4025" s="68"/>
      <c r="I4025" s="69">
        <v>47193.341201835028</v>
      </c>
    </row>
    <row r="4026" spans="1:9" hidden="1">
      <c r="A4026" s="64" t="s">
        <v>295</v>
      </c>
      <c r="B4026" s="65">
        <v>2042</v>
      </c>
      <c r="C4026" s="65">
        <v>2023</v>
      </c>
      <c r="D4026" s="65" t="s">
        <v>325</v>
      </c>
      <c r="E4026" s="65" t="s">
        <v>301</v>
      </c>
      <c r="F4026" s="65" t="s">
        <v>298</v>
      </c>
      <c r="G4026" s="65"/>
      <c r="H4026" s="65"/>
      <c r="I4026" s="66">
        <v>13211.224348164969</v>
      </c>
    </row>
    <row r="4027" spans="1:9" hidden="1">
      <c r="A4027" s="67" t="s">
        <v>295</v>
      </c>
      <c r="B4027" s="68">
        <v>2042</v>
      </c>
      <c r="C4027" s="68">
        <v>2023</v>
      </c>
      <c r="D4027" s="68" t="s">
        <v>325</v>
      </c>
      <c r="E4027" s="68" t="s">
        <v>301</v>
      </c>
      <c r="F4027" s="68" t="s">
        <v>40</v>
      </c>
      <c r="G4027" s="68"/>
      <c r="H4027" s="68"/>
      <c r="I4027" s="69">
        <v>60404.573559999997</v>
      </c>
    </row>
    <row r="4028" spans="1:9" hidden="1">
      <c r="A4028" s="64" t="s">
        <v>295</v>
      </c>
      <c r="B4028" s="65">
        <v>2042</v>
      </c>
      <c r="C4028" s="65">
        <v>2023</v>
      </c>
      <c r="D4028" s="65" t="s">
        <v>325</v>
      </c>
      <c r="E4028" s="65" t="s">
        <v>305</v>
      </c>
      <c r="F4028" s="65" t="s">
        <v>297</v>
      </c>
      <c r="G4028" s="65"/>
      <c r="H4028" s="65"/>
      <c r="I4028" s="66">
        <v>431.1</v>
      </c>
    </row>
    <row r="4029" spans="1:9" hidden="1">
      <c r="A4029" s="67" t="s">
        <v>295</v>
      </c>
      <c r="B4029" s="68">
        <v>2042</v>
      </c>
      <c r="C4029" s="68">
        <v>2023</v>
      </c>
      <c r="D4029" s="68" t="s">
        <v>325</v>
      </c>
      <c r="E4029" s="68" t="s">
        <v>305</v>
      </c>
      <c r="F4029" s="68" t="s">
        <v>298</v>
      </c>
      <c r="G4029" s="68"/>
      <c r="H4029" s="68"/>
      <c r="I4029" s="69">
        <v>69.900000000000006</v>
      </c>
    </row>
    <row r="4030" spans="1:9" hidden="1">
      <c r="A4030" s="64" t="s">
        <v>295</v>
      </c>
      <c r="B4030" s="65">
        <v>2042</v>
      </c>
      <c r="C4030" s="65">
        <v>2023</v>
      </c>
      <c r="D4030" s="65" t="s">
        <v>325</v>
      </c>
      <c r="E4030" s="65" t="s">
        <v>305</v>
      </c>
      <c r="F4030" s="65" t="s">
        <v>40</v>
      </c>
      <c r="G4030" s="65"/>
      <c r="H4030" s="65"/>
      <c r="I4030" s="66">
        <v>18676.8</v>
      </c>
    </row>
    <row r="4031" spans="1:9" hidden="1">
      <c r="A4031" s="67" t="s">
        <v>295</v>
      </c>
      <c r="B4031" s="68">
        <v>2042</v>
      </c>
      <c r="C4031" s="68">
        <v>2023</v>
      </c>
      <c r="D4031" s="68" t="s">
        <v>326</v>
      </c>
      <c r="E4031" s="68" t="s">
        <v>294</v>
      </c>
      <c r="F4031" s="68" t="s">
        <v>297</v>
      </c>
      <c r="G4031" s="68"/>
      <c r="H4031" s="68"/>
      <c r="I4031" s="69">
        <v>0</v>
      </c>
    </row>
    <row r="4032" spans="1:9" hidden="1">
      <c r="A4032" s="64" t="s">
        <v>295</v>
      </c>
      <c r="B4032" s="65">
        <v>2042</v>
      </c>
      <c r="C4032" s="65">
        <v>2023</v>
      </c>
      <c r="D4032" s="65" t="s">
        <v>326</v>
      </c>
      <c r="E4032" s="65" t="s">
        <v>294</v>
      </c>
      <c r="F4032" s="65" t="s">
        <v>298</v>
      </c>
      <c r="G4032" s="65"/>
      <c r="H4032" s="65"/>
      <c r="I4032" s="66">
        <v>0</v>
      </c>
    </row>
    <row r="4033" spans="1:9" hidden="1">
      <c r="A4033" s="67" t="s">
        <v>295</v>
      </c>
      <c r="B4033" s="68">
        <v>2042</v>
      </c>
      <c r="C4033" s="68">
        <v>2023</v>
      </c>
      <c r="D4033" s="68" t="s">
        <v>326</v>
      </c>
      <c r="E4033" s="68" t="s">
        <v>294</v>
      </c>
      <c r="F4033" s="68" t="s">
        <v>40</v>
      </c>
      <c r="G4033" s="68"/>
      <c r="H4033" s="68"/>
      <c r="I4033" s="69">
        <v>0</v>
      </c>
    </row>
    <row r="4034" spans="1:9" hidden="1">
      <c r="A4034" s="64" t="s">
        <v>295</v>
      </c>
      <c r="B4034" s="65">
        <v>2042</v>
      </c>
      <c r="C4034" s="65">
        <v>2023</v>
      </c>
      <c r="D4034" s="65" t="s">
        <v>326</v>
      </c>
      <c r="E4034" s="65" t="s">
        <v>301</v>
      </c>
      <c r="F4034" s="65" t="s">
        <v>297</v>
      </c>
      <c r="G4034" s="65"/>
      <c r="H4034" s="65"/>
      <c r="I4034" s="66">
        <v>0</v>
      </c>
    </row>
    <row r="4035" spans="1:9" hidden="1">
      <c r="A4035" s="67" t="s">
        <v>295</v>
      </c>
      <c r="B4035" s="68">
        <v>2042</v>
      </c>
      <c r="C4035" s="68">
        <v>2023</v>
      </c>
      <c r="D4035" s="68" t="s">
        <v>326</v>
      </c>
      <c r="E4035" s="68" t="s">
        <v>301</v>
      </c>
      <c r="F4035" s="68" t="s">
        <v>298</v>
      </c>
      <c r="G4035" s="68"/>
      <c r="H4035" s="68"/>
      <c r="I4035" s="69">
        <v>0</v>
      </c>
    </row>
    <row r="4036" spans="1:9" hidden="1">
      <c r="A4036" s="64" t="s">
        <v>295</v>
      </c>
      <c r="B4036" s="65">
        <v>2042</v>
      </c>
      <c r="C4036" s="65">
        <v>2023</v>
      </c>
      <c r="D4036" s="65" t="s">
        <v>326</v>
      </c>
      <c r="E4036" s="65" t="s">
        <v>301</v>
      </c>
      <c r="F4036" s="65" t="s">
        <v>40</v>
      </c>
      <c r="G4036" s="65"/>
      <c r="H4036" s="65"/>
      <c r="I4036" s="66">
        <v>0</v>
      </c>
    </row>
    <row r="4037" spans="1:9" hidden="1">
      <c r="A4037" s="67" t="s">
        <v>295</v>
      </c>
      <c r="B4037" s="68">
        <v>2042</v>
      </c>
      <c r="C4037" s="68">
        <v>2023</v>
      </c>
      <c r="D4037" s="68" t="s">
        <v>304</v>
      </c>
      <c r="E4037" s="68" t="s">
        <v>294</v>
      </c>
      <c r="F4037" s="68" t="s">
        <v>297</v>
      </c>
      <c r="G4037" s="68"/>
      <c r="H4037" s="68"/>
      <c r="I4037" s="69">
        <v>45051.542078014521</v>
      </c>
    </row>
    <row r="4038" spans="1:9" hidden="1">
      <c r="A4038" s="64" t="s">
        <v>295</v>
      </c>
      <c r="B4038" s="65">
        <v>2042</v>
      </c>
      <c r="C4038" s="65">
        <v>2023</v>
      </c>
      <c r="D4038" s="65" t="s">
        <v>304</v>
      </c>
      <c r="E4038" s="65" t="s">
        <v>294</v>
      </c>
      <c r="F4038" s="65" t="s">
        <v>298</v>
      </c>
      <c r="G4038" s="65"/>
      <c r="H4038" s="65"/>
      <c r="I4038" s="66">
        <v>168082.77098534239</v>
      </c>
    </row>
    <row r="4039" spans="1:9" hidden="1">
      <c r="A4039" s="67" t="s">
        <v>295</v>
      </c>
      <c r="B4039" s="68">
        <v>2042</v>
      </c>
      <c r="C4039" s="68">
        <v>2023</v>
      </c>
      <c r="D4039" s="68" t="s">
        <v>304</v>
      </c>
      <c r="E4039" s="68" t="s">
        <v>294</v>
      </c>
      <c r="F4039" s="68" t="s">
        <v>40</v>
      </c>
      <c r="G4039" s="68"/>
      <c r="H4039" s="68"/>
      <c r="I4039" s="69">
        <v>212883.37158661531</v>
      </c>
    </row>
    <row r="4040" spans="1:9" hidden="1">
      <c r="A4040" s="64" t="s">
        <v>295</v>
      </c>
      <c r="B4040" s="65">
        <v>2042</v>
      </c>
      <c r="C4040" s="65">
        <v>2023</v>
      </c>
      <c r="D4040" s="65" t="s">
        <v>304</v>
      </c>
      <c r="E4040" s="65" t="s">
        <v>301</v>
      </c>
      <c r="F4040" s="65" t="s">
        <v>297</v>
      </c>
      <c r="G4040" s="65"/>
      <c r="H4040" s="65"/>
      <c r="I4040" s="66">
        <v>48376.265024591157</v>
      </c>
    </row>
    <row r="4041" spans="1:9" hidden="1">
      <c r="A4041" s="67" t="s">
        <v>295</v>
      </c>
      <c r="B4041" s="68">
        <v>2042</v>
      </c>
      <c r="C4041" s="68">
        <v>2023</v>
      </c>
      <c r="D4041" s="68" t="s">
        <v>304</v>
      </c>
      <c r="E4041" s="68" t="s">
        <v>301</v>
      </c>
      <c r="F4041" s="68" t="s">
        <v>298</v>
      </c>
      <c r="G4041" s="68"/>
      <c r="H4041" s="68"/>
      <c r="I4041" s="69">
        <v>177838.22602894789</v>
      </c>
    </row>
    <row r="4042" spans="1:9" hidden="1">
      <c r="A4042" s="64" t="s">
        <v>295</v>
      </c>
      <c r="B4042" s="65">
        <v>2042</v>
      </c>
      <c r="C4042" s="65">
        <v>2023</v>
      </c>
      <c r="D4042" s="65" t="s">
        <v>304</v>
      </c>
      <c r="E4042" s="65" t="s">
        <v>301</v>
      </c>
      <c r="F4042" s="65" t="s">
        <v>40</v>
      </c>
      <c r="G4042" s="65"/>
      <c r="H4042" s="65"/>
      <c r="I4042" s="66">
        <v>225955.48275786411</v>
      </c>
    </row>
    <row r="4043" spans="1:9" hidden="1">
      <c r="A4043" s="67" t="s">
        <v>295</v>
      </c>
      <c r="B4043" s="68">
        <v>2042</v>
      </c>
      <c r="C4043" s="68">
        <v>2023</v>
      </c>
      <c r="D4043" s="68" t="s">
        <v>304</v>
      </c>
      <c r="E4043" s="68" t="s">
        <v>305</v>
      </c>
      <c r="F4043" s="68" t="s">
        <v>297</v>
      </c>
      <c r="G4043" s="68"/>
      <c r="H4043" s="68"/>
      <c r="I4043" s="69">
        <v>1196.5477900000001</v>
      </c>
    </row>
    <row r="4044" spans="1:9" hidden="1">
      <c r="A4044" s="64" t="s">
        <v>295</v>
      </c>
      <c r="B4044" s="65">
        <v>2042</v>
      </c>
      <c r="C4044" s="65">
        <v>2023</v>
      </c>
      <c r="D4044" s="65" t="s">
        <v>304</v>
      </c>
      <c r="E4044" s="65" t="s">
        <v>305</v>
      </c>
      <c r="F4044" s="65" t="s">
        <v>298</v>
      </c>
      <c r="G4044" s="65"/>
      <c r="H4044" s="65"/>
      <c r="I4044" s="66">
        <v>763.14</v>
      </c>
    </row>
    <row r="4045" spans="1:9" hidden="1">
      <c r="A4045" s="67" t="s">
        <v>295</v>
      </c>
      <c r="B4045" s="68">
        <v>2042</v>
      </c>
      <c r="C4045" s="68">
        <v>2023</v>
      </c>
      <c r="D4045" s="68" t="s">
        <v>304</v>
      </c>
      <c r="E4045" s="68" t="s">
        <v>305</v>
      </c>
      <c r="F4045" s="68" t="s">
        <v>40</v>
      </c>
      <c r="G4045" s="68"/>
      <c r="H4045" s="68"/>
      <c r="I4045" s="69">
        <v>17336.727790000001</v>
      </c>
    </row>
    <row r="4046" spans="1:9" hidden="1">
      <c r="A4046" s="64" t="s">
        <v>295</v>
      </c>
      <c r="B4046" s="65">
        <v>2042</v>
      </c>
      <c r="C4046" s="65">
        <v>2023</v>
      </c>
      <c r="D4046" s="65" t="s">
        <v>306</v>
      </c>
      <c r="E4046" s="65" t="s">
        <v>294</v>
      </c>
      <c r="F4046" s="65" t="s">
        <v>297</v>
      </c>
      <c r="G4046" s="65"/>
      <c r="H4046" s="65"/>
      <c r="I4046" s="66">
        <v>348905.92097861588</v>
      </c>
    </row>
    <row r="4047" spans="1:9" hidden="1">
      <c r="A4047" s="67" t="s">
        <v>295</v>
      </c>
      <c r="B4047" s="68">
        <v>2042</v>
      </c>
      <c r="C4047" s="68">
        <v>2023</v>
      </c>
      <c r="D4047" s="68" t="s">
        <v>306</v>
      </c>
      <c r="E4047" s="68" t="s">
        <v>294</v>
      </c>
      <c r="F4047" s="68" t="s">
        <v>40</v>
      </c>
      <c r="G4047" s="68"/>
      <c r="H4047" s="68"/>
      <c r="I4047" s="69">
        <v>348736.82412105048</v>
      </c>
    </row>
    <row r="4048" spans="1:9" hidden="1">
      <c r="A4048" s="64" t="s">
        <v>295</v>
      </c>
      <c r="B4048" s="65">
        <v>2042</v>
      </c>
      <c r="C4048" s="65">
        <v>2023</v>
      </c>
      <c r="D4048" s="65" t="s">
        <v>306</v>
      </c>
      <c r="E4048" s="65" t="s">
        <v>301</v>
      </c>
      <c r="F4048" s="65" t="s">
        <v>297</v>
      </c>
      <c r="G4048" s="65"/>
      <c r="H4048" s="65"/>
      <c r="I4048" s="66">
        <v>366486.80683719041</v>
      </c>
    </row>
    <row r="4049" spans="1:9" hidden="1">
      <c r="A4049" s="67" t="s">
        <v>295</v>
      </c>
      <c r="B4049" s="68">
        <v>2042</v>
      </c>
      <c r="C4049" s="68">
        <v>2023</v>
      </c>
      <c r="D4049" s="68" t="s">
        <v>306</v>
      </c>
      <c r="E4049" s="68" t="s">
        <v>301</v>
      </c>
      <c r="F4049" s="68" t="s">
        <v>40</v>
      </c>
      <c r="G4049" s="68"/>
      <c r="H4049" s="68"/>
      <c r="I4049" s="69">
        <v>366486.80683719041</v>
      </c>
    </row>
    <row r="4050" spans="1:9" hidden="1">
      <c r="A4050" s="64" t="s">
        <v>295</v>
      </c>
      <c r="B4050" s="65">
        <v>2042</v>
      </c>
      <c r="C4050" s="65">
        <v>2023</v>
      </c>
      <c r="D4050" s="65" t="s">
        <v>306</v>
      </c>
      <c r="E4050" s="65" t="s">
        <v>305</v>
      </c>
      <c r="F4050" s="65" t="s">
        <v>297</v>
      </c>
      <c r="G4050" s="65"/>
      <c r="H4050" s="65"/>
      <c r="I4050" s="66">
        <v>2074.1415099999999</v>
      </c>
    </row>
    <row r="4051" spans="1:9" hidden="1">
      <c r="A4051" s="67" t="s">
        <v>295</v>
      </c>
      <c r="B4051" s="68">
        <v>2042</v>
      </c>
      <c r="C4051" s="68">
        <v>2023</v>
      </c>
      <c r="D4051" s="68" t="s">
        <v>306</v>
      </c>
      <c r="E4051" s="68" t="s">
        <v>305</v>
      </c>
      <c r="F4051" s="68" t="s">
        <v>40</v>
      </c>
      <c r="G4051" s="68"/>
      <c r="H4051" s="68"/>
      <c r="I4051" s="69">
        <v>37197.481509999998</v>
      </c>
    </row>
    <row r="4052" spans="1:9" hidden="1">
      <c r="A4052" s="64" t="s">
        <v>295</v>
      </c>
      <c r="B4052" s="65">
        <v>2042</v>
      </c>
      <c r="C4052" s="65">
        <v>2023</v>
      </c>
      <c r="D4052" s="65" t="s">
        <v>307</v>
      </c>
      <c r="E4052" s="65" t="s">
        <v>294</v>
      </c>
      <c r="F4052" s="65" t="s">
        <v>40</v>
      </c>
      <c r="G4052" s="65"/>
      <c r="H4052" s="65"/>
      <c r="I4052" s="66">
        <v>-246288.4338478428</v>
      </c>
    </row>
    <row r="4053" spans="1:9" hidden="1">
      <c r="A4053" s="67" t="s">
        <v>295</v>
      </c>
      <c r="B4053" s="68">
        <v>2042</v>
      </c>
      <c r="C4053" s="68">
        <v>2023</v>
      </c>
      <c r="D4053" s="68" t="s">
        <v>307</v>
      </c>
      <c r="E4053" s="68" t="s">
        <v>301</v>
      </c>
      <c r="F4053" s="68" t="s">
        <v>40</v>
      </c>
      <c r="G4053" s="68"/>
      <c r="H4053" s="68"/>
      <c r="I4053" s="69">
        <v>-216654.4090586933</v>
      </c>
    </row>
    <row r="4054" spans="1:9" hidden="1">
      <c r="A4054" s="64" t="s">
        <v>295</v>
      </c>
      <c r="B4054" s="65">
        <v>2042</v>
      </c>
      <c r="C4054" s="65">
        <v>2023</v>
      </c>
      <c r="D4054" s="65" t="s">
        <v>307</v>
      </c>
      <c r="E4054" s="65" t="s">
        <v>305</v>
      </c>
      <c r="F4054" s="65" t="s">
        <v>40</v>
      </c>
      <c r="G4054" s="65"/>
      <c r="H4054" s="65"/>
      <c r="I4054" s="66">
        <v>-11823.891390000001</v>
      </c>
    </row>
    <row r="4055" spans="1:9" hidden="1">
      <c r="A4055" s="67" t="s">
        <v>295</v>
      </c>
      <c r="B4055" s="68">
        <v>2042</v>
      </c>
      <c r="C4055" s="68">
        <v>2023</v>
      </c>
      <c r="D4055" s="68" t="s">
        <v>327</v>
      </c>
      <c r="E4055" s="68" t="s">
        <v>294</v>
      </c>
      <c r="F4055" s="68" t="s">
        <v>40</v>
      </c>
      <c r="G4055" s="68"/>
      <c r="H4055" s="68"/>
      <c r="I4055" s="69">
        <v>-288957.63513923623</v>
      </c>
    </row>
    <row r="4056" spans="1:9" hidden="1">
      <c r="A4056" s="64" t="s">
        <v>295</v>
      </c>
      <c r="B4056" s="65">
        <v>2042</v>
      </c>
      <c r="C4056" s="65">
        <v>2023</v>
      </c>
      <c r="D4056" s="65" t="s">
        <v>327</v>
      </c>
      <c r="E4056" s="65" t="s">
        <v>301</v>
      </c>
      <c r="F4056" s="65" t="s">
        <v>40</v>
      </c>
      <c r="G4056" s="65"/>
      <c r="H4056" s="65"/>
      <c r="I4056" s="66">
        <v>-270030.1534175956</v>
      </c>
    </row>
    <row r="4057" spans="1:9" hidden="1">
      <c r="A4057" s="67" t="s">
        <v>295</v>
      </c>
      <c r="B4057" s="68">
        <v>2042</v>
      </c>
      <c r="C4057" s="68">
        <v>2023</v>
      </c>
      <c r="D4057" s="68" t="s">
        <v>327</v>
      </c>
      <c r="E4057" s="68" t="s">
        <v>305</v>
      </c>
      <c r="F4057" s="68" t="s">
        <v>40</v>
      </c>
      <c r="G4057" s="68"/>
      <c r="H4057" s="68"/>
      <c r="I4057" s="69">
        <v>-16919.401600000001</v>
      </c>
    </row>
    <row r="4058" spans="1:9" hidden="1">
      <c r="A4058" s="64" t="s">
        <v>295</v>
      </c>
      <c r="B4058" s="65">
        <v>2042</v>
      </c>
      <c r="C4058" s="65">
        <v>2023</v>
      </c>
      <c r="D4058" s="65" t="s">
        <v>328</v>
      </c>
      <c r="E4058" s="65" t="s">
        <v>294</v>
      </c>
      <c r="F4058" s="65" t="s">
        <v>40</v>
      </c>
      <c r="G4058" s="65"/>
      <c r="H4058" s="65"/>
      <c r="I4058" s="66">
        <v>23908.880668669979</v>
      </c>
    </row>
    <row r="4059" spans="1:9" hidden="1">
      <c r="A4059" s="67" t="s">
        <v>295</v>
      </c>
      <c r="B4059" s="68">
        <v>2042</v>
      </c>
      <c r="C4059" s="68">
        <v>2023</v>
      </c>
      <c r="D4059" s="68" t="s">
        <v>328</v>
      </c>
      <c r="E4059" s="68" t="s">
        <v>301</v>
      </c>
      <c r="F4059" s="68" t="s">
        <v>40</v>
      </c>
      <c r="G4059" s="68"/>
      <c r="H4059" s="68"/>
      <c r="I4059" s="69">
        <v>31820.659856963201</v>
      </c>
    </row>
    <row r="4060" spans="1:9" hidden="1">
      <c r="A4060" s="64" t="s">
        <v>295</v>
      </c>
      <c r="B4060" s="65">
        <v>2042</v>
      </c>
      <c r="C4060" s="65">
        <v>2023</v>
      </c>
      <c r="D4060" s="65" t="s">
        <v>328</v>
      </c>
      <c r="E4060" s="65" t="s">
        <v>305</v>
      </c>
      <c r="F4060" s="65" t="s">
        <v>40</v>
      </c>
      <c r="G4060" s="65"/>
      <c r="H4060" s="65"/>
      <c r="I4060" s="66">
        <v>-2199.4561199999998</v>
      </c>
    </row>
    <row r="4061" spans="1:9" hidden="1">
      <c r="A4061" s="67" t="s">
        <v>295</v>
      </c>
      <c r="B4061" s="68">
        <v>2042</v>
      </c>
      <c r="C4061" s="68">
        <v>2023</v>
      </c>
      <c r="D4061" s="68" t="s">
        <v>329</v>
      </c>
      <c r="E4061" s="68" t="s">
        <v>294</v>
      </c>
      <c r="F4061" s="68" t="s">
        <v>40</v>
      </c>
      <c r="G4061" s="68"/>
      <c r="H4061" s="68"/>
      <c r="I4061" s="69">
        <v>11421.34017639772</v>
      </c>
    </row>
    <row r="4062" spans="1:9" hidden="1">
      <c r="A4062" s="64" t="s">
        <v>295</v>
      </c>
      <c r="B4062" s="65">
        <v>2042</v>
      </c>
      <c r="C4062" s="65">
        <v>2023</v>
      </c>
      <c r="D4062" s="65" t="s">
        <v>329</v>
      </c>
      <c r="E4062" s="65" t="s">
        <v>301</v>
      </c>
      <c r="F4062" s="65" t="s">
        <v>40</v>
      </c>
      <c r="G4062" s="65"/>
      <c r="H4062" s="65"/>
      <c r="I4062" s="66">
        <v>11252.124037493661</v>
      </c>
    </row>
    <row r="4063" spans="1:9" hidden="1">
      <c r="A4063" s="67" t="s">
        <v>295</v>
      </c>
      <c r="B4063" s="68">
        <v>2042</v>
      </c>
      <c r="C4063" s="68">
        <v>2023</v>
      </c>
      <c r="D4063" s="68" t="s">
        <v>329</v>
      </c>
      <c r="E4063" s="68" t="s">
        <v>305</v>
      </c>
      <c r="F4063" s="68" t="s">
        <v>40</v>
      </c>
      <c r="G4063" s="68"/>
      <c r="H4063" s="68"/>
      <c r="I4063" s="69">
        <v>4747.2729799999997</v>
      </c>
    </row>
    <row r="4064" spans="1:9" hidden="1">
      <c r="A4064" s="64" t="s">
        <v>295</v>
      </c>
      <c r="B4064" s="65">
        <v>2042</v>
      </c>
      <c r="C4064" s="65">
        <v>2023</v>
      </c>
      <c r="D4064" s="65" t="s">
        <v>330</v>
      </c>
      <c r="E4064" s="65" t="s">
        <v>294</v>
      </c>
      <c r="F4064" s="65" t="s">
        <v>40</v>
      </c>
      <c r="G4064" s="65"/>
      <c r="H4064" s="65"/>
      <c r="I4064" s="66">
        <v>11694.955703570209</v>
      </c>
    </row>
    <row r="4065" spans="1:9" hidden="1">
      <c r="A4065" s="67" t="s">
        <v>295</v>
      </c>
      <c r="B4065" s="68">
        <v>2042</v>
      </c>
      <c r="C4065" s="68">
        <v>2023</v>
      </c>
      <c r="D4065" s="68" t="s">
        <v>330</v>
      </c>
      <c r="E4065" s="68" t="s">
        <v>301</v>
      </c>
      <c r="F4065" s="68" t="s">
        <v>40</v>
      </c>
      <c r="G4065" s="68"/>
      <c r="H4065" s="68"/>
      <c r="I4065" s="69">
        <v>12846.67279734663</v>
      </c>
    </row>
    <row r="4066" spans="1:9" hidden="1">
      <c r="A4066" s="64" t="s">
        <v>295</v>
      </c>
      <c r="B4066" s="65">
        <v>2042</v>
      </c>
      <c r="C4066" s="65">
        <v>2023</v>
      </c>
      <c r="D4066" s="65" t="s">
        <v>330</v>
      </c>
      <c r="E4066" s="65" t="s">
        <v>305</v>
      </c>
      <c r="F4066" s="65" t="s">
        <v>40</v>
      </c>
      <c r="G4066" s="65"/>
      <c r="H4066" s="65"/>
      <c r="I4066" s="66">
        <v>764.82648000000006</v>
      </c>
    </row>
    <row r="4067" spans="1:9" hidden="1">
      <c r="A4067" s="67" t="s">
        <v>295</v>
      </c>
      <c r="B4067" s="68">
        <v>2042</v>
      </c>
      <c r="C4067" s="68">
        <v>2023</v>
      </c>
      <c r="D4067" s="68" t="s">
        <v>331</v>
      </c>
      <c r="E4067" s="68" t="s">
        <v>294</v>
      </c>
      <c r="F4067" s="68" t="s">
        <v>40</v>
      </c>
      <c r="G4067" s="68"/>
      <c r="H4067" s="68"/>
      <c r="I4067" s="69">
        <v>29310.9822841967</v>
      </c>
    </row>
    <row r="4068" spans="1:9" hidden="1">
      <c r="A4068" s="64" t="s">
        <v>295</v>
      </c>
      <c r="B4068" s="65">
        <v>2042</v>
      </c>
      <c r="C4068" s="65">
        <v>2023</v>
      </c>
      <c r="D4068" s="65" t="s">
        <v>331</v>
      </c>
      <c r="E4068" s="65" t="s">
        <v>301</v>
      </c>
      <c r="F4068" s="65" t="s">
        <v>40</v>
      </c>
      <c r="G4068" s="65"/>
      <c r="H4068" s="65"/>
      <c r="I4068" s="66">
        <v>29544.866480481491</v>
      </c>
    </row>
    <row r="4069" spans="1:9" hidden="1">
      <c r="A4069" s="67" t="s">
        <v>295</v>
      </c>
      <c r="B4069" s="68">
        <v>2042</v>
      </c>
      <c r="C4069" s="68">
        <v>2023</v>
      </c>
      <c r="D4069" s="68" t="s">
        <v>331</v>
      </c>
      <c r="E4069" s="68" t="s">
        <v>305</v>
      </c>
      <c r="F4069" s="68" t="s">
        <v>40</v>
      </c>
      <c r="G4069" s="68"/>
      <c r="H4069" s="68"/>
      <c r="I4069" s="69">
        <v>3175.3097600000001</v>
      </c>
    </row>
    <row r="4070" spans="1:9" hidden="1">
      <c r="A4070" s="64" t="s">
        <v>295</v>
      </c>
      <c r="B4070" s="65">
        <v>2042</v>
      </c>
      <c r="C4070" s="65">
        <v>2023</v>
      </c>
      <c r="D4070" s="65" t="s">
        <v>332</v>
      </c>
      <c r="E4070" s="65" t="s">
        <v>294</v>
      </c>
      <c r="F4070" s="65" t="s">
        <v>40</v>
      </c>
      <c r="G4070" s="65"/>
      <c r="H4070" s="65"/>
      <c r="I4070" s="66">
        <v>485.84695999999991</v>
      </c>
    </row>
    <row r="4071" spans="1:9" hidden="1">
      <c r="A4071" s="67" t="s">
        <v>295</v>
      </c>
      <c r="B4071" s="68">
        <v>2042</v>
      </c>
      <c r="C4071" s="68">
        <v>2023</v>
      </c>
      <c r="D4071" s="68" t="s">
        <v>332</v>
      </c>
      <c r="E4071" s="68" t="s">
        <v>301</v>
      </c>
      <c r="F4071" s="68" t="s">
        <v>40</v>
      </c>
      <c r="G4071" s="68"/>
      <c r="H4071" s="68"/>
      <c r="I4071" s="69">
        <v>330.60696000000002</v>
      </c>
    </row>
    <row r="4072" spans="1:9" hidden="1">
      <c r="A4072" s="64" t="s">
        <v>295</v>
      </c>
      <c r="B4072" s="65">
        <v>2042</v>
      </c>
      <c r="C4072" s="65">
        <v>2023</v>
      </c>
      <c r="D4072" s="65" t="s">
        <v>332</v>
      </c>
      <c r="E4072" s="65" t="s">
        <v>305</v>
      </c>
      <c r="F4072" s="65" t="s">
        <v>40</v>
      </c>
      <c r="G4072" s="65"/>
      <c r="H4072" s="65"/>
      <c r="I4072" s="66">
        <v>300.05711000000002</v>
      </c>
    </row>
    <row r="4073" spans="1:9" hidden="1">
      <c r="A4073" s="67" t="s">
        <v>295</v>
      </c>
      <c r="B4073" s="68">
        <v>2042</v>
      </c>
      <c r="C4073" s="68">
        <v>2023</v>
      </c>
      <c r="D4073" s="68" t="s">
        <v>333</v>
      </c>
      <c r="E4073" s="68" t="s">
        <v>294</v>
      </c>
      <c r="F4073" s="68" t="s">
        <v>40</v>
      </c>
      <c r="G4073" s="68"/>
      <c r="H4073" s="68"/>
      <c r="I4073" s="69">
        <v>-33604.518296610797</v>
      </c>
    </row>
    <row r="4074" spans="1:9" hidden="1">
      <c r="A4074" s="64" t="s">
        <v>295</v>
      </c>
      <c r="B4074" s="65">
        <v>2042</v>
      </c>
      <c r="C4074" s="65">
        <v>2023</v>
      </c>
      <c r="D4074" s="65" t="s">
        <v>333</v>
      </c>
      <c r="E4074" s="65" t="s">
        <v>301</v>
      </c>
      <c r="F4074" s="65" t="s">
        <v>40</v>
      </c>
      <c r="G4074" s="65"/>
      <c r="H4074" s="65"/>
      <c r="I4074" s="66">
        <v>-32825.330936610808</v>
      </c>
    </row>
    <row r="4075" spans="1:9" hidden="1">
      <c r="A4075" s="67" t="s">
        <v>295</v>
      </c>
      <c r="B4075" s="68">
        <v>2042</v>
      </c>
      <c r="C4075" s="68">
        <v>2023</v>
      </c>
      <c r="D4075" s="68" t="s">
        <v>333</v>
      </c>
      <c r="E4075" s="68" t="s">
        <v>305</v>
      </c>
      <c r="F4075" s="68" t="s">
        <v>40</v>
      </c>
      <c r="G4075" s="68"/>
      <c r="H4075" s="68"/>
      <c r="I4075" s="69">
        <v>-1692.54</v>
      </c>
    </row>
    <row r="4076" spans="1:9" hidden="1">
      <c r="A4076" s="64" t="s">
        <v>295</v>
      </c>
      <c r="B4076" s="65">
        <v>2042</v>
      </c>
      <c r="C4076" s="65">
        <v>2023</v>
      </c>
      <c r="D4076" s="65" t="s">
        <v>334</v>
      </c>
      <c r="E4076" s="65" t="s">
        <v>294</v>
      </c>
      <c r="F4076" s="65" t="s">
        <v>40</v>
      </c>
      <c r="G4076" s="65"/>
      <c r="H4076" s="65"/>
      <c r="I4076" s="66">
        <v>253.85033000000001</v>
      </c>
    </row>
    <row r="4077" spans="1:9" hidden="1">
      <c r="A4077" s="67" t="s">
        <v>295</v>
      </c>
      <c r="B4077" s="68">
        <v>2042</v>
      </c>
      <c r="C4077" s="68">
        <v>2023</v>
      </c>
      <c r="D4077" s="68" t="s">
        <v>334</v>
      </c>
      <c r="E4077" s="68" t="s">
        <v>301</v>
      </c>
      <c r="F4077" s="68" t="s">
        <v>40</v>
      </c>
      <c r="G4077" s="68"/>
      <c r="H4077" s="68"/>
      <c r="I4077" s="69">
        <v>253.85033000000001</v>
      </c>
    </row>
    <row r="4078" spans="1:9" hidden="1">
      <c r="A4078" s="64" t="s">
        <v>295</v>
      </c>
      <c r="B4078" s="65">
        <v>2042</v>
      </c>
      <c r="C4078" s="65">
        <v>2023</v>
      </c>
      <c r="D4078" s="65" t="s">
        <v>308</v>
      </c>
      <c r="E4078" s="65" t="s">
        <v>294</v>
      </c>
      <c r="F4078" s="65" t="s">
        <v>297</v>
      </c>
      <c r="G4078" s="65"/>
      <c r="H4078" s="65"/>
      <c r="I4078" s="66">
        <v>65833.674868867965</v>
      </c>
    </row>
    <row r="4079" spans="1:9" hidden="1">
      <c r="A4079" s="67" t="s">
        <v>295</v>
      </c>
      <c r="B4079" s="68">
        <v>2042</v>
      </c>
      <c r="C4079" s="68">
        <v>2023</v>
      </c>
      <c r="D4079" s="68" t="s">
        <v>308</v>
      </c>
      <c r="E4079" s="68" t="s">
        <v>294</v>
      </c>
      <c r="F4079" s="68" t="s">
        <v>298</v>
      </c>
      <c r="G4079" s="68"/>
      <c r="H4079" s="68"/>
      <c r="I4079" s="69">
        <v>230.52188036974681</v>
      </c>
    </row>
    <row r="4080" spans="1:9" hidden="1">
      <c r="A4080" s="64" t="s">
        <v>295</v>
      </c>
      <c r="B4080" s="65">
        <v>2042</v>
      </c>
      <c r="C4080" s="65">
        <v>2023</v>
      </c>
      <c r="D4080" s="65" t="s">
        <v>308</v>
      </c>
      <c r="E4080" s="65" t="s">
        <v>294</v>
      </c>
      <c r="F4080" s="65" t="s">
        <v>40</v>
      </c>
      <c r="G4080" s="65"/>
      <c r="H4080" s="65"/>
      <c r="I4080" s="66">
        <v>66133.495219237724</v>
      </c>
    </row>
    <row r="4081" spans="1:9" hidden="1">
      <c r="A4081" s="67" t="s">
        <v>295</v>
      </c>
      <c r="B4081" s="68">
        <v>2042</v>
      </c>
      <c r="C4081" s="68">
        <v>2023</v>
      </c>
      <c r="D4081" s="68" t="s">
        <v>308</v>
      </c>
      <c r="E4081" s="68" t="s">
        <v>301</v>
      </c>
      <c r="F4081" s="68" t="s">
        <v>297</v>
      </c>
      <c r="G4081" s="68"/>
      <c r="H4081" s="68"/>
      <c r="I4081" s="69">
        <v>66860.295698833826</v>
      </c>
    </row>
    <row r="4082" spans="1:9" hidden="1">
      <c r="A4082" s="64" t="s">
        <v>295</v>
      </c>
      <c r="B4082" s="65">
        <v>2042</v>
      </c>
      <c r="C4082" s="65">
        <v>2023</v>
      </c>
      <c r="D4082" s="65" t="s">
        <v>308</v>
      </c>
      <c r="E4082" s="65" t="s">
        <v>301</v>
      </c>
      <c r="F4082" s="65" t="s">
        <v>298</v>
      </c>
      <c r="G4082" s="65"/>
      <c r="H4082" s="65"/>
      <c r="I4082" s="66">
        <v>230.52188035542221</v>
      </c>
    </row>
    <row r="4083" spans="1:9" hidden="1">
      <c r="A4083" s="67" t="s">
        <v>295</v>
      </c>
      <c r="B4083" s="68">
        <v>2042</v>
      </c>
      <c r="C4083" s="68">
        <v>2023</v>
      </c>
      <c r="D4083" s="68" t="s">
        <v>308</v>
      </c>
      <c r="E4083" s="68" t="s">
        <v>301</v>
      </c>
      <c r="F4083" s="68" t="s">
        <v>40</v>
      </c>
      <c r="G4083" s="68"/>
      <c r="H4083" s="68"/>
      <c r="I4083" s="69">
        <v>66986.715361671086</v>
      </c>
    </row>
    <row r="4084" spans="1:9" hidden="1">
      <c r="A4084" s="64" t="s">
        <v>295</v>
      </c>
      <c r="B4084" s="65">
        <v>2042</v>
      </c>
      <c r="C4084" s="65">
        <v>2023</v>
      </c>
      <c r="D4084" s="65" t="s">
        <v>308</v>
      </c>
      <c r="E4084" s="65" t="s">
        <v>305</v>
      </c>
      <c r="F4084" s="65" t="s">
        <v>297</v>
      </c>
      <c r="G4084" s="65"/>
      <c r="H4084" s="65"/>
      <c r="I4084" s="66">
        <v>1693.9936600000001</v>
      </c>
    </row>
    <row r="4085" spans="1:9" hidden="1">
      <c r="A4085" s="67" t="s">
        <v>295</v>
      </c>
      <c r="B4085" s="68">
        <v>2042</v>
      </c>
      <c r="C4085" s="68">
        <v>2023</v>
      </c>
      <c r="D4085" s="68" t="s">
        <v>308</v>
      </c>
      <c r="E4085" s="68" t="s">
        <v>305</v>
      </c>
      <c r="F4085" s="68" t="s">
        <v>40</v>
      </c>
      <c r="G4085" s="68"/>
      <c r="H4085" s="68"/>
      <c r="I4085" s="69">
        <v>10223.31366</v>
      </c>
    </row>
    <row r="4086" spans="1:9" hidden="1">
      <c r="A4086" s="64" t="s">
        <v>295</v>
      </c>
      <c r="B4086" s="65">
        <v>2042</v>
      </c>
      <c r="C4086" s="65">
        <v>2023</v>
      </c>
      <c r="D4086" s="65" t="s">
        <v>310</v>
      </c>
      <c r="E4086" s="65" t="s">
        <v>294</v>
      </c>
      <c r="F4086" s="65" t="s">
        <v>297</v>
      </c>
      <c r="G4086" s="65"/>
      <c r="H4086" s="65"/>
      <c r="I4086" s="66">
        <v>169.54</v>
      </c>
    </row>
    <row r="4087" spans="1:9" hidden="1">
      <c r="A4087" s="67" t="s">
        <v>295</v>
      </c>
      <c r="B4087" s="68">
        <v>2042</v>
      </c>
      <c r="C4087" s="68">
        <v>2023</v>
      </c>
      <c r="D4087" s="68" t="s">
        <v>310</v>
      </c>
      <c r="E4087" s="68" t="s">
        <v>294</v>
      </c>
      <c r="F4087" s="68" t="s">
        <v>40</v>
      </c>
      <c r="G4087" s="68"/>
      <c r="H4087" s="68"/>
      <c r="I4087" s="69">
        <v>123944.4660659988</v>
      </c>
    </row>
    <row r="4088" spans="1:9" hidden="1">
      <c r="A4088" s="64" t="s">
        <v>295</v>
      </c>
      <c r="B4088" s="65">
        <v>2042</v>
      </c>
      <c r="C4088" s="65">
        <v>2023</v>
      </c>
      <c r="D4088" s="65" t="s">
        <v>310</v>
      </c>
      <c r="E4088" s="65" t="s">
        <v>301</v>
      </c>
      <c r="F4088" s="65" t="s">
        <v>297</v>
      </c>
      <c r="G4088" s="65"/>
      <c r="H4088" s="65"/>
      <c r="I4088" s="66">
        <v>169.54</v>
      </c>
    </row>
    <row r="4089" spans="1:9" hidden="1">
      <c r="A4089" s="67" t="s">
        <v>295</v>
      </c>
      <c r="B4089" s="68">
        <v>2042</v>
      </c>
      <c r="C4089" s="68">
        <v>2023</v>
      </c>
      <c r="D4089" s="68" t="s">
        <v>310</v>
      </c>
      <c r="E4089" s="68" t="s">
        <v>301</v>
      </c>
      <c r="F4089" s="68" t="s">
        <v>40</v>
      </c>
      <c r="G4089" s="68"/>
      <c r="H4089" s="68"/>
      <c r="I4089" s="69">
        <v>132502.5833149282</v>
      </c>
    </row>
    <row r="4090" spans="1:9" hidden="1">
      <c r="A4090" s="64" t="s">
        <v>295</v>
      </c>
      <c r="B4090" s="65">
        <v>2042</v>
      </c>
      <c r="C4090" s="65">
        <v>2023</v>
      </c>
      <c r="D4090" s="65" t="s">
        <v>310</v>
      </c>
      <c r="E4090" s="65" t="s">
        <v>305</v>
      </c>
      <c r="F4090" s="65" t="s">
        <v>40</v>
      </c>
      <c r="G4090" s="65"/>
      <c r="H4090" s="65"/>
      <c r="I4090" s="66">
        <v>1302.42896</v>
      </c>
    </row>
    <row r="4091" spans="1:9" hidden="1">
      <c r="A4091" s="67" t="s">
        <v>295</v>
      </c>
      <c r="B4091" s="68">
        <v>2042</v>
      </c>
      <c r="C4091" s="68">
        <v>2023</v>
      </c>
      <c r="D4091" s="68" t="s">
        <v>311</v>
      </c>
      <c r="E4091" s="68" t="s">
        <v>294</v>
      </c>
      <c r="F4091" s="68" t="s">
        <v>297</v>
      </c>
      <c r="G4091" s="68"/>
      <c r="H4091" s="68"/>
      <c r="I4091" s="69">
        <v>849.3</v>
      </c>
    </row>
    <row r="4092" spans="1:9" hidden="1">
      <c r="A4092" s="64" t="s">
        <v>295</v>
      </c>
      <c r="B4092" s="65">
        <v>2042</v>
      </c>
      <c r="C4092" s="65">
        <v>2023</v>
      </c>
      <c r="D4092" s="65" t="s">
        <v>311</v>
      </c>
      <c r="E4092" s="65" t="s">
        <v>294</v>
      </c>
      <c r="F4092" s="65" t="s">
        <v>40</v>
      </c>
      <c r="G4092" s="65"/>
      <c r="H4092" s="65"/>
      <c r="I4092" s="66">
        <v>141876.12085549539</v>
      </c>
    </row>
    <row r="4093" spans="1:9" hidden="1">
      <c r="A4093" s="67" t="s">
        <v>295</v>
      </c>
      <c r="B4093" s="68">
        <v>2042</v>
      </c>
      <c r="C4093" s="68">
        <v>2023</v>
      </c>
      <c r="D4093" s="68" t="s">
        <v>311</v>
      </c>
      <c r="E4093" s="68" t="s">
        <v>301</v>
      </c>
      <c r="F4093" s="68" t="s">
        <v>297</v>
      </c>
      <c r="G4093" s="68"/>
      <c r="H4093" s="68"/>
      <c r="I4093" s="69">
        <v>849.3</v>
      </c>
    </row>
    <row r="4094" spans="1:9" hidden="1">
      <c r="A4094" s="64" t="s">
        <v>295</v>
      </c>
      <c r="B4094" s="65">
        <v>2042</v>
      </c>
      <c r="C4094" s="65">
        <v>2023</v>
      </c>
      <c r="D4094" s="65" t="s">
        <v>311</v>
      </c>
      <c r="E4094" s="65" t="s">
        <v>301</v>
      </c>
      <c r="F4094" s="65" t="s">
        <v>40</v>
      </c>
      <c r="G4094" s="65"/>
      <c r="H4094" s="65"/>
      <c r="I4094" s="66">
        <v>144252.55078151991</v>
      </c>
    </row>
    <row r="4095" spans="1:9" hidden="1">
      <c r="A4095" s="67" t="s">
        <v>295</v>
      </c>
      <c r="B4095" s="68">
        <v>2042</v>
      </c>
      <c r="C4095" s="68">
        <v>2023</v>
      </c>
      <c r="D4095" s="68" t="s">
        <v>311</v>
      </c>
      <c r="E4095" s="68" t="s">
        <v>305</v>
      </c>
      <c r="F4095" s="68" t="s">
        <v>40</v>
      </c>
      <c r="G4095" s="68"/>
      <c r="H4095" s="68"/>
      <c r="I4095" s="69">
        <v>990.59999999999991</v>
      </c>
    </row>
    <row r="4096" spans="1:9" hidden="1">
      <c r="A4096" s="64" t="s">
        <v>295</v>
      </c>
      <c r="B4096" s="65">
        <v>2042</v>
      </c>
      <c r="C4096" s="65">
        <v>2023</v>
      </c>
      <c r="D4096" s="65" t="s">
        <v>312</v>
      </c>
      <c r="E4096" s="65" t="s">
        <v>294</v>
      </c>
      <c r="F4096" s="65" t="s">
        <v>297</v>
      </c>
      <c r="G4096" s="65"/>
      <c r="H4096" s="65"/>
      <c r="I4096" s="66">
        <v>698.47502000000009</v>
      </c>
    </row>
    <row r="4097" spans="1:9" hidden="1">
      <c r="A4097" s="67" t="s">
        <v>295</v>
      </c>
      <c r="B4097" s="68">
        <v>2042</v>
      </c>
      <c r="C4097" s="68">
        <v>2023</v>
      </c>
      <c r="D4097" s="68" t="s">
        <v>312</v>
      </c>
      <c r="E4097" s="68" t="s">
        <v>294</v>
      </c>
      <c r="F4097" s="68" t="s">
        <v>40</v>
      </c>
      <c r="G4097" s="68"/>
      <c r="H4097" s="68"/>
      <c r="I4097" s="69">
        <v>842.36756880129326</v>
      </c>
    </row>
    <row r="4098" spans="1:9" hidden="1">
      <c r="A4098" s="64" t="s">
        <v>295</v>
      </c>
      <c r="B4098" s="65">
        <v>2042</v>
      </c>
      <c r="C4098" s="65">
        <v>2023</v>
      </c>
      <c r="D4098" s="65" t="s">
        <v>312</v>
      </c>
      <c r="E4098" s="65" t="s">
        <v>301</v>
      </c>
      <c r="F4098" s="65" t="s">
        <v>297</v>
      </c>
      <c r="G4098" s="65"/>
      <c r="H4098" s="65"/>
      <c r="I4098" s="66">
        <v>701.47502000000009</v>
      </c>
    </row>
    <row r="4099" spans="1:9" hidden="1">
      <c r="A4099" s="67" t="s">
        <v>295</v>
      </c>
      <c r="B4099" s="68">
        <v>2042</v>
      </c>
      <c r="C4099" s="68">
        <v>2023</v>
      </c>
      <c r="D4099" s="68" t="s">
        <v>312</v>
      </c>
      <c r="E4099" s="68" t="s">
        <v>301</v>
      </c>
      <c r="F4099" s="68" t="s">
        <v>40</v>
      </c>
      <c r="G4099" s="68"/>
      <c r="H4099" s="68"/>
      <c r="I4099" s="69">
        <v>845.37502000000006</v>
      </c>
    </row>
    <row r="4100" spans="1:9" hidden="1">
      <c r="A4100" s="64" t="s">
        <v>295</v>
      </c>
      <c r="B4100" s="65">
        <v>2042</v>
      </c>
      <c r="C4100" s="65">
        <v>2023</v>
      </c>
      <c r="D4100" s="65" t="s">
        <v>313</v>
      </c>
      <c r="E4100" s="65" t="s">
        <v>294</v>
      </c>
      <c r="F4100" s="65" t="s">
        <v>297</v>
      </c>
      <c r="G4100" s="65"/>
      <c r="H4100" s="65"/>
      <c r="I4100" s="66">
        <v>1322643.4941369281</v>
      </c>
    </row>
    <row r="4101" spans="1:9" hidden="1">
      <c r="A4101" s="67" t="s">
        <v>295</v>
      </c>
      <c r="B4101" s="68">
        <v>2042</v>
      </c>
      <c r="C4101" s="68">
        <v>2023</v>
      </c>
      <c r="D4101" s="68" t="s">
        <v>313</v>
      </c>
      <c r="E4101" s="68" t="s">
        <v>294</v>
      </c>
      <c r="F4101" s="68" t="s">
        <v>298</v>
      </c>
      <c r="G4101" s="68"/>
      <c r="H4101" s="68"/>
      <c r="I4101" s="69">
        <v>613055.55119085452</v>
      </c>
    </row>
    <row r="4102" spans="1:9" hidden="1">
      <c r="A4102" s="64" t="s">
        <v>295</v>
      </c>
      <c r="B4102" s="65">
        <v>2042</v>
      </c>
      <c r="C4102" s="65">
        <v>2023</v>
      </c>
      <c r="D4102" s="65" t="s">
        <v>313</v>
      </c>
      <c r="E4102" s="65" t="s">
        <v>294</v>
      </c>
      <c r="F4102" s="65" t="s">
        <v>40</v>
      </c>
      <c r="G4102" s="65"/>
      <c r="H4102" s="65"/>
      <c r="I4102" s="66">
        <v>1952361.1209661979</v>
      </c>
    </row>
    <row r="4103" spans="1:9" hidden="1">
      <c r="A4103" s="67" t="s">
        <v>295</v>
      </c>
      <c r="B4103" s="68">
        <v>2042</v>
      </c>
      <c r="C4103" s="68">
        <v>2023</v>
      </c>
      <c r="D4103" s="68" t="s">
        <v>313</v>
      </c>
      <c r="E4103" s="68" t="s">
        <v>301</v>
      </c>
      <c r="F4103" s="68" t="s">
        <v>297</v>
      </c>
      <c r="G4103" s="68"/>
      <c r="H4103" s="68"/>
      <c r="I4103" s="69">
        <v>1527828.7468664779</v>
      </c>
    </row>
    <row r="4104" spans="1:9" hidden="1">
      <c r="A4104" s="64" t="s">
        <v>295</v>
      </c>
      <c r="B4104" s="65">
        <v>2042</v>
      </c>
      <c r="C4104" s="65">
        <v>2023</v>
      </c>
      <c r="D4104" s="65" t="s">
        <v>313</v>
      </c>
      <c r="E4104" s="65" t="s">
        <v>301</v>
      </c>
      <c r="F4104" s="65" t="s">
        <v>298</v>
      </c>
      <c r="G4104" s="65"/>
      <c r="H4104" s="65"/>
      <c r="I4104" s="66">
        <v>699547.11194923031</v>
      </c>
    </row>
    <row r="4105" spans="1:9" hidden="1">
      <c r="A4105" s="67" t="s">
        <v>295</v>
      </c>
      <c r="B4105" s="68">
        <v>2042</v>
      </c>
      <c r="C4105" s="68">
        <v>2023</v>
      </c>
      <c r="D4105" s="68" t="s">
        <v>313</v>
      </c>
      <c r="E4105" s="68" t="s">
        <v>301</v>
      </c>
      <c r="F4105" s="68" t="s">
        <v>40</v>
      </c>
      <c r="G4105" s="68"/>
      <c r="H4105" s="68"/>
      <c r="I4105" s="69">
        <v>2245675.8323299089</v>
      </c>
    </row>
    <row r="4106" spans="1:9" hidden="1">
      <c r="A4106" s="64" t="s">
        <v>295</v>
      </c>
      <c r="B4106" s="65">
        <v>2042</v>
      </c>
      <c r="C4106" s="65">
        <v>2023</v>
      </c>
      <c r="D4106" s="65" t="s">
        <v>313</v>
      </c>
      <c r="E4106" s="65" t="s">
        <v>305</v>
      </c>
      <c r="F4106" s="65" t="s">
        <v>297</v>
      </c>
      <c r="G4106" s="65"/>
      <c r="H4106" s="65"/>
      <c r="I4106" s="66">
        <v>17392.85929</v>
      </c>
    </row>
    <row r="4107" spans="1:9" hidden="1">
      <c r="A4107" s="67" t="s">
        <v>295</v>
      </c>
      <c r="B4107" s="68">
        <v>2042</v>
      </c>
      <c r="C4107" s="68">
        <v>2023</v>
      </c>
      <c r="D4107" s="68" t="s">
        <v>313</v>
      </c>
      <c r="E4107" s="68" t="s">
        <v>305</v>
      </c>
      <c r="F4107" s="68" t="s">
        <v>298</v>
      </c>
      <c r="G4107" s="68"/>
      <c r="H4107" s="68"/>
      <c r="I4107" s="69">
        <v>9507.5199400000001</v>
      </c>
    </row>
    <row r="4108" spans="1:9" hidden="1">
      <c r="A4108" s="64" t="s">
        <v>295</v>
      </c>
      <c r="B4108" s="65">
        <v>2042</v>
      </c>
      <c r="C4108" s="65">
        <v>2023</v>
      </c>
      <c r="D4108" s="65" t="s">
        <v>313</v>
      </c>
      <c r="E4108" s="65" t="s">
        <v>305</v>
      </c>
      <c r="F4108" s="65" t="s">
        <v>40</v>
      </c>
      <c r="G4108" s="65"/>
      <c r="H4108" s="65"/>
      <c r="I4108" s="66">
        <v>220604.89624999999</v>
      </c>
    </row>
    <row r="4109" spans="1:9" hidden="1">
      <c r="A4109" s="67" t="s">
        <v>295</v>
      </c>
      <c r="B4109" s="68">
        <v>2042</v>
      </c>
      <c r="C4109" s="68">
        <v>2023</v>
      </c>
      <c r="D4109" s="68" t="s">
        <v>314</v>
      </c>
      <c r="E4109" s="68" t="s">
        <v>294</v>
      </c>
      <c r="F4109" s="68" t="s">
        <v>297</v>
      </c>
      <c r="G4109" s="68"/>
      <c r="H4109" s="68"/>
      <c r="I4109" s="69">
        <v>1322643.4941369281</v>
      </c>
    </row>
    <row r="4110" spans="1:9" hidden="1">
      <c r="A4110" s="64" t="s">
        <v>295</v>
      </c>
      <c r="B4110" s="65">
        <v>2042</v>
      </c>
      <c r="C4110" s="65">
        <v>2023</v>
      </c>
      <c r="D4110" s="65" t="s">
        <v>314</v>
      </c>
      <c r="E4110" s="65" t="s">
        <v>294</v>
      </c>
      <c r="F4110" s="65" t="s">
        <v>298</v>
      </c>
      <c r="G4110" s="65"/>
      <c r="H4110" s="65"/>
      <c r="I4110" s="66">
        <v>613055.55119085452</v>
      </c>
    </row>
    <row r="4111" spans="1:9" hidden="1">
      <c r="A4111" s="67" t="s">
        <v>295</v>
      </c>
      <c r="B4111" s="68">
        <v>2042</v>
      </c>
      <c r="C4111" s="68">
        <v>2023</v>
      </c>
      <c r="D4111" s="68" t="s">
        <v>314</v>
      </c>
      <c r="E4111" s="68" t="s">
        <v>294</v>
      </c>
      <c r="F4111" s="68" t="s">
        <v>40</v>
      </c>
      <c r="G4111" s="68"/>
      <c r="H4111" s="68"/>
      <c r="I4111" s="69">
        <v>1671079.608118355</v>
      </c>
    </row>
    <row r="4112" spans="1:9" hidden="1">
      <c r="A4112" s="64" t="s">
        <v>295</v>
      </c>
      <c r="B4112" s="65">
        <v>2042</v>
      </c>
      <c r="C4112" s="65">
        <v>2023</v>
      </c>
      <c r="D4112" s="65" t="s">
        <v>314</v>
      </c>
      <c r="E4112" s="65" t="s">
        <v>301</v>
      </c>
      <c r="F4112" s="65" t="s">
        <v>297</v>
      </c>
      <c r="G4112" s="65"/>
      <c r="H4112" s="65"/>
      <c r="I4112" s="66">
        <v>1527828.7468664779</v>
      </c>
    </row>
    <row r="4113" spans="1:9" hidden="1">
      <c r="A4113" s="67" t="s">
        <v>295</v>
      </c>
      <c r="B4113" s="68">
        <v>2042</v>
      </c>
      <c r="C4113" s="68">
        <v>2023</v>
      </c>
      <c r="D4113" s="68" t="s">
        <v>314</v>
      </c>
      <c r="E4113" s="68" t="s">
        <v>301</v>
      </c>
      <c r="F4113" s="68" t="s">
        <v>298</v>
      </c>
      <c r="G4113" s="68"/>
      <c r="H4113" s="68"/>
      <c r="I4113" s="69">
        <v>699547.11194923031</v>
      </c>
    </row>
    <row r="4114" spans="1:9" hidden="1">
      <c r="A4114" s="64" t="s">
        <v>295</v>
      </c>
      <c r="B4114" s="65">
        <v>2042</v>
      </c>
      <c r="C4114" s="65">
        <v>2023</v>
      </c>
      <c r="D4114" s="65" t="s">
        <v>314</v>
      </c>
      <c r="E4114" s="65" t="s">
        <v>301</v>
      </c>
      <c r="F4114" s="65" t="s">
        <v>40</v>
      </c>
      <c r="G4114" s="65"/>
      <c r="H4114" s="65"/>
      <c r="I4114" s="66">
        <v>2029015.9668612159</v>
      </c>
    </row>
    <row r="4115" spans="1:9" hidden="1">
      <c r="A4115" s="67" t="s">
        <v>295</v>
      </c>
      <c r="B4115" s="68">
        <v>2042</v>
      </c>
      <c r="C4115" s="68">
        <v>2023</v>
      </c>
      <c r="D4115" s="68" t="s">
        <v>314</v>
      </c>
      <c r="E4115" s="68" t="s">
        <v>305</v>
      </c>
      <c r="F4115" s="68" t="s">
        <v>297</v>
      </c>
      <c r="G4115" s="68"/>
      <c r="H4115" s="68"/>
      <c r="I4115" s="69">
        <v>17392.85929</v>
      </c>
    </row>
    <row r="4116" spans="1:9" hidden="1">
      <c r="A4116" s="64" t="s">
        <v>295</v>
      </c>
      <c r="B4116" s="65">
        <v>2042</v>
      </c>
      <c r="C4116" s="65">
        <v>2023</v>
      </c>
      <c r="D4116" s="65" t="s">
        <v>314</v>
      </c>
      <c r="E4116" s="65" t="s">
        <v>305</v>
      </c>
      <c r="F4116" s="65" t="s">
        <v>298</v>
      </c>
      <c r="G4116" s="65"/>
      <c r="H4116" s="65"/>
      <c r="I4116" s="66">
        <v>9507.5199400000001</v>
      </c>
    </row>
    <row r="4117" spans="1:9" hidden="1">
      <c r="A4117" s="67" t="s">
        <v>295</v>
      </c>
      <c r="B4117" s="68">
        <v>2042</v>
      </c>
      <c r="C4117" s="68">
        <v>2023</v>
      </c>
      <c r="D4117" s="68" t="s">
        <v>314</v>
      </c>
      <c r="E4117" s="68" t="s">
        <v>305</v>
      </c>
      <c r="F4117" s="68" t="s">
        <v>40</v>
      </c>
      <c r="G4117" s="68"/>
      <c r="H4117" s="68"/>
      <c r="I4117" s="69">
        <v>209093.72485999999</v>
      </c>
    </row>
    <row r="4118" spans="1:9" hidden="1">
      <c r="A4118" s="64" t="s">
        <v>295</v>
      </c>
      <c r="B4118" s="65">
        <v>2043</v>
      </c>
      <c r="C4118" s="65">
        <v>2023</v>
      </c>
      <c r="D4118" s="65" t="s">
        <v>296</v>
      </c>
      <c r="E4118" s="65" t="s">
        <v>294</v>
      </c>
      <c r="F4118" s="65" t="s">
        <v>297</v>
      </c>
      <c r="G4118" s="65"/>
      <c r="H4118" s="65"/>
      <c r="I4118" s="66">
        <v>847292.83087570709</v>
      </c>
    </row>
    <row r="4119" spans="1:9" hidden="1">
      <c r="A4119" s="67" t="s">
        <v>295</v>
      </c>
      <c r="B4119" s="68">
        <v>2043</v>
      </c>
      <c r="C4119" s="68">
        <v>2023</v>
      </c>
      <c r="D4119" s="68" t="s">
        <v>296</v>
      </c>
      <c r="E4119" s="68" t="s">
        <v>294</v>
      </c>
      <c r="F4119" s="68" t="s">
        <v>298</v>
      </c>
      <c r="G4119" s="68"/>
      <c r="H4119" s="68"/>
      <c r="I4119" s="69">
        <v>440543.03868964972</v>
      </c>
    </row>
    <row r="4120" spans="1:9" hidden="1">
      <c r="A4120" s="64" t="s">
        <v>295</v>
      </c>
      <c r="B4120" s="65">
        <v>2043</v>
      </c>
      <c r="C4120" s="65">
        <v>2023</v>
      </c>
      <c r="D4120" s="65" t="s">
        <v>296</v>
      </c>
      <c r="E4120" s="65" t="s">
        <v>294</v>
      </c>
      <c r="F4120" s="65" t="s">
        <v>40</v>
      </c>
      <c r="G4120" s="65"/>
      <c r="H4120" s="65"/>
      <c r="I4120" s="66">
        <v>1304800.8252950171</v>
      </c>
    </row>
    <row r="4121" spans="1:9" hidden="1">
      <c r="A4121" s="67" t="s">
        <v>295</v>
      </c>
      <c r="B4121" s="68">
        <v>2043</v>
      </c>
      <c r="C4121" s="68">
        <v>2023</v>
      </c>
      <c r="D4121" s="68" t="s">
        <v>296</v>
      </c>
      <c r="E4121" s="68" t="s">
        <v>301</v>
      </c>
      <c r="F4121" s="68" t="s">
        <v>297</v>
      </c>
      <c r="G4121" s="68"/>
      <c r="H4121" s="68"/>
      <c r="I4121" s="69">
        <v>1031758.875246163</v>
      </c>
    </row>
    <row r="4122" spans="1:9" hidden="1">
      <c r="A4122" s="64" t="s">
        <v>295</v>
      </c>
      <c r="B4122" s="65">
        <v>2043</v>
      </c>
      <c r="C4122" s="65">
        <v>2023</v>
      </c>
      <c r="D4122" s="65" t="s">
        <v>296</v>
      </c>
      <c r="E4122" s="65" t="s">
        <v>301</v>
      </c>
      <c r="F4122" s="65" t="s">
        <v>298</v>
      </c>
      <c r="G4122" s="65"/>
      <c r="H4122" s="65"/>
      <c r="I4122" s="66">
        <v>518057.27669870242</v>
      </c>
    </row>
    <row r="4123" spans="1:9" hidden="1">
      <c r="A4123" s="67" t="s">
        <v>295</v>
      </c>
      <c r="B4123" s="68">
        <v>2043</v>
      </c>
      <c r="C4123" s="68">
        <v>2023</v>
      </c>
      <c r="D4123" s="68" t="s">
        <v>296</v>
      </c>
      <c r="E4123" s="68" t="s">
        <v>301</v>
      </c>
      <c r="F4123" s="68" t="s">
        <v>40</v>
      </c>
      <c r="G4123" s="68"/>
      <c r="H4123" s="68"/>
      <c r="I4123" s="69">
        <v>1568487.176991025</v>
      </c>
    </row>
    <row r="4124" spans="1:9" hidden="1">
      <c r="A4124" s="64" t="s">
        <v>295</v>
      </c>
      <c r="B4124" s="65">
        <v>2043</v>
      </c>
      <c r="C4124" s="65">
        <v>2023</v>
      </c>
      <c r="D4124" s="65" t="s">
        <v>296</v>
      </c>
      <c r="E4124" s="65" t="s">
        <v>305</v>
      </c>
      <c r="F4124" s="65" t="s">
        <v>297</v>
      </c>
      <c r="G4124" s="65"/>
      <c r="H4124" s="65"/>
      <c r="I4124" s="66">
        <v>12430.469639999999</v>
      </c>
    </row>
    <row r="4125" spans="1:9" hidden="1">
      <c r="A4125" s="67" t="s">
        <v>295</v>
      </c>
      <c r="B4125" s="68">
        <v>2043</v>
      </c>
      <c r="C4125" s="68">
        <v>2023</v>
      </c>
      <c r="D4125" s="68" t="s">
        <v>296</v>
      </c>
      <c r="E4125" s="68" t="s">
        <v>305</v>
      </c>
      <c r="F4125" s="68" t="s">
        <v>298</v>
      </c>
      <c r="G4125" s="68"/>
      <c r="H4125" s="68"/>
      <c r="I4125" s="69">
        <v>8765.3984999999993</v>
      </c>
    </row>
    <row r="4126" spans="1:9" hidden="1">
      <c r="A4126" s="64" t="s">
        <v>295</v>
      </c>
      <c r="B4126" s="65">
        <v>2043</v>
      </c>
      <c r="C4126" s="65">
        <v>2023</v>
      </c>
      <c r="D4126" s="65" t="s">
        <v>296</v>
      </c>
      <c r="E4126" s="65" t="s">
        <v>305</v>
      </c>
      <c r="F4126" s="65" t="s">
        <v>40</v>
      </c>
      <c r="G4126" s="65"/>
      <c r="H4126" s="65"/>
      <c r="I4126" s="66">
        <v>156501.99614</v>
      </c>
    </row>
    <row r="4127" spans="1:9" hidden="1">
      <c r="A4127" s="67" t="s">
        <v>295</v>
      </c>
      <c r="B4127" s="68">
        <v>2043</v>
      </c>
      <c r="C4127" s="68">
        <v>2023</v>
      </c>
      <c r="D4127" s="68" t="s">
        <v>309</v>
      </c>
      <c r="E4127" s="68" t="s">
        <v>294</v>
      </c>
      <c r="F4127" s="68" t="s">
        <v>297</v>
      </c>
      <c r="G4127" s="68"/>
      <c r="H4127" s="68"/>
      <c r="I4127" s="69">
        <v>39021.343398765282</v>
      </c>
    </row>
    <row r="4128" spans="1:9" hidden="1">
      <c r="A4128" s="64" t="s">
        <v>295</v>
      </c>
      <c r="B4128" s="65">
        <v>2043</v>
      </c>
      <c r="C4128" s="65">
        <v>2023</v>
      </c>
      <c r="D4128" s="65" t="s">
        <v>309</v>
      </c>
      <c r="E4128" s="65" t="s">
        <v>294</v>
      </c>
      <c r="F4128" s="65" t="s">
        <v>298</v>
      </c>
      <c r="G4128" s="65"/>
      <c r="H4128" s="65"/>
      <c r="I4128" s="66">
        <v>257373.14049837799</v>
      </c>
    </row>
    <row r="4129" spans="1:9" hidden="1">
      <c r="A4129" s="67" t="s">
        <v>295</v>
      </c>
      <c r="B4129" s="68">
        <v>2043</v>
      </c>
      <c r="C4129" s="68">
        <v>2023</v>
      </c>
      <c r="D4129" s="68" t="s">
        <v>309</v>
      </c>
      <c r="E4129" s="68" t="s">
        <v>294</v>
      </c>
      <c r="F4129" s="68" t="s">
        <v>40</v>
      </c>
      <c r="G4129" s="68"/>
      <c r="H4129" s="68"/>
      <c r="I4129" s="69">
        <v>296043.49280288123</v>
      </c>
    </row>
    <row r="4130" spans="1:9" hidden="1">
      <c r="A4130" s="64" t="s">
        <v>295</v>
      </c>
      <c r="B4130" s="65">
        <v>2043</v>
      </c>
      <c r="C4130" s="65">
        <v>2023</v>
      </c>
      <c r="D4130" s="65" t="s">
        <v>309</v>
      </c>
      <c r="E4130" s="65" t="s">
        <v>301</v>
      </c>
      <c r="F4130" s="65" t="s">
        <v>297</v>
      </c>
      <c r="G4130" s="65"/>
      <c r="H4130" s="65"/>
      <c r="I4130" s="66">
        <v>41406.914653161912</v>
      </c>
    </row>
    <row r="4131" spans="1:9" hidden="1">
      <c r="A4131" s="67" t="s">
        <v>295</v>
      </c>
      <c r="B4131" s="68">
        <v>2043</v>
      </c>
      <c r="C4131" s="68">
        <v>2023</v>
      </c>
      <c r="D4131" s="68" t="s">
        <v>309</v>
      </c>
      <c r="E4131" s="68" t="s">
        <v>301</v>
      </c>
      <c r="F4131" s="68" t="s">
        <v>298</v>
      </c>
      <c r="G4131" s="68"/>
      <c r="H4131" s="68"/>
      <c r="I4131" s="69">
        <v>306435.89564016683</v>
      </c>
    </row>
    <row r="4132" spans="1:9" hidden="1">
      <c r="A4132" s="64" t="s">
        <v>295</v>
      </c>
      <c r="B4132" s="65">
        <v>2043</v>
      </c>
      <c r="C4132" s="65">
        <v>2023</v>
      </c>
      <c r="D4132" s="65" t="s">
        <v>309</v>
      </c>
      <c r="E4132" s="65" t="s">
        <v>301</v>
      </c>
      <c r="F4132" s="65" t="s">
        <v>40</v>
      </c>
      <c r="G4132" s="65"/>
      <c r="H4132" s="65"/>
      <c r="I4132" s="66">
        <v>347537.8435754932</v>
      </c>
    </row>
    <row r="4133" spans="1:9" hidden="1">
      <c r="A4133" s="67" t="s">
        <v>295</v>
      </c>
      <c r="B4133" s="68">
        <v>2043</v>
      </c>
      <c r="C4133" s="68">
        <v>2023</v>
      </c>
      <c r="D4133" s="68" t="s">
        <v>309</v>
      </c>
      <c r="E4133" s="68" t="s">
        <v>305</v>
      </c>
      <c r="F4133" s="68" t="s">
        <v>297</v>
      </c>
      <c r="G4133" s="68"/>
      <c r="H4133" s="68"/>
      <c r="I4133" s="69">
        <v>49.137300000000003</v>
      </c>
    </row>
    <row r="4134" spans="1:9" hidden="1">
      <c r="A4134" s="64" t="s">
        <v>295</v>
      </c>
      <c r="B4134" s="65">
        <v>2043</v>
      </c>
      <c r="C4134" s="65">
        <v>2023</v>
      </c>
      <c r="D4134" s="65" t="s">
        <v>309</v>
      </c>
      <c r="E4134" s="65" t="s">
        <v>305</v>
      </c>
      <c r="F4134" s="65" t="s">
        <v>298</v>
      </c>
      <c r="G4134" s="65"/>
      <c r="H4134" s="65"/>
      <c r="I4134" s="66">
        <v>7212.3585000000003</v>
      </c>
    </row>
    <row r="4135" spans="1:9" hidden="1">
      <c r="A4135" s="67" t="s">
        <v>295</v>
      </c>
      <c r="B4135" s="68">
        <v>2043</v>
      </c>
      <c r="C4135" s="68">
        <v>2023</v>
      </c>
      <c r="D4135" s="68" t="s">
        <v>309</v>
      </c>
      <c r="E4135" s="68" t="s">
        <v>305</v>
      </c>
      <c r="F4135" s="68" t="s">
        <v>40</v>
      </c>
      <c r="G4135" s="68"/>
      <c r="H4135" s="68"/>
      <c r="I4135" s="69">
        <v>48234.995799999997</v>
      </c>
    </row>
    <row r="4136" spans="1:9" hidden="1">
      <c r="A4136" s="64" t="s">
        <v>295</v>
      </c>
      <c r="B4136" s="65">
        <v>2043</v>
      </c>
      <c r="C4136" s="65">
        <v>2023</v>
      </c>
      <c r="D4136" s="65" t="s">
        <v>315</v>
      </c>
      <c r="E4136" s="65" t="s">
        <v>294</v>
      </c>
      <c r="F4136" s="65" t="s">
        <v>297</v>
      </c>
      <c r="G4136" s="65"/>
      <c r="H4136" s="65"/>
      <c r="I4136" s="66">
        <v>94022.292342991321</v>
      </c>
    </row>
    <row r="4137" spans="1:9" hidden="1">
      <c r="A4137" s="67" t="s">
        <v>295</v>
      </c>
      <c r="B4137" s="68">
        <v>2043</v>
      </c>
      <c r="C4137" s="68">
        <v>2023</v>
      </c>
      <c r="D4137" s="68" t="s">
        <v>315</v>
      </c>
      <c r="E4137" s="68" t="s">
        <v>294</v>
      </c>
      <c r="F4137" s="68" t="s">
        <v>298</v>
      </c>
      <c r="G4137" s="68"/>
      <c r="H4137" s="68"/>
      <c r="I4137" s="69">
        <v>167609.43424400361</v>
      </c>
    </row>
    <row r="4138" spans="1:9" hidden="1">
      <c r="A4138" s="64" t="s">
        <v>295</v>
      </c>
      <c r="B4138" s="65">
        <v>2043</v>
      </c>
      <c r="C4138" s="65">
        <v>2023</v>
      </c>
      <c r="D4138" s="65" t="s">
        <v>315</v>
      </c>
      <c r="E4138" s="65" t="s">
        <v>294</v>
      </c>
      <c r="F4138" s="65" t="s">
        <v>40</v>
      </c>
      <c r="G4138" s="65"/>
      <c r="H4138" s="65"/>
      <c r="I4138" s="66">
        <v>261253.2520813056</v>
      </c>
    </row>
    <row r="4139" spans="1:9" hidden="1">
      <c r="A4139" s="67" t="s">
        <v>295</v>
      </c>
      <c r="B4139" s="68">
        <v>2043</v>
      </c>
      <c r="C4139" s="68">
        <v>2023</v>
      </c>
      <c r="D4139" s="68" t="s">
        <v>315</v>
      </c>
      <c r="E4139" s="68" t="s">
        <v>301</v>
      </c>
      <c r="F4139" s="68" t="s">
        <v>297</v>
      </c>
      <c r="G4139" s="68"/>
      <c r="H4139" s="68"/>
      <c r="I4139" s="69">
        <v>100799.6278459574</v>
      </c>
    </row>
    <row r="4140" spans="1:9" hidden="1">
      <c r="A4140" s="64" t="s">
        <v>295</v>
      </c>
      <c r="B4140" s="65">
        <v>2043</v>
      </c>
      <c r="C4140" s="65">
        <v>2023</v>
      </c>
      <c r="D4140" s="65" t="s">
        <v>315</v>
      </c>
      <c r="E4140" s="65" t="s">
        <v>301</v>
      </c>
      <c r="F4140" s="65" t="s">
        <v>298</v>
      </c>
      <c r="G4140" s="65"/>
      <c r="H4140" s="65"/>
      <c r="I4140" s="66">
        <v>194134.82626940851</v>
      </c>
    </row>
    <row r="4141" spans="1:9" hidden="1">
      <c r="A4141" s="67" t="s">
        <v>295</v>
      </c>
      <c r="B4141" s="68">
        <v>2043</v>
      </c>
      <c r="C4141" s="68">
        <v>2023</v>
      </c>
      <c r="D4141" s="68" t="s">
        <v>315</v>
      </c>
      <c r="E4141" s="68" t="s">
        <v>301</v>
      </c>
      <c r="F4141" s="68" t="s">
        <v>40</v>
      </c>
      <c r="G4141" s="68"/>
      <c r="H4141" s="68"/>
      <c r="I4141" s="69">
        <v>294562.82688152773</v>
      </c>
    </row>
    <row r="4142" spans="1:9" hidden="1">
      <c r="A4142" s="64" t="s">
        <v>295</v>
      </c>
      <c r="B4142" s="65">
        <v>2043</v>
      </c>
      <c r="C4142" s="65">
        <v>2023</v>
      </c>
      <c r="D4142" s="65" t="s">
        <v>315</v>
      </c>
      <c r="E4142" s="65" t="s">
        <v>305</v>
      </c>
      <c r="F4142" s="65" t="s">
        <v>297</v>
      </c>
      <c r="G4142" s="65"/>
      <c r="H4142" s="65"/>
      <c r="I4142" s="66">
        <v>1129.2303400000001</v>
      </c>
    </row>
    <row r="4143" spans="1:9" hidden="1">
      <c r="A4143" s="67" t="s">
        <v>295</v>
      </c>
      <c r="B4143" s="68">
        <v>2043</v>
      </c>
      <c r="C4143" s="68">
        <v>2023</v>
      </c>
      <c r="D4143" s="68" t="s">
        <v>315</v>
      </c>
      <c r="E4143" s="68" t="s">
        <v>305</v>
      </c>
      <c r="F4143" s="68" t="s">
        <v>298</v>
      </c>
      <c r="G4143" s="68"/>
      <c r="H4143" s="68"/>
      <c r="I4143" s="69">
        <v>1483.14</v>
      </c>
    </row>
    <row r="4144" spans="1:9" hidden="1">
      <c r="A4144" s="64" t="s">
        <v>295</v>
      </c>
      <c r="B4144" s="65">
        <v>2043</v>
      </c>
      <c r="C4144" s="65">
        <v>2023</v>
      </c>
      <c r="D4144" s="65" t="s">
        <v>315</v>
      </c>
      <c r="E4144" s="65" t="s">
        <v>305</v>
      </c>
      <c r="F4144" s="65" t="s">
        <v>40</v>
      </c>
      <c r="G4144" s="65"/>
      <c r="H4144" s="65"/>
      <c r="I4144" s="66">
        <v>22423.670340000001</v>
      </c>
    </row>
    <row r="4145" spans="1:9" hidden="1">
      <c r="A4145" s="67" t="s">
        <v>295</v>
      </c>
      <c r="B4145" s="68">
        <v>2043</v>
      </c>
      <c r="C4145" s="68">
        <v>2023</v>
      </c>
      <c r="D4145" s="68" t="s">
        <v>316</v>
      </c>
      <c r="E4145" s="68" t="s">
        <v>294</v>
      </c>
      <c r="F4145" s="68" t="s">
        <v>297</v>
      </c>
      <c r="G4145" s="68"/>
      <c r="H4145" s="68"/>
      <c r="I4145" s="69">
        <v>404836.8972288465</v>
      </c>
    </row>
    <row r="4146" spans="1:9" hidden="1">
      <c r="A4146" s="64" t="s">
        <v>295</v>
      </c>
      <c r="B4146" s="65">
        <v>2043</v>
      </c>
      <c r="C4146" s="65">
        <v>2023</v>
      </c>
      <c r="D4146" s="65" t="s">
        <v>316</v>
      </c>
      <c r="E4146" s="65" t="s">
        <v>294</v>
      </c>
      <c r="F4146" s="65" t="s">
        <v>298</v>
      </c>
      <c r="G4146" s="65"/>
      <c r="H4146" s="65"/>
      <c r="I4146" s="66">
        <v>3229.9589588305248</v>
      </c>
    </row>
    <row r="4147" spans="1:9" hidden="1">
      <c r="A4147" s="67" t="s">
        <v>295</v>
      </c>
      <c r="B4147" s="68">
        <v>2043</v>
      </c>
      <c r="C4147" s="68">
        <v>2023</v>
      </c>
      <c r="D4147" s="68" t="s">
        <v>316</v>
      </c>
      <c r="E4147" s="68" t="s">
        <v>294</v>
      </c>
      <c r="F4147" s="68" t="s">
        <v>40</v>
      </c>
      <c r="G4147" s="68"/>
      <c r="H4147" s="68"/>
      <c r="I4147" s="69">
        <v>425429.6334125537</v>
      </c>
    </row>
    <row r="4148" spans="1:9" hidden="1">
      <c r="A4148" s="64" t="s">
        <v>295</v>
      </c>
      <c r="B4148" s="65">
        <v>2043</v>
      </c>
      <c r="C4148" s="65">
        <v>2023</v>
      </c>
      <c r="D4148" s="65" t="s">
        <v>316</v>
      </c>
      <c r="E4148" s="65" t="s">
        <v>301</v>
      </c>
      <c r="F4148" s="65" t="s">
        <v>297</v>
      </c>
      <c r="G4148" s="65"/>
      <c r="H4148" s="65"/>
      <c r="I4148" s="66">
        <v>509781.10794157302</v>
      </c>
    </row>
    <row r="4149" spans="1:9" hidden="1">
      <c r="A4149" s="67" t="s">
        <v>295</v>
      </c>
      <c r="B4149" s="68">
        <v>2043</v>
      </c>
      <c r="C4149" s="68">
        <v>2023</v>
      </c>
      <c r="D4149" s="68" t="s">
        <v>316</v>
      </c>
      <c r="E4149" s="68" t="s">
        <v>301</v>
      </c>
      <c r="F4149" s="68" t="s">
        <v>298</v>
      </c>
      <c r="G4149" s="68"/>
      <c r="H4149" s="68"/>
      <c r="I4149" s="69">
        <v>3444.2397644843918</v>
      </c>
    </row>
    <row r="4150" spans="1:9" hidden="1">
      <c r="A4150" s="64" t="s">
        <v>295</v>
      </c>
      <c r="B4150" s="65">
        <v>2043</v>
      </c>
      <c r="C4150" s="65">
        <v>2023</v>
      </c>
      <c r="D4150" s="65" t="s">
        <v>316</v>
      </c>
      <c r="E4150" s="65" t="s">
        <v>301</v>
      </c>
      <c r="F4150" s="65" t="s">
        <v>40</v>
      </c>
      <c r="G4150" s="65"/>
      <c r="H4150" s="65"/>
      <c r="I4150" s="66">
        <v>532241.93100283516</v>
      </c>
    </row>
    <row r="4151" spans="1:9" hidden="1">
      <c r="A4151" s="67" t="s">
        <v>295</v>
      </c>
      <c r="B4151" s="68">
        <v>2043</v>
      </c>
      <c r="C4151" s="68">
        <v>2023</v>
      </c>
      <c r="D4151" s="68" t="s">
        <v>316</v>
      </c>
      <c r="E4151" s="68" t="s">
        <v>305</v>
      </c>
      <c r="F4151" s="68" t="s">
        <v>297</v>
      </c>
      <c r="G4151" s="68"/>
      <c r="H4151" s="68"/>
      <c r="I4151" s="69">
        <v>9352.4796999999999</v>
      </c>
    </row>
    <row r="4152" spans="1:9" hidden="1">
      <c r="A4152" s="64" t="s">
        <v>295</v>
      </c>
      <c r="B4152" s="65">
        <v>2043</v>
      </c>
      <c r="C4152" s="65">
        <v>2023</v>
      </c>
      <c r="D4152" s="65" t="s">
        <v>316</v>
      </c>
      <c r="E4152" s="65" t="s">
        <v>305</v>
      </c>
      <c r="F4152" s="65" t="s">
        <v>298</v>
      </c>
      <c r="G4152" s="65"/>
      <c r="H4152" s="65"/>
      <c r="I4152" s="66">
        <v>0</v>
      </c>
    </row>
    <row r="4153" spans="1:9" hidden="1">
      <c r="A4153" s="67" t="s">
        <v>295</v>
      </c>
      <c r="B4153" s="68">
        <v>2043</v>
      </c>
      <c r="C4153" s="68">
        <v>2023</v>
      </c>
      <c r="D4153" s="68" t="s">
        <v>316</v>
      </c>
      <c r="E4153" s="68" t="s">
        <v>305</v>
      </c>
      <c r="F4153" s="68" t="s">
        <v>40</v>
      </c>
      <c r="G4153" s="68"/>
      <c r="H4153" s="68"/>
      <c r="I4153" s="69">
        <v>45472.507699999987</v>
      </c>
    </row>
    <row r="4154" spans="1:9" hidden="1">
      <c r="A4154" s="64" t="s">
        <v>295</v>
      </c>
      <c r="B4154" s="65">
        <v>2043</v>
      </c>
      <c r="C4154" s="65">
        <v>2023</v>
      </c>
      <c r="D4154" s="65" t="s">
        <v>317</v>
      </c>
      <c r="E4154" s="65" t="s">
        <v>294</v>
      </c>
      <c r="F4154" s="65" t="s">
        <v>297</v>
      </c>
      <c r="G4154" s="65"/>
      <c r="H4154" s="65"/>
      <c r="I4154" s="66">
        <v>146.96036149752811</v>
      </c>
    </row>
    <row r="4155" spans="1:9" hidden="1">
      <c r="A4155" s="67" t="s">
        <v>295</v>
      </c>
      <c r="B4155" s="68">
        <v>2043</v>
      </c>
      <c r="C4155" s="68">
        <v>2023</v>
      </c>
      <c r="D4155" s="68" t="s">
        <v>317</v>
      </c>
      <c r="E4155" s="68" t="s">
        <v>294</v>
      </c>
      <c r="F4155" s="68" t="s">
        <v>298</v>
      </c>
      <c r="G4155" s="68"/>
      <c r="H4155" s="68"/>
      <c r="I4155" s="69">
        <v>0</v>
      </c>
    </row>
    <row r="4156" spans="1:9" hidden="1">
      <c r="A4156" s="64" t="s">
        <v>295</v>
      </c>
      <c r="B4156" s="65">
        <v>2043</v>
      </c>
      <c r="C4156" s="65">
        <v>2023</v>
      </c>
      <c r="D4156" s="65" t="s">
        <v>317</v>
      </c>
      <c r="E4156" s="65" t="s">
        <v>294</v>
      </c>
      <c r="F4156" s="65" t="s">
        <v>40</v>
      </c>
      <c r="G4156" s="65"/>
      <c r="H4156" s="65"/>
      <c r="I4156" s="66">
        <v>17208.639851554261</v>
      </c>
    </row>
    <row r="4157" spans="1:9" hidden="1">
      <c r="A4157" s="67" t="s">
        <v>295</v>
      </c>
      <c r="B4157" s="68">
        <v>2043</v>
      </c>
      <c r="C4157" s="68">
        <v>2023</v>
      </c>
      <c r="D4157" s="68" t="s">
        <v>317</v>
      </c>
      <c r="E4157" s="68" t="s">
        <v>301</v>
      </c>
      <c r="F4157" s="68" t="s">
        <v>297</v>
      </c>
      <c r="G4157" s="68"/>
      <c r="H4157" s="68"/>
      <c r="I4157" s="69">
        <v>159.46331070227239</v>
      </c>
    </row>
    <row r="4158" spans="1:9" hidden="1">
      <c r="A4158" s="64" t="s">
        <v>295</v>
      </c>
      <c r="B4158" s="65">
        <v>2043</v>
      </c>
      <c r="C4158" s="65">
        <v>2023</v>
      </c>
      <c r="D4158" s="65" t="s">
        <v>317</v>
      </c>
      <c r="E4158" s="65" t="s">
        <v>301</v>
      </c>
      <c r="F4158" s="65" t="s">
        <v>298</v>
      </c>
      <c r="G4158" s="65"/>
      <c r="H4158" s="65"/>
      <c r="I4158" s="66">
        <v>0</v>
      </c>
    </row>
    <row r="4159" spans="1:9" hidden="1">
      <c r="A4159" s="67" t="s">
        <v>295</v>
      </c>
      <c r="B4159" s="68">
        <v>2043</v>
      </c>
      <c r="C4159" s="68">
        <v>2023</v>
      </c>
      <c r="D4159" s="68" t="s">
        <v>317</v>
      </c>
      <c r="E4159" s="68" t="s">
        <v>301</v>
      </c>
      <c r="F4159" s="68" t="s">
        <v>40</v>
      </c>
      <c r="G4159" s="68"/>
      <c r="H4159" s="68"/>
      <c r="I4159" s="69">
        <v>18837.096687481509</v>
      </c>
    </row>
    <row r="4160" spans="1:9" hidden="1">
      <c r="A4160" s="64" t="s">
        <v>295</v>
      </c>
      <c r="B4160" s="65">
        <v>2043</v>
      </c>
      <c r="C4160" s="65">
        <v>2023</v>
      </c>
      <c r="D4160" s="65" t="s">
        <v>317</v>
      </c>
      <c r="E4160" s="65" t="s">
        <v>305</v>
      </c>
      <c r="F4160" s="65" t="s">
        <v>297</v>
      </c>
      <c r="G4160" s="65"/>
      <c r="H4160" s="65"/>
      <c r="I4160" s="66">
        <v>1.349E-2</v>
      </c>
    </row>
    <row r="4161" spans="1:9" hidden="1">
      <c r="A4161" s="67" t="s">
        <v>295</v>
      </c>
      <c r="B4161" s="68">
        <v>2043</v>
      </c>
      <c r="C4161" s="68">
        <v>2023</v>
      </c>
      <c r="D4161" s="68" t="s">
        <v>317</v>
      </c>
      <c r="E4161" s="68" t="s">
        <v>305</v>
      </c>
      <c r="F4161" s="68" t="s">
        <v>40</v>
      </c>
      <c r="G4161" s="68"/>
      <c r="H4161" s="68"/>
      <c r="I4161" s="69">
        <v>537.76149999999996</v>
      </c>
    </row>
    <row r="4162" spans="1:9" hidden="1">
      <c r="A4162" s="64" t="s">
        <v>295</v>
      </c>
      <c r="B4162" s="65">
        <v>2043</v>
      </c>
      <c r="C4162" s="65">
        <v>2023</v>
      </c>
      <c r="D4162" s="65" t="s">
        <v>318</v>
      </c>
      <c r="E4162" s="65" t="s">
        <v>294</v>
      </c>
      <c r="F4162" s="65" t="s">
        <v>297</v>
      </c>
      <c r="G4162" s="65"/>
      <c r="H4162" s="65"/>
      <c r="I4162" s="66">
        <v>383092.47669027367</v>
      </c>
    </row>
    <row r="4163" spans="1:9" hidden="1">
      <c r="A4163" s="67" t="s">
        <v>295</v>
      </c>
      <c r="B4163" s="68">
        <v>2043</v>
      </c>
      <c r="C4163" s="68">
        <v>2023</v>
      </c>
      <c r="D4163" s="68" t="s">
        <v>318</v>
      </c>
      <c r="E4163" s="68" t="s">
        <v>294</v>
      </c>
      <c r="F4163" s="68" t="s">
        <v>298</v>
      </c>
      <c r="G4163" s="68"/>
      <c r="H4163" s="68"/>
      <c r="I4163" s="69">
        <v>0</v>
      </c>
    </row>
    <row r="4164" spans="1:9" hidden="1">
      <c r="A4164" s="64" t="s">
        <v>295</v>
      </c>
      <c r="B4164" s="65">
        <v>2043</v>
      </c>
      <c r="C4164" s="65">
        <v>2023</v>
      </c>
      <c r="D4164" s="65" t="s">
        <v>318</v>
      </c>
      <c r="E4164" s="65" t="s">
        <v>294</v>
      </c>
      <c r="F4164" s="65" t="s">
        <v>40</v>
      </c>
      <c r="G4164" s="65"/>
      <c r="H4164" s="65"/>
      <c r="I4164" s="66">
        <v>383333.01182041538</v>
      </c>
    </row>
    <row r="4165" spans="1:9" hidden="1">
      <c r="A4165" s="67" t="s">
        <v>295</v>
      </c>
      <c r="B4165" s="68">
        <v>2043</v>
      </c>
      <c r="C4165" s="68">
        <v>2023</v>
      </c>
      <c r="D4165" s="68" t="s">
        <v>318</v>
      </c>
      <c r="E4165" s="68" t="s">
        <v>301</v>
      </c>
      <c r="F4165" s="68" t="s">
        <v>297</v>
      </c>
      <c r="G4165" s="68"/>
      <c r="H4165" s="68"/>
      <c r="I4165" s="69">
        <v>486167.94137889688</v>
      </c>
    </row>
    <row r="4166" spans="1:9" hidden="1">
      <c r="A4166" s="64" t="s">
        <v>295</v>
      </c>
      <c r="B4166" s="65">
        <v>2043</v>
      </c>
      <c r="C4166" s="65">
        <v>2023</v>
      </c>
      <c r="D4166" s="65" t="s">
        <v>318</v>
      </c>
      <c r="E4166" s="65" t="s">
        <v>301</v>
      </c>
      <c r="F4166" s="65" t="s">
        <v>298</v>
      </c>
      <c r="G4166" s="65"/>
      <c r="H4166" s="65"/>
      <c r="I4166" s="66">
        <v>0</v>
      </c>
    </row>
    <row r="4167" spans="1:9" hidden="1">
      <c r="A4167" s="67" t="s">
        <v>295</v>
      </c>
      <c r="B4167" s="68">
        <v>2043</v>
      </c>
      <c r="C4167" s="68">
        <v>2023</v>
      </c>
      <c r="D4167" s="68" t="s">
        <v>318</v>
      </c>
      <c r="E4167" s="68" t="s">
        <v>301</v>
      </c>
      <c r="F4167" s="68" t="s">
        <v>40</v>
      </c>
      <c r="G4167" s="68"/>
      <c r="H4167" s="68"/>
      <c r="I4167" s="69">
        <v>486481.61037286971</v>
      </c>
    </row>
    <row r="4168" spans="1:9" hidden="1">
      <c r="A4168" s="64" t="s">
        <v>295</v>
      </c>
      <c r="B4168" s="65">
        <v>2043</v>
      </c>
      <c r="C4168" s="65">
        <v>2023</v>
      </c>
      <c r="D4168" s="65" t="s">
        <v>318</v>
      </c>
      <c r="E4168" s="65" t="s">
        <v>305</v>
      </c>
      <c r="F4168" s="65" t="s">
        <v>297</v>
      </c>
      <c r="G4168" s="65"/>
      <c r="H4168" s="65"/>
      <c r="I4168" s="66">
        <v>9251.0407099999993</v>
      </c>
    </row>
    <row r="4169" spans="1:9" hidden="1">
      <c r="A4169" s="67" t="s">
        <v>295</v>
      </c>
      <c r="B4169" s="68">
        <v>2043</v>
      </c>
      <c r="C4169" s="68">
        <v>2023</v>
      </c>
      <c r="D4169" s="68" t="s">
        <v>318</v>
      </c>
      <c r="E4169" s="68" t="s">
        <v>305</v>
      </c>
      <c r="F4169" s="68" t="s">
        <v>40</v>
      </c>
      <c r="G4169" s="68"/>
      <c r="H4169" s="68"/>
      <c r="I4169" s="69">
        <v>42716.860710000001</v>
      </c>
    </row>
    <row r="4170" spans="1:9" hidden="1">
      <c r="A4170" s="64" t="s">
        <v>295</v>
      </c>
      <c r="B4170" s="65">
        <v>2043</v>
      </c>
      <c r="C4170" s="65">
        <v>2023</v>
      </c>
      <c r="D4170" s="65" t="s">
        <v>320</v>
      </c>
      <c r="E4170" s="65" t="s">
        <v>294</v>
      </c>
      <c r="F4170" s="65" t="s">
        <v>297</v>
      </c>
      <c r="G4170" s="65"/>
      <c r="H4170" s="65"/>
      <c r="I4170" s="66">
        <v>3244.6236142043299</v>
      </c>
    </row>
    <row r="4171" spans="1:9" hidden="1">
      <c r="A4171" s="67" t="s">
        <v>295</v>
      </c>
      <c r="B4171" s="68">
        <v>2043</v>
      </c>
      <c r="C4171" s="68">
        <v>2023</v>
      </c>
      <c r="D4171" s="68" t="s">
        <v>320</v>
      </c>
      <c r="E4171" s="68" t="s">
        <v>294</v>
      </c>
      <c r="F4171" s="68" t="s">
        <v>298</v>
      </c>
      <c r="G4171" s="68"/>
      <c r="H4171" s="68"/>
      <c r="I4171" s="69">
        <v>0</v>
      </c>
    </row>
    <row r="4172" spans="1:9" hidden="1">
      <c r="A4172" s="64" t="s">
        <v>295</v>
      </c>
      <c r="B4172" s="65">
        <v>2043</v>
      </c>
      <c r="C4172" s="65">
        <v>2023</v>
      </c>
      <c r="D4172" s="65" t="s">
        <v>320</v>
      </c>
      <c r="E4172" s="65" t="s">
        <v>294</v>
      </c>
      <c r="F4172" s="65" t="s">
        <v>40</v>
      </c>
      <c r="G4172" s="65"/>
      <c r="H4172" s="65"/>
      <c r="I4172" s="66">
        <v>3245.6508106470769</v>
      </c>
    </row>
    <row r="4173" spans="1:9" hidden="1">
      <c r="A4173" s="67" t="s">
        <v>295</v>
      </c>
      <c r="B4173" s="68">
        <v>2043</v>
      </c>
      <c r="C4173" s="68">
        <v>2023</v>
      </c>
      <c r="D4173" s="68" t="s">
        <v>320</v>
      </c>
      <c r="E4173" s="68" t="s">
        <v>301</v>
      </c>
      <c r="F4173" s="68" t="s">
        <v>297</v>
      </c>
      <c r="G4173" s="68"/>
      <c r="H4173" s="68"/>
      <c r="I4173" s="69">
        <v>4376.6871303044172</v>
      </c>
    </row>
    <row r="4174" spans="1:9" hidden="1">
      <c r="A4174" s="64" t="s">
        <v>295</v>
      </c>
      <c r="B4174" s="65">
        <v>2043</v>
      </c>
      <c r="C4174" s="65">
        <v>2023</v>
      </c>
      <c r="D4174" s="65" t="s">
        <v>320</v>
      </c>
      <c r="E4174" s="65" t="s">
        <v>301</v>
      </c>
      <c r="F4174" s="65" t="s">
        <v>298</v>
      </c>
      <c r="G4174" s="65"/>
      <c r="H4174" s="65"/>
      <c r="I4174" s="66">
        <v>0</v>
      </c>
    </row>
    <row r="4175" spans="1:9" hidden="1">
      <c r="A4175" s="67" t="s">
        <v>295</v>
      </c>
      <c r="B4175" s="68">
        <v>2043</v>
      </c>
      <c r="C4175" s="68">
        <v>2023</v>
      </c>
      <c r="D4175" s="68" t="s">
        <v>320</v>
      </c>
      <c r="E4175" s="68" t="s">
        <v>301</v>
      </c>
      <c r="F4175" s="68" t="s">
        <v>40</v>
      </c>
      <c r="G4175" s="68"/>
      <c r="H4175" s="68"/>
      <c r="I4175" s="69">
        <v>4377.7114258385573</v>
      </c>
    </row>
    <row r="4176" spans="1:9" hidden="1">
      <c r="A4176" s="64" t="s">
        <v>295</v>
      </c>
      <c r="B4176" s="65">
        <v>2043</v>
      </c>
      <c r="C4176" s="65">
        <v>2023</v>
      </c>
      <c r="D4176" s="65" t="s">
        <v>320</v>
      </c>
      <c r="E4176" s="65" t="s">
        <v>305</v>
      </c>
      <c r="F4176" s="65" t="s">
        <v>297</v>
      </c>
      <c r="G4176" s="65"/>
      <c r="H4176" s="65"/>
      <c r="I4176" s="66">
        <v>41.22</v>
      </c>
    </row>
    <row r="4177" spans="1:9" hidden="1">
      <c r="A4177" s="67" t="s">
        <v>295</v>
      </c>
      <c r="B4177" s="68">
        <v>2043</v>
      </c>
      <c r="C4177" s="68">
        <v>2023</v>
      </c>
      <c r="D4177" s="68" t="s">
        <v>320</v>
      </c>
      <c r="E4177" s="68" t="s">
        <v>305</v>
      </c>
      <c r="F4177" s="68" t="s">
        <v>40</v>
      </c>
      <c r="G4177" s="68"/>
      <c r="H4177" s="68"/>
      <c r="I4177" s="69">
        <v>1471.66</v>
      </c>
    </row>
    <row r="4178" spans="1:9" hidden="1">
      <c r="A4178" s="64" t="s">
        <v>295</v>
      </c>
      <c r="B4178" s="65">
        <v>2043</v>
      </c>
      <c r="C4178" s="65">
        <v>2023</v>
      </c>
      <c r="D4178" s="65" t="s">
        <v>321</v>
      </c>
      <c r="E4178" s="65" t="s">
        <v>294</v>
      </c>
      <c r="F4178" s="65" t="s">
        <v>297</v>
      </c>
      <c r="G4178" s="65"/>
      <c r="H4178" s="65"/>
      <c r="I4178" s="66">
        <v>17186.241104666991</v>
      </c>
    </row>
    <row r="4179" spans="1:9" hidden="1">
      <c r="A4179" s="67" t="s">
        <v>295</v>
      </c>
      <c r="B4179" s="68">
        <v>2043</v>
      </c>
      <c r="C4179" s="68">
        <v>2023</v>
      </c>
      <c r="D4179" s="68" t="s">
        <v>321</v>
      </c>
      <c r="E4179" s="68" t="s">
        <v>294</v>
      </c>
      <c r="F4179" s="68" t="s">
        <v>298</v>
      </c>
      <c r="G4179" s="68"/>
      <c r="H4179" s="68"/>
      <c r="I4179" s="69">
        <v>0</v>
      </c>
    </row>
    <row r="4180" spans="1:9" hidden="1">
      <c r="A4180" s="64" t="s">
        <v>295</v>
      </c>
      <c r="B4180" s="65">
        <v>2043</v>
      </c>
      <c r="C4180" s="65">
        <v>2023</v>
      </c>
      <c r="D4180" s="65" t="s">
        <v>321</v>
      </c>
      <c r="E4180" s="65" t="s">
        <v>294</v>
      </c>
      <c r="F4180" s="65" t="s">
        <v>40</v>
      </c>
      <c r="G4180" s="65"/>
      <c r="H4180" s="65"/>
      <c r="I4180" s="66">
        <v>17201.761624677179</v>
      </c>
    </row>
    <row r="4181" spans="1:9" hidden="1">
      <c r="A4181" s="67" t="s">
        <v>295</v>
      </c>
      <c r="B4181" s="68">
        <v>2043</v>
      </c>
      <c r="C4181" s="68">
        <v>2023</v>
      </c>
      <c r="D4181" s="68" t="s">
        <v>321</v>
      </c>
      <c r="E4181" s="68" t="s">
        <v>301</v>
      </c>
      <c r="F4181" s="68" t="s">
        <v>297</v>
      </c>
      <c r="G4181" s="68"/>
      <c r="H4181" s="68"/>
      <c r="I4181" s="69">
        <v>17598.151417455909</v>
      </c>
    </row>
    <row r="4182" spans="1:9" hidden="1">
      <c r="A4182" s="64" t="s">
        <v>295</v>
      </c>
      <c r="B4182" s="65">
        <v>2043</v>
      </c>
      <c r="C4182" s="65">
        <v>2023</v>
      </c>
      <c r="D4182" s="65" t="s">
        <v>321</v>
      </c>
      <c r="E4182" s="65" t="s">
        <v>301</v>
      </c>
      <c r="F4182" s="65" t="s">
        <v>298</v>
      </c>
      <c r="G4182" s="65"/>
      <c r="H4182" s="65"/>
      <c r="I4182" s="66">
        <v>0</v>
      </c>
    </row>
    <row r="4183" spans="1:9" hidden="1">
      <c r="A4183" s="67" t="s">
        <v>295</v>
      </c>
      <c r="B4183" s="68">
        <v>2043</v>
      </c>
      <c r="C4183" s="68">
        <v>2023</v>
      </c>
      <c r="D4183" s="68" t="s">
        <v>321</v>
      </c>
      <c r="E4183" s="68" t="s">
        <v>301</v>
      </c>
      <c r="F4183" s="68" t="s">
        <v>40</v>
      </c>
      <c r="G4183" s="68"/>
      <c r="H4183" s="68"/>
      <c r="I4183" s="69">
        <v>17613.476825884271</v>
      </c>
    </row>
    <row r="4184" spans="1:9" hidden="1">
      <c r="A4184" s="64" t="s">
        <v>295</v>
      </c>
      <c r="B4184" s="65">
        <v>2043</v>
      </c>
      <c r="C4184" s="65">
        <v>2023</v>
      </c>
      <c r="D4184" s="65" t="s">
        <v>321</v>
      </c>
      <c r="E4184" s="65" t="s">
        <v>305</v>
      </c>
      <c r="F4184" s="65" t="s">
        <v>297</v>
      </c>
      <c r="G4184" s="65"/>
      <c r="H4184" s="65"/>
      <c r="I4184" s="66">
        <v>52.905500000000004</v>
      </c>
    </row>
    <row r="4185" spans="1:9" hidden="1">
      <c r="A4185" s="67" t="s">
        <v>295</v>
      </c>
      <c r="B4185" s="68">
        <v>2043</v>
      </c>
      <c r="C4185" s="68">
        <v>2023</v>
      </c>
      <c r="D4185" s="68" t="s">
        <v>321</v>
      </c>
      <c r="E4185" s="68" t="s">
        <v>305</v>
      </c>
      <c r="F4185" s="68" t="s">
        <v>40</v>
      </c>
      <c r="G4185" s="68"/>
      <c r="H4185" s="68"/>
      <c r="I4185" s="69">
        <v>417.64550000000003</v>
      </c>
    </row>
    <row r="4186" spans="1:9" hidden="1">
      <c r="A4186" s="64" t="s">
        <v>295</v>
      </c>
      <c r="B4186" s="65">
        <v>2043</v>
      </c>
      <c r="C4186" s="65">
        <v>2023</v>
      </c>
      <c r="D4186" s="65" t="s">
        <v>322</v>
      </c>
      <c r="E4186" s="65" t="s">
        <v>294</v>
      </c>
      <c r="F4186" s="65" t="s">
        <v>297</v>
      </c>
      <c r="G4186" s="65"/>
      <c r="H4186" s="65"/>
      <c r="I4186" s="66">
        <v>1185.352408203976</v>
      </c>
    </row>
    <row r="4187" spans="1:9" hidden="1">
      <c r="A4187" s="67" t="s">
        <v>295</v>
      </c>
      <c r="B4187" s="68">
        <v>2043</v>
      </c>
      <c r="C4187" s="68">
        <v>2023</v>
      </c>
      <c r="D4187" s="68" t="s">
        <v>322</v>
      </c>
      <c r="E4187" s="68" t="s">
        <v>294</v>
      </c>
      <c r="F4187" s="68" t="s">
        <v>298</v>
      </c>
      <c r="G4187" s="68"/>
      <c r="H4187" s="68"/>
      <c r="I4187" s="69">
        <v>3273.9981570557661</v>
      </c>
    </row>
    <row r="4188" spans="1:9" hidden="1">
      <c r="A4188" s="64" t="s">
        <v>295</v>
      </c>
      <c r="B4188" s="65">
        <v>2043</v>
      </c>
      <c r="C4188" s="65">
        <v>2023</v>
      </c>
      <c r="D4188" s="65" t="s">
        <v>322</v>
      </c>
      <c r="E4188" s="65" t="s">
        <v>294</v>
      </c>
      <c r="F4188" s="65" t="s">
        <v>40</v>
      </c>
      <c r="G4188" s="65"/>
      <c r="H4188" s="65"/>
      <c r="I4188" s="66">
        <v>4459.2905852597423</v>
      </c>
    </row>
    <row r="4189" spans="1:9" hidden="1">
      <c r="A4189" s="67" t="s">
        <v>295</v>
      </c>
      <c r="B4189" s="68">
        <v>2043</v>
      </c>
      <c r="C4189" s="68">
        <v>2023</v>
      </c>
      <c r="D4189" s="68" t="s">
        <v>322</v>
      </c>
      <c r="E4189" s="68" t="s">
        <v>301</v>
      </c>
      <c r="F4189" s="68" t="s">
        <v>297</v>
      </c>
      <c r="G4189" s="68"/>
      <c r="H4189" s="68"/>
      <c r="I4189" s="69">
        <v>1497.5883342134341</v>
      </c>
    </row>
    <row r="4190" spans="1:9" hidden="1">
      <c r="A4190" s="64" t="s">
        <v>295</v>
      </c>
      <c r="B4190" s="65">
        <v>2043</v>
      </c>
      <c r="C4190" s="65">
        <v>2023</v>
      </c>
      <c r="D4190" s="65" t="s">
        <v>322</v>
      </c>
      <c r="E4190" s="65" t="s">
        <v>301</v>
      </c>
      <c r="F4190" s="65" t="s">
        <v>298</v>
      </c>
      <c r="G4190" s="65"/>
      <c r="H4190" s="65"/>
      <c r="I4190" s="66">
        <v>3453.0886465477129</v>
      </c>
    </row>
    <row r="4191" spans="1:9" hidden="1">
      <c r="A4191" s="67" t="s">
        <v>295</v>
      </c>
      <c r="B4191" s="68">
        <v>2043</v>
      </c>
      <c r="C4191" s="68">
        <v>2023</v>
      </c>
      <c r="D4191" s="68" t="s">
        <v>322</v>
      </c>
      <c r="E4191" s="68" t="s">
        <v>301</v>
      </c>
      <c r="F4191" s="68" t="s">
        <v>40</v>
      </c>
      <c r="G4191" s="68"/>
      <c r="H4191" s="68"/>
      <c r="I4191" s="69">
        <v>4950.6169907611466</v>
      </c>
    </row>
    <row r="4192" spans="1:9" hidden="1">
      <c r="A4192" s="64" t="s">
        <v>295</v>
      </c>
      <c r="B4192" s="65">
        <v>2043</v>
      </c>
      <c r="C4192" s="65">
        <v>2023</v>
      </c>
      <c r="D4192" s="65" t="s">
        <v>322</v>
      </c>
      <c r="E4192" s="65" t="s">
        <v>305</v>
      </c>
      <c r="F4192" s="65" t="s">
        <v>297</v>
      </c>
      <c r="G4192" s="65"/>
      <c r="H4192" s="65"/>
      <c r="I4192" s="66">
        <v>7.2</v>
      </c>
    </row>
    <row r="4193" spans="1:9" hidden="1">
      <c r="A4193" s="67" t="s">
        <v>295</v>
      </c>
      <c r="B4193" s="68">
        <v>2043</v>
      </c>
      <c r="C4193" s="68">
        <v>2023</v>
      </c>
      <c r="D4193" s="68" t="s">
        <v>322</v>
      </c>
      <c r="E4193" s="68" t="s">
        <v>305</v>
      </c>
      <c r="F4193" s="68" t="s">
        <v>40</v>
      </c>
      <c r="G4193" s="68"/>
      <c r="H4193" s="68"/>
      <c r="I4193" s="69">
        <v>328.52</v>
      </c>
    </row>
    <row r="4194" spans="1:9" hidden="1">
      <c r="A4194" s="64" t="s">
        <v>295</v>
      </c>
      <c r="B4194" s="65">
        <v>2043</v>
      </c>
      <c r="C4194" s="65">
        <v>2023</v>
      </c>
      <c r="D4194" s="65" t="s">
        <v>323</v>
      </c>
      <c r="E4194" s="65" t="s">
        <v>294</v>
      </c>
      <c r="F4194" s="65" t="s">
        <v>297</v>
      </c>
      <c r="G4194" s="65"/>
      <c r="H4194" s="65"/>
      <c r="I4194" s="66">
        <v>262441.2314511796</v>
      </c>
    </row>
    <row r="4195" spans="1:9" hidden="1">
      <c r="A4195" s="67" t="s">
        <v>295</v>
      </c>
      <c r="B4195" s="68">
        <v>2043</v>
      </c>
      <c r="C4195" s="68">
        <v>2023</v>
      </c>
      <c r="D4195" s="68" t="s">
        <v>323</v>
      </c>
      <c r="E4195" s="68" t="s">
        <v>294</v>
      </c>
      <c r="F4195" s="68" t="s">
        <v>298</v>
      </c>
      <c r="G4195" s="68"/>
      <c r="H4195" s="68"/>
      <c r="I4195" s="69">
        <v>1077.55695844102</v>
      </c>
    </row>
    <row r="4196" spans="1:9" hidden="1">
      <c r="A4196" s="64" t="s">
        <v>295</v>
      </c>
      <c r="B4196" s="65">
        <v>2043</v>
      </c>
      <c r="C4196" s="65">
        <v>2023</v>
      </c>
      <c r="D4196" s="65" t="s">
        <v>323</v>
      </c>
      <c r="E4196" s="65" t="s">
        <v>294</v>
      </c>
      <c r="F4196" s="65" t="s">
        <v>40</v>
      </c>
      <c r="G4196" s="65"/>
      <c r="H4196" s="65"/>
      <c r="I4196" s="66">
        <v>263847.90616672608</v>
      </c>
    </row>
    <row r="4197" spans="1:9" hidden="1">
      <c r="A4197" s="67" t="s">
        <v>295</v>
      </c>
      <c r="B4197" s="68">
        <v>2043</v>
      </c>
      <c r="C4197" s="68">
        <v>2023</v>
      </c>
      <c r="D4197" s="68" t="s">
        <v>323</v>
      </c>
      <c r="E4197" s="68" t="s">
        <v>301</v>
      </c>
      <c r="F4197" s="68" t="s">
        <v>297</v>
      </c>
      <c r="G4197" s="68"/>
      <c r="H4197" s="68"/>
      <c r="I4197" s="69">
        <v>330653.28680292662</v>
      </c>
    </row>
    <row r="4198" spans="1:9" hidden="1">
      <c r="A4198" s="64" t="s">
        <v>295</v>
      </c>
      <c r="B4198" s="65">
        <v>2043</v>
      </c>
      <c r="C4198" s="65">
        <v>2023</v>
      </c>
      <c r="D4198" s="65" t="s">
        <v>323</v>
      </c>
      <c r="E4198" s="65" t="s">
        <v>301</v>
      </c>
      <c r="F4198" s="65" t="s">
        <v>298</v>
      </c>
      <c r="G4198" s="65"/>
      <c r="H4198" s="65"/>
      <c r="I4198" s="66">
        <v>1237.3887772410501</v>
      </c>
    </row>
    <row r="4199" spans="1:9" hidden="1">
      <c r="A4199" s="67" t="s">
        <v>295</v>
      </c>
      <c r="B4199" s="68">
        <v>2043</v>
      </c>
      <c r="C4199" s="68">
        <v>2023</v>
      </c>
      <c r="D4199" s="68" t="s">
        <v>323</v>
      </c>
      <c r="E4199" s="68" t="s">
        <v>301</v>
      </c>
      <c r="F4199" s="68" t="s">
        <v>40</v>
      </c>
      <c r="G4199" s="68"/>
      <c r="H4199" s="68"/>
      <c r="I4199" s="69">
        <v>332219.20114132582</v>
      </c>
    </row>
    <row r="4200" spans="1:9" hidden="1">
      <c r="A4200" s="64" t="s">
        <v>295</v>
      </c>
      <c r="B4200" s="65">
        <v>2043</v>
      </c>
      <c r="C4200" s="65">
        <v>2023</v>
      </c>
      <c r="D4200" s="65" t="s">
        <v>323</v>
      </c>
      <c r="E4200" s="65" t="s">
        <v>305</v>
      </c>
      <c r="F4200" s="65" t="s">
        <v>297</v>
      </c>
      <c r="G4200" s="65"/>
      <c r="H4200" s="65"/>
      <c r="I4200" s="66">
        <v>1464.16229</v>
      </c>
    </row>
    <row r="4201" spans="1:9" hidden="1">
      <c r="A4201" s="67" t="s">
        <v>295</v>
      </c>
      <c r="B4201" s="68">
        <v>2043</v>
      </c>
      <c r="C4201" s="68">
        <v>2023</v>
      </c>
      <c r="D4201" s="68" t="s">
        <v>323</v>
      </c>
      <c r="E4201" s="68" t="s">
        <v>305</v>
      </c>
      <c r="F4201" s="68" t="s">
        <v>40</v>
      </c>
      <c r="G4201" s="68"/>
      <c r="H4201" s="68"/>
      <c r="I4201" s="69">
        <v>20447.622289999999</v>
      </c>
    </row>
    <row r="4202" spans="1:9" hidden="1">
      <c r="A4202" s="64" t="s">
        <v>295</v>
      </c>
      <c r="B4202" s="65">
        <v>2043</v>
      </c>
      <c r="C4202" s="65">
        <v>2023</v>
      </c>
      <c r="D4202" s="65" t="s">
        <v>324</v>
      </c>
      <c r="E4202" s="65" t="s">
        <v>294</v>
      </c>
      <c r="F4202" s="65" t="s">
        <v>297</v>
      </c>
      <c r="G4202" s="65"/>
      <c r="H4202" s="65"/>
      <c r="I4202" s="66">
        <v>3490.219770709502</v>
      </c>
    </row>
    <row r="4203" spans="1:9" hidden="1">
      <c r="A4203" s="67" t="s">
        <v>295</v>
      </c>
      <c r="B4203" s="68">
        <v>2043</v>
      </c>
      <c r="C4203" s="68">
        <v>2023</v>
      </c>
      <c r="D4203" s="68" t="s">
        <v>324</v>
      </c>
      <c r="E4203" s="68" t="s">
        <v>294</v>
      </c>
      <c r="F4203" s="68" t="s">
        <v>298</v>
      </c>
      <c r="G4203" s="68"/>
      <c r="H4203" s="68"/>
      <c r="I4203" s="69">
        <v>0</v>
      </c>
    </row>
    <row r="4204" spans="1:9" hidden="1">
      <c r="A4204" s="64" t="s">
        <v>295</v>
      </c>
      <c r="B4204" s="65">
        <v>2043</v>
      </c>
      <c r="C4204" s="65">
        <v>2023</v>
      </c>
      <c r="D4204" s="65" t="s">
        <v>324</v>
      </c>
      <c r="E4204" s="65" t="s">
        <v>294</v>
      </c>
      <c r="F4204" s="65" t="s">
        <v>40</v>
      </c>
      <c r="G4204" s="65"/>
      <c r="H4204" s="65"/>
      <c r="I4204" s="66">
        <v>3492.7578598424689</v>
      </c>
    </row>
    <row r="4205" spans="1:9" hidden="1">
      <c r="A4205" s="67" t="s">
        <v>295</v>
      </c>
      <c r="B4205" s="68">
        <v>2043</v>
      </c>
      <c r="C4205" s="68">
        <v>2023</v>
      </c>
      <c r="D4205" s="68" t="s">
        <v>324</v>
      </c>
      <c r="E4205" s="68" t="s">
        <v>301</v>
      </c>
      <c r="F4205" s="68" t="s">
        <v>297</v>
      </c>
      <c r="G4205" s="68"/>
      <c r="H4205" s="68"/>
      <c r="I4205" s="69">
        <v>3490.864750709502</v>
      </c>
    </row>
    <row r="4206" spans="1:9" hidden="1">
      <c r="A4206" s="64" t="s">
        <v>295</v>
      </c>
      <c r="B4206" s="65">
        <v>2043</v>
      </c>
      <c r="C4206" s="65">
        <v>2023</v>
      </c>
      <c r="D4206" s="65" t="s">
        <v>324</v>
      </c>
      <c r="E4206" s="65" t="s">
        <v>301</v>
      </c>
      <c r="F4206" s="65" t="s">
        <v>298</v>
      </c>
      <c r="G4206" s="65"/>
      <c r="H4206" s="65"/>
      <c r="I4206" s="66">
        <v>0</v>
      </c>
    </row>
    <row r="4207" spans="1:9" hidden="1">
      <c r="A4207" s="67" t="s">
        <v>295</v>
      </c>
      <c r="B4207" s="68">
        <v>2043</v>
      </c>
      <c r="C4207" s="68">
        <v>2023</v>
      </c>
      <c r="D4207" s="68" t="s">
        <v>324</v>
      </c>
      <c r="E4207" s="68" t="s">
        <v>301</v>
      </c>
      <c r="F4207" s="68" t="s">
        <v>40</v>
      </c>
      <c r="G4207" s="68"/>
      <c r="H4207" s="68"/>
      <c r="I4207" s="69">
        <v>3493.4028398424689</v>
      </c>
    </row>
    <row r="4208" spans="1:9" hidden="1">
      <c r="A4208" s="64" t="s">
        <v>295</v>
      </c>
      <c r="B4208" s="65">
        <v>2043</v>
      </c>
      <c r="C4208" s="65">
        <v>2023</v>
      </c>
      <c r="D4208" s="65" t="s">
        <v>324</v>
      </c>
      <c r="E4208" s="65" t="s">
        <v>305</v>
      </c>
      <c r="F4208" s="65" t="s">
        <v>297</v>
      </c>
      <c r="G4208" s="65"/>
      <c r="H4208" s="65"/>
      <c r="I4208" s="66">
        <v>4.0999999999999996</v>
      </c>
    </row>
    <row r="4209" spans="1:9" hidden="1">
      <c r="A4209" s="67" t="s">
        <v>295</v>
      </c>
      <c r="B4209" s="68">
        <v>2043</v>
      </c>
      <c r="C4209" s="68">
        <v>2023</v>
      </c>
      <c r="D4209" s="68" t="s">
        <v>324</v>
      </c>
      <c r="E4209" s="68" t="s">
        <v>305</v>
      </c>
      <c r="F4209" s="68" t="s">
        <v>40</v>
      </c>
      <c r="G4209" s="68"/>
      <c r="H4209" s="68"/>
      <c r="I4209" s="69">
        <v>1246.2</v>
      </c>
    </row>
    <row r="4210" spans="1:9" hidden="1">
      <c r="A4210" s="64" t="s">
        <v>295</v>
      </c>
      <c r="B4210" s="65">
        <v>2043</v>
      </c>
      <c r="C4210" s="65">
        <v>2023</v>
      </c>
      <c r="D4210" s="65" t="s">
        <v>325</v>
      </c>
      <c r="E4210" s="65" t="s">
        <v>294</v>
      </c>
      <c r="F4210" s="65" t="s">
        <v>297</v>
      </c>
      <c r="G4210" s="65"/>
      <c r="H4210" s="65"/>
      <c r="I4210" s="66">
        <v>43541.786713214948</v>
      </c>
    </row>
    <row r="4211" spans="1:9" hidden="1">
      <c r="A4211" s="67" t="s">
        <v>295</v>
      </c>
      <c r="B4211" s="68">
        <v>2043</v>
      </c>
      <c r="C4211" s="68">
        <v>2023</v>
      </c>
      <c r="D4211" s="68" t="s">
        <v>325</v>
      </c>
      <c r="E4211" s="68" t="s">
        <v>294</v>
      </c>
      <c r="F4211" s="68" t="s">
        <v>298</v>
      </c>
      <c r="G4211" s="68"/>
      <c r="H4211" s="68"/>
      <c r="I4211" s="69">
        <v>11252.84802999662</v>
      </c>
    </row>
    <row r="4212" spans="1:9" hidden="1">
      <c r="A4212" s="64" t="s">
        <v>295</v>
      </c>
      <c r="B4212" s="65">
        <v>2043</v>
      </c>
      <c r="C4212" s="65">
        <v>2023</v>
      </c>
      <c r="D4212" s="65" t="s">
        <v>325</v>
      </c>
      <c r="E4212" s="65" t="s">
        <v>294</v>
      </c>
      <c r="F4212" s="65" t="s">
        <v>40</v>
      </c>
      <c r="G4212" s="65"/>
      <c r="H4212" s="65"/>
      <c r="I4212" s="66">
        <v>54794.60297170806</v>
      </c>
    </row>
    <row r="4213" spans="1:9" hidden="1">
      <c r="A4213" s="67" t="s">
        <v>295</v>
      </c>
      <c r="B4213" s="68">
        <v>2043</v>
      </c>
      <c r="C4213" s="68">
        <v>2023</v>
      </c>
      <c r="D4213" s="68" t="s">
        <v>325</v>
      </c>
      <c r="E4213" s="68" t="s">
        <v>301</v>
      </c>
      <c r="F4213" s="68" t="s">
        <v>297</v>
      </c>
      <c r="G4213" s="68"/>
      <c r="H4213" s="68"/>
      <c r="I4213" s="69">
        <v>45687.953281835027</v>
      </c>
    </row>
    <row r="4214" spans="1:9" hidden="1">
      <c r="A4214" s="64" t="s">
        <v>295</v>
      </c>
      <c r="B4214" s="65">
        <v>2043</v>
      </c>
      <c r="C4214" s="65">
        <v>2023</v>
      </c>
      <c r="D4214" s="65" t="s">
        <v>325</v>
      </c>
      <c r="E4214" s="65" t="s">
        <v>301</v>
      </c>
      <c r="F4214" s="65" t="s">
        <v>298</v>
      </c>
      <c r="G4214" s="65"/>
      <c r="H4214" s="65"/>
      <c r="I4214" s="66">
        <v>12805.106278164971</v>
      </c>
    </row>
    <row r="4215" spans="1:9" hidden="1">
      <c r="A4215" s="67" t="s">
        <v>295</v>
      </c>
      <c r="B4215" s="68">
        <v>2043</v>
      </c>
      <c r="C4215" s="68">
        <v>2023</v>
      </c>
      <c r="D4215" s="68" t="s">
        <v>325</v>
      </c>
      <c r="E4215" s="68" t="s">
        <v>301</v>
      </c>
      <c r="F4215" s="68" t="s">
        <v>40</v>
      </c>
      <c r="G4215" s="68"/>
      <c r="H4215" s="68"/>
      <c r="I4215" s="69">
        <v>58493.171549999999</v>
      </c>
    </row>
    <row r="4216" spans="1:9" hidden="1">
      <c r="A4216" s="64" t="s">
        <v>295</v>
      </c>
      <c r="B4216" s="65">
        <v>2043</v>
      </c>
      <c r="C4216" s="65">
        <v>2023</v>
      </c>
      <c r="D4216" s="65" t="s">
        <v>325</v>
      </c>
      <c r="E4216" s="65" t="s">
        <v>305</v>
      </c>
      <c r="F4216" s="65" t="s">
        <v>297</v>
      </c>
      <c r="G4216" s="65"/>
      <c r="H4216" s="65"/>
      <c r="I4216" s="66">
        <v>431.3</v>
      </c>
    </row>
    <row r="4217" spans="1:9" hidden="1">
      <c r="A4217" s="67" t="s">
        <v>295</v>
      </c>
      <c r="B4217" s="68">
        <v>2043</v>
      </c>
      <c r="C4217" s="68">
        <v>2023</v>
      </c>
      <c r="D4217" s="68" t="s">
        <v>325</v>
      </c>
      <c r="E4217" s="68" t="s">
        <v>305</v>
      </c>
      <c r="F4217" s="68" t="s">
        <v>298</v>
      </c>
      <c r="G4217" s="68"/>
      <c r="H4217" s="68"/>
      <c r="I4217" s="69">
        <v>69.900000000000006</v>
      </c>
    </row>
    <row r="4218" spans="1:9" hidden="1">
      <c r="A4218" s="64" t="s">
        <v>295</v>
      </c>
      <c r="B4218" s="65">
        <v>2043</v>
      </c>
      <c r="C4218" s="65">
        <v>2023</v>
      </c>
      <c r="D4218" s="65" t="s">
        <v>325</v>
      </c>
      <c r="E4218" s="65" t="s">
        <v>305</v>
      </c>
      <c r="F4218" s="65" t="s">
        <v>40</v>
      </c>
      <c r="G4218" s="65"/>
      <c r="H4218" s="65"/>
      <c r="I4218" s="66">
        <v>18677</v>
      </c>
    </row>
    <row r="4219" spans="1:9" hidden="1">
      <c r="A4219" s="67" t="s">
        <v>295</v>
      </c>
      <c r="B4219" s="68">
        <v>2043</v>
      </c>
      <c r="C4219" s="68">
        <v>2023</v>
      </c>
      <c r="D4219" s="68" t="s">
        <v>326</v>
      </c>
      <c r="E4219" s="68" t="s">
        <v>294</v>
      </c>
      <c r="F4219" s="68" t="s">
        <v>297</v>
      </c>
      <c r="G4219" s="68"/>
      <c r="H4219" s="68"/>
      <c r="I4219" s="69">
        <v>0</v>
      </c>
    </row>
    <row r="4220" spans="1:9" hidden="1">
      <c r="A4220" s="64" t="s">
        <v>295</v>
      </c>
      <c r="B4220" s="65">
        <v>2043</v>
      </c>
      <c r="C4220" s="65">
        <v>2023</v>
      </c>
      <c r="D4220" s="65" t="s">
        <v>326</v>
      </c>
      <c r="E4220" s="65" t="s">
        <v>294</v>
      </c>
      <c r="F4220" s="65" t="s">
        <v>298</v>
      </c>
      <c r="G4220" s="65"/>
      <c r="H4220" s="65"/>
      <c r="I4220" s="66">
        <v>0</v>
      </c>
    </row>
    <row r="4221" spans="1:9" hidden="1">
      <c r="A4221" s="67" t="s">
        <v>295</v>
      </c>
      <c r="B4221" s="68">
        <v>2043</v>
      </c>
      <c r="C4221" s="68">
        <v>2023</v>
      </c>
      <c r="D4221" s="68" t="s">
        <v>326</v>
      </c>
      <c r="E4221" s="68" t="s">
        <v>294</v>
      </c>
      <c r="F4221" s="68" t="s">
        <v>40</v>
      </c>
      <c r="G4221" s="68"/>
      <c r="H4221" s="68"/>
      <c r="I4221" s="69">
        <v>0</v>
      </c>
    </row>
    <row r="4222" spans="1:9" hidden="1">
      <c r="A4222" s="64" t="s">
        <v>295</v>
      </c>
      <c r="B4222" s="65">
        <v>2043</v>
      </c>
      <c r="C4222" s="65">
        <v>2023</v>
      </c>
      <c r="D4222" s="65" t="s">
        <v>326</v>
      </c>
      <c r="E4222" s="65" t="s">
        <v>301</v>
      </c>
      <c r="F4222" s="65" t="s">
        <v>297</v>
      </c>
      <c r="G4222" s="65"/>
      <c r="H4222" s="65"/>
      <c r="I4222" s="66">
        <v>0</v>
      </c>
    </row>
    <row r="4223" spans="1:9" hidden="1">
      <c r="A4223" s="67" t="s">
        <v>295</v>
      </c>
      <c r="B4223" s="68">
        <v>2043</v>
      </c>
      <c r="C4223" s="68">
        <v>2023</v>
      </c>
      <c r="D4223" s="68" t="s">
        <v>326</v>
      </c>
      <c r="E4223" s="68" t="s">
        <v>301</v>
      </c>
      <c r="F4223" s="68" t="s">
        <v>298</v>
      </c>
      <c r="G4223" s="68"/>
      <c r="H4223" s="68"/>
      <c r="I4223" s="69">
        <v>0</v>
      </c>
    </row>
    <row r="4224" spans="1:9" hidden="1">
      <c r="A4224" s="64" t="s">
        <v>295</v>
      </c>
      <c r="B4224" s="65">
        <v>2043</v>
      </c>
      <c r="C4224" s="65">
        <v>2023</v>
      </c>
      <c r="D4224" s="65" t="s">
        <v>326</v>
      </c>
      <c r="E4224" s="65" t="s">
        <v>301</v>
      </c>
      <c r="F4224" s="65" t="s">
        <v>40</v>
      </c>
      <c r="G4224" s="65"/>
      <c r="H4224" s="65"/>
      <c r="I4224" s="66">
        <v>0</v>
      </c>
    </row>
    <row r="4225" spans="1:9" hidden="1">
      <c r="A4225" s="67" t="s">
        <v>295</v>
      </c>
      <c r="B4225" s="68">
        <v>2043</v>
      </c>
      <c r="C4225" s="68">
        <v>2023</v>
      </c>
      <c r="D4225" s="68" t="s">
        <v>304</v>
      </c>
      <c r="E4225" s="68" t="s">
        <v>294</v>
      </c>
      <c r="F4225" s="68" t="s">
        <v>297</v>
      </c>
      <c r="G4225" s="68"/>
      <c r="H4225" s="68"/>
      <c r="I4225" s="69">
        <v>44594.435054082722</v>
      </c>
    </row>
    <row r="4226" spans="1:9" hidden="1">
      <c r="A4226" s="64" t="s">
        <v>295</v>
      </c>
      <c r="B4226" s="65">
        <v>2043</v>
      </c>
      <c r="C4226" s="65">
        <v>2023</v>
      </c>
      <c r="D4226" s="65" t="s">
        <v>304</v>
      </c>
      <c r="E4226" s="65" t="s">
        <v>294</v>
      </c>
      <c r="F4226" s="65" t="s">
        <v>298</v>
      </c>
      <c r="G4226" s="65"/>
      <c r="H4226" s="65"/>
      <c r="I4226" s="66">
        <v>168491.79055005161</v>
      </c>
    </row>
    <row r="4227" spans="1:9" hidden="1">
      <c r="A4227" s="67" t="s">
        <v>295</v>
      </c>
      <c r="B4227" s="68">
        <v>2043</v>
      </c>
      <c r="C4227" s="68">
        <v>2023</v>
      </c>
      <c r="D4227" s="68" t="s">
        <v>304</v>
      </c>
      <c r="E4227" s="68" t="s">
        <v>294</v>
      </c>
      <c r="F4227" s="68" t="s">
        <v>40</v>
      </c>
      <c r="G4227" s="68"/>
      <c r="H4227" s="68"/>
      <c r="I4227" s="69">
        <v>212839.60029343801</v>
      </c>
    </row>
    <row r="4228" spans="1:9" hidden="1">
      <c r="A4228" s="64" t="s">
        <v>295</v>
      </c>
      <c r="B4228" s="65">
        <v>2043</v>
      </c>
      <c r="C4228" s="65">
        <v>2023</v>
      </c>
      <c r="D4228" s="65" t="s">
        <v>304</v>
      </c>
      <c r="E4228" s="65" t="s">
        <v>301</v>
      </c>
      <c r="F4228" s="65" t="s">
        <v>297</v>
      </c>
      <c r="G4228" s="65"/>
      <c r="H4228" s="65"/>
      <c r="I4228" s="66">
        <v>47927.453005449999</v>
      </c>
    </row>
    <row r="4229" spans="1:9" hidden="1">
      <c r="A4229" s="67" t="s">
        <v>295</v>
      </c>
      <c r="B4229" s="68">
        <v>2043</v>
      </c>
      <c r="C4229" s="68">
        <v>2023</v>
      </c>
      <c r="D4229" s="68" t="s">
        <v>304</v>
      </c>
      <c r="E4229" s="68" t="s">
        <v>301</v>
      </c>
      <c r="F4229" s="68" t="s">
        <v>298</v>
      </c>
      <c r="G4229" s="68"/>
      <c r="H4229" s="68"/>
      <c r="I4229" s="69">
        <v>178283.56962395</v>
      </c>
    </row>
    <row r="4230" spans="1:9" hidden="1">
      <c r="A4230" s="64" t="s">
        <v>295</v>
      </c>
      <c r="B4230" s="65">
        <v>2043</v>
      </c>
      <c r="C4230" s="65">
        <v>2023</v>
      </c>
      <c r="D4230" s="65" t="s">
        <v>304</v>
      </c>
      <c r="E4230" s="65" t="s">
        <v>301</v>
      </c>
      <c r="F4230" s="65" t="s">
        <v>40</v>
      </c>
      <c r="G4230" s="65"/>
      <c r="H4230" s="65"/>
      <c r="I4230" s="66">
        <v>225951.74698124331</v>
      </c>
    </row>
    <row r="4231" spans="1:9" hidden="1">
      <c r="A4231" s="67" t="s">
        <v>295</v>
      </c>
      <c r="B4231" s="68">
        <v>2043</v>
      </c>
      <c r="C4231" s="68">
        <v>2023</v>
      </c>
      <c r="D4231" s="68" t="s">
        <v>304</v>
      </c>
      <c r="E4231" s="68" t="s">
        <v>305</v>
      </c>
      <c r="F4231" s="68" t="s">
        <v>297</v>
      </c>
      <c r="G4231" s="68"/>
      <c r="H4231" s="68"/>
      <c r="I4231" s="69">
        <v>1203.4127800000001</v>
      </c>
    </row>
    <row r="4232" spans="1:9" hidden="1">
      <c r="A4232" s="64" t="s">
        <v>295</v>
      </c>
      <c r="B4232" s="65">
        <v>2043</v>
      </c>
      <c r="C4232" s="65">
        <v>2023</v>
      </c>
      <c r="D4232" s="65" t="s">
        <v>304</v>
      </c>
      <c r="E4232" s="65" t="s">
        <v>305</v>
      </c>
      <c r="F4232" s="65" t="s">
        <v>298</v>
      </c>
      <c r="G4232" s="65"/>
      <c r="H4232" s="65"/>
      <c r="I4232" s="66">
        <v>764.56</v>
      </c>
    </row>
    <row r="4233" spans="1:9" hidden="1">
      <c r="A4233" s="67" t="s">
        <v>295</v>
      </c>
      <c r="B4233" s="68">
        <v>2043</v>
      </c>
      <c r="C4233" s="68">
        <v>2023</v>
      </c>
      <c r="D4233" s="68" t="s">
        <v>304</v>
      </c>
      <c r="E4233" s="68" t="s">
        <v>305</v>
      </c>
      <c r="F4233" s="68" t="s">
        <v>40</v>
      </c>
      <c r="G4233" s="68"/>
      <c r="H4233" s="68"/>
      <c r="I4233" s="69">
        <v>17424.932779999999</v>
      </c>
    </row>
    <row r="4234" spans="1:9" hidden="1">
      <c r="A4234" s="64" t="s">
        <v>295</v>
      </c>
      <c r="B4234" s="65">
        <v>2043</v>
      </c>
      <c r="C4234" s="65">
        <v>2023</v>
      </c>
      <c r="D4234" s="65" t="s">
        <v>306</v>
      </c>
      <c r="E4234" s="65" t="s">
        <v>294</v>
      </c>
      <c r="F4234" s="65" t="s">
        <v>297</v>
      </c>
      <c r="G4234" s="65"/>
      <c r="H4234" s="65"/>
      <c r="I4234" s="66">
        <v>348120.86647824652</v>
      </c>
    </row>
    <row r="4235" spans="1:9" hidden="1">
      <c r="A4235" s="67" t="s">
        <v>295</v>
      </c>
      <c r="B4235" s="68">
        <v>2043</v>
      </c>
      <c r="C4235" s="68">
        <v>2023</v>
      </c>
      <c r="D4235" s="68" t="s">
        <v>306</v>
      </c>
      <c r="E4235" s="68" t="s">
        <v>294</v>
      </c>
      <c r="F4235" s="68" t="s">
        <v>40</v>
      </c>
      <c r="G4235" s="68"/>
      <c r="H4235" s="68"/>
      <c r="I4235" s="69">
        <v>347952.18819684902</v>
      </c>
    </row>
    <row r="4236" spans="1:9" hidden="1">
      <c r="A4236" s="64" t="s">
        <v>295</v>
      </c>
      <c r="B4236" s="65">
        <v>2043</v>
      </c>
      <c r="C4236" s="65">
        <v>2023</v>
      </c>
      <c r="D4236" s="65" t="s">
        <v>306</v>
      </c>
      <c r="E4236" s="65" t="s">
        <v>301</v>
      </c>
      <c r="F4236" s="65" t="s">
        <v>297</v>
      </c>
      <c r="G4236" s="65"/>
      <c r="H4236" s="65"/>
      <c r="I4236" s="66">
        <v>365919.24709511671</v>
      </c>
    </row>
    <row r="4237" spans="1:9" hidden="1">
      <c r="A4237" s="67" t="s">
        <v>295</v>
      </c>
      <c r="B4237" s="68">
        <v>2043</v>
      </c>
      <c r="C4237" s="68">
        <v>2023</v>
      </c>
      <c r="D4237" s="68" t="s">
        <v>306</v>
      </c>
      <c r="E4237" s="68" t="s">
        <v>301</v>
      </c>
      <c r="F4237" s="68" t="s">
        <v>40</v>
      </c>
      <c r="G4237" s="68"/>
      <c r="H4237" s="68"/>
      <c r="I4237" s="69">
        <v>365919.24709511671</v>
      </c>
    </row>
    <row r="4238" spans="1:9" hidden="1">
      <c r="A4238" s="64" t="s">
        <v>295</v>
      </c>
      <c r="B4238" s="65">
        <v>2043</v>
      </c>
      <c r="C4238" s="65">
        <v>2023</v>
      </c>
      <c r="D4238" s="65" t="s">
        <v>306</v>
      </c>
      <c r="E4238" s="65" t="s">
        <v>305</v>
      </c>
      <c r="F4238" s="65" t="s">
        <v>297</v>
      </c>
      <c r="G4238" s="65"/>
      <c r="H4238" s="65"/>
      <c r="I4238" s="66">
        <v>2076.86121</v>
      </c>
    </row>
    <row r="4239" spans="1:9" hidden="1">
      <c r="A4239" s="67" t="s">
        <v>295</v>
      </c>
      <c r="B4239" s="68">
        <v>2043</v>
      </c>
      <c r="C4239" s="68">
        <v>2023</v>
      </c>
      <c r="D4239" s="68" t="s">
        <v>306</v>
      </c>
      <c r="E4239" s="68" t="s">
        <v>305</v>
      </c>
      <c r="F4239" s="68" t="s">
        <v>40</v>
      </c>
      <c r="G4239" s="68"/>
      <c r="H4239" s="68"/>
      <c r="I4239" s="69">
        <v>37696.521210000014</v>
      </c>
    </row>
    <row r="4240" spans="1:9" hidden="1">
      <c r="A4240" s="64" t="s">
        <v>295</v>
      </c>
      <c r="B4240" s="65">
        <v>2043</v>
      </c>
      <c r="C4240" s="65">
        <v>2023</v>
      </c>
      <c r="D4240" s="65" t="s">
        <v>307</v>
      </c>
      <c r="E4240" s="65" t="s">
        <v>294</v>
      </c>
      <c r="F4240" s="65" t="s">
        <v>40</v>
      </c>
      <c r="G4240" s="65"/>
      <c r="H4240" s="65"/>
      <c r="I4240" s="66">
        <v>-246139.4108184294</v>
      </c>
    </row>
    <row r="4241" spans="1:9" hidden="1">
      <c r="A4241" s="67" t="s">
        <v>295</v>
      </c>
      <c r="B4241" s="68">
        <v>2043</v>
      </c>
      <c r="C4241" s="68">
        <v>2023</v>
      </c>
      <c r="D4241" s="68" t="s">
        <v>307</v>
      </c>
      <c r="E4241" s="68" t="s">
        <v>301</v>
      </c>
      <c r="F4241" s="68" t="s">
        <v>40</v>
      </c>
      <c r="G4241" s="68"/>
      <c r="H4241" s="68"/>
      <c r="I4241" s="69">
        <v>-213237.37842487209</v>
      </c>
    </row>
    <row r="4242" spans="1:9" hidden="1">
      <c r="A4242" s="64" t="s">
        <v>295</v>
      </c>
      <c r="B4242" s="65">
        <v>2043</v>
      </c>
      <c r="C4242" s="65">
        <v>2023</v>
      </c>
      <c r="D4242" s="65" t="s">
        <v>307</v>
      </c>
      <c r="E4242" s="65" t="s">
        <v>305</v>
      </c>
      <c r="F4242" s="65" t="s">
        <v>40</v>
      </c>
      <c r="G4242" s="65"/>
      <c r="H4242" s="65"/>
      <c r="I4242" s="66">
        <v>-11190.29212</v>
      </c>
    </row>
    <row r="4243" spans="1:9" hidden="1">
      <c r="A4243" s="67" t="s">
        <v>295</v>
      </c>
      <c r="B4243" s="68">
        <v>2043</v>
      </c>
      <c r="C4243" s="68">
        <v>2023</v>
      </c>
      <c r="D4243" s="68" t="s">
        <v>327</v>
      </c>
      <c r="E4243" s="68" t="s">
        <v>294</v>
      </c>
      <c r="F4243" s="68" t="s">
        <v>40</v>
      </c>
      <c r="G4243" s="68"/>
      <c r="H4243" s="68"/>
      <c r="I4243" s="69">
        <v>-287940.56800687819</v>
      </c>
    </row>
    <row r="4244" spans="1:9" hidden="1">
      <c r="A4244" s="64" t="s">
        <v>295</v>
      </c>
      <c r="B4244" s="65">
        <v>2043</v>
      </c>
      <c r="C4244" s="65">
        <v>2023</v>
      </c>
      <c r="D4244" s="65" t="s">
        <v>327</v>
      </c>
      <c r="E4244" s="65" t="s">
        <v>301</v>
      </c>
      <c r="F4244" s="65" t="s">
        <v>40</v>
      </c>
      <c r="G4244" s="65"/>
      <c r="H4244" s="65"/>
      <c r="I4244" s="66">
        <v>-267303.67282116698</v>
      </c>
    </row>
    <row r="4245" spans="1:9" hidden="1">
      <c r="A4245" s="67" t="s">
        <v>295</v>
      </c>
      <c r="B4245" s="68">
        <v>2043</v>
      </c>
      <c r="C4245" s="68">
        <v>2023</v>
      </c>
      <c r="D4245" s="68" t="s">
        <v>327</v>
      </c>
      <c r="E4245" s="68" t="s">
        <v>305</v>
      </c>
      <c r="F4245" s="68" t="s">
        <v>40</v>
      </c>
      <c r="G4245" s="68"/>
      <c r="H4245" s="68"/>
      <c r="I4245" s="69">
        <v>-16643.24163</v>
      </c>
    </row>
    <row r="4246" spans="1:9" hidden="1">
      <c r="A4246" s="64" t="s">
        <v>295</v>
      </c>
      <c r="B4246" s="65">
        <v>2043</v>
      </c>
      <c r="C4246" s="65">
        <v>2023</v>
      </c>
      <c r="D4246" s="65" t="s">
        <v>328</v>
      </c>
      <c r="E4246" s="65" t="s">
        <v>294</v>
      </c>
      <c r="F4246" s="65" t="s">
        <v>40</v>
      </c>
      <c r="G4246" s="65"/>
      <c r="H4246" s="65"/>
      <c r="I4246" s="66">
        <v>23460.845800689342</v>
      </c>
    </row>
    <row r="4247" spans="1:9" hidden="1">
      <c r="A4247" s="67" t="s">
        <v>295</v>
      </c>
      <c r="B4247" s="68">
        <v>2043</v>
      </c>
      <c r="C4247" s="68">
        <v>2023</v>
      </c>
      <c r="D4247" s="68" t="s">
        <v>328</v>
      </c>
      <c r="E4247" s="68" t="s">
        <v>301</v>
      </c>
      <c r="F4247" s="68" t="s">
        <v>40</v>
      </c>
      <c r="G4247" s="68"/>
      <c r="H4247" s="68"/>
      <c r="I4247" s="69">
        <v>31520.286279077649</v>
      </c>
    </row>
    <row r="4248" spans="1:9" hidden="1">
      <c r="A4248" s="64" t="s">
        <v>295</v>
      </c>
      <c r="B4248" s="65">
        <v>2043</v>
      </c>
      <c r="C4248" s="65">
        <v>2023</v>
      </c>
      <c r="D4248" s="65" t="s">
        <v>328</v>
      </c>
      <c r="E4248" s="65" t="s">
        <v>305</v>
      </c>
      <c r="F4248" s="65" t="s">
        <v>40</v>
      </c>
      <c r="G4248" s="65"/>
      <c r="H4248" s="65"/>
      <c r="I4248" s="66">
        <v>-2188.0760300000002</v>
      </c>
    </row>
    <row r="4249" spans="1:9" hidden="1">
      <c r="A4249" s="67" t="s">
        <v>295</v>
      </c>
      <c r="B4249" s="68">
        <v>2043</v>
      </c>
      <c r="C4249" s="68">
        <v>2023</v>
      </c>
      <c r="D4249" s="68" t="s">
        <v>329</v>
      </c>
      <c r="E4249" s="68" t="s">
        <v>294</v>
      </c>
      <c r="F4249" s="68" t="s">
        <v>40</v>
      </c>
      <c r="G4249" s="68"/>
      <c r="H4249" s="68"/>
      <c r="I4249" s="69">
        <v>11379.05352374418</v>
      </c>
    </row>
    <row r="4250" spans="1:9" hidden="1">
      <c r="A4250" s="64" t="s">
        <v>295</v>
      </c>
      <c r="B4250" s="65">
        <v>2043</v>
      </c>
      <c r="C4250" s="65">
        <v>2023</v>
      </c>
      <c r="D4250" s="65" t="s">
        <v>329</v>
      </c>
      <c r="E4250" s="65" t="s">
        <v>301</v>
      </c>
      <c r="F4250" s="65" t="s">
        <v>40</v>
      </c>
      <c r="G4250" s="65"/>
      <c r="H4250" s="65"/>
      <c r="I4250" s="66">
        <v>12229.478858640919</v>
      </c>
    </row>
    <row r="4251" spans="1:9" hidden="1">
      <c r="A4251" s="67" t="s">
        <v>295</v>
      </c>
      <c r="B4251" s="68">
        <v>2043</v>
      </c>
      <c r="C4251" s="68">
        <v>2023</v>
      </c>
      <c r="D4251" s="68" t="s">
        <v>329</v>
      </c>
      <c r="E4251" s="68" t="s">
        <v>305</v>
      </c>
      <c r="F4251" s="68" t="s">
        <v>40</v>
      </c>
      <c r="G4251" s="68"/>
      <c r="H4251" s="68"/>
      <c r="I4251" s="69">
        <v>5012.7526499999994</v>
      </c>
    </row>
    <row r="4252" spans="1:9" hidden="1">
      <c r="A4252" s="64" t="s">
        <v>295</v>
      </c>
      <c r="B4252" s="65">
        <v>2043</v>
      </c>
      <c r="C4252" s="65">
        <v>2023</v>
      </c>
      <c r="D4252" s="65" t="s">
        <v>330</v>
      </c>
      <c r="E4252" s="65" t="s">
        <v>294</v>
      </c>
      <c r="F4252" s="65" t="s">
        <v>40</v>
      </c>
      <c r="G4252" s="65"/>
      <c r="H4252" s="65"/>
      <c r="I4252" s="66">
        <v>11692.89145511204</v>
      </c>
    </row>
    <row r="4253" spans="1:9" hidden="1">
      <c r="A4253" s="67" t="s">
        <v>295</v>
      </c>
      <c r="B4253" s="68">
        <v>2043</v>
      </c>
      <c r="C4253" s="68">
        <v>2023</v>
      </c>
      <c r="D4253" s="68" t="s">
        <v>330</v>
      </c>
      <c r="E4253" s="68" t="s">
        <v>301</v>
      </c>
      <c r="F4253" s="68" t="s">
        <v>40</v>
      </c>
      <c r="G4253" s="68"/>
      <c r="H4253" s="68"/>
      <c r="I4253" s="69">
        <v>12860.063425777451</v>
      </c>
    </row>
    <row r="4254" spans="1:9" hidden="1">
      <c r="A4254" s="64" t="s">
        <v>295</v>
      </c>
      <c r="B4254" s="65">
        <v>2043</v>
      </c>
      <c r="C4254" s="65">
        <v>2023</v>
      </c>
      <c r="D4254" s="65" t="s">
        <v>330</v>
      </c>
      <c r="E4254" s="65" t="s">
        <v>305</v>
      </c>
      <c r="F4254" s="65" t="s">
        <v>40</v>
      </c>
      <c r="G4254" s="65"/>
      <c r="H4254" s="65"/>
      <c r="I4254" s="66">
        <v>764.64648</v>
      </c>
    </row>
    <row r="4255" spans="1:9" hidden="1">
      <c r="A4255" s="67" t="s">
        <v>295</v>
      </c>
      <c r="B4255" s="68">
        <v>2043</v>
      </c>
      <c r="C4255" s="68">
        <v>2023</v>
      </c>
      <c r="D4255" s="68" t="s">
        <v>331</v>
      </c>
      <c r="E4255" s="68" t="s">
        <v>294</v>
      </c>
      <c r="F4255" s="68" t="s">
        <v>40</v>
      </c>
      <c r="G4255" s="68"/>
      <c r="H4255" s="68"/>
      <c r="I4255" s="69">
        <v>29097.003000573299</v>
      </c>
    </row>
    <row r="4256" spans="1:9" hidden="1">
      <c r="A4256" s="64" t="s">
        <v>295</v>
      </c>
      <c r="B4256" s="65">
        <v>2043</v>
      </c>
      <c r="C4256" s="65">
        <v>2023</v>
      </c>
      <c r="D4256" s="65" t="s">
        <v>331</v>
      </c>
      <c r="E4256" s="65" t="s">
        <v>301</v>
      </c>
      <c r="F4256" s="65" t="s">
        <v>40</v>
      </c>
      <c r="G4256" s="65"/>
      <c r="H4256" s="65"/>
      <c r="I4256" s="66">
        <v>29435.0856822237</v>
      </c>
    </row>
    <row r="4257" spans="1:9" hidden="1">
      <c r="A4257" s="67" t="s">
        <v>295</v>
      </c>
      <c r="B4257" s="68">
        <v>2043</v>
      </c>
      <c r="C4257" s="68">
        <v>2023</v>
      </c>
      <c r="D4257" s="68" t="s">
        <v>331</v>
      </c>
      <c r="E4257" s="68" t="s">
        <v>305</v>
      </c>
      <c r="F4257" s="68" t="s">
        <v>40</v>
      </c>
      <c r="G4257" s="68"/>
      <c r="H4257" s="68"/>
      <c r="I4257" s="69">
        <v>3201.7291300000002</v>
      </c>
    </row>
    <row r="4258" spans="1:9" hidden="1">
      <c r="A4258" s="64" t="s">
        <v>295</v>
      </c>
      <c r="B4258" s="65">
        <v>2043</v>
      </c>
      <c r="C4258" s="65">
        <v>2023</v>
      </c>
      <c r="D4258" s="65" t="s">
        <v>332</v>
      </c>
      <c r="E4258" s="65" t="s">
        <v>294</v>
      </c>
      <c r="F4258" s="65" t="s">
        <v>40</v>
      </c>
      <c r="G4258" s="65"/>
      <c r="H4258" s="65"/>
      <c r="I4258" s="66">
        <v>492.16034999999988</v>
      </c>
    </row>
    <row r="4259" spans="1:9" hidden="1">
      <c r="A4259" s="67" t="s">
        <v>295</v>
      </c>
      <c r="B4259" s="68">
        <v>2043</v>
      </c>
      <c r="C4259" s="68">
        <v>2023</v>
      </c>
      <c r="D4259" s="68" t="s">
        <v>332</v>
      </c>
      <c r="E4259" s="68" t="s">
        <v>301</v>
      </c>
      <c r="F4259" s="68" t="s">
        <v>40</v>
      </c>
      <c r="G4259" s="68"/>
      <c r="H4259" s="68"/>
      <c r="I4259" s="69">
        <v>331.30034999999992</v>
      </c>
    </row>
    <row r="4260" spans="1:9" hidden="1">
      <c r="A4260" s="64" t="s">
        <v>295</v>
      </c>
      <c r="B4260" s="65">
        <v>2043</v>
      </c>
      <c r="C4260" s="65">
        <v>2023</v>
      </c>
      <c r="D4260" s="65" t="s">
        <v>332</v>
      </c>
      <c r="E4260" s="65" t="s">
        <v>305</v>
      </c>
      <c r="F4260" s="65" t="s">
        <v>40</v>
      </c>
      <c r="G4260" s="65"/>
      <c r="H4260" s="65"/>
      <c r="I4260" s="66">
        <v>308.59728000000001</v>
      </c>
    </row>
    <row r="4261" spans="1:9" hidden="1">
      <c r="A4261" s="67" t="s">
        <v>295</v>
      </c>
      <c r="B4261" s="68">
        <v>2043</v>
      </c>
      <c r="C4261" s="68">
        <v>2023</v>
      </c>
      <c r="D4261" s="68" t="s">
        <v>333</v>
      </c>
      <c r="E4261" s="68" t="s">
        <v>294</v>
      </c>
      <c r="F4261" s="68" t="s">
        <v>40</v>
      </c>
      <c r="G4261" s="68"/>
      <c r="H4261" s="68"/>
      <c r="I4261" s="69">
        <v>-33780.989880077017</v>
      </c>
    </row>
    <row r="4262" spans="1:9" hidden="1">
      <c r="A4262" s="64" t="s">
        <v>295</v>
      </c>
      <c r="B4262" s="65">
        <v>2043</v>
      </c>
      <c r="C4262" s="65">
        <v>2023</v>
      </c>
      <c r="D4262" s="65" t="s">
        <v>333</v>
      </c>
      <c r="E4262" s="65" t="s">
        <v>301</v>
      </c>
      <c r="F4262" s="65" t="s">
        <v>40</v>
      </c>
      <c r="G4262" s="65"/>
      <c r="H4262" s="65"/>
      <c r="I4262" s="66">
        <v>-32716.134680077019</v>
      </c>
    </row>
    <row r="4263" spans="1:9" hidden="1">
      <c r="A4263" s="67" t="s">
        <v>295</v>
      </c>
      <c r="B4263" s="68">
        <v>2043</v>
      </c>
      <c r="C4263" s="68">
        <v>2023</v>
      </c>
      <c r="D4263" s="68" t="s">
        <v>333</v>
      </c>
      <c r="E4263" s="68" t="s">
        <v>305</v>
      </c>
      <c r="F4263" s="68" t="s">
        <v>40</v>
      </c>
      <c r="G4263" s="68"/>
      <c r="H4263" s="68"/>
      <c r="I4263" s="69">
        <v>-1646.76</v>
      </c>
    </row>
    <row r="4264" spans="1:9" hidden="1">
      <c r="A4264" s="64" t="s">
        <v>295</v>
      </c>
      <c r="B4264" s="65">
        <v>2043</v>
      </c>
      <c r="C4264" s="65">
        <v>2023</v>
      </c>
      <c r="D4264" s="65" t="s">
        <v>334</v>
      </c>
      <c r="E4264" s="65" t="s">
        <v>294</v>
      </c>
      <c r="F4264" s="65" t="s">
        <v>40</v>
      </c>
      <c r="G4264" s="65"/>
      <c r="H4264" s="65"/>
      <c r="I4264" s="66">
        <v>253.85033000000001</v>
      </c>
    </row>
    <row r="4265" spans="1:9" hidden="1">
      <c r="A4265" s="67" t="s">
        <v>295</v>
      </c>
      <c r="B4265" s="68">
        <v>2043</v>
      </c>
      <c r="C4265" s="68">
        <v>2023</v>
      </c>
      <c r="D4265" s="68" t="s">
        <v>334</v>
      </c>
      <c r="E4265" s="68" t="s">
        <v>301</v>
      </c>
      <c r="F4265" s="68" t="s">
        <v>40</v>
      </c>
      <c r="G4265" s="68"/>
      <c r="H4265" s="68"/>
      <c r="I4265" s="69">
        <v>253.85033000000001</v>
      </c>
    </row>
    <row r="4266" spans="1:9" hidden="1">
      <c r="A4266" s="64" t="s">
        <v>295</v>
      </c>
      <c r="B4266" s="65">
        <v>2043</v>
      </c>
      <c r="C4266" s="65">
        <v>2023</v>
      </c>
      <c r="D4266" s="65" t="s">
        <v>308</v>
      </c>
      <c r="E4266" s="65" t="s">
        <v>294</v>
      </c>
      <c r="F4266" s="65" t="s">
        <v>297</v>
      </c>
      <c r="G4266" s="65"/>
      <c r="H4266" s="65"/>
      <c r="I4266" s="66">
        <v>64631.304312267421</v>
      </c>
    </row>
    <row r="4267" spans="1:9" hidden="1">
      <c r="A4267" s="67" t="s">
        <v>295</v>
      </c>
      <c r="B4267" s="68">
        <v>2043</v>
      </c>
      <c r="C4267" s="68">
        <v>2023</v>
      </c>
      <c r="D4267" s="68" t="s">
        <v>308</v>
      </c>
      <c r="E4267" s="68" t="s">
        <v>294</v>
      </c>
      <c r="F4267" s="68" t="s">
        <v>298</v>
      </c>
      <c r="G4267" s="68"/>
      <c r="H4267" s="68"/>
      <c r="I4267" s="69">
        <v>228.45749825165061</v>
      </c>
    </row>
    <row r="4268" spans="1:9" hidden="1">
      <c r="A4268" s="64" t="s">
        <v>295</v>
      </c>
      <c r="B4268" s="65">
        <v>2043</v>
      </c>
      <c r="C4268" s="65">
        <v>2023</v>
      </c>
      <c r="D4268" s="65" t="s">
        <v>308</v>
      </c>
      <c r="E4268" s="65" t="s">
        <v>294</v>
      </c>
      <c r="F4268" s="65" t="s">
        <v>40</v>
      </c>
      <c r="G4268" s="65"/>
      <c r="H4268" s="65"/>
      <c r="I4268" s="66">
        <v>64963.709510519067</v>
      </c>
    </row>
    <row r="4269" spans="1:9" hidden="1">
      <c r="A4269" s="67" t="s">
        <v>295</v>
      </c>
      <c r="B4269" s="68">
        <v>2043</v>
      </c>
      <c r="C4269" s="68">
        <v>2023</v>
      </c>
      <c r="D4269" s="68" t="s">
        <v>308</v>
      </c>
      <c r="E4269" s="68" t="s">
        <v>301</v>
      </c>
      <c r="F4269" s="68" t="s">
        <v>297</v>
      </c>
      <c r="G4269" s="68"/>
      <c r="H4269" s="68"/>
      <c r="I4269" s="69">
        <v>65671.638162230927</v>
      </c>
    </row>
    <row r="4270" spans="1:9" hidden="1">
      <c r="A4270" s="64" t="s">
        <v>295</v>
      </c>
      <c r="B4270" s="65">
        <v>2043</v>
      </c>
      <c r="C4270" s="65">
        <v>2023</v>
      </c>
      <c r="D4270" s="65" t="s">
        <v>308</v>
      </c>
      <c r="E4270" s="65" t="s">
        <v>301</v>
      </c>
      <c r="F4270" s="65" t="s">
        <v>298</v>
      </c>
      <c r="G4270" s="65"/>
      <c r="H4270" s="65"/>
      <c r="I4270" s="66">
        <v>228.45749823633619</v>
      </c>
    </row>
    <row r="4271" spans="1:9" hidden="1">
      <c r="A4271" s="67" t="s">
        <v>295</v>
      </c>
      <c r="B4271" s="68">
        <v>2043</v>
      </c>
      <c r="C4271" s="68">
        <v>2023</v>
      </c>
      <c r="D4271" s="68" t="s">
        <v>308</v>
      </c>
      <c r="E4271" s="68" t="s">
        <v>301</v>
      </c>
      <c r="F4271" s="68" t="s">
        <v>40</v>
      </c>
      <c r="G4271" s="68"/>
      <c r="H4271" s="68"/>
      <c r="I4271" s="69">
        <v>65796.925704806708</v>
      </c>
    </row>
    <row r="4272" spans="1:9" hidden="1">
      <c r="A4272" s="64" t="s">
        <v>295</v>
      </c>
      <c r="B4272" s="65">
        <v>2043</v>
      </c>
      <c r="C4272" s="65">
        <v>2023</v>
      </c>
      <c r="D4272" s="65" t="s">
        <v>308</v>
      </c>
      <c r="E4272" s="65" t="s">
        <v>305</v>
      </c>
      <c r="F4272" s="65" t="s">
        <v>297</v>
      </c>
      <c r="G4272" s="65"/>
      <c r="H4272" s="65"/>
      <c r="I4272" s="66">
        <v>1698.95634</v>
      </c>
    </row>
    <row r="4273" spans="1:9" hidden="1">
      <c r="A4273" s="67" t="s">
        <v>295</v>
      </c>
      <c r="B4273" s="68">
        <v>2043</v>
      </c>
      <c r="C4273" s="68">
        <v>2023</v>
      </c>
      <c r="D4273" s="68" t="s">
        <v>308</v>
      </c>
      <c r="E4273" s="68" t="s">
        <v>305</v>
      </c>
      <c r="F4273" s="68" t="s">
        <v>40</v>
      </c>
      <c r="G4273" s="68"/>
      <c r="H4273" s="68"/>
      <c r="I4273" s="69">
        <v>10198.536340000001</v>
      </c>
    </row>
    <row r="4274" spans="1:9" hidden="1">
      <c r="A4274" s="64" t="s">
        <v>295</v>
      </c>
      <c r="B4274" s="65">
        <v>2043</v>
      </c>
      <c r="C4274" s="65">
        <v>2023</v>
      </c>
      <c r="D4274" s="65" t="s">
        <v>310</v>
      </c>
      <c r="E4274" s="65" t="s">
        <v>294</v>
      </c>
      <c r="F4274" s="65" t="s">
        <v>297</v>
      </c>
      <c r="G4274" s="65"/>
      <c r="H4274" s="65"/>
      <c r="I4274" s="66">
        <v>172.76</v>
      </c>
    </row>
    <row r="4275" spans="1:9" hidden="1">
      <c r="A4275" s="67" t="s">
        <v>295</v>
      </c>
      <c r="B4275" s="68">
        <v>2043</v>
      </c>
      <c r="C4275" s="68">
        <v>2023</v>
      </c>
      <c r="D4275" s="68" t="s">
        <v>310</v>
      </c>
      <c r="E4275" s="68" t="s">
        <v>294</v>
      </c>
      <c r="F4275" s="68" t="s">
        <v>40</v>
      </c>
      <c r="G4275" s="68"/>
      <c r="H4275" s="68"/>
      <c r="I4275" s="69">
        <v>124535.1804134721</v>
      </c>
    </row>
    <row r="4276" spans="1:9" hidden="1">
      <c r="A4276" s="64" t="s">
        <v>295</v>
      </c>
      <c r="B4276" s="65">
        <v>2043</v>
      </c>
      <c r="C4276" s="65">
        <v>2023</v>
      </c>
      <c r="D4276" s="65" t="s">
        <v>310</v>
      </c>
      <c r="E4276" s="65" t="s">
        <v>301</v>
      </c>
      <c r="F4276" s="65" t="s">
        <v>297</v>
      </c>
      <c r="G4276" s="65"/>
      <c r="H4276" s="65"/>
      <c r="I4276" s="66">
        <v>172.76</v>
      </c>
    </row>
    <row r="4277" spans="1:9" hidden="1">
      <c r="A4277" s="67" t="s">
        <v>295</v>
      </c>
      <c r="B4277" s="68">
        <v>2043</v>
      </c>
      <c r="C4277" s="68">
        <v>2023</v>
      </c>
      <c r="D4277" s="68" t="s">
        <v>310</v>
      </c>
      <c r="E4277" s="68" t="s">
        <v>301</v>
      </c>
      <c r="F4277" s="68" t="s">
        <v>40</v>
      </c>
      <c r="G4277" s="68"/>
      <c r="H4277" s="68"/>
      <c r="I4277" s="69">
        <v>133149.59125157091</v>
      </c>
    </row>
    <row r="4278" spans="1:9" hidden="1">
      <c r="A4278" s="64" t="s">
        <v>295</v>
      </c>
      <c r="B4278" s="65">
        <v>2043</v>
      </c>
      <c r="C4278" s="65">
        <v>2023</v>
      </c>
      <c r="D4278" s="65" t="s">
        <v>310</v>
      </c>
      <c r="E4278" s="65" t="s">
        <v>305</v>
      </c>
      <c r="F4278" s="65" t="s">
        <v>40</v>
      </c>
      <c r="G4278" s="65"/>
      <c r="H4278" s="65"/>
      <c r="I4278" s="66">
        <v>1313.76493</v>
      </c>
    </row>
    <row r="4279" spans="1:9" hidden="1">
      <c r="A4279" s="67" t="s">
        <v>295</v>
      </c>
      <c r="B4279" s="68">
        <v>2043</v>
      </c>
      <c r="C4279" s="68">
        <v>2023</v>
      </c>
      <c r="D4279" s="68" t="s">
        <v>311</v>
      </c>
      <c r="E4279" s="68" t="s">
        <v>294</v>
      </c>
      <c r="F4279" s="68" t="s">
        <v>297</v>
      </c>
      <c r="G4279" s="68"/>
      <c r="H4279" s="68"/>
      <c r="I4279" s="69">
        <v>851.7</v>
      </c>
    </row>
    <row r="4280" spans="1:9" hidden="1">
      <c r="A4280" s="64" t="s">
        <v>295</v>
      </c>
      <c r="B4280" s="65">
        <v>2043</v>
      </c>
      <c r="C4280" s="65">
        <v>2023</v>
      </c>
      <c r="D4280" s="65" t="s">
        <v>311</v>
      </c>
      <c r="E4280" s="65" t="s">
        <v>294</v>
      </c>
      <c r="F4280" s="65" t="s">
        <v>40</v>
      </c>
      <c r="G4280" s="65"/>
      <c r="H4280" s="65"/>
      <c r="I4280" s="66">
        <v>142168.75280853751</v>
      </c>
    </row>
    <row r="4281" spans="1:9" hidden="1">
      <c r="A4281" s="67" t="s">
        <v>295</v>
      </c>
      <c r="B4281" s="68">
        <v>2043</v>
      </c>
      <c r="C4281" s="68">
        <v>2023</v>
      </c>
      <c r="D4281" s="68" t="s">
        <v>311</v>
      </c>
      <c r="E4281" s="68" t="s">
        <v>301</v>
      </c>
      <c r="F4281" s="68" t="s">
        <v>297</v>
      </c>
      <c r="G4281" s="68"/>
      <c r="H4281" s="68"/>
      <c r="I4281" s="69">
        <v>851.7</v>
      </c>
    </row>
    <row r="4282" spans="1:9" hidden="1">
      <c r="A4282" s="64" t="s">
        <v>295</v>
      </c>
      <c r="B4282" s="65">
        <v>2043</v>
      </c>
      <c r="C4282" s="65">
        <v>2023</v>
      </c>
      <c r="D4282" s="65" t="s">
        <v>311</v>
      </c>
      <c r="E4282" s="65" t="s">
        <v>301</v>
      </c>
      <c r="F4282" s="65" t="s">
        <v>40</v>
      </c>
      <c r="G4282" s="65"/>
      <c r="H4282" s="65"/>
      <c r="I4282" s="66">
        <v>144573.1247429096</v>
      </c>
    </row>
    <row r="4283" spans="1:9" hidden="1">
      <c r="A4283" s="67" t="s">
        <v>295</v>
      </c>
      <c r="B4283" s="68">
        <v>2043</v>
      </c>
      <c r="C4283" s="68">
        <v>2023</v>
      </c>
      <c r="D4283" s="68" t="s">
        <v>311</v>
      </c>
      <c r="E4283" s="68" t="s">
        <v>305</v>
      </c>
      <c r="F4283" s="68" t="s">
        <v>40</v>
      </c>
      <c r="G4283" s="68"/>
      <c r="H4283" s="68"/>
      <c r="I4283" s="69">
        <v>996</v>
      </c>
    </row>
    <row r="4284" spans="1:9" hidden="1">
      <c r="A4284" s="64" t="s">
        <v>295</v>
      </c>
      <c r="B4284" s="65">
        <v>2043</v>
      </c>
      <c r="C4284" s="65">
        <v>2023</v>
      </c>
      <c r="D4284" s="65" t="s">
        <v>312</v>
      </c>
      <c r="E4284" s="65" t="s">
        <v>294</v>
      </c>
      <c r="F4284" s="65" t="s">
        <v>297</v>
      </c>
      <c r="G4284" s="65"/>
      <c r="H4284" s="65"/>
      <c r="I4284" s="66">
        <v>699.57328000000007</v>
      </c>
    </row>
    <row r="4285" spans="1:9" hidden="1">
      <c r="A4285" s="67" t="s">
        <v>295</v>
      </c>
      <c r="B4285" s="68">
        <v>2043</v>
      </c>
      <c r="C4285" s="68">
        <v>2023</v>
      </c>
      <c r="D4285" s="68" t="s">
        <v>312</v>
      </c>
      <c r="E4285" s="68" t="s">
        <v>294</v>
      </c>
      <c r="F4285" s="68" t="s">
        <v>40</v>
      </c>
      <c r="G4285" s="68"/>
      <c r="H4285" s="68"/>
      <c r="I4285" s="69">
        <v>843.46580320193982</v>
      </c>
    </row>
    <row r="4286" spans="1:9" hidden="1">
      <c r="A4286" s="64" t="s">
        <v>295</v>
      </c>
      <c r="B4286" s="65">
        <v>2043</v>
      </c>
      <c r="C4286" s="65">
        <v>2023</v>
      </c>
      <c r="D4286" s="65" t="s">
        <v>312</v>
      </c>
      <c r="E4286" s="65" t="s">
        <v>301</v>
      </c>
      <c r="F4286" s="65" t="s">
        <v>297</v>
      </c>
      <c r="G4286" s="65"/>
      <c r="H4286" s="65"/>
      <c r="I4286" s="66">
        <v>703.07328000000007</v>
      </c>
    </row>
    <row r="4287" spans="1:9" hidden="1">
      <c r="A4287" s="67" t="s">
        <v>295</v>
      </c>
      <c r="B4287" s="68">
        <v>2043</v>
      </c>
      <c r="C4287" s="68">
        <v>2023</v>
      </c>
      <c r="D4287" s="68" t="s">
        <v>312</v>
      </c>
      <c r="E4287" s="68" t="s">
        <v>301</v>
      </c>
      <c r="F4287" s="68" t="s">
        <v>40</v>
      </c>
      <c r="G4287" s="68"/>
      <c r="H4287" s="68"/>
      <c r="I4287" s="69">
        <v>846.97327999999993</v>
      </c>
    </row>
    <row r="4288" spans="1:9" hidden="1">
      <c r="A4288" s="64" t="s">
        <v>295</v>
      </c>
      <c r="B4288" s="65">
        <v>2043</v>
      </c>
      <c r="C4288" s="65">
        <v>2023</v>
      </c>
      <c r="D4288" s="65" t="s">
        <v>313</v>
      </c>
      <c r="E4288" s="65" t="s">
        <v>294</v>
      </c>
      <c r="F4288" s="65" t="s">
        <v>297</v>
      </c>
      <c r="G4288" s="65"/>
      <c r="H4288" s="65"/>
      <c r="I4288" s="66">
        <v>1305060.883340304</v>
      </c>
    </row>
    <row r="4289" spans="1:9" hidden="1">
      <c r="A4289" s="67" t="s">
        <v>295</v>
      </c>
      <c r="B4289" s="68">
        <v>2043</v>
      </c>
      <c r="C4289" s="68">
        <v>2023</v>
      </c>
      <c r="D4289" s="68" t="s">
        <v>313</v>
      </c>
      <c r="E4289" s="68" t="s">
        <v>294</v>
      </c>
      <c r="F4289" s="68" t="s">
        <v>298</v>
      </c>
      <c r="G4289" s="68"/>
      <c r="H4289" s="68"/>
      <c r="I4289" s="69">
        <v>609262.96672795305</v>
      </c>
    </row>
    <row r="4290" spans="1:9" hidden="1">
      <c r="A4290" s="64" t="s">
        <v>295</v>
      </c>
      <c r="B4290" s="65">
        <v>2043</v>
      </c>
      <c r="C4290" s="65">
        <v>2023</v>
      </c>
      <c r="D4290" s="65" t="s">
        <v>313</v>
      </c>
      <c r="E4290" s="65" t="s">
        <v>294</v>
      </c>
      <c r="F4290" s="65" t="s">
        <v>40</v>
      </c>
      <c r="G4290" s="65"/>
      <c r="H4290" s="65"/>
      <c r="I4290" s="66">
        <v>1930978.329885823</v>
      </c>
    </row>
    <row r="4291" spans="1:9" hidden="1">
      <c r="A4291" s="67" t="s">
        <v>295</v>
      </c>
      <c r="B4291" s="68">
        <v>2043</v>
      </c>
      <c r="C4291" s="68">
        <v>2023</v>
      </c>
      <c r="D4291" s="68" t="s">
        <v>313</v>
      </c>
      <c r="E4291" s="68" t="s">
        <v>301</v>
      </c>
      <c r="F4291" s="68" t="s">
        <v>297</v>
      </c>
      <c r="G4291" s="68"/>
      <c r="H4291" s="68"/>
      <c r="I4291" s="69">
        <v>1511980.226778961</v>
      </c>
    </row>
    <row r="4292" spans="1:9" hidden="1">
      <c r="A4292" s="64" t="s">
        <v>295</v>
      </c>
      <c r="B4292" s="65">
        <v>2043</v>
      </c>
      <c r="C4292" s="65">
        <v>2023</v>
      </c>
      <c r="D4292" s="65" t="s">
        <v>313</v>
      </c>
      <c r="E4292" s="65" t="s">
        <v>301</v>
      </c>
      <c r="F4292" s="65" t="s">
        <v>298</v>
      </c>
      <c r="G4292" s="65"/>
      <c r="H4292" s="65"/>
      <c r="I4292" s="66">
        <v>696569.34382088878</v>
      </c>
    </row>
    <row r="4293" spans="1:9" hidden="1">
      <c r="A4293" s="67" t="s">
        <v>295</v>
      </c>
      <c r="B4293" s="68">
        <v>2043</v>
      </c>
      <c r="C4293" s="68">
        <v>2023</v>
      </c>
      <c r="D4293" s="68" t="s">
        <v>313</v>
      </c>
      <c r="E4293" s="68" t="s">
        <v>301</v>
      </c>
      <c r="F4293" s="68" t="s">
        <v>40</v>
      </c>
      <c r="G4293" s="68"/>
      <c r="H4293" s="68"/>
      <c r="I4293" s="69">
        <v>2226858.4072621912</v>
      </c>
    </row>
    <row r="4294" spans="1:9" hidden="1">
      <c r="A4294" s="64" t="s">
        <v>295</v>
      </c>
      <c r="B4294" s="65">
        <v>2043</v>
      </c>
      <c r="C4294" s="65">
        <v>2023</v>
      </c>
      <c r="D4294" s="65" t="s">
        <v>313</v>
      </c>
      <c r="E4294" s="65" t="s">
        <v>305</v>
      </c>
      <c r="F4294" s="65" t="s">
        <v>297</v>
      </c>
      <c r="G4294" s="65"/>
      <c r="H4294" s="65"/>
      <c r="I4294" s="66">
        <v>17409.699960000002</v>
      </c>
    </row>
    <row r="4295" spans="1:9" hidden="1">
      <c r="A4295" s="67" t="s">
        <v>295</v>
      </c>
      <c r="B4295" s="68">
        <v>2043</v>
      </c>
      <c r="C4295" s="68">
        <v>2023</v>
      </c>
      <c r="D4295" s="68" t="s">
        <v>313</v>
      </c>
      <c r="E4295" s="68" t="s">
        <v>305</v>
      </c>
      <c r="F4295" s="68" t="s">
        <v>298</v>
      </c>
      <c r="G4295" s="68"/>
      <c r="H4295" s="68"/>
      <c r="I4295" s="69">
        <v>9530.058500000001</v>
      </c>
    </row>
    <row r="4296" spans="1:9" hidden="1">
      <c r="A4296" s="64" t="s">
        <v>295</v>
      </c>
      <c r="B4296" s="65">
        <v>2043</v>
      </c>
      <c r="C4296" s="65">
        <v>2023</v>
      </c>
      <c r="D4296" s="65" t="s">
        <v>313</v>
      </c>
      <c r="E4296" s="65" t="s">
        <v>305</v>
      </c>
      <c r="F4296" s="65" t="s">
        <v>40</v>
      </c>
      <c r="G4296" s="65"/>
      <c r="H4296" s="65"/>
      <c r="I4296" s="66">
        <v>221822.00646</v>
      </c>
    </row>
    <row r="4297" spans="1:9" hidden="1">
      <c r="A4297" s="67" t="s">
        <v>295</v>
      </c>
      <c r="B4297" s="68">
        <v>2043</v>
      </c>
      <c r="C4297" s="68">
        <v>2023</v>
      </c>
      <c r="D4297" s="68" t="s">
        <v>314</v>
      </c>
      <c r="E4297" s="68" t="s">
        <v>294</v>
      </c>
      <c r="F4297" s="68" t="s">
        <v>297</v>
      </c>
      <c r="G4297" s="68"/>
      <c r="H4297" s="68"/>
      <c r="I4297" s="69">
        <v>1305060.883340304</v>
      </c>
    </row>
    <row r="4298" spans="1:9" hidden="1">
      <c r="A4298" s="64" t="s">
        <v>295</v>
      </c>
      <c r="B4298" s="65">
        <v>2043</v>
      </c>
      <c r="C4298" s="65">
        <v>2023</v>
      </c>
      <c r="D4298" s="65" t="s">
        <v>314</v>
      </c>
      <c r="E4298" s="65" t="s">
        <v>294</v>
      </c>
      <c r="F4298" s="65" t="s">
        <v>298</v>
      </c>
      <c r="G4298" s="65"/>
      <c r="H4298" s="65"/>
      <c r="I4298" s="66">
        <v>609262.96672795305</v>
      </c>
    </row>
    <row r="4299" spans="1:9" hidden="1">
      <c r="A4299" s="67" t="s">
        <v>295</v>
      </c>
      <c r="B4299" s="68">
        <v>2043</v>
      </c>
      <c r="C4299" s="68">
        <v>2023</v>
      </c>
      <c r="D4299" s="68" t="s">
        <v>314</v>
      </c>
      <c r="E4299" s="68" t="s">
        <v>294</v>
      </c>
      <c r="F4299" s="68" t="s">
        <v>40</v>
      </c>
      <c r="G4299" s="68"/>
      <c r="H4299" s="68"/>
      <c r="I4299" s="69">
        <v>1657334.9271873939</v>
      </c>
    </row>
    <row r="4300" spans="1:9" hidden="1">
      <c r="A4300" s="64" t="s">
        <v>295</v>
      </c>
      <c r="B4300" s="65">
        <v>2043</v>
      </c>
      <c r="C4300" s="65">
        <v>2023</v>
      </c>
      <c r="D4300" s="65" t="s">
        <v>314</v>
      </c>
      <c r="E4300" s="65" t="s">
        <v>301</v>
      </c>
      <c r="F4300" s="65" t="s">
        <v>297</v>
      </c>
      <c r="G4300" s="65"/>
      <c r="H4300" s="65"/>
      <c r="I4300" s="66">
        <v>1511980.226778961</v>
      </c>
    </row>
    <row r="4301" spans="1:9" hidden="1">
      <c r="A4301" s="67" t="s">
        <v>295</v>
      </c>
      <c r="B4301" s="68">
        <v>2043</v>
      </c>
      <c r="C4301" s="68">
        <v>2023</v>
      </c>
      <c r="D4301" s="68" t="s">
        <v>314</v>
      </c>
      <c r="E4301" s="68" t="s">
        <v>301</v>
      </c>
      <c r="F4301" s="68" t="s">
        <v>298</v>
      </c>
      <c r="G4301" s="68"/>
      <c r="H4301" s="68"/>
      <c r="I4301" s="69">
        <v>696569.34382088878</v>
      </c>
    </row>
    <row r="4302" spans="1:9" hidden="1">
      <c r="A4302" s="64" t="s">
        <v>295</v>
      </c>
      <c r="B4302" s="65">
        <v>2043</v>
      </c>
      <c r="C4302" s="65">
        <v>2023</v>
      </c>
      <c r="D4302" s="65" t="s">
        <v>314</v>
      </c>
      <c r="E4302" s="65" t="s">
        <v>301</v>
      </c>
      <c r="F4302" s="65" t="s">
        <v>40</v>
      </c>
      <c r="G4302" s="65"/>
      <c r="H4302" s="65"/>
      <c r="I4302" s="66">
        <v>2013617.390937319</v>
      </c>
    </row>
    <row r="4303" spans="1:9" hidden="1">
      <c r="A4303" s="67" t="s">
        <v>295</v>
      </c>
      <c r="B4303" s="68">
        <v>2043</v>
      </c>
      <c r="C4303" s="68">
        <v>2023</v>
      </c>
      <c r="D4303" s="68" t="s">
        <v>314</v>
      </c>
      <c r="E4303" s="68" t="s">
        <v>305</v>
      </c>
      <c r="F4303" s="68" t="s">
        <v>297</v>
      </c>
      <c r="G4303" s="68"/>
      <c r="H4303" s="68"/>
      <c r="I4303" s="69">
        <v>17409.699960000002</v>
      </c>
    </row>
    <row r="4304" spans="1:9" hidden="1">
      <c r="A4304" s="64" t="s">
        <v>295</v>
      </c>
      <c r="B4304" s="65">
        <v>2043</v>
      </c>
      <c r="C4304" s="65">
        <v>2023</v>
      </c>
      <c r="D4304" s="65" t="s">
        <v>314</v>
      </c>
      <c r="E4304" s="65" t="s">
        <v>305</v>
      </c>
      <c r="F4304" s="65" t="s">
        <v>298</v>
      </c>
      <c r="G4304" s="65"/>
      <c r="H4304" s="65"/>
      <c r="I4304" s="66">
        <v>9530.058500000001</v>
      </c>
    </row>
    <row r="4305" spans="1:9" hidden="1">
      <c r="A4305" s="67" t="s">
        <v>295</v>
      </c>
      <c r="B4305" s="68">
        <v>2043</v>
      </c>
      <c r="C4305" s="68">
        <v>2023</v>
      </c>
      <c r="D4305" s="68" t="s">
        <v>314</v>
      </c>
      <c r="E4305" s="68" t="s">
        <v>305</v>
      </c>
      <c r="F4305" s="68" t="s">
        <v>40</v>
      </c>
      <c r="G4305" s="68"/>
      <c r="H4305" s="68"/>
      <c r="I4305" s="69">
        <v>210944.69433999999</v>
      </c>
    </row>
    <row r="4306" spans="1:9" hidden="1">
      <c r="A4306" s="64" t="s">
        <v>295</v>
      </c>
      <c r="B4306" s="65">
        <v>2044</v>
      </c>
      <c r="C4306" s="65">
        <v>2023</v>
      </c>
      <c r="D4306" s="65" t="s">
        <v>296</v>
      </c>
      <c r="E4306" s="65" t="s">
        <v>294</v>
      </c>
      <c r="F4306" s="65" t="s">
        <v>297</v>
      </c>
      <c r="G4306" s="65"/>
      <c r="H4306" s="65"/>
      <c r="I4306" s="66">
        <v>833004.18838821398</v>
      </c>
    </row>
    <row r="4307" spans="1:9" hidden="1">
      <c r="A4307" s="67" t="s">
        <v>295</v>
      </c>
      <c r="B4307" s="68">
        <v>2044</v>
      </c>
      <c r="C4307" s="68">
        <v>2023</v>
      </c>
      <c r="D4307" s="68" t="s">
        <v>296</v>
      </c>
      <c r="E4307" s="68" t="s">
        <v>294</v>
      </c>
      <c r="F4307" s="68" t="s">
        <v>298</v>
      </c>
      <c r="G4307" s="68"/>
      <c r="H4307" s="68"/>
      <c r="I4307" s="69">
        <v>435801.09882719012</v>
      </c>
    </row>
    <row r="4308" spans="1:9" hidden="1">
      <c r="A4308" s="64" t="s">
        <v>295</v>
      </c>
      <c r="B4308" s="65">
        <v>2044</v>
      </c>
      <c r="C4308" s="65">
        <v>2023</v>
      </c>
      <c r="D4308" s="65" t="s">
        <v>296</v>
      </c>
      <c r="E4308" s="65" t="s">
        <v>294</v>
      </c>
      <c r="F4308" s="65" t="s">
        <v>40</v>
      </c>
      <c r="G4308" s="65"/>
      <c r="H4308" s="65"/>
      <c r="I4308" s="66">
        <v>1285722.8157706431</v>
      </c>
    </row>
    <row r="4309" spans="1:9" hidden="1">
      <c r="A4309" s="67" t="s">
        <v>295</v>
      </c>
      <c r="B4309" s="68">
        <v>2044</v>
      </c>
      <c r="C4309" s="68">
        <v>2023</v>
      </c>
      <c r="D4309" s="68" t="s">
        <v>296</v>
      </c>
      <c r="E4309" s="68" t="s">
        <v>301</v>
      </c>
      <c r="F4309" s="68" t="s">
        <v>297</v>
      </c>
      <c r="G4309" s="68"/>
      <c r="H4309" s="68"/>
      <c r="I4309" s="69">
        <v>1018482.845256464</v>
      </c>
    </row>
    <row r="4310" spans="1:9" hidden="1">
      <c r="A4310" s="64" t="s">
        <v>295</v>
      </c>
      <c r="B4310" s="65">
        <v>2044</v>
      </c>
      <c r="C4310" s="65">
        <v>2023</v>
      </c>
      <c r="D4310" s="65" t="s">
        <v>296</v>
      </c>
      <c r="E4310" s="65" t="s">
        <v>301</v>
      </c>
      <c r="F4310" s="65" t="s">
        <v>298</v>
      </c>
      <c r="G4310" s="65"/>
      <c r="H4310" s="65"/>
      <c r="I4310" s="66">
        <v>514234.53692747792</v>
      </c>
    </row>
    <row r="4311" spans="1:9" hidden="1">
      <c r="A4311" s="67" t="s">
        <v>295</v>
      </c>
      <c r="B4311" s="68">
        <v>2044</v>
      </c>
      <c r="C4311" s="68">
        <v>2023</v>
      </c>
      <c r="D4311" s="68" t="s">
        <v>296</v>
      </c>
      <c r="E4311" s="68" t="s">
        <v>301</v>
      </c>
      <c r="F4311" s="68" t="s">
        <v>40</v>
      </c>
      <c r="G4311" s="68"/>
      <c r="H4311" s="68"/>
      <c r="I4311" s="69">
        <v>1551396.526968865</v>
      </c>
    </row>
    <row r="4312" spans="1:9" hidden="1">
      <c r="A4312" s="64" t="s">
        <v>295</v>
      </c>
      <c r="B4312" s="65">
        <v>2044</v>
      </c>
      <c r="C4312" s="65">
        <v>2023</v>
      </c>
      <c r="D4312" s="65" t="s">
        <v>296</v>
      </c>
      <c r="E4312" s="65" t="s">
        <v>305</v>
      </c>
      <c r="F4312" s="65" t="s">
        <v>297</v>
      </c>
      <c r="G4312" s="65"/>
      <c r="H4312" s="65"/>
      <c r="I4312" s="66">
        <v>12432.76296</v>
      </c>
    </row>
    <row r="4313" spans="1:9" hidden="1">
      <c r="A4313" s="67" t="s">
        <v>295</v>
      </c>
      <c r="B4313" s="68">
        <v>2044</v>
      </c>
      <c r="C4313" s="68">
        <v>2023</v>
      </c>
      <c r="D4313" s="68" t="s">
        <v>296</v>
      </c>
      <c r="E4313" s="68" t="s">
        <v>305</v>
      </c>
      <c r="F4313" s="68" t="s">
        <v>298</v>
      </c>
      <c r="G4313" s="68"/>
      <c r="H4313" s="68"/>
      <c r="I4313" s="69">
        <v>8786.5170600000001</v>
      </c>
    </row>
    <row r="4314" spans="1:9" hidden="1">
      <c r="A4314" s="64" t="s">
        <v>295</v>
      </c>
      <c r="B4314" s="65">
        <v>2044</v>
      </c>
      <c r="C4314" s="65">
        <v>2023</v>
      </c>
      <c r="D4314" s="65" t="s">
        <v>296</v>
      </c>
      <c r="E4314" s="65" t="s">
        <v>305</v>
      </c>
      <c r="F4314" s="65" t="s">
        <v>40</v>
      </c>
      <c r="G4314" s="65"/>
      <c r="H4314" s="65"/>
      <c r="I4314" s="66">
        <v>157156.59899999999</v>
      </c>
    </row>
    <row r="4315" spans="1:9" hidden="1">
      <c r="A4315" s="67" t="s">
        <v>295</v>
      </c>
      <c r="B4315" s="68">
        <v>2044</v>
      </c>
      <c r="C4315" s="68">
        <v>2023</v>
      </c>
      <c r="D4315" s="68" t="s">
        <v>309</v>
      </c>
      <c r="E4315" s="68" t="s">
        <v>294</v>
      </c>
      <c r="F4315" s="68" t="s">
        <v>297</v>
      </c>
      <c r="G4315" s="68"/>
      <c r="H4315" s="68"/>
      <c r="I4315" s="69">
        <v>39273.320717006703</v>
      </c>
    </row>
    <row r="4316" spans="1:9" hidden="1">
      <c r="A4316" s="64" t="s">
        <v>295</v>
      </c>
      <c r="B4316" s="65">
        <v>2044</v>
      </c>
      <c r="C4316" s="65">
        <v>2023</v>
      </c>
      <c r="D4316" s="65" t="s">
        <v>309</v>
      </c>
      <c r="E4316" s="65" t="s">
        <v>294</v>
      </c>
      <c r="F4316" s="65" t="s">
        <v>298</v>
      </c>
      <c r="G4316" s="65"/>
      <c r="H4316" s="65"/>
      <c r="I4316" s="66">
        <v>256127.37899791641</v>
      </c>
    </row>
    <row r="4317" spans="1:9" hidden="1">
      <c r="A4317" s="67" t="s">
        <v>295</v>
      </c>
      <c r="B4317" s="68">
        <v>2044</v>
      </c>
      <c r="C4317" s="68">
        <v>2023</v>
      </c>
      <c r="D4317" s="68" t="s">
        <v>309</v>
      </c>
      <c r="E4317" s="68" t="s">
        <v>294</v>
      </c>
      <c r="F4317" s="68" t="s">
        <v>40</v>
      </c>
      <c r="G4317" s="68"/>
      <c r="H4317" s="68"/>
      <c r="I4317" s="69">
        <v>294932.77821908979</v>
      </c>
    </row>
    <row r="4318" spans="1:9" hidden="1">
      <c r="A4318" s="64" t="s">
        <v>295</v>
      </c>
      <c r="B4318" s="65">
        <v>2044</v>
      </c>
      <c r="C4318" s="65">
        <v>2023</v>
      </c>
      <c r="D4318" s="65" t="s">
        <v>309</v>
      </c>
      <c r="E4318" s="65" t="s">
        <v>301</v>
      </c>
      <c r="F4318" s="65" t="s">
        <v>297</v>
      </c>
      <c r="G4318" s="65"/>
      <c r="H4318" s="65"/>
      <c r="I4318" s="66">
        <v>41146.599246351077</v>
      </c>
    </row>
    <row r="4319" spans="1:9" hidden="1">
      <c r="A4319" s="67" t="s">
        <v>295</v>
      </c>
      <c r="B4319" s="68">
        <v>2044</v>
      </c>
      <c r="C4319" s="68">
        <v>2023</v>
      </c>
      <c r="D4319" s="68" t="s">
        <v>309</v>
      </c>
      <c r="E4319" s="68" t="s">
        <v>301</v>
      </c>
      <c r="F4319" s="68" t="s">
        <v>298</v>
      </c>
      <c r="G4319" s="68"/>
      <c r="H4319" s="68"/>
      <c r="I4319" s="69">
        <v>305742.68554177543</v>
      </c>
    </row>
    <row r="4320" spans="1:9" hidden="1">
      <c r="A4320" s="64" t="s">
        <v>295</v>
      </c>
      <c r="B4320" s="65">
        <v>2044</v>
      </c>
      <c r="C4320" s="65">
        <v>2023</v>
      </c>
      <c r="D4320" s="65" t="s">
        <v>309</v>
      </c>
      <c r="E4320" s="65" t="s">
        <v>301</v>
      </c>
      <c r="F4320" s="65" t="s">
        <v>40</v>
      </c>
      <c r="G4320" s="65"/>
      <c r="H4320" s="65"/>
      <c r="I4320" s="66">
        <v>346482.72917210491</v>
      </c>
    </row>
    <row r="4321" spans="1:9" hidden="1">
      <c r="A4321" s="67" t="s">
        <v>295</v>
      </c>
      <c r="B4321" s="68">
        <v>2044</v>
      </c>
      <c r="C4321" s="68">
        <v>2023</v>
      </c>
      <c r="D4321" s="68" t="s">
        <v>309</v>
      </c>
      <c r="E4321" s="68" t="s">
        <v>305</v>
      </c>
      <c r="F4321" s="68" t="s">
        <v>297</v>
      </c>
      <c r="G4321" s="68"/>
      <c r="H4321" s="68"/>
      <c r="I4321" s="69">
        <v>46.774349999999998</v>
      </c>
    </row>
    <row r="4322" spans="1:9" hidden="1">
      <c r="A4322" s="64" t="s">
        <v>295</v>
      </c>
      <c r="B4322" s="65">
        <v>2044</v>
      </c>
      <c r="C4322" s="65">
        <v>2023</v>
      </c>
      <c r="D4322" s="65" t="s">
        <v>309</v>
      </c>
      <c r="E4322" s="65" t="s">
        <v>305</v>
      </c>
      <c r="F4322" s="65" t="s">
        <v>298</v>
      </c>
      <c r="G4322" s="65"/>
      <c r="H4322" s="65"/>
      <c r="I4322" s="66">
        <v>7225.8970600000002</v>
      </c>
    </row>
    <row r="4323" spans="1:9" hidden="1">
      <c r="A4323" s="67" t="s">
        <v>295</v>
      </c>
      <c r="B4323" s="68">
        <v>2044</v>
      </c>
      <c r="C4323" s="68">
        <v>2023</v>
      </c>
      <c r="D4323" s="68" t="s">
        <v>309</v>
      </c>
      <c r="E4323" s="68" t="s">
        <v>305</v>
      </c>
      <c r="F4323" s="68" t="s">
        <v>40</v>
      </c>
      <c r="G4323" s="68"/>
      <c r="H4323" s="68"/>
      <c r="I4323" s="69">
        <v>48246.171410000003</v>
      </c>
    </row>
    <row r="4324" spans="1:9" hidden="1">
      <c r="A4324" s="64" t="s">
        <v>295</v>
      </c>
      <c r="B4324" s="65">
        <v>2044</v>
      </c>
      <c r="C4324" s="65">
        <v>2023</v>
      </c>
      <c r="D4324" s="65" t="s">
        <v>315</v>
      </c>
      <c r="E4324" s="65" t="s">
        <v>294</v>
      </c>
      <c r="F4324" s="65" t="s">
        <v>297</v>
      </c>
      <c r="G4324" s="65"/>
      <c r="H4324" s="65"/>
      <c r="I4324" s="66">
        <v>94210.968947567293</v>
      </c>
    </row>
    <row r="4325" spans="1:9" hidden="1">
      <c r="A4325" s="67" t="s">
        <v>295</v>
      </c>
      <c r="B4325" s="68">
        <v>2044</v>
      </c>
      <c r="C4325" s="68">
        <v>2023</v>
      </c>
      <c r="D4325" s="68" t="s">
        <v>315</v>
      </c>
      <c r="E4325" s="68" t="s">
        <v>294</v>
      </c>
      <c r="F4325" s="68" t="s">
        <v>298</v>
      </c>
      <c r="G4325" s="68"/>
      <c r="H4325" s="68"/>
      <c r="I4325" s="69">
        <v>164630.44714380999</v>
      </c>
    </row>
    <row r="4326" spans="1:9" hidden="1">
      <c r="A4326" s="64" t="s">
        <v>295</v>
      </c>
      <c r="B4326" s="65">
        <v>2044</v>
      </c>
      <c r="C4326" s="65">
        <v>2023</v>
      </c>
      <c r="D4326" s="65" t="s">
        <v>315</v>
      </c>
      <c r="E4326" s="65" t="s">
        <v>294</v>
      </c>
      <c r="F4326" s="65" t="s">
        <v>40</v>
      </c>
      <c r="G4326" s="65"/>
      <c r="H4326" s="65"/>
      <c r="I4326" s="66">
        <v>258337.18342559849</v>
      </c>
    </row>
    <row r="4327" spans="1:9" hidden="1">
      <c r="A4327" s="67" t="s">
        <v>295</v>
      </c>
      <c r="B4327" s="68">
        <v>2044</v>
      </c>
      <c r="C4327" s="68">
        <v>2023</v>
      </c>
      <c r="D4327" s="68" t="s">
        <v>315</v>
      </c>
      <c r="E4327" s="68" t="s">
        <v>301</v>
      </c>
      <c r="F4327" s="68" t="s">
        <v>297</v>
      </c>
      <c r="G4327" s="68"/>
      <c r="H4327" s="68"/>
      <c r="I4327" s="69">
        <v>101126.45009711709</v>
      </c>
    </row>
    <row r="4328" spans="1:9" hidden="1">
      <c r="A4328" s="64" t="s">
        <v>295</v>
      </c>
      <c r="B4328" s="65">
        <v>2044</v>
      </c>
      <c r="C4328" s="65">
        <v>2023</v>
      </c>
      <c r="D4328" s="65" t="s">
        <v>315</v>
      </c>
      <c r="E4328" s="65" t="s">
        <v>301</v>
      </c>
      <c r="F4328" s="65" t="s">
        <v>298</v>
      </c>
      <c r="G4328" s="65"/>
      <c r="H4328" s="65"/>
      <c r="I4328" s="66">
        <v>191490.5730059178</v>
      </c>
    </row>
    <row r="4329" spans="1:9" hidden="1">
      <c r="A4329" s="67" t="s">
        <v>295</v>
      </c>
      <c r="B4329" s="68">
        <v>2044</v>
      </c>
      <c r="C4329" s="68">
        <v>2023</v>
      </c>
      <c r="D4329" s="68" t="s">
        <v>315</v>
      </c>
      <c r="E4329" s="68" t="s">
        <v>301</v>
      </c>
      <c r="F4329" s="68" t="s">
        <v>40</v>
      </c>
      <c r="G4329" s="68"/>
      <c r="H4329" s="68"/>
      <c r="I4329" s="69">
        <v>292121.55347648048</v>
      </c>
    </row>
    <row r="4330" spans="1:9" hidden="1">
      <c r="A4330" s="64" t="s">
        <v>295</v>
      </c>
      <c r="B4330" s="65">
        <v>2044</v>
      </c>
      <c r="C4330" s="65">
        <v>2023</v>
      </c>
      <c r="D4330" s="65" t="s">
        <v>315</v>
      </c>
      <c r="E4330" s="65" t="s">
        <v>305</v>
      </c>
      <c r="F4330" s="65" t="s">
        <v>297</v>
      </c>
      <c r="G4330" s="65"/>
      <c r="H4330" s="65"/>
      <c r="I4330" s="66">
        <v>1137.64616</v>
      </c>
    </row>
    <row r="4331" spans="1:9" hidden="1">
      <c r="A4331" s="67" t="s">
        <v>295</v>
      </c>
      <c r="B4331" s="68">
        <v>2044</v>
      </c>
      <c r="C4331" s="68">
        <v>2023</v>
      </c>
      <c r="D4331" s="68" t="s">
        <v>315</v>
      </c>
      <c r="E4331" s="68" t="s">
        <v>305</v>
      </c>
      <c r="F4331" s="68" t="s">
        <v>298</v>
      </c>
      <c r="G4331" s="68"/>
      <c r="H4331" s="68"/>
      <c r="I4331" s="69">
        <v>1490.72</v>
      </c>
    </row>
    <row r="4332" spans="1:9" hidden="1">
      <c r="A4332" s="64" t="s">
        <v>295</v>
      </c>
      <c r="B4332" s="65">
        <v>2044</v>
      </c>
      <c r="C4332" s="65">
        <v>2023</v>
      </c>
      <c r="D4332" s="65" t="s">
        <v>315</v>
      </c>
      <c r="E4332" s="65" t="s">
        <v>305</v>
      </c>
      <c r="F4332" s="65" t="s">
        <v>40</v>
      </c>
      <c r="G4332" s="65"/>
      <c r="H4332" s="65"/>
      <c r="I4332" s="66">
        <v>22712.166160000001</v>
      </c>
    </row>
    <row r="4333" spans="1:9" hidden="1">
      <c r="A4333" s="67" t="s">
        <v>295</v>
      </c>
      <c r="B4333" s="68">
        <v>2044</v>
      </c>
      <c r="C4333" s="68">
        <v>2023</v>
      </c>
      <c r="D4333" s="68" t="s">
        <v>316</v>
      </c>
      <c r="E4333" s="68" t="s">
        <v>294</v>
      </c>
      <c r="F4333" s="68" t="s">
        <v>297</v>
      </c>
      <c r="G4333" s="68"/>
      <c r="H4333" s="68"/>
      <c r="I4333" s="69">
        <v>396155.71660533111</v>
      </c>
    </row>
    <row r="4334" spans="1:9" hidden="1">
      <c r="A4334" s="64" t="s">
        <v>295</v>
      </c>
      <c r="B4334" s="65">
        <v>2044</v>
      </c>
      <c r="C4334" s="65">
        <v>2023</v>
      </c>
      <c r="D4334" s="65" t="s">
        <v>316</v>
      </c>
      <c r="E4334" s="65" t="s">
        <v>294</v>
      </c>
      <c r="F4334" s="65" t="s">
        <v>298</v>
      </c>
      <c r="G4334" s="65"/>
      <c r="H4334" s="65"/>
      <c r="I4334" s="66">
        <v>3219.9113342074261</v>
      </c>
    </row>
    <row r="4335" spans="1:9" hidden="1">
      <c r="A4335" s="67" t="s">
        <v>295</v>
      </c>
      <c r="B4335" s="68">
        <v>2044</v>
      </c>
      <c r="C4335" s="68">
        <v>2023</v>
      </c>
      <c r="D4335" s="68" t="s">
        <v>316</v>
      </c>
      <c r="E4335" s="68" t="s">
        <v>294</v>
      </c>
      <c r="F4335" s="68" t="s">
        <v>40</v>
      </c>
      <c r="G4335" s="68"/>
      <c r="H4335" s="68"/>
      <c r="I4335" s="69">
        <v>416823.585219395</v>
      </c>
    </row>
    <row r="4336" spans="1:9" hidden="1">
      <c r="A4336" s="64" t="s">
        <v>295</v>
      </c>
      <c r="B4336" s="65">
        <v>2044</v>
      </c>
      <c r="C4336" s="65">
        <v>2023</v>
      </c>
      <c r="D4336" s="65" t="s">
        <v>316</v>
      </c>
      <c r="E4336" s="65" t="s">
        <v>301</v>
      </c>
      <c r="F4336" s="65" t="s">
        <v>297</v>
      </c>
      <c r="G4336" s="65"/>
      <c r="H4336" s="65"/>
      <c r="I4336" s="66">
        <v>501652.04263279669</v>
      </c>
    </row>
    <row r="4337" spans="1:9" hidden="1">
      <c r="A4337" s="67" t="s">
        <v>295</v>
      </c>
      <c r="B4337" s="68">
        <v>2044</v>
      </c>
      <c r="C4337" s="68">
        <v>2023</v>
      </c>
      <c r="D4337" s="68" t="s">
        <v>316</v>
      </c>
      <c r="E4337" s="68" t="s">
        <v>301</v>
      </c>
      <c r="F4337" s="68" t="s">
        <v>298</v>
      </c>
      <c r="G4337" s="68"/>
      <c r="H4337" s="68"/>
      <c r="I4337" s="69">
        <v>3438.9765003196549</v>
      </c>
    </row>
    <row r="4338" spans="1:9" hidden="1">
      <c r="A4338" s="64" t="s">
        <v>295</v>
      </c>
      <c r="B4338" s="65">
        <v>2044</v>
      </c>
      <c r="C4338" s="65">
        <v>2023</v>
      </c>
      <c r="D4338" s="65" t="s">
        <v>316</v>
      </c>
      <c r="E4338" s="65" t="s">
        <v>301</v>
      </c>
      <c r="F4338" s="65" t="s">
        <v>40</v>
      </c>
      <c r="G4338" s="65"/>
      <c r="H4338" s="65"/>
      <c r="I4338" s="66">
        <v>524230.74161068932</v>
      </c>
    </row>
    <row r="4339" spans="1:9" hidden="1">
      <c r="A4339" s="67" t="s">
        <v>295</v>
      </c>
      <c r="B4339" s="68">
        <v>2044</v>
      </c>
      <c r="C4339" s="68">
        <v>2023</v>
      </c>
      <c r="D4339" s="68" t="s">
        <v>316</v>
      </c>
      <c r="E4339" s="68" t="s">
        <v>305</v>
      </c>
      <c r="F4339" s="68" t="s">
        <v>297</v>
      </c>
      <c r="G4339" s="68"/>
      <c r="H4339" s="68"/>
      <c r="I4339" s="69">
        <v>9352.0831299999991</v>
      </c>
    </row>
    <row r="4340" spans="1:9" hidden="1">
      <c r="A4340" s="64" t="s">
        <v>295</v>
      </c>
      <c r="B4340" s="65">
        <v>2044</v>
      </c>
      <c r="C4340" s="65">
        <v>2023</v>
      </c>
      <c r="D4340" s="65" t="s">
        <v>316</v>
      </c>
      <c r="E4340" s="65" t="s">
        <v>305</v>
      </c>
      <c r="F4340" s="65" t="s">
        <v>298</v>
      </c>
      <c r="G4340" s="65"/>
      <c r="H4340" s="65"/>
      <c r="I4340" s="66">
        <v>0</v>
      </c>
    </row>
    <row r="4341" spans="1:9" hidden="1">
      <c r="A4341" s="67" t="s">
        <v>295</v>
      </c>
      <c r="B4341" s="68">
        <v>2044</v>
      </c>
      <c r="C4341" s="68">
        <v>2023</v>
      </c>
      <c r="D4341" s="68" t="s">
        <v>316</v>
      </c>
      <c r="E4341" s="68" t="s">
        <v>305</v>
      </c>
      <c r="F4341" s="68" t="s">
        <v>40</v>
      </c>
      <c r="G4341" s="68"/>
      <c r="H4341" s="68"/>
      <c r="I4341" s="69">
        <v>45516.402110000003</v>
      </c>
    </row>
    <row r="4342" spans="1:9" hidden="1">
      <c r="A4342" s="64" t="s">
        <v>295</v>
      </c>
      <c r="B4342" s="65">
        <v>2044</v>
      </c>
      <c r="C4342" s="65">
        <v>2023</v>
      </c>
      <c r="D4342" s="65" t="s">
        <v>317</v>
      </c>
      <c r="E4342" s="65" t="s">
        <v>294</v>
      </c>
      <c r="F4342" s="65" t="s">
        <v>297</v>
      </c>
      <c r="G4342" s="65"/>
      <c r="H4342" s="65"/>
      <c r="I4342" s="66">
        <v>146.64523117778819</v>
      </c>
    </row>
    <row r="4343" spans="1:9" hidden="1">
      <c r="A4343" s="67" t="s">
        <v>295</v>
      </c>
      <c r="B4343" s="68">
        <v>2044</v>
      </c>
      <c r="C4343" s="68">
        <v>2023</v>
      </c>
      <c r="D4343" s="68" t="s">
        <v>317</v>
      </c>
      <c r="E4343" s="68" t="s">
        <v>294</v>
      </c>
      <c r="F4343" s="68" t="s">
        <v>298</v>
      </c>
      <c r="G4343" s="68"/>
      <c r="H4343" s="68"/>
      <c r="I4343" s="69">
        <v>0</v>
      </c>
    </row>
    <row r="4344" spans="1:9" hidden="1">
      <c r="A4344" s="64" t="s">
        <v>295</v>
      </c>
      <c r="B4344" s="65">
        <v>2044</v>
      </c>
      <c r="C4344" s="65">
        <v>2023</v>
      </c>
      <c r="D4344" s="65" t="s">
        <v>317</v>
      </c>
      <c r="E4344" s="65" t="s">
        <v>294</v>
      </c>
      <c r="F4344" s="65" t="s">
        <v>40</v>
      </c>
      <c r="G4344" s="65"/>
      <c r="H4344" s="65"/>
      <c r="I4344" s="66">
        <v>17204.66580681891</v>
      </c>
    </row>
    <row r="4345" spans="1:9" hidden="1">
      <c r="A4345" s="67" t="s">
        <v>295</v>
      </c>
      <c r="B4345" s="68">
        <v>2044</v>
      </c>
      <c r="C4345" s="68">
        <v>2023</v>
      </c>
      <c r="D4345" s="68" t="s">
        <v>317</v>
      </c>
      <c r="E4345" s="68" t="s">
        <v>301</v>
      </c>
      <c r="F4345" s="68" t="s">
        <v>297</v>
      </c>
      <c r="G4345" s="68"/>
      <c r="H4345" s="68"/>
      <c r="I4345" s="69">
        <v>159.23725800687711</v>
      </c>
    </row>
    <row r="4346" spans="1:9" hidden="1">
      <c r="A4346" s="64" t="s">
        <v>295</v>
      </c>
      <c r="B4346" s="65">
        <v>2044</v>
      </c>
      <c r="C4346" s="65">
        <v>2023</v>
      </c>
      <c r="D4346" s="65" t="s">
        <v>317</v>
      </c>
      <c r="E4346" s="65" t="s">
        <v>301</v>
      </c>
      <c r="F4346" s="65" t="s">
        <v>298</v>
      </c>
      <c r="G4346" s="65"/>
      <c r="H4346" s="65"/>
      <c r="I4346" s="66">
        <v>0</v>
      </c>
    </row>
    <row r="4347" spans="1:9" hidden="1">
      <c r="A4347" s="67" t="s">
        <v>295</v>
      </c>
      <c r="B4347" s="68">
        <v>2044</v>
      </c>
      <c r="C4347" s="68">
        <v>2023</v>
      </c>
      <c r="D4347" s="68" t="s">
        <v>317</v>
      </c>
      <c r="E4347" s="68" t="s">
        <v>301</v>
      </c>
      <c r="F4347" s="68" t="s">
        <v>40</v>
      </c>
      <c r="G4347" s="68"/>
      <c r="H4347" s="68"/>
      <c r="I4347" s="69">
        <v>18849.321418330481</v>
      </c>
    </row>
    <row r="4348" spans="1:9" hidden="1">
      <c r="A4348" s="64" t="s">
        <v>295</v>
      </c>
      <c r="B4348" s="65">
        <v>2044</v>
      </c>
      <c r="C4348" s="65">
        <v>2023</v>
      </c>
      <c r="D4348" s="65" t="s">
        <v>317</v>
      </c>
      <c r="E4348" s="65" t="s">
        <v>305</v>
      </c>
      <c r="F4348" s="65" t="s">
        <v>297</v>
      </c>
      <c r="G4348" s="65"/>
      <c r="H4348" s="65"/>
      <c r="I4348" s="66">
        <v>1.3559999999999999E-2</v>
      </c>
    </row>
    <row r="4349" spans="1:9" hidden="1">
      <c r="A4349" s="67" t="s">
        <v>295</v>
      </c>
      <c r="B4349" s="68">
        <v>2044</v>
      </c>
      <c r="C4349" s="68">
        <v>2023</v>
      </c>
      <c r="D4349" s="68" t="s">
        <v>317</v>
      </c>
      <c r="E4349" s="68" t="s">
        <v>305</v>
      </c>
      <c r="F4349" s="68" t="s">
        <v>40</v>
      </c>
      <c r="G4349" s="68"/>
      <c r="H4349" s="68"/>
      <c r="I4349" s="69">
        <v>537.89253999999994</v>
      </c>
    </row>
    <row r="4350" spans="1:9" hidden="1">
      <c r="A4350" s="64" t="s">
        <v>295</v>
      </c>
      <c r="B4350" s="65">
        <v>2044</v>
      </c>
      <c r="C4350" s="65">
        <v>2023</v>
      </c>
      <c r="D4350" s="65" t="s">
        <v>318</v>
      </c>
      <c r="E4350" s="65" t="s">
        <v>294</v>
      </c>
      <c r="F4350" s="65" t="s">
        <v>297</v>
      </c>
      <c r="G4350" s="65"/>
      <c r="H4350" s="65"/>
      <c r="I4350" s="66">
        <v>374456.73737428739</v>
      </c>
    </row>
    <row r="4351" spans="1:9" hidden="1">
      <c r="A4351" s="67" t="s">
        <v>295</v>
      </c>
      <c r="B4351" s="68">
        <v>2044</v>
      </c>
      <c r="C4351" s="68">
        <v>2023</v>
      </c>
      <c r="D4351" s="68" t="s">
        <v>318</v>
      </c>
      <c r="E4351" s="68" t="s">
        <v>294</v>
      </c>
      <c r="F4351" s="68" t="s">
        <v>298</v>
      </c>
      <c r="G4351" s="68"/>
      <c r="H4351" s="68"/>
      <c r="I4351" s="69">
        <v>0</v>
      </c>
    </row>
    <row r="4352" spans="1:9" hidden="1">
      <c r="A4352" s="64" t="s">
        <v>295</v>
      </c>
      <c r="B4352" s="65">
        <v>2044</v>
      </c>
      <c r="C4352" s="65">
        <v>2023</v>
      </c>
      <c r="D4352" s="65" t="s">
        <v>318</v>
      </c>
      <c r="E4352" s="65" t="s">
        <v>294</v>
      </c>
      <c r="F4352" s="65" t="s">
        <v>40</v>
      </c>
      <c r="G4352" s="65"/>
      <c r="H4352" s="65"/>
      <c r="I4352" s="66">
        <v>374777.45088244311</v>
      </c>
    </row>
    <row r="4353" spans="1:9" hidden="1">
      <c r="A4353" s="67" t="s">
        <v>295</v>
      </c>
      <c r="B4353" s="68">
        <v>2044</v>
      </c>
      <c r="C4353" s="68">
        <v>2023</v>
      </c>
      <c r="D4353" s="68" t="s">
        <v>318</v>
      </c>
      <c r="E4353" s="68" t="s">
        <v>301</v>
      </c>
      <c r="F4353" s="68" t="s">
        <v>297</v>
      </c>
      <c r="G4353" s="68"/>
      <c r="H4353" s="68"/>
      <c r="I4353" s="69">
        <v>478005.48132816149</v>
      </c>
    </row>
    <row r="4354" spans="1:9" hidden="1">
      <c r="A4354" s="64" t="s">
        <v>295</v>
      </c>
      <c r="B4354" s="65">
        <v>2044</v>
      </c>
      <c r="C4354" s="65">
        <v>2023</v>
      </c>
      <c r="D4354" s="65" t="s">
        <v>318</v>
      </c>
      <c r="E4354" s="65" t="s">
        <v>301</v>
      </c>
      <c r="F4354" s="65" t="s">
        <v>298</v>
      </c>
      <c r="G4354" s="65"/>
      <c r="H4354" s="65"/>
      <c r="I4354" s="66">
        <v>0</v>
      </c>
    </row>
    <row r="4355" spans="1:9" hidden="1">
      <c r="A4355" s="67" t="s">
        <v>295</v>
      </c>
      <c r="B4355" s="68">
        <v>2044</v>
      </c>
      <c r="C4355" s="68">
        <v>2023</v>
      </c>
      <c r="D4355" s="68" t="s">
        <v>318</v>
      </c>
      <c r="E4355" s="68" t="s">
        <v>301</v>
      </c>
      <c r="F4355" s="68" t="s">
        <v>40</v>
      </c>
      <c r="G4355" s="68"/>
      <c r="H4355" s="68"/>
      <c r="I4355" s="69">
        <v>478423.70665515371</v>
      </c>
    </row>
    <row r="4356" spans="1:9" hidden="1">
      <c r="A4356" s="64" t="s">
        <v>295</v>
      </c>
      <c r="B4356" s="65">
        <v>2044</v>
      </c>
      <c r="C4356" s="65">
        <v>2023</v>
      </c>
      <c r="D4356" s="65" t="s">
        <v>318</v>
      </c>
      <c r="E4356" s="65" t="s">
        <v>305</v>
      </c>
      <c r="F4356" s="65" t="s">
        <v>297</v>
      </c>
      <c r="G4356" s="65"/>
      <c r="H4356" s="65"/>
      <c r="I4356" s="66">
        <v>9249.6922599999998</v>
      </c>
    </row>
    <row r="4357" spans="1:9" hidden="1">
      <c r="A4357" s="67" t="s">
        <v>295</v>
      </c>
      <c r="B4357" s="68">
        <v>2044</v>
      </c>
      <c r="C4357" s="68">
        <v>2023</v>
      </c>
      <c r="D4357" s="68" t="s">
        <v>318</v>
      </c>
      <c r="E4357" s="68" t="s">
        <v>305</v>
      </c>
      <c r="F4357" s="68" t="s">
        <v>40</v>
      </c>
      <c r="G4357" s="68"/>
      <c r="H4357" s="68"/>
      <c r="I4357" s="69">
        <v>42725.35226</v>
      </c>
    </row>
    <row r="4358" spans="1:9" hidden="1">
      <c r="A4358" s="64" t="s">
        <v>295</v>
      </c>
      <c r="B4358" s="65">
        <v>2044</v>
      </c>
      <c r="C4358" s="65">
        <v>2023</v>
      </c>
      <c r="D4358" s="65" t="s">
        <v>320</v>
      </c>
      <c r="E4358" s="65" t="s">
        <v>294</v>
      </c>
      <c r="F4358" s="65" t="s">
        <v>297</v>
      </c>
      <c r="G4358" s="65"/>
      <c r="H4358" s="65"/>
      <c r="I4358" s="66">
        <v>3221.1936136791942</v>
      </c>
    </row>
    <row r="4359" spans="1:9" hidden="1">
      <c r="A4359" s="67" t="s">
        <v>295</v>
      </c>
      <c r="B4359" s="68">
        <v>2044</v>
      </c>
      <c r="C4359" s="68">
        <v>2023</v>
      </c>
      <c r="D4359" s="68" t="s">
        <v>320</v>
      </c>
      <c r="E4359" s="68" t="s">
        <v>294</v>
      </c>
      <c r="F4359" s="68" t="s">
        <v>298</v>
      </c>
      <c r="G4359" s="68"/>
      <c r="H4359" s="68"/>
      <c r="I4359" s="69">
        <v>0</v>
      </c>
    </row>
    <row r="4360" spans="1:9" hidden="1">
      <c r="A4360" s="64" t="s">
        <v>295</v>
      </c>
      <c r="B4360" s="65">
        <v>2044</v>
      </c>
      <c r="C4360" s="65">
        <v>2023</v>
      </c>
      <c r="D4360" s="65" t="s">
        <v>320</v>
      </c>
      <c r="E4360" s="65" t="s">
        <v>294</v>
      </c>
      <c r="F4360" s="65" t="s">
        <v>40</v>
      </c>
      <c r="G4360" s="65"/>
      <c r="H4360" s="65"/>
      <c r="I4360" s="66">
        <v>3222.5632089417409</v>
      </c>
    </row>
    <row r="4361" spans="1:9" hidden="1">
      <c r="A4361" s="67" t="s">
        <v>295</v>
      </c>
      <c r="B4361" s="68">
        <v>2044</v>
      </c>
      <c r="C4361" s="68">
        <v>2023</v>
      </c>
      <c r="D4361" s="68" t="s">
        <v>320</v>
      </c>
      <c r="E4361" s="68" t="s">
        <v>301</v>
      </c>
      <c r="F4361" s="68" t="s">
        <v>297</v>
      </c>
      <c r="G4361" s="68"/>
      <c r="H4361" s="68"/>
      <c r="I4361" s="69">
        <v>4403.3321744748164</v>
      </c>
    </row>
    <row r="4362" spans="1:9" hidden="1">
      <c r="A4362" s="64" t="s">
        <v>295</v>
      </c>
      <c r="B4362" s="65">
        <v>2044</v>
      </c>
      <c r="C4362" s="65">
        <v>2023</v>
      </c>
      <c r="D4362" s="65" t="s">
        <v>320</v>
      </c>
      <c r="E4362" s="65" t="s">
        <v>301</v>
      </c>
      <c r="F4362" s="65" t="s">
        <v>298</v>
      </c>
      <c r="G4362" s="65"/>
      <c r="H4362" s="65"/>
      <c r="I4362" s="66">
        <v>0</v>
      </c>
    </row>
    <row r="4363" spans="1:9" hidden="1">
      <c r="A4363" s="67" t="s">
        <v>295</v>
      </c>
      <c r="B4363" s="68">
        <v>2044</v>
      </c>
      <c r="C4363" s="68">
        <v>2023</v>
      </c>
      <c r="D4363" s="68" t="s">
        <v>320</v>
      </c>
      <c r="E4363" s="68" t="s">
        <v>301</v>
      </c>
      <c r="F4363" s="68" t="s">
        <v>40</v>
      </c>
      <c r="G4363" s="68"/>
      <c r="H4363" s="68"/>
      <c r="I4363" s="69">
        <v>4404.6979018592056</v>
      </c>
    </row>
    <row r="4364" spans="1:9" hidden="1">
      <c r="A4364" s="64" t="s">
        <v>295</v>
      </c>
      <c r="B4364" s="65">
        <v>2044</v>
      </c>
      <c r="C4364" s="65">
        <v>2023</v>
      </c>
      <c r="D4364" s="65" t="s">
        <v>320</v>
      </c>
      <c r="E4364" s="65" t="s">
        <v>305</v>
      </c>
      <c r="F4364" s="65" t="s">
        <v>297</v>
      </c>
      <c r="G4364" s="65"/>
      <c r="H4364" s="65"/>
      <c r="I4364" s="66">
        <v>41.86</v>
      </c>
    </row>
    <row r="4365" spans="1:9" hidden="1">
      <c r="A4365" s="67" t="s">
        <v>295</v>
      </c>
      <c r="B4365" s="68">
        <v>2044</v>
      </c>
      <c r="C4365" s="68">
        <v>2023</v>
      </c>
      <c r="D4365" s="68" t="s">
        <v>320</v>
      </c>
      <c r="E4365" s="68" t="s">
        <v>305</v>
      </c>
      <c r="F4365" s="68" t="s">
        <v>40</v>
      </c>
      <c r="G4365" s="68"/>
      <c r="H4365" s="68"/>
      <c r="I4365" s="69">
        <v>1506.48</v>
      </c>
    </row>
    <row r="4366" spans="1:9" hidden="1">
      <c r="A4366" s="64" t="s">
        <v>295</v>
      </c>
      <c r="B4366" s="65">
        <v>2044</v>
      </c>
      <c r="C4366" s="65">
        <v>2023</v>
      </c>
      <c r="D4366" s="65" t="s">
        <v>321</v>
      </c>
      <c r="E4366" s="65" t="s">
        <v>294</v>
      </c>
      <c r="F4366" s="65" t="s">
        <v>297</v>
      </c>
      <c r="G4366" s="65"/>
      <c r="H4366" s="65"/>
      <c r="I4366" s="66">
        <v>17167.24401084298</v>
      </c>
    </row>
    <row r="4367" spans="1:9" hidden="1">
      <c r="A4367" s="67" t="s">
        <v>295</v>
      </c>
      <c r="B4367" s="68">
        <v>2044</v>
      </c>
      <c r="C4367" s="68">
        <v>2023</v>
      </c>
      <c r="D4367" s="68" t="s">
        <v>321</v>
      </c>
      <c r="E4367" s="68" t="s">
        <v>294</v>
      </c>
      <c r="F4367" s="68" t="s">
        <v>298</v>
      </c>
      <c r="G4367" s="68"/>
      <c r="H4367" s="68"/>
      <c r="I4367" s="69">
        <v>0</v>
      </c>
    </row>
    <row r="4368" spans="1:9" hidden="1">
      <c r="A4368" s="64" t="s">
        <v>295</v>
      </c>
      <c r="B4368" s="65">
        <v>2044</v>
      </c>
      <c r="C4368" s="65">
        <v>2023</v>
      </c>
      <c r="D4368" s="65" t="s">
        <v>321</v>
      </c>
      <c r="E4368" s="65" t="s">
        <v>294</v>
      </c>
      <c r="F4368" s="65" t="s">
        <v>40</v>
      </c>
      <c r="G4368" s="65"/>
      <c r="H4368" s="65"/>
      <c r="I4368" s="66">
        <v>17187.93809094045</v>
      </c>
    </row>
    <row r="4369" spans="1:9" hidden="1">
      <c r="A4369" s="67" t="s">
        <v>295</v>
      </c>
      <c r="B4369" s="68">
        <v>2044</v>
      </c>
      <c r="C4369" s="68">
        <v>2023</v>
      </c>
      <c r="D4369" s="68" t="s">
        <v>321</v>
      </c>
      <c r="E4369" s="68" t="s">
        <v>301</v>
      </c>
      <c r="F4369" s="68" t="s">
        <v>297</v>
      </c>
      <c r="G4369" s="68"/>
      <c r="H4369" s="68"/>
      <c r="I4369" s="69">
        <v>17596.074294184378</v>
      </c>
    </row>
    <row r="4370" spans="1:9" hidden="1">
      <c r="A4370" s="64" t="s">
        <v>295</v>
      </c>
      <c r="B4370" s="65">
        <v>2044</v>
      </c>
      <c r="C4370" s="65">
        <v>2023</v>
      </c>
      <c r="D4370" s="65" t="s">
        <v>321</v>
      </c>
      <c r="E4370" s="65" t="s">
        <v>301</v>
      </c>
      <c r="F4370" s="65" t="s">
        <v>298</v>
      </c>
      <c r="G4370" s="65"/>
      <c r="H4370" s="65"/>
      <c r="I4370" s="66">
        <v>0</v>
      </c>
    </row>
    <row r="4371" spans="1:9" hidden="1">
      <c r="A4371" s="67" t="s">
        <v>295</v>
      </c>
      <c r="B4371" s="68">
        <v>2044</v>
      </c>
      <c r="C4371" s="68">
        <v>2023</v>
      </c>
      <c r="D4371" s="68" t="s">
        <v>321</v>
      </c>
      <c r="E4371" s="68" t="s">
        <v>301</v>
      </c>
      <c r="F4371" s="68" t="s">
        <v>40</v>
      </c>
      <c r="G4371" s="68"/>
      <c r="H4371" s="68"/>
      <c r="I4371" s="69">
        <v>17616.508225505011</v>
      </c>
    </row>
    <row r="4372" spans="1:9" hidden="1">
      <c r="A4372" s="64" t="s">
        <v>295</v>
      </c>
      <c r="B4372" s="65">
        <v>2044</v>
      </c>
      <c r="C4372" s="65">
        <v>2023</v>
      </c>
      <c r="D4372" s="65" t="s">
        <v>321</v>
      </c>
      <c r="E4372" s="65" t="s">
        <v>305</v>
      </c>
      <c r="F4372" s="65" t="s">
        <v>297</v>
      </c>
      <c r="G4372" s="65"/>
      <c r="H4372" s="65"/>
      <c r="I4372" s="66">
        <v>53.217309999999998</v>
      </c>
    </row>
    <row r="4373" spans="1:9" hidden="1">
      <c r="A4373" s="67" t="s">
        <v>295</v>
      </c>
      <c r="B4373" s="68">
        <v>2044</v>
      </c>
      <c r="C4373" s="68">
        <v>2023</v>
      </c>
      <c r="D4373" s="68" t="s">
        <v>321</v>
      </c>
      <c r="E4373" s="68" t="s">
        <v>305</v>
      </c>
      <c r="F4373" s="68" t="s">
        <v>40</v>
      </c>
      <c r="G4373" s="68"/>
      <c r="H4373" s="68"/>
      <c r="I4373" s="69">
        <v>418.03730999999999</v>
      </c>
    </row>
    <row r="4374" spans="1:9" hidden="1">
      <c r="A4374" s="64" t="s">
        <v>295</v>
      </c>
      <c r="B4374" s="65">
        <v>2044</v>
      </c>
      <c r="C4374" s="65">
        <v>2023</v>
      </c>
      <c r="D4374" s="65" t="s">
        <v>322</v>
      </c>
      <c r="E4374" s="65" t="s">
        <v>294</v>
      </c>
      <c r="F4374" s="65" t="s">
        <v>297</v>
      </c>
      <c r="G4374" s="65"/>
      <c r="H4374" s="65"/>
      <c r="I4374" s="66">
        <v>1182.1533453436871</v>
      </c>
    </row>
    <row r="4375" spans="1:9" hidden="1">
      <c r="A4375" s="67" t="s">
        <v>295</v>
      </c>
      <c r="B4375" s="68">
        <v>2044</v>
      </c>
      <c r="C4375" s="68">
        <v>2023</v>
      </c>
      <c r="D4375" s="68" t="s">
        <v>322</v>
      </c>
      <c r="E4375" s="68" t="s">
        <v>294</v>
      </c>
      <c r="F4375" s="68" t="s">
        <v>298</v>
      </c>
      <c r="G4375" s="68"/>
      <c r="H4375" s="68"/>
      <c r="I4375" s="69">
        <v>3267.03514490715</v>
      </c>
    </row>
    <row r="4376" spans="1:9" hidden="1">
      <c r="A4376" s="64" t="s">
        <v>295</v>
      </c>
      <c r="B4376" s="65">
        <v>2044</v>
      </c>
      <c r="C4376" s="65">
        <v>2023</v>
      </c>
      <c r="D4376" s="65" t="s">
        <v>322</v>
      </c>
      <c r="E4376" s="65" t="s">
        <v>294</v>
      </c>
      <c r="F4376" s="65" t="s">
        <v>40</v>
      </c>
      <c r="G4376" s="65"/>
      <c r="H4376" s="65"/>
      <c r="I4376" s="66">
        <v>4449.1085102508378</v>
      </c>
    </row>
    <row r="4377" spans="1:9" hidden="1">
      <c r="A4377" s="67" t="s">
        <v>295</v>
      </c>
      <c r="B4377" s="68">
        <v>2044</v>
      </c>
      <c r="C4377" s="68">
        <v>2023</v>
      </c>
      <c r="D4377" s="68" t="s">
        <v>322</v>
      </c>
      <c r="E4377" s="68" t="s">
        <v>301</v>
      </c>
      <c r="F4377" s="68" t="s">
        <v>297</v>
      </c>
      <c r="G4377" s="68"/>
      <c r="H4377" s="68"/>
      <c r="I4377" s="69">
        <v>1506.379877969134</v>
      </c>
    </row>
    <row r="4378" spans="1:9" hidden="1">
      <c r="A4378" s="64" t="s">
        <v>295</v>
      </c>
      <c r="B4378" s="65">
        <v>2044</v>
      </c>
      <c r="C4378" s="65">
        <v>2023</v>
      </c>
      <c r="D4378" s="65" t="s">
        <v>322</v>
      </c>
      <c r="E4378" s="65" t="s">
        <v>301</v>
      </c>
      <c r="F4378" s="65" t="s">
        <v>298</v>
      </c>
      <c r="G4378" s="65"/>
      <c r="H4378" s="65"/>
      <c r="I4378" s="66">
        <v>3448.5288218717078</v>
      </c>
    </row>
    <row r="4379" spans="1:9" hidden="1">
      <c r="A4379" s="67" t="s">
        <v>295</v>
      </c>
      <c r="B4379" s="68">
        <v>2044</v>
      </c>
      <c r="C4379" s="68">
        <v>2023</v>
      </c>
      <c r="D4379" s="68" t="s">
        <v>322</v>
      </c>
      <c r="E4379" s="68" t="s">
        <v>301</v>
      </c>
      <c r="F4379" s="68" t="s">
        <v>40</v>
      </c>
      <c r="G4379" s="68"/>
      <c r="H4379" s="68"/>
      <c r="I4379" s="69">
        <v>4954.8287098408418</v>
      </c>
    </row>
    <row r="4380" spans="1:9" hidden="1">
      <c r="A4380" s="64" t="s">
        <v>295</v>
      </c>
      <c r="B4380" s="65">
        <v>2044</v>
      </c>
      <c r="C4380" s="65">
        <v>2023</v>
      </c>
      <c r="D4380" s="65" t="s">
        <v>322</v>
      </c>
      <c r="E4380" s="65" t="s">
        <v>305</v>
      </c>
      <c r="F4380" s="65" t="s">
        <v>297</v>
      </c>
      <c r="G4380" s="65"/>
      <c r="H4380" s="65"/>
      <c r="I4380" s="66">
        <v>7.2</v>
      </c>
    </row>
    <row r="4381" spans="1:9" hidden="1">
      <c r="A4381" s="67" t="s">
        <v>295</v>
      </c>
      <c r="B4381" s="68">
        <v>2044</v>
      </c>
      <c r="C4381" s="68">
        <v>2023</v>
      </c>
      <c r="D4381" s="68" t="s">
        <v>322</v>
      </c>
      <c r="E4381" s="68" t="s">
        <v>305</v>
      </c>
      <c r="F4381" s="68" t="s">
        <v>40</v>
      </c>
      <c r="G4381" s="68"/>
      <c r="H4381" s="68"/>
      <c r="I4381" s="69">
        <v>328.56</v>
      </c>
    </row>
    <row r="4382" spans="1:9" hidden="1">
      <c r="A4382" s="64" t="s">
        <v>295</v>
      </c>
      <c r="B4382" s="65">
        <v>2044</v>
      </c>
      <c r="C4382" s="65">
        <v>2023</v>
      </c>
      <c r="D4382" s="65" t="s">
        <v>323</v>
      </c>
      <c r="E4382" s="65" t="s">
        <v>294</v>
      </c>
      <c r="F4382" s="65" t="s">
        <v>297</v>
      </c>
      <c r="G4382" s="65"/>
      <c r="H4382" s="65"/>
      <c r="I4382" s="66">
        <v>257941.4658938715</v>
      </c>
    </row>
    <row r="4383" spans="1:9" hidden="1">
      <c r="A4383" s="67" t="s">
        <v>295</v>
      </c>
      <c r="B4383" s="68">
        <v>2044</v>
      </c>
      <c r="C4383" s="68">
        <v>2023</v>
      </c>
      <c r="D4383" s="68" t="s">
        <v>323</v>
      </c>
      <c r="E4383" s="68" t="s">
        <v>294</v>
      </c>
      <c r="F4383" s="68" t="s">
        <v>298</v>
      </c>
      <c r="G4383" s="68"/>
      <c r="H4383" s="68"/>
      <c r="I4383" s="69">
        <v>1002.4139689987099</v>
      </c>
    </row>
    <row r="4384" spans="1:9" hidden="1">
      <c r="A4384" s="64" t="s">
        <v>295</v>
      </c>
      <c r="B4384" s="65">
        <v>2044</v>
      </c>
      <c r="C4384" s="65">
        <v>2023</v>
      </c>
      <c r="D4384" s="65" t="s">
        <v>323</v>
      </c>
      <c r="E4384" s="65" t="s">
        <v>294</v>
      </c>
      <c r="F4384" s="65" t="s">
        <v>40</v>
      </c>
      <c r="G4384" s="65"/>
      <c r="H4384" s="65"/>
      <c r="I4384" s="66">
        <v>259382.67019967851</v>
      </c>
    </row>
    <row r="4385" spans="1:9" hidden="1">
      <c r="A4385" s="67" t="s">
        <v>295</v>
      </c>
      <c r="B4385" s="68">
        <v>2044</v>
      </c>
      <c r="C4385" s="68">
        <v>2023</v>
      </c>
      <c r="D4385" s="68" t="s">
        <v>323</v>
      </c>
      <c r="E4385" s="68" t="s">
        <v>301</v>
      </c>
      <c r="F4385" s="68" t="s">
        <v>297</v>
      </c>
      <c r="G4385" s="68"/>
      <c r="H4385" s="68"/>
      <c r="I4385" s="69">
        <v>326960.61357075151</v>
      </c>
    </row>
    <row r="4386" spans="1:9" hidden="1">
      <c r="A4386" s="64" t="s">
        <v>295</v>
      </c>
      <c r="B4386" s="65">
        <v>2044</v>
      </c>
      <c r="C4386" s="65">
        <v>2023</v>
      </c>
      <c r="D4386" s="65" t="s">
        <v>323</v>
      </c>
      <c r="E4386" s="65" t="s">
        <v>301</v>
      </c>
      <c r="F4386" s="65" t="s">
        <v>298</v>
      </c>
      <c r="G4386" s="65"/>
      <c r="H4386" s="65"/>
      <c r="I4386" s="66">
        <v>1162.037322317791</v>
      </c>
    </row>
    <row r="4387" spans="1:9" hidden="1">
      <c r="A4387" s="67" t="s">
        <v>295</v>
      </c>
      <c r="B4387" s="68">
        <v>2044</v>
      </c>
      <c r="C4387" s="68">
        <v>2023</v>
      </c>
      <c r="D4387" s="68" t="s">
        <v>323</v>
      </c>
      <c r="E4387" s="68" t="s">
        <v>301</v>
      </c>
      <c r="F4387" s="68" t="s">
        <v>40</v>
      </c>
      <c r="G4387" s="68"/>
      <c r="H4387" s="68"/>
      <c r="I4387" s="69">
        <v>328560.81833311991</v>
      </c>
    </row>
    <row r="4388" spans="1:9" hidden="1">
      <c r="A4388" s="64" t="s">
        <v>295</v>
      </c>
      <c r="B4388" s="65">
        <v>2044</v>
      </c>
      <c r="C4388" s="65">
        <v>2023</v>
      </c>
      <c r="D4388" s="65" t="s">
        <v>323</v>
      </c>
      <c r="E4388" s="65" t="s">
        <v>305</v>
      </c>
      <c r="F4388" s="65" t="s">
        <v>297</v>
      </c>
      <c r="G4388" s="65"/>
      <c r="H4388" s="65"/>
      <c r="I4388" s="66">
        <v>1460.5793200000001</v>
      </c>
    </row>
    <row r="4389" spans="1:9" hidden="1">
      <c r="A4389" s="67" t="s">
        <v>295</v>
      </c>
      <c r="B4389" s="68">
        <v>2044</v>
      </c>
      <c r="C4389" s="68">
        <v>2023</v>
      </c>
      <c r="D4389" s="68" t="s">
        <v>323</v>
      </c>
      <c r="E4389" s="68" t="s">
        <v>305</v>
      </c>
      <c r="F4389" s="68" t="s">
        <v>40</v>
      </c>
      <c r="G4389" s="68"/>
      <c r="H4389" s="68"/>
      <c r="I4389" s="69">
        <v>20758.459320000002</v>
      </c>
    </row>
    <row r="4390" spans="1:9" hidden="1">
      <c r="A4390" s="64" t="s">
        <v>295</v>
      </c>
      <c r="B4390" s="65">
        <v>2044</v>
      </c>
      <c r="C4390" s="65">
        <v>2023</v>
      </c>
      <c r="D4390" s="65" t="s">
        <v>324</v>
      </c>
      <c r="E4390" s="65" t="s">
        <v>294</v>
      </c>
      <c r="F4390" s="65" t="s">
        <v>297</v>
      </c>
      <c r="G4390" s="65"/>
      <c r="H4390" s="65"/>
      <c r="I4390" s="66">
        <v>3479.0793476126701</v>
      </c>
    </row>
    <row r="4391" spans="1:9" hidden="1">
      <c r="A4391" s="67" t="s">
        <v>295</v>
      </c>
      <c r="B4391" s="68">
        <v>2044</v>
      </c>
      <c r="C4391" s="68">
        <v>2023</v>
      </c>
      <c r="D4391" s="68" t="s">
        <v>324</v>
      </c>
      <c r="E4391" s="68" t="s">
        <v>294</v>
      </c>
      <c r="F4391" s="68" t="s">
        <v>298</v>
      </c>
      <c r="G4391" s="68"/>
      <c r="H4391" s="68"/>
      <c r="I4391" s="69">
        <v>0</v>
      </c>
    </row>
    <row r="4392" spans="1:9" hidden="1">
      <c r="A4392" s="64" t="s">
        <v>295</v>
      </c>
      <c r="B4392" s="65">
        <v>2044</v>
      </c>
      <c r="C4392" s="65">
        <v>2023</v>
      </c>
      <c r="D4392" s="65" t="s">
        <v>324</v>
      </c>
      <c r="E4392" s="65" t="s">
        <v>294</v>
      </c>
      <c r="F4392" s="65" t="s">
        <v>40</v>
      </c>
      <c r="G4392" s="65"/>
      <c r="H4392" s="65"/>
      <c r="I4392" s="66">
        <v>3482.4634664703431</v>
      </c>
    </row>
    <row r="4393" spans="1:9" hidden="1">
      <c r="A4393" s="67" t="s">
        <v>295</v>
      </c>
      <c r="B4393" s="68">
        <v>2044</v>
      </c>
      <c r="C4393" s="68">
        <v>2023</v>
      </c>
      <c r="D4393" s="68" t="s">
        <v>324</v>
      </c>
      <c r="E4393" s="68" t="s">
        <v>301</v>
      </c>
      <c r="F4393" s="68" t="s">
        <v>297</v>
      </c>
      <c r="G4393" s="68"/>
      <c r="H4393" s="68"/>
      <c r="I4393" s="69">
        <v>3479.7725276126698</v>
      </c>
    </row>
    <row r="4394" spans="1:9" hidden="1">
      <c r="A4394" s="64" t="s">
        <v>295</v>
      </c>
      <c r="B4394" s="65">
        <v>2044</v>
      </c>
      <c r="C4394" s="65">
        <v>2023</v>
      </c>
      <c r="D4394" s="65" t="s">
        <v>324</v>
      </c>
      <c r="E4394" s="65" t="s">
        <v>301</v>
      </c>
      <c r="F4394" s="65" t="s">
        <v>298</v>
      </c>
      <c r="G4394" s="65"/>
      <c r="H4394" s="65"/>
      <c r="I4394" s="66">
        <v>0</v>
      </c>
    </row>
    <row r="4395" spans="1:9" hidden="1">
      <c r="A4395" s="67" t="s">
        <v>295</v>
      </c>
      <c r="B4395" s="68">
        <v>2044</v>
      </c>
      <c r="C4395" s="68">
        <v>2023</v>
      </c>
      <c r="D4395" s="68" t="s">
        <v>324</v>
      </c>
      <c r="E4395" s="68" t="s">
        <v>301</v>
      </c>
      <c r="F4395" s="68" t="s">
        <v>40</v>
      </c>
      <c r="G4395" s="68"/>
      <c r="H4395" s="68"/>
      <c r="I4395" s="69">
        <v>3483.1566464703428</v>
      </c>
    </row>
    <row r="4396" spans="1:9" hidden="1">
      <c r="A4396" s="64" t="s">
        <v>295</v>
      </c>
      <c r="B4396" s="65">
        <v>2044</v>
      </c>
      <c r="C4396" s="65">
        <v>2023</v>
      </c>
      <c r="D4396" s="65" t="s">
        <v>324</v>
      </c>
      <c r="E4396" s="65" t="s">
        <v>305</v>
      </c>
      <c r="F4396" s="65" t="s">
        <v>297</v>
      </c>
      <c r="G4396" s="65"/>
      <c r="H4396" s="65"/>
      <c r="I4396" s="66">
        <v>4.0999999999999996</v>
      </c>
    </row>
    <row r="4397" spans="1:9" hidden="1">
      <c r="A4397" s="67" t="s">
        <v>295</v>
      </c>
      <c r="B4397" s="68">
        <v>2044</v>
      </c>
      <c r="C4397" s="68">
        <v>2023</v>
      </c>
      <c r="D4397" s="68" t="s">
        <v>324</v>
      </c>
      <c r="E4397" s="68" t="s">
        <v>305</v>
      </c>
      <c r="F4397" s="68" t="s">
        <v>40</v>
      </c>
      <c r="G4397" s="68"/>
      <c r="H4397" s="68"/>
      <c r="I4397" s="69">
        <v>1246.2</v>
      </c>
    </row>
    <row r="4398" spans="1:9" hidden="1">
      <c r="A4398" s="64" t="s">
        <v>295</v>
      </c>
      <c r="B4398" s="65">
        <v>2044</v>
      </c>
      <c r="C4398" s="65">
        <v>2023</v>
      </c>
      <c r="D4398" s="65" t="s">
        <v>325</v>
      </c>
      <c r="E4398" s="65" t="s">
        <v>294</v>
      </c>
      <c r="F4398" s="65" t="s">
        <v>297</v>
      </c>
      <c r="G4398" s="65"/>
      <c r="H4398" s="65"/>
      <c r="I4398" s="66">
        <v>42005.056886824692</v>
      </c>
    </row>
    <row r="4399" spans="1:9" hidden="1">
      <c r="A4399" s="67" t="s">
        <v>295</v>
      </c>
      <c r="B4399" s="68">
        <v>2044</v>
      </c>
      <c r="C4399" s="68">
        <v>2023</v>
      </c>
      <c r="D4399" s="68" t="s">
        <v>325</v>
      </c>
      <c r="E4399" s="68" t="s">
        <v>294</v>
      </c>
      <c r="F4399" s="68" t="s">
        <v>298</v>
      </c>
      <c r="G4399" s="68"/>
      <c r="H4399" s="68"/>
      <c r="I4399" s="69">
        <v>10820.64738225763</v>
      </c>
    </row>
    <row r="4400" spans="1:9" hidden="1">
      <c r="A4400" s="64" t="s">
        <v>295</v>
      </c>
      <c r="B4400" s="65">
        <v>2044</v>
      </c>
      <c r="C4400" s="65">
        <v>2023</v>
      </c>
      <c r="D4400" s="65" t="s">
        <v>325</v>
      </c>
      <c r="E4400" s="65" t="s">
        <v>294</v>
      </c>
      <c r="F4400" s="65" t="s">
        <v>40</v>
      </c>
      <c r="G4400" s="65"/>
      <c r="H4400" s="65"/>
      <c r="I4400" s="66">
        <v>52825.695250411343</v>
      </c>
    </row>
    <row r="4401" spans="1:9" hidden="1">
      <c r="A4401" s="67" t="s">
        <v>295</v>
      </c>
      <c r="B4401" s="68">
        <v>2044</v>
      </c>
      <c r="C4401" s="68">
        <v>2023</v>
      </c>
      <c r="D4401" s="68" t="s">
        <v>325</v>
      </c>
      <c r="E4401" s="68" t="s">
        <v>301</v>
      </c>
      <c r="F4401" s="68" t="s">
        <v>297</v>
      </c>
      <c r="G4401" s="68"/>
      <c r="H4401" s="68"/>
      <c r="I4401" s="69">
        <v>44178.707171835027</v>
      </c>
    </row>
    <row r="4402" spans="1:9" hidden="1">
      <c r="A4402" s="64" t="s">
        <v>295</v>
      </c>
      <c r="B4402" s="65">
        <v>2044</v>
      </c>
      <c r="C4402" s="65">
        <v>2023</v>
      </c>
      <c r="D4402" s="65" t="s">
        <v>325</v>
      </c>
      <c r="E4402" s="65" t="s">
        <v>301</v>
      </c>
      <c r="F4402" s="65" t="s">
        <v>298</v>
      </c>
      <c r="G4402" s="65"/>
      <c r="H4402" s="65"/>
      <c r="I4402" s="66">
        <v>12400.204548164969</v>
      </c>
    </row>
    <row r="4403" spans="1:9" hidden="1">
      <c r="A4403" s="67" t="s">
        <v>295</v>
      </c>
      <c r="B4403" s="68">
        <v>2044</v>
      </c>
      <c r="C4403" s="68">
        <v>2023</v>
      </c>
      <c r="D4403" s="68" t="s">
        <v>325</v>
      </c>
      <c r="E4403" s="68" t="s">
        <v>301</v>
      </c>
      <c r="F4403" s="68" t="s">
        <v>40</v>
      </c>
      <c r="G4403" s="68"/>
      <c r="H4403" s="68"/>
      <c r="I4403" s="69">
        <v>56578.927739999999</v>
      </c>
    </row>
    <row r="4404" spans="1:9" hidden="1">
      <c r="A4404" s="64" t="s">
        <v>295</v>
      </c>
      <c r="B4404" s="65">
        <v>2044</v>
      </c>
      <c r="C4404" s="65">
        <v>2023</v>
      </c>
      <c r="D4404" s="65" t="s">
        <v>325</v>
      </c>
      <c r="E4404" s="65" t="s">
        <v>305</v>
      </c>
      <c r="F4404" s="65" t="s">
        <v>297</v>
      </c>
      <c r="G4404" s="65"/>
      <c r="H4404" s="65"/>
      <c r="I4404" s="66">
        <v>431.5</v>
      </c>
    </row>
    <row r="4405" spans="1:9" hidden="1">
      <c r="A4405" s="67" t="s">
        <v>295</v>
      </c>
      <c r="B4405" s="68">
        <v>2044</v>
      </c>
      <c r="C4405" s="68">
        <v>2023</v>
      </c>
      <c r="D4405" s="68" t="s">
        <v>325</v>
      </c>
      <c r="E4405" s="68" t="s">
        <v>305</v>
      </c>
      <c r="F4405" s="68" t="s">
        <v>298</v>
      </c>
      <c r="G4405" s="68"/>
      <c r="H4405" s="68"/>
      <c r="I4405" s="69">
        <v>69.900000000000006</v>
      </c>
    </row>
    <row r="4406" spans="1:9" hidden="1">
      <c r="A4406" s="64" t="s">
        <v>295</v>
      </c>
      <c r="B4406" s="65">
        <v>2044</v>
      </c>
      <c r="C4406" s="65">
        <v>2023</v>
      </c>
      <c r="D4406" s="65" t="s">
        <v>325</v>
      </c>
      <c r="E4406" s="65" t="s">
        <v>305</v>
      </c>
      <c r="F4406" s="65" t="s">
        <v>40</v>
      </c>
      <c r="G4406" s="65"/>
      <c r="H4406" s="65"/>
      <c r="I4406" s="66">
        <v>18677.2</v>
      </c>
    </row>
    <row r="4407" spans="1:9" hidden="1">
      <c r="A4407" s="67" t="s">
        <v>295</v>
      </c>
      <c r="B4407" s="68">
        <v>2044</v>
      </c>
      <c r="C4407" s="68">
        <v>2023</v>
      </c>
      <c r="D4407" s="68" t="s">
        <v>326</v>
      </c>
      <c r="E4407" s="68" t="s">
        <v>294</v>
      </c>
      <c r="F4407" s="68" t="s">
        <v>297</v>
      </c>
      <c r="G4407" s="68"/>
      <c r="H4407" s="68"/>
      <c r="I4407" s="69">
        <v>0</v>
      </c>
    </row>
    <row r="4408" spans="1:9" hidden="1">
      <c r="A4408" s="64" t="s">
        <v>295</v>
      </c>
      <c r="B4408" s="65">
        <v>2044</v>
      </c>
      <c r="C4408" s="65">
        <v>2023</v>
      </c>
      <c r="D4408" s="65" t="s">
        <v>326</v>
      </c>
      <c r="E4408" s="65" t="s">
        <v>294</v>
      </c>
      <c r="F4408" s="65" t="s">
        <v>298</v>
      </c>
      <c r="G4408" s="65"/>
      <c r="H4408" s="65"/>
      <c r="I4408" s="66">
        <v>0</v>
      </c>
    </row>
    <row r="4409" spans="1:9" hidden="1">
      <c r="A4409" s="67" t="s">
        <v>295</v>
      </c>
      <c r="B4409" s="68">
        <v>2044</v>
      </c>
      <c r="C4409" s="68">
        <v>2023</v>
      </c>
      <c r="D4409" s="68" t="s">
        <v>326</v>
      </c>
      <c r="E4409" s="68" t="s">
        <v>294</v>
      </c>
      <c r="F4409" s="68" t="s">
        <v>40</v>
      </c>
      <c r="G4409" s="68"/>
      <c r="H4409" s="68"/>
      <c r="I4409" s="69">
        <v>0</v>
      </c>
    </row>
    <row r="4410" spans="1:9" hidden="1">
      <c r="A4410" s="64" t="s">
        <v>295</v>
      </c>
      <c r="B4410" s="65">
        <v>2044</v>
      </c>
      <c r="C4410" s="65">
        <v>2023</v>
      </c>
      <c r="D4410" s="65" t="s">
        <v>326</v>
      </c>
      <c r="E4410" s="65" t="s">
        <v>301</v>
      </c>
      <c r="F4410" s="65" t="s">
        <v>297</v>
      </c>
      <c r="G4410" s="65"/>
      <c r="H4410" s="65"/>
      <c r="I4410" s="66">
        <v>0</v>
      </c>
    </row>
    <row r="4411" spans="1:9" hidden="1">
      <c r="A4411" s="67" t="s">
        <v>295</v>
      </c>
      <c r="B4411" s="68">
        <v>2044</v>
      </c>
      <c r="C4411" s="68">
        <v>2023</v>
      </c>
      <c r="D4411" s="68" t="s">
        <v>326</v>
      </c>
      <c r="E4411" s="68" t="s">
        <v>301</v>
      </c>
      <c r="F4411" s="68" t="s">
        <v>298</v>
      </c>
      <c r="G4411" s="68"/>
      <c r="H4411" s="68"/>
      <c r="I4411" s="69">
        <v>0</v>
      </c>
    </row>
    <row r="4412" spans="1:9" hidden="1">
      <c r="A4412" s="64" t="s">
        <v>295</v>
      </c>
      <c r="B4412" s="65">
        <v>2044</v>
      </c>
      <c r="C4412" s="65">
        <v>2023</v>
      </c>
      <c r="D4412" s="65" t="s">
        <v>326</v>
      </c>
      <c r="E4412" s="65" t="s">
        <v>301</v>
      </c>
      <c r="F4412" s="65" t="s">
        <v>40</v>
      </c>
      <c r="G4412" s="65"/>
      <c r="H4412" s="65"/>
      <c r="I4412" s="66">
        <v>0</v>
      </c>
    </row>
    <row r="4413" spans="1:9" hidden="1">
      <c r="A4413" s="67" t="s">
        <v>295</v>
      </c>
      <c r="B4413" s="68">
        <v>2044</v>
      </c>
      <c r="C4413" s="68">
        <v>2023</v>
      </c>
      <c r="D4413" s="68" t="s">
        <v>304</v>
      </c>
      <c r="E4413" s="68" t="s">
        <v>294</v>
      </c>
      <c r="F4413" s="68" t="s">
        <v>297</v>
      </c>
      <c r="G4413" s="68"/>
      <c r="H4413" s="68"/>
      <c r="I4413" s="69">
        <v>44120.960362777078</v>
      </c>
    </row>
    <row r="4414" spans="1:9" hidden="1">
      <c r="A4414" s="64" t="s">
        <v>295</v>
      </c>
      <c r="B4414" s="65">
        <v>2044</v>
      </c>
      <c r="C4414" s="65">
        <v>2023</v>
      </c>
      <c r="D4414" s="65" t="s">
        <v>304</v>
      </c>
      <c r="E4414" s="65" t="s">
        <v>294</v>
      </c>
      <c r="F4414" s="65" t="s">
        <v>298</v>
      </c>
      <c r="G4414" s="65"/>
      <c r="H4414" s="65"/>
      <c r="I4414" s="66">
        <v>168886.9853179059</v>
      </c>
    </row>
    <row r="4415" spans="1:9" hidden="1">
      <c r="A4415" s="67" t="s">
        <v>295</v>
      </c>
      <c r="B4415" s="68">
        <v>2044</v>
      </c>
      <c r="C4415" s="68">
        <v>2023</v>
      </c>
      <c r="D4415" s="68" t="s">
        <v>304</v>
      </c>
      <c r="E4415" s="68" t="s">
        <v>294</v>
      </c>
      <c r="F4415" s="68" t="s">
        <v>40</v>
      </c>
      <c r="G4415" s="68"/>
      <c r="H4415" s="68"/>
      <c r="I4415" s="69">
        <v>212765.83650577121</v>
      </c>
    </row>
    <row r="4416" spans="1:9" hidden="1">
      <c r="A4416" s="64" t="s">
        <v>295</v>
      </c>
      <c r="B4416" s="65">
        <v>2044</v>
      </c>
      <c r="C4416" s="65">
        <v>2023</v>
      </c>
      <c r="D4416" s="65" t="s">
        <v>304</v>
      </c>
      <c r="E4416" s="65" t="s">
        <v>301</v>
      </c>
      <c r="F4416" s="65" t="s">
        <v>297</v>
      </c>
      <c r="G4416" s="65"/>
      <c r="H4416" s="65"/>
      <c r="I4416" s="66">
        <v>47456.918336308852</v>
      </c>
    </row>
    <row r="4417" spans="1:9" hidden="1">
      <c r="A4417" s="67" t="s">
        <v>295</v>
      </c>
      <c r="B4417" s="68">
        <v>2044</v>
      </c>
      <c r="C4417" s="68">
        <v>2023</v>
      </c>
      <c r="D4417" s="68" t="s">
        <v>304</v>
      </c>
      <c r="E4417" s="68" t="s">
        <v>301</v>
      </c>
      <c r="F4417" s="68" t="s">
        <v>298</v>
      </c>
      <c r="G4417" s="68"/>
      <c r="H4417" s="68"/>
      <c r="I4417" s="69">
        <v>178715.14159895209</v>
      </c>
    </row>
    <row r="4418" spans="1:9" hidden="1">
      <c r="A4418" s="64" t="s">
        <v>295</v>
      </c>
      <c r="B4418" s="65">
        <v>2044</v>
      </c>
      <c r="C4418" s="65">
        <v>2023</v>
      </c>
      <c r="D4418" s="65" t="s">
        <v>304</v>
      </c>
      <c r="E4418" s="65" t="s">
        <v>301</v>
      </c>
      <c r="F4418" s="65" t="s">
        <v>40</v>
      </c>
      <c r="G4418" s="65"/>
      <c r="H4418" s="65"/>
      <c r="I4418" s="66">
        <v>225912.9169146225</v>
      </c>
    </row>
    <row r="4419" spans="1:9" hidden="1">
      <c r="A4419" s="67" t="s">
        <v>295</v>
      </c>
      <c r="B4419" s="68">
        <v>2044</v>
      </c>
      <c r="C4419" s="68">
        <v>2023</v>
      </c>
      <c r="D4419" s="68" t="s">
        <v>304</v>
      </c>
      <c r="E4419" s="68" t="s">
        <v>305</v>
      </c>
      <c r="F4419" s="68" t="s">
        <v>297</v>
      </c>
      <c r="G4419" s="68"/>
      <c r="H4419" s="68"/>
      <c r="I4419" s="69">
        <v>1210.1252500000001</v>
      </c>
    </row>
    <row r="4420" spans="1:9" hidden="1">
      <c r="A4420" s="64" t="s">
        <v>295</v>
      </c>
      <c r="B4420" s="65">
        <v>2044</v>
      </c>
      <c r="C4420" s="65">
        <v>2023</v>
      </c>
      <c r="D4420" s="65" t="s">
        <v>304</v>
      </c>
      <c r="E4420" s="65" t="s">
        <v>305</v>
      </c>
      <c r="F4420" s="65" t="s">
        <v>298</v>
      </c>
      <c r="G4420" s="65"/>
      <c r="H4420" s="65"/>
      <c r="I4420" s="66">
        <v>765.98</v>
      </c>
    </row>
    <row r="4421" spans="1:9" hidden="1">
      <c r="A4421" s="67" t="s">
        <v>295</v>
      </c>
      <c r="B4421" s="68">
        <v>2044</v>
      </c>
      <c r="C4421" s="68">
        <v>2023</v>
      </c>
      <c r="D4421" s="68" t="s">
        <v>304</v>
      </c>
      <c r="E4421" s="68" t="s">
        <v>305</v>
      </c>
      <c r="F4421" s="68" t="s">
        <v>40</v>
      </c>
      <c r="G4421" s="68"/>
      <c r="H4421" s="68"/>
      <c r="I4421" s="69">
        <v>17512.985250000002</v>
      </c>
    </row>
    <row r="4422" spans="1:9" hidden="1">
      <c r="A4422" s="64" t="s">
        <v>295</v>
      </c>
      <c r="B4422" s="65">
        <v>2044</v>
      </c>
      <c r="C4422" s="65">
        <v>2023</v>
      </c>
      <c r="D4422" s="65" t="s">
        <v>306</v>
      </c>
      <c r="E4422" s="65" t="s">
        <v>294</v>
      </c>
      <c r="F4422" s="65" t="s">
        <v>297</v>
      </c>
      <c r="G4422" s="65"/>
      <c r="H4422" s="65"/>
      <c r="I4422" s="66">
        <v>347322.71123704163</v>
      </c>
    </row>
    <row r="4423" spans="1:9" hidden="1">
      <c r="A4423" s="67" t="s">
        <v>295</v>
      </c>
      <c r="B4423" s="68">
        <v>2044</v>
      </c>
      <c r="C4423" s="68">
        <v>2023</v>
      </c>
      <c r="D4423" s="68" t="s">
        <v>306</v>
      </c>
      <c r="E4423" s="68" t="s">
        <v>294</v>
      </c>
      <c r="F4423" s="68" t="s">
        <v>40</v>
      </c>
      <c r="G4423" s="68"/>
      <c r="H4423" s="68"/>
      <c r="I4423" s="69">
        <v>347154.45153191092</v>
      </c>
    </row>
    <row r="4424" spans="1:9" hidden="1">
      <c r="A4424" s="64" t="s">
        <v>295</v>
      </c>
      <c r="B4424" s="65">
        <v>2044</v>
      </c>
      <c r="C4424" s="65">
        <v>2023</v>
      </c>
      <c r="D4424" s="65" t="s">
        <v>306</v>
      </c>
      <c r="E4424" s="65" t="s">
        <v>301</v>
      </c>
      <c r="F4424" s="65" t="s">
        <v>297</v>
      </c>
      <c r="G4424" s="65"/>
      <c r="H4424" s="65"/>
      <c r="I4424" s="66">
        <v>365391.17668304307</v>
      </c>
    </row>
    <row r="4425" spans="1:9" hidden="1">
      <c r="A4425" s="67" t="s">
        <v>295</v>
      </c>
      <c r="B4425" s="68">
        <v>2044</v>
      </c>
      <c r="C4425" s="68">
        <v>2023</v>
      </c>
      <c r="D4425" s="68" t="s">
        <v>306</v>
      </c>
      <c r="E4425" s="68" t="s">
        <v>301</v>
      </c>
      <c r="F4425" s="68" t="s">
        <v>40</v>
      </c>
      <c r="G4425" s="68"/>
      <c r="H4425" s="68"/>
      <c r="I4425" s="69">
        <v>365391.17668304307</v>
      </c>
    </row>
    <row r="4426" spans="1:9" hidden="1">
      <c r="A4426" s="64" t="s">
        <v>295</v>
      </c>
      <c r="B4426" s="65">
        <v>2044</v>
      </c>
      <c r="C4426" s="65">
        <v>2023</v>
      </c>
      <c r="D4426" s="65" t="s">
        <v>306</v>
      </c>
      <c r="E4426" s="65" t="s">
        <v>305</v>
      </c>
      <c r="F4426" s="65" t="s">
        <v>297</v>
      </c>
      <c r="G4426" s="65"/>
      <c r="H4426" s="65"/>
      <c r="I4426" s="66">
        <v>2079.57123</v>
      </c>
    </row>
    <row r="4427" spans="1:9" hidden="1">
      <c r="A4427" s="67" t="s">
        <v>295</v>
      </c>
      <c r="B4427" s="68">
        <v>2044</v>
      </c>
      <c r="C4427" s="68">
        <v>2023</v>
      </c>
      <c r="D4427" s="68" t="s">
        <v>306</v>
      </c>
      <c r="E4427" s="68" t="s">
        <v>305</v>
      </c>
      <c r="F4427" s="68" t="s">
        <v>40</v>
      </c>
      <c r="G4427" s="68"/>
      <c r="H4427" s="68"/>
      <c r="I4427" s="69">
        <v>38195.551229999997</v>
      </c>
    </row>
    <row r="4428" spans="1:9" hidden="1">
      <c r="A4428" s="64" t="s">
        <v>295</v>
      </c>
      <c r="B4428" s="65">
        <v>2044</v>
      </c>
      <c r="C4428" s="65">
        <v>2023</v>
      </c>
      <c r="D4428" s="65" t="s">
        <v>307</v>
      </c>
      <c r="E4428" s="65" t="s">
        <v>294</v>
      </c>
      <c r="F4428" s="65" t="s">
        <v>40</v>
      </c>
      <c r="G4428" s="65"/>
      <c r="H4428" s="65"/>
      <c r="I4428" s="66">
        <v>-246180.03571824211</v>
      </c>
    </row>
    <row r="4429" spans="1:9" hidden="1">
      <c r="A4429" s="67" t="s">
        <v>295</v>
      </c>
      <c r="B4429" s="68">
        <v>2044</v>
      </c>
      <c r="C4429" s="68">
        <v>2023</v>
      </c>
      <c r="D4429" s="68" t="s">
        <v>307</v>
      </c>
      <c r="E4429" s="68" t="s">
        <v>301</v>
      </c>
      <c r="F4429" s="68" t="s">
        <v>40</v>
      </c>
      <c r="G4429" s="68"/>
      <c r="H4429" s="68"/>
      <c r="I4429" s="69">
        <v>-213954.53717105099</v>
      </c>
    </row>
    <row r="4430" spans="1:9" hidden="1">
      <c r="A4430" s="64" t="s">
        <v>295</v>
      </c>
      <c r="B4430" s="65">
        <v>2044</v>
      </c>
      <c r="C4430" s="65">
        <v>2023</v>
      </c>
      <c r="D4430" s="65" t="s">
        <v>307</v>
      </c>
      <c r="E4430" s="65" t="s">
        <v>305</v>
      </c>
      <c r="F4430" s="65" t="s">
        <v>40</v>
      </c>
      <c r="G4430" s="65"/>
      <c r="H4430" s="65"/>
      <c r="I4430" s="66">
        <v>-10556.6927</v>
      </c>
    </row>
    <row r="4431" spans="1:9" hidden="1">
      <c r="A4431" s="67" t="s">
        <v>295</v>
      </c>
      <c r="B4431" s="68">
        <v>2044</v>
      </c>
      <c r="C4431" s="68">
        <v>2023</v>
      </c>
      <c r="D4431" s="68" t="s">
        <v>327</v>
      </c>
      <c r="E4431" s="68" t="s">
        <v>294</v>
      </c>
      <c r="F4431" s="68" t="s">
        <v>40</v>
      </c>
      <c r="G4431" s="68"/>
      <c r="H4431" s="68"/>
      <c r="I4431" s="69">
        <v>-286931.35430497502</v>
      </c>
    </row>
    <row r="4432" spans="1:9" hidden="1">
      <c r="A4432" s="64" t="s">
        <v>295</v>
      </c>
      <c r="B4432" s="65">
        <v>2044</v>
      </c>
      <c r="C4432" s="65">
        <v>2023</v>
      </c>
      <c r="D4432" s="65" t="s">
        <v>327</v>
      </c>
      <c r="E4432" s="65" t="s">
        <v>301</v>
      </c>
      <c r="F4432" s="65" t="s">
        <v>40</v>
      </c>
      <c r="G4432" s="65"/>
      <c r="H4432" s="65"/>
      <c r="I4432" s="66">
        <v>-266773.15222331713</v>
      </c>
    </row>
    <row r="4433" spans="1:9" hidden="1">
      <c r="A4433" s="67" t="s">
        <v>295</v>
      </c>
      <c r="B4433" s="68">
        <v>2044</v>
      </c>
      <c r="C4433" s="68">
        <v>2023</v>
      </c>
      <c r="D4433" s="68" t="s">
        <v>327</v>
      </c>
      <c r="E4433" s="68" t="s">
        <v>305</v>
      </c>
      <c r="F4433" s="68" t="s">
        <v>40</v>
      </c>
      <c r="G4433" s="68"/>
      <c r="H4433" s="68"/>
      <c r="I4433" s="69">
        <v>-16367.081620000001</v>
      </c>
    </row>
    <row r="4434" spans="1:9" hidden="1">
      <c r="A4434" s="64" t="s">
        <v>295</v>
      </c>
      <c r="B4434" s="65">
        <v>2044</v>
      </c>
      <c r="C4434" s="65">
        <v>2023</v>
      </c>
      <c r="D4434" s="65" t="s">
        <v>328</v>
      </c>
      <c r="E4434" s="65" t="s">
        <v>294</v>
      </c>
      <c r="F4434" s="65" t="s">
        <v>40</v>
      </c>
      <c r="G4434" s="65"/>
      <c r="H4434" s="65"/>
      <c r="I4434" s="66">
        <v>22886.31794574557</v>
      </c>
    </row>
    <row r="4435" spans="1:9" hidden="1">
      <c r="A4435" s="67" t="s">
        <v>295</v>
      </c>
      <c r="B4435" s="68">
        <v>2044</v>
      </c>
      <c r="C4435" s="68">
        <v>2023</v>
      </c>
      <c r="D4435" s="68" t="s">
        <v>328</v>
      </c>
      <c r="E4435" s="68" t="s">
        <v>301</v>
      </c>
      <c r="F4435" s="68" t="s">
        <v>40</v>
      </c>
      <c r="G4435" s="68"/>
      <c r="H4435" s="68"/>
      <c r="I4435" s="69">
        <v>31180.047297558929</v>
      </c>
    </row>
    <row r="4436" spans="1:9" hidden="1">
      <c r="A4436" s="64" t="s">
        <v>295</v>
      </c>
      <c r="B4436" s="65">
        <v>2044</v>
      </c>
      <c r="C4436" s="65">
        <v>2023</v>
      </c>
      <c r="D4436" s="65" t="s">
        <v>328</v>
      </c>
      <c r="E4436" s="65" t="s">
        <v>305</v>
      </c>
      <c r="F4436" s="65" t="s">
        <v>40</v>
      </c>
      <c r="G4436" s="65"/>
      <c r="H4436" s="65"/>
      <c r="I4436" s="66">
        <v>-2176.6960300000001</v>
      </c>
    </row>
    <row r="4437" spans="1:9" hidden="1">
      <c r="A4437" s="67" t="s">
        <v>295</v>
      </c>
      <c r="B4437" s="68">
        <v>2044</v>
      </c>
      <c r="C4437" s="68">
        <v>2023</v>
      </c>
      <c r="D4437" s="68" t="s">
        <v>329</v>
      </c>
      <c r="E4437" s="68" t="s">
        <v>294</v>
      </c>
      <c r="F4437" s="68" t="s">
        <v>40</v>
      </c>
      <c r="G4437" s="68"/>
      <c r="H4437" s="68"/>
      <c r="I4437" s="69">
        <v>11352.740985287821</v>
      </c>
    </row>
    <row r="4438" spans="1:9" hidden="1">
      <c r="A4438" s="64" t="s">
        <v>295</v>
      </c>
      <c r="B4438" s="65">
        <v>2044</v>
      </c>
      <c r="C4438" s="65">
        <v>2023</v>
      </c>
      <c r="D4438" s="65" t="s">
        <v>329</v>
      </c>
      <c r="E4438" s="65" t="s">
        <v>301</v>
      </c>
      <c r="F4438" s="65" t="s">
        <v>40</v>
      </c>
      <c r="G4438" s="65"/>
      <c r="H4438" s="65"/>
      <c r="I4438" s="66">
        <v>11820.70961800554</v>
      </c>
    </row>
    <row r="4439" spans="1:9" hidden="1">
      <c r="A4439" s="67" t="s">
        <v>295</v>
      </c>
      <c r="B4439" s="68">
        <v>2044</v>
      </c>
      <c r="C4439" s="68">
        <v>2023</v>
      </c>
      <c r="D4439" s="68" t="s">
        <v>329</v>
      </c>
      <c r="E4439" s="68" t="s">
        <v>305</v>
      </c>
      <c r="F4439" s="68" t="s">
        <v>40</v>
      </c>
      <c r="G4439" s="68"/>
      <c r="H4439" s="68"/>
      <c r="I4439" s="69">
        <v>5278.2330599999996</v>
      </c>
    </row>
    <row r="4440" spans="1:9" hidden="1">
      <c r="A4440" s="64" t="s">
        <v>295</v>
      </c>
      <c r="B4440" s="65">
        <v>2044</v>
      </c>
      <c r="C4440" s="65">
        <v>2023</v>
      </c>
      <c r="D4440" s="65" t="s">
        <v>330</v>
      </c>
      <c r="E4440" s="65" t="s">
        <v>294</v>
      </c>
      <c r="F4440" s="65" t="s">
        <v>40</v>
      </c>
      <c r="G4440" s="65"/>
      <c r="H4440" s="65"/>
      <c r="I4440" s="66">
        <v>11690.72718664712</v>
      </c>
    </row>
    <row r="4441" spans="1:9" hidden="1">
      <c r="A4441" s="67" t="s">
        <v>295</v>
      </c>
      <c r="B4441" s="68">
        <v>2044</v>
      </c>
      <c r="C4441" s="68">
        <v>2023</v>
      </c>
      <c r="D4441" s="68" t="s">
        <v>330</v>
      </c>
      <c r="E4441" s="68" t="s">
        <v>301</v>
      </c>
      <c r="F4441" s="68" t="s">
        <v>40</v>
      </c>
      <c r="G4441" s="68"/>
      <c r="H4441" s="68"/>
      <c r="I4441" s="69">
        <v>12873.54396420149</v>
      </c>
    </row>
    <row r="4442" spans="1:9" hidden="1">
      <c r="A4442" s="64" t="s">
        <v>295</v>
      </c>
      <c r="B4442" s="65">
        <v>2044</v>
      </c>
      <c r="C4442" s="65">
        <v>2023</v>
      </c>
      <c r="D4442" s="65" t="s">
        <v>330</v>
      </c>
      <c r="E4442" s="65" t="s">
        <v>305</v>
      </c>
      <c r="F4442" s="65" t="s">
        <v>40</v>
      </c>
      <c r="G4442" s="65"/>
      <c r="H4442" s="65"/>
      <c r="I4442" s="66">
        <v>764.46648000000005</v>
      </c>
    </row>
    <row r="4443" spans="1:9" hidden="1">
      <c r="A4443" s="67" t="s">
        <v>295</v>
      </c>
      <c r="B4443" s="68">
        <v>2044</v>
      </c>
      <c r="C4443" s="68">
        <v>2023</v>
      </c>
      <c r="D4443" s="68" t="s">
        <v>331</v>
      </c>
      <c r="E4443" s="68" t="s">
        <v>294</v>
      </c>
      <c r="F4443" s="68" t="s">
        <v>40</v>
      </c>
      <c r="G4443" s="68"/>
      <c r="H4443" s="68"/>
      <c r="I4443" s="69">
        <v>28882.33869062968</v>
      </c>
    </row>
    <row r="4444" spans="1:9" hidden="1">
      <c r="A4444" s="64" t="s">
        <v>295</v>
      </c>
      <c r="B4444" s="65">
        <v>2044</v>
      </c>
      <c r="C4444" s="65">
        <v>2023</v>
      </c>
      <c r="D4444" s="65" t="s">
        <v>331</v>
      </c>
      <c r="E4444" s="65" t="s">
        <v>301</v>
      </c>
      <c r="F4444" s="65" t="s">
        <v>40</v>
      </c>
      <c r="G4444" s="65"/>
      <c r="H4444" s="65"/>
      <c r="I4444" s="66">
        <v>29328.569087645661</v>
      </c>
    </row>
    <row r="4445" spans="1:9" hidden="1">
      <c r="A4445" s="67" t="s">
        <v>295</v>
      </c>
      <c r="B4445" s="68">
        <v>2044</v>
      </c>
      <c r="C4445" s="68">
        <v>2023</v>
      </c>
      <c r="D4445" s="68" t="s">
        <v>331</v>
      </c>
      <c r="E4445" s="68" t="s">
        <v>305</v>
      </c>
      <c r="F4445" s="68" t="s">
        <v>40</v>
      </c>
      <c r="G4445" s="68"/>
      <c r="H4445" s="68"/>
      <c r="I4445" s="69">
        <v>3228.1483899999998</v>
      </c>
    </row>
    <row r="4446" spans="1:9" hidden="1">
      <c r="A4446" s="64" t="s">
        <v>295</v>
      </c>
      <c r="B4446" s="65">
        <v>2044</v>
      </c>
      <c r="C4446" s="65">
        <v>2023</v>
      </c>
      <c r="D4446" s="65" t="s">
        <v>332</v>
      </c>
      <c r="E4446" s="65" t="s">
        <v>294</v>
      </c>
      <c r="F4446" s="65" t="s">
        <v>40</v>
      </c>
      <c r="G4446" s="65"/>
      <c r="H4446" s="65"/>
      <c r="I4446" s="66">
        <v>497.83420999999998</v>
      </c>
    </row>
    <row r="4447" spans="1:9" hidden="1">
      <c r="A4447" s="67" t="s">
        <v>295</v>
      </c>
      <c r="B4447" s="68">
        <v>2044</v>
      </c>
      <c r="C4447" s="68">
        <v>2023</v>
      </c>
      <c r="D4447" s="68" t="s">
        <v>332</v>
      </c>
      <c r="E4447" s="68" t="s">
        <v>301</v>
      </c>
      <c r="F4447" s="68" t="s">
        <v>40</v>
      </c>
      <c r="G4447" s="68"/>
      <c r="H4447" s="68"/>
      <c r="I4447" s="69">
        <v>332.05421000000001</v>
      </c>
    </row>
    <row r="4448" spans="1:9" hidden="1">
      <c r="A4448" s="64" t="s">
        <v>295</v>
      </c>
      <c r="B4448" s="65">
        <v>2044</v>
      </c>
      <c r="C4448" s="65">
        <v>2023</v>
      </c>
      <c r="D4448" s="65" t="s">
        <v>332</v>
      </c>
      <c r="E4448" s="65" t="s">
        <v>305</v>
      </c>
      <c r="F4448" s="65" t="s">
        <v>40</v>
      </c>
      <c r="G4448" s="65"/>
      <c r="H4448" s="65"/>
      <c r="I4448" s="66">
        <v>317.13702999999998</v>
      </c>
    </row>
    <row r="4449" spans="1:9" hidden="1">
      <c r="A4449" s="67" t="s">
        <v>295</v>
      </c>
      <c r="B4449" s="68">
        <v>2044</v>
      </c>
      <c r="C4449" s="68">
        <v>2023</v>
      </c>
      <c r="D4449" s="68" t="s">
        <v>333</v>
      </c>
      <c r="E4449" s="68" t="s">
        <v>294</v>
      </c>
      <c r="F4449" s="68" t="s">
        <v>40</v>
      </c>
      <c r="G4449" s="68"/>
      <c r="H4449" s="68"/>
      <c r="I4449" s="69">
        <v>-34027.012493221613</v>
      </c>
    </row>
    <row r="4450" spans="1:9" hidden="1">
      <c r="A4450" s="64" t="s">
        <v>295</v>
      </c>
      <c r="B4450" s="65">
        <v>2044</v>
      </c>
      <c r="C4450" s="65">
        <v>2023</v>
      </c>
      <c r="D4450" s="65" t="s">
        <v>333</v>
      </c>
      <c r="E4450" s="65" t="s">
        <v>301</v>
      </c>
      <c r="F4450" s="65" t="s">
        <v>40</v>
      </c>
      <c r="G4450" s="65"/>
      <c r="H4450" s="65"/>
      <c r="I4450" s="66">
        <v>-33122.508753221613</v>
      </c>
    </row>
    <row r="4451" spans="1:9" hidden="1">
      <c r="A4451" s="67" t="s">
        <v>295</v>
      </c>
      <c r="B4451" s="68">
        <v>2044</v>
      </c>
      <c r="C4451" s="68">
        <v>2023</v>
      </c>
      <c r="D4451" s="68" t="s">
        <v>333</v>
      </c>
      <c r="E4451" s="68" t="s">
        <v>305</v>
      </c>
      <c r="F4451" s="68" t="s">
        <v>40</v>
      </c>
      <c r="G4451" s="68"/>
      <c r="H4451" s="68"/>
      <c r="I4451" s="69">
        <v>-1600.98</v>
      </c>
    </row>
    <row r="4452" spans="1:9" hidden="1">
      <c r="A4452" s="64" t="s">
        <v>295</v>
      </c>
      <c r="B4452" s="65">
        <v>2044</v>
      </c>
      <c r="C4452" s="65">
        <v>2023</v>
      </c>
      <c r="D4452" s="65" t="s">
        <v>334</v>
      </c>
      <c r="E4452" s="65" t="s">
        <v>294</v>
      </c>
      <c r="F4452" s="65" t="s">
        <v>40</v>
      </c>
      <c r="G4452" s="65"/>
      <c r="H4452" s="65"/>
      <c r="I4452" s="66">
        <v>253.85033000000001</v>
      </c>
    </row>
    <row r="4453" spans="1:9" hidden="1">
      <c r="A4453" s="67" t="s">
        <v>295</v>
      </c>
      <c r="B4453" s="68">
        <v>2044</v>
      </c>
      <c r="C4453" s="68">
        <v>2023</v>
      </c>
      <c r="D4453" s="68" t="s">
        <v>334</v>
      </c>
      <c r="E4453" s="68" t="s">
        <v>301</v>
      </c>
      <c r="F4453" s="68" t="s">
        <v>40</v>
      </c>
      <c r="G4453" s="68"/>
      <c r="H4453" s="68"/>
      <c r="I4453" s="69">
        <v>253.85033000000001</v>
      </c>
    </row>
    <row r="4454" spans="1:9" hidden="1">
      <c r="A4454" s="64" t="s">
        <v>295</v>
      </c>
      <c r="B4454" s="65">
        <v>2044</v>
      </c>
      <c r="C4454" s="65">
        <v>2023</v>
      </c>
      <c r="D4454" s="65" t="s">
        <v>308</v>
      </c>
      <c r="E4454" s="65" t="s">
        <v>294</v>
      </c>
      <c r="F4454" s="65" t="s">
        <v>297</v>
      </c>
      <c r="G4454" s="65"/>
      <c r="H4454" s="65"/>
      <c r="I4454" s="66">
        <v>63452.208835666883</v>
      </c>
    </row>
    <row r="4455" spans="1:9" hidden="1">
      <c r="A4455" s="67" t="s">
        <v>295</v>
      </c>
      <c r="B4455" s="68">
        <v>2044</v>
      </c>
      <c r="C4455" s="68">
        <v>2023</v>
      </c>
      <c r="D4455" s="68" t="s">
        <v>308</v>
      </c>
      <c r="E4455" s="68" t="s">
        <v>294</v>
      </c>
      <c r="F4455" s="68" t="s">
        <v>298</v>
      </c>
      <c r="G4455" s="68"/>
      <c r="H4455" s="68"/>
      <c r="I4455" s="69">
        <v>226.3931161335544</v>
      </c>
    </row>
    <row r="4456" spans="1:9" hidden="1">
      <c r="A4456" s="64" t="s">
        <v>295</v>
      </c>
      <c r="B4456" s="65">
        <v>2044</v>
      </c>
      <c r="C4456" s="65">
        <v>2023</v>
      </c>
      <c r="D4456" s="65" t="s">
        <v>308</v>
      </c>
      <c r="E4456" s="65" t="s">
        <v>294</v>
      </c>
      <c r="F4456" s="65" t="s">
        <v>40</v>
      </c>
      <c r="G4456" s="65"/>
      <c r="H4456" s="65"/>
      <c r="I4456" s="66">
        <v>63817.198891800443</v>
      </c>
    </row>
    <row r="4457" spans="1:9" hidden="1">
      <c r="A4457" s="67" t="s">
        <v>295</v>
      </c>
      <c r="B4457" s="68">
        <v>2044</v>
      </c>
      <c r="C4457" s="68">
        <v>2023</v>
      </c>
      <c r="D4457" s="68" t="s">
        <v>308</v>
      </c>
      <c r="E4457" s="68" t="s">
        <v>301</v>
      </c>
      <c r="F4457" s="68" t="s">
        <v>297</v>
      </c>
      <c r="G4457" s="68"/>
      <c r="H4457" s="68"/>
      <c r="I4457" s="69">
        <v>64500.818315628021</v>
      </c>
    </row>
    <row r="4458" spans="1:9" hidden="1">
      <c r="A4458" s="64" t="s">
        <v>295</v>
      </c>
      <c r="B4458" s="65">
        <v>2044</v>
      </c>
      <c r="C4458" s="65">
        <v>2023</v>
      </c>
      <c r="D4458" s="65" t="s">
        <v>308</v>
      </c>
      <c r="E4458" s="65" t="s">
        <v>301</v>
      </c>
      <c r="F4458" s="65" t="s">
        <v>298</v>
      </c>
      <c r="G4458" s="65"/>
      <c r="H4458" s="65"/>
      <c r="I4458" s="66">
        <v>226.39311611724969</v>
      </c>
    </row>
    <row r="4459" spans="1:9" hidden="1">
      <c r="A4459" s="67" t="s">
        <v>295</v>
      </c>
      <c r="B4459" s="68">
        <v>2044</v>
      </c>
      <c r="C4459" s="68">
        <v>2023</v>
      </c>
      <c r="D4459" s="68" t="s">
        <v>308</v>
      </c>
      <c r="E4459" s="68" t="s">
        <v>301</v>
      </c>
      <c r="F4459" s="68" t="s">
        <v>40</v>
      </c>
      <c r="G4459" s="68"/>
      <c r="H4459" s="68"/>
      <c r="I4459" s="69">
        <v>64624.973737942339</v>
      </c>
    </row>
    <row r="4460" spans="1:9" hidden="1">
      <c r="A4460" s="64" t="s">
        <v>295</v>
      </c>
      <c r="B4460" s="65">
        <v>2044</v>
      </c>
      <c r="C4460" s="65">
        <v>2023</v>
      </c>
      <c r="D4460" s="65" t="s">
        <v>308</v>
      </c>
      <c r="E4460" s="65" t="s">
        <v>305</v>
      </c>
      <c r="F4460" s="65" t="s">
        <v>297</v>
      </c>
      <c r="G4460" s="65"/>
      <c r="H4460" s="65"/>
      <c r="I4460" s="66">
        <v>1704.05961</v>
      </c>
    </row>
    <row r="4461" spans="1:9" hidden="1">
      <c r="A4461" s="67" t="s">
        <v>295</v>
      </c>
      <c r="B4461" s="68">
        <v>2044</v>
      </c>
      <c r="C4461" s="68">
        <v>2023</v>
      </c>
      <c r="D4461" s="68" t="s">
        <v>308</v>
      </c>
      <c r="E4461" s="68" t="s">
        <v>305</v>
      </c>
      <c r="F4461" s="68" t="s">
        <v>40</v>
      </c>
      <c r="G4461" s="68"/>
      <c r="H4461" s="68"/>
      <c r="I4461" s="69">
        <v>10173.89961</v>
      </c>
    </row>
    <row r="4462" spans="1:9" hidden="1">
      <c r="A4462" s="64" t="s">
        <v>295</v>
      </c>
      <c r="B4462" s="65">
        <v>2044</v>
      </c>
      <c r="C4462" s="65">
        <v>2023</v>
      </c>
      <c r="D4462" s="65" t="s">
        <v>310</v>
      </c>
      <c r="E4462" s="65" t="s">
        <v>294</v>
      </c>
      <c r="F4462" s="65" t="s">
        <v>297</v>
      </c>
      <c r="G4462" s="65"/>
      <c r="H4462" s="65"/>
      <c r="I4462" s="66">
        <v>175.98</v>
      </c>
    </row>
    <row r="4463" spans="1:9" hidden="1">
      <c r="A4463" s="67" t="s">
        <v>295</v>
      </c>
      <c r="B4463" s="68">
        <v>2044</v>
      </c>
      <c r="C4463" s="68">
        <v>2023</v>
      </c>
      <c r="D4463" s="68" t="s">
        <v>310</v>
      </c>
      <c r="E4463" s="68" t="s">
        <v>294</v>
      </c>
      <c r="F4463" s="68" t="s">
        <v>40</v>
      </c>
      <c r="G4463" s="68"/>
      <c r="H4463" s="68"/>
      <c r="I4463" s="69">
        <v>125117.04216094541</v>
      </c>
    </row>
    <row r="4464" spans="1:9" hidden="1">
      <c r="A4464" s="64" t="s">
        <v>295</v>
      </c>
      <c r="B4464" s="65">
        <v>2044</v>
      </c>
      <c r="C4464" s="65">
        <v>2023</v>
      </c>
      <c r="D4464" s="65" t="s">
        <v>310</v>
      </c>
      <c r="E4464" s="65" t="s">
        <v>301</v>
      </c>
      <c r="F4464" s="65" t="s">
        <v>297</v>
      </c>
      <c r="G4464" s="65"/>
      <c r="H4464" s="65"/>
      <c r="I4464" s="66">
        <v>175.98</v>
      </c>
    </row>
    <row r="4465" spans="1:9" hidden="1">
      <c r="A4465" s="67" t="s">
        <v>295</v>
      </c>
      <c r="B4465" s="68">
        <v>2044</v>
      </c>
      <c r="C4465" s="68">
        <v>2023</v>
      </c>
      <c r="D4465" s="68" t="s">
        <v>310</v>
      </c>
      <c r="E4465" s="68" t="s">
        <v>301</v>
      </c>
      <c r="F4465" s="68" t="s">
        <v>40</v>
      </c>
      <c r="G4465" s="68"/>
      <c r="H4465" s="68"/>
      <c r="I4465" s="69">
        <v>133787.96792821359</v>
      </c>
    </row>
    <row r="4466" spans="1:9" hidden="1">
      <c r="A4466" s="64" t="s">
        <v>295</v>
      </c>
      <c r="B4466" s="65">
        <v>2044</v>
      </c>
      <c r="C4466" s="65">
        <v>2023</v>
      </c>
      <c r="D4466" s="65" t="s">
        <v>310</v>
      </c>
      <c r="E4466" s="65" t="s">
        <v>305</v>
      </c>
      <c r="F4466" s="65" t="s">
        <v>40</v>
      </c>
      <c r="G4466" s="65"/>
      <c r="H4466" s="65"/>
      <c r="I4466" s="66">
        <v>1325.1009100000001</v>
      </c>
    </row>
    <row r="4467" spans="1:9" hidden="1">
      <c r="A4467" s="67" t="s">
        <v>295</v>
      </c>
      <c r="B4467" s="68">
        <v>2044</v>
      </c>
      <c r="C4467" s="68">
        <v>2023</v>
      </c>
      <c r="D4467" s="68" t="s">
        <v>311</v>
      </c>
      <c r="E4467" s="68" t="s">
        <v>294</v>
      </c>
      <c r="F4467" s="68" t="s">
        <v>297</v>
      </c>
      <c r="G4467" s="68"/>
      <c r="H4467" s="68"/>
      <c r="I4467" s="69">
        <v>854.1</v>
      </c>
    </row>
    <row r="4468" spans="1:9" hidden="1">
      <c r="A4468" s="64" t="s">
        <v>295</v>
      </c>
      <c r="B4468" s="65">
        <v>2044</v>
      </c>
      <c r="C4468" s="65">
        <v>2023</v>
      </c>
      <c r="D4468" s="65" t="s">
        <v>311</v>
      </c>
      <c r="E4468" s="65" t="s">
        <v>294</v>
      </c>
      <c r="F4468" s="65" t="s">
        <v>40</v>
      </c>
      <c r="G4468" s="65"/>
      <c r="H4468" s="65"/>
      <c r="I4468" s="66">
        <v>142462.00886869489</v>
      </c>
    </row>
    <row r="4469" spans="1:9" hidden="1">
      <c r="A4469" s="67" t="s">
        <v>295</v>
      </c>
      <c r="B4469" s="68">
        <v>2044</v>
      </c>
      <c r="C4469" s="68">
        <v>2023</v>
      </c>
      <c r="D4469" s="68" t="s">
        <v>311</v>
      </c>
      <c r="E4469" s="68" t="s">
        <v>301</v>
      </c>
      <c r="F4469" s="68" t="s">
        <v>297</v>
      </c>
      <c r="G4469" s="68"/>
      <c r="H4469" s="68"/>
      <c r="I4469" s="69">
        <v>854.1</v>
      </c>
    </row>
    <row r="4470" spans="1:9" hidden="1">
      <c r="A4470" s="64" t="s">
        <v>295</v>
      </c>
      <c r="B4470" s="65">
        <v>2044</v>
      </c>
      <c r="C4470" s="65">
        <v>2023</v>
      </c>
      <c r="D4470" s="65" t="s">
        <v>311</v>
      </c>
      <c r="E4470" s="65" t="s">
        <v>301</v>
      </c>
      <c r="F4470" s="65" t="s">
        <v>40</v>
      </c>
      <c r="G4470" s="65"/>
      <c r="H4470" s="65"/>
      <c r="I4470" s="66">
        <v>144894.33163429931</v>
      </c>
    </row>
    <row r="4471" spans="1:9" hidden="1">
      <c r="A4471" s="67" t="s">
        <v>295</v>
      </c>
      <c r="B4471" s="68">
        <v>2044</v>
      </c>
      <c r="C4471" s="68">
        <v>2023</v>
      </c>
      <c r="D4471" s="68" t="s">
        <v>311</v>
      </c>
      <c r="E4471" s="68" t="s">
        <v>305</v>
      </c>
      <c r="F4471" s="68" t="s">
        <v>40</v>
      </c>
      <c r="G4471" s="68"/>
      <c r="H4471" s="68"/>
      <c r="I4471" s="69">
        <v>1001.4</v>
      </c>
    </row>
    <row r="4472" spans="1:9" hidden="1">
      <c r="A4472" s="64" t="s">
        <v>295</v>
      </c>
      <c r="B4472" s="65">
        <v>2044</v>
      </c>
      <c r="C4472" s="65">
        <v>2023</v>
      </c>
      <c r="D4472" s="65" t="s">
        <v>312</v>
      </c>
      <c r="E4472" s="65" t="s">
        <v>294</v>
      </c>
      <c r="F4472" s="65" t="s">
        <v>297</v>
      </c>
      <c r="G4472" s="65"/>
      <c r="H4472" s="65"/>
      <c r="I4472" s="66">
        <v>700.47154</v>
      </c>
    </row>
    <row r="4473" spans="1:9" hidden="1">
      <c r="A4473" s="67" t="s">
        <v>295</v>
      </c>
      <c r="B4473" s="68">
        <v>2044</v>
      </c>
      <c r="C4473" s="68">
        <v>2023</v>
      </c>
      <c r="D4473" s="68" t="s">
        <v>312</v>
      </c>
      <c r="E4473" s="68" t="s">
        <v>294</v>
      </c>
      <c r="F4473" s="68" t="s">
        <v>40</v>
      </c>
      <c r="G4473" s="68"/>
      <c r="H4473" s="68"/>
      <c r="I4473" s="69">
        <v>844.36403760258634</v>
      </c>
    </row>
    <row r="4474" spans="1:9" hidden="1">
      <c r="A4474" s="64" t="s">
        <v>295</v>
      </c>
      <c r="B4474" s="65">
        <v>2044</v>
      </c>
      <c r="C4474" s="65">
        <v>2023</v>
      </c>
      <c r="D4474" s="65" t="s">
        <v>312</v>
      </c>
      <c r="E4474" s="65" t="s">
        <v>301</v>
      </c>
      <c r="F4474" s="65" t="s">
        <v>297</v>
      </c>
      <c r="G4474" s="65"/>
      <c r="H4474" s="65"/>
      <c r="I4474" s="66">
        <v>704.17154000000005</v>
      </c>
    </row>
    <row r="4475" spans="1:9" hidden="1">
      <c r="A4475" s="67" t="s">
        <v>295</v>
      </c>
      <c r="B4475" s="68">
        <v>2044</v>
      </c>
      <c r="C4475" s="68">
        <v>2023</v>
      </c>
      <c r="D4475" s="68" t="s">
        <v>312</v>
      </c>
      <c r="E4475" s="68" t="s">
        <v>301</v>
      </c>
      <c r="F4475" s="68" t="s">
        <v>40</v>
      </c>
      <c r="G4475" s="68"/>
      <c r="H4475" s="68"/>
      <c r="I4475" s="69">
        <v>848.07154000000003</v>
      </c>
    </row>
    <row r="4476" spans="1:9" hidden="1">
      <c r="A4476" s="64" t="s">
        <v>295</v>
      </c>
      <c r="B4476" s="65">
        <v>2044</v>
      </c>
      <c r="C4476" s="65">
        <v>2023</v>
      </c>
      <c r="D4476" s="65" t="s">
        <v>313</v>
      </c>
      <c r="E4476" s="65" t="s">
        <v>294</v>
      </c>
      <c r="F4476" s="65" t="s">
        <v>297</v>
      </c>
      <c r="G4476" s="65"/>
      <c r="H4476" s="65"/>
      <c r="I4476" s="66">
        <v>1288318.9600637001</v>
      </c>
    </row>
    <row r="4477" spans="1:9" hidden="1">
      <c r="A4477" s="67" t="s">
        <v>295</v>
      </c>
      <c r="B4477" s="68">
        <v>2044</v>
      </c>
      <c r="C4477" s="68">
        <v>2023</v>
      </c>
      <c r="D4477" s="68" t="s">
        <v>313</v>
      </c>
      <c r="E4477" s="68" t="s">
        <v>294</v>
      </c>
      <c r="F4477" s="68" t="s">
        <v>298</v>
      </c>
      <c r="G4477" s="68"/>
      <c r="H4477" s="68"/>
      <c r="I4477" s="69">
        <v>604914.21726122964</v>
      </c>
    </row>
    <row r="4478" spans="1:9" hidden="1">
      <c r="A4478" s="64" t="s">
        <v>295</v>
      </c>
      <c r="B4478" s="65">
        <v>2044</v>
      </c>
      <c r="C4478" s="65">
        <v>2023</v>
      </c>
      <c r="D4478" s="65" t="s">
        <v>313</v>
      </c>
      <c r="E4478" s="65" t="s">
        <v>294</v>
      </c>
      <c r="F4478" s="65" t="s">
        <v>40</v>
      </c>
      <c r="G4478" s="65"/>
      <c r="H4478" s="65"/>
      <c r="I4478" s="66">
        <v>1909879.4739301261</v>
      </c>
    </row>
    <row r="4479" spans="1:9" hidden="1">
      <c r="A4479" s="67" t="s">
        <v>295</v>
      </c>
      <c r="B4479" s="68">
        <v>2044</v>
      </c>
      <c r="C4479" s="68">
        <v>2023</v>
      </c>
      <c r="D4479" s="68" t="s">
        <v>313</v>
      </c>
      <c r="E4479" s="68" t="s">
        <v>301</v>
      </c>
      <c r="F4479" s="68" t="s">
        <v>297</v>
      </c>
      <c r="G4479" s="68"/>
      <c r="H4479" s="68"/>
      <c r="I4479" s="69">
        <v>1496535.7501414439</v>
      </c>
    </row>
    <row r="4480" spans="1:9" hidden="1">
      <c r="A4480" s="64" t="s">
        <v>295</v>
      </c>
      <c r="B4480" s="65">
        <v>2044</v>
      </c>
      <c r="C4480" s="65">
        <v>2023</v>
      </c>
      <c r="D4480" s="65" t="s">
        <v>313</v>
      </c>
      <c r="E4480" s="65" t="s">
        <v>301</v>
      </c>
      <c r="F4480" s="65" t="s">
        <v>298</v>
      </c>
      <c r="G4480" s="65"/>
      <c r="H4480" s="65"/>
      <c r="I4480" s="66">
        <v>693176.19164254726</v>
      </c>
    </row>
    <row r="4481" spans="1:9" hidden="1">
      <c r="A4481" s="67" t="s">
        <v>295</v>
      </c>
      <c r="B4481" s="68">
        <v>2044</v>
      </c>
      <c r="C4481" s="68">
        <v>2023</v>
      </c>
      <c r="D4481" s="68" t="s">
        <v>313</v>
      </c>
      <c r="E4481" s="68" t="s">
        <v>301</v>
      </c>
      <c r="F4481" s="68" t="s">
        <v>40</v>
      </c>
      <c r="G4481" s="68"/>
      <c r="H4481" s="68"/>
      <c r="I4481" s="69">
        <v>2208029.8435144732</v>
      </c>
    </row>
    <row r="4482" spans="1:9" hidden="1">
      <c r="A4482" s="64" t="s">
        <v>295</v>
      </c>
      <c r="B4482" s="65">
        <v>2044</v>
      </c>
      <c r="C4482" s="65">
        <v>2023</v>
      </c>
      <c r="D4482" s="65" t="s">
        <v>313</v>
      </c>
      <c r="E4482" s="65" t="s">
        <v>305</v>
      </c>
      <c r="F4482" s="65" t="s">
        <v>297</v>
      </c>
      <c r="G4482" s="65"/>
      <c r="H4482" s="65"/>
      <c r="I4482" s="66">
        <v>17426.519039999999</v>
      </c>
    </row>
    <row r="4483" spans="1:9" hidden="1">
      <c r="A4483" s="67" t="s">
        <v>295</v>
      </c>
      <c r="B4483" s="68">
        <v>2044</v>
      </c>
      <c r="C4483" s="68">
        <v>2023</v>
      </c>
      <c r="D4483" s="68" t="s">
        <v>313</v>
      </c>
      <c r="E4483" s="68" t="s">
        <v>305</v>
      </c>
      <c r="F4483" s="68" t="s">
        <v>298</v>
      </c>
      <c r="G4483" s="68"/>
      <c r="H4483" s="68"/>
      <c r="I4483" s="69">
        <v>9552.5970600000001</v>
      </c>
    </row>
    <row r="4484" spans="1:9" hidden="1">
      <c r="A4484" s="64" t="s">
        <v>295</v>
      </c>
      <c r="B4484" s="65">
        <v>2044</v>
      </c>
      <c r="C4484" s="65">
        <v>2023</v>
      </c>
      <c r="D4484" s="65" t="s">
        <v>313</v>
      </c>
      <c r="E4484" s="65" t="s">
        <v>305</v>
      </c>
      <c r="F4484" s="65" t="s">
        <v>40</v>
      </c>
      <c r="G4484" s="65"/>
      <c r="H4484" s="65"/>
      <c r="I4484" s="66">
        <v>223039.09508</v>
      </c>
    </row>
    <row r="4485" spans="1:9" hidden="1">
      <c r="A4485" s="67" t="s">
        <v>295</v>
      </c>
      <c r="B4485" s="68">
        <v>2044</v>
      </c>
      <c r="C4485" s="68">
        <v>2023</v>
      </c>
      <c r="D4485" s="68" t="s">
        <v>314</v>
      </c>
      <c r="E4485" s="68" t="s">
        <v>294</v>
      </c>
      <c r="F4485" s="68" t="s">
        <v>297</v>
      </c>
      <c r="G4485" s="68"/>
      <c r="H4485" s="68"/>
      <c r="I4485" s="69">
        <v>1288318.9600637001</v>
      </c>
    </row>
    <row r="4486" spans="1:9" hidden="1">
      <c r="A4486" s="64" t="s">
        <v>295</v>
      </c>
      <c r="B4486" s="65">
        <v>2044</v>
      </c>
      <c r="C4486" s="65">
        <v>2023</v>
      </c>
      <c r="D4486" s="65" t="s">
        <v>314</v>
      </c>
      <c r="E4486" s="65" t="s">
        <v>294</v>
      </c>
      <c r="F4486" s="65" t="s">
        <v>298</v>
      </c>
      <c r="G4486" s="65"/>
      <c r="H4486" s="65"/>
      <c r="I4486" s="66">
        <v>604914.21726122964</v>
      </c>
    </row>
    <row r="4487" spans="1:9" hidden="1">
      <c r="A4487" s="67" t="s">
        <v>295</v>
      </c>
      <c r="B4487" s="68">
        <v>2044</v>
      </c>
      <c r="C4487" s="68">
        <v>2023</v>
      </c>
      <c r="D4487" s="68" t="s">
        <v>314</v>
      </c>
      <c r="E4487" s="68" t="s">
        <v>294</v>
      </c>
      <c r="F4487" s="68" t="s">
        <v>40</v>
      </c>
      <c r="G4487" s="68"/>
      <c r="H4487" s="68"/>
      <c r="I4487" s="69">
        <v>1642741.2130118839</v>
      </c>
    </row>
    <row r="4488" spans="1:9" hidden="1">
      <c r="A4488" s="64" t="s">
        <v>295</v>
      </c>
      <c r="B4488" s="65">
        <v>2044</v>
      </c>
      <c r="C4488" s="65">
        <v>2023</v>
      </c>
      <c r="D4488" s="65" t="s">
        <v>314</v>
      </c>
      <c r="E4488" s="65" t="s">
        <v>301</v>
      </c>
      <c r="F4488" s="65" t="s">
        <v>297</v>
      </c>
      <c r="G4488" s="65"/>
      <c r="H4488" s="65"/>
      <c r="I4488" s="66">
        <v>1496535.7501414439</v>
      </c>
    </row>
    <row r="4489" spans="1:9" hidden="1">
      <c r="A4489" s="67" t="s">
        <v>295</v>
      </c>
      <c r="B4489" s="68">
        <v>2044</v>
      </c>
      <c r="C4489" s="68">
        <v>2023</v>
      </c>
      <c r="D4489" s="68" t="s">
        <v>314</v>
      </c>
      <c r="E4489" s="68" t="s">
        <v>301</v>
      </c>
      <c r="F4489" s="68" t="s">
        <v>298</v>
      </c>
      <c r="G4489" s="68"/>
      <c r="H4489" s="68"/>
      <c r="I4489" s="69">
        <v>693176.19164254726</v>
      </c>
    </row>
    <row r="4490" spans="1:9" hidden="1">
      <c r="A4490" s="64" t="s">
        <v>295</v>
      </c>
      <c r="B4490" s="65">
        <v>2044</v>
      </c>
      <c r="C4490" s="65">
        <v>2023</v>
      </c>
      <c r="D4490" s="65" t="s">
        <v>314</v>
      </c>
      <c r="E4490" s="65" t="s">
        <v>301</v>
      </c>
      <c r="F4490" s="65" t="s">
        <v>40</v>
      </c>
      <c r="G4490" s="65"/>
      <c r="H4490" s="65"/>
      <c r="I4490" s="66">
        <v>1994073.378353422</v>
      </c>
    </row>
    <row r="4491" spans="1:9" hidden="1">
      <c r="A4491" s="67" t="s">
        <v>295</v>
      </c>
      <c r="B4491" s="68">
        <v>2044</v>
      </c>
      <c r="C4491" s="68">
        <v>2023</v>
      </c>
      <c r="D4491" s="68" t="s">
        <v>314</v>
      </c>
      <c r="E4491" s="68" t="s">
        <v>305</v>
      </c>
      <c r="F4491" s="68" t="s">
        <v>297</v>
      </c>
      <c r="G4491" s="68"/>
      <c r="H4491" s="68"/>
      <c r="I4491" s="69">
        <v>17426.519039999999</v>
      </c>
    </row>
    <row r="4492" spans="1:9" hidden="1">
      <c r="A4492" s="64" t="s">
        <v>295</v>
      </c>
      <c r="B4492" s="65">
        <v>2044</v>
      </c>
      <c r="C4492" s="65">
        <v>2023</v>
      </c>
      <c r="D4492" s="65" t="s">
        <v>314</v>
      </c>
      <c r="E4492" s="65" t="s">
        <v>305</v>
      </c>
      <c r="F4492" s="65" t="s">
        <v>298</v>
      </c>
      <c r="G4492" s="65"/>
      <c r="H4492" s="65"/>
      <c r="I4492" s="66">
        <v>9552.5970600000001</v>
      </c>
    </row>
    <row r="4493" spans="1:9" hidden="1">
      <c r="A4493" s="67" t="s">
        <v>295</v>
      </c>
      <c r="B4493" s="68">
        <v>2044</v>
      </c>
      <c r="C4493" s="68">
        <v>2023</v>
      </c>
      <c r="D4493" s="68" t="s">
        <v>314</v>
      </c>
      <c r="E4493" s="68" t="s">
        <v>305</v>
      </c>
      <c r="F4493" s="68" t="s">
        <v>40</v>
      </c>
      <c r="G4493" s="68"/>
      <c r="H4493" s="68"/>
      <c r="I4493" s="69">
        <v>212795.64238999999</v>
      </c>
    </row>
    <row r="4494" spans="1:9" hidden="1">
      <c r="A4494" s="64" t="s">
        <v>295</v>
      </c>
      <c r="B4494" s="65">
        <v>2045</v>
      </c>
      <c r="C4494" s="65">
        <v>2023</v>
      </c>
      <c r="D4494" s="65" t="s">
        <v>296</v>
      </c>
      <c r="E4494" s="65" t="s">
        <v>294</v>
      </c>
      <c r="F4494" s="65" t="s">
        <v>297</v>
      </c>
      <c r="G4494" s="65"/>
      <c r="H4494" s="65"/>
      <c r="I4494" s="66">
        <v>819951.48749885347</v>
      </c>
    </row>
    <row r="4495" spans="1:9" hidden="1">
      <c r="A4495" s="67" t="s">
        <v>295</v>
      </c>
      <c r="B4495" s="68">
        <v>2045</v>
      </c>
      <c r="C4495" s="68">
        <v>2023</v>
      </c>
      <c r="D4495" s="68" t="s">
        <v>296</v>
      </c>
      <c r="E4495" s="68" t="s">
        <v>294</v>
      </c>
      <c r="F4495" s="68" t="s">
        <v>298</v>
      </c>
      <c r="G4495" s="68"/>
      <c r="H4495" s="68"/>
      <c r="I4495" s="69">
        <v>431684.43751008622</v>
      </c>
    </row>
    <row r="4496" spans="1:9" hidden="1">
      <c r="A4496" s="64" t="s">
        <v>295</v>
      </c>
      <c r="B4496" s="65">
        <v>2045</v>
      </c>
      <c r="C4496" s="65">
        <v>2023</v>
      </c>
      <c r="D4496" s="65" t="s">
        <v>296</v>
      </c>
      <c r="E4496" s="65" t="s">
        <v>294</v>
      </c>
      <c r="F4496" s="65" t="s">
        <v>40</v>
      </c>
      <c r="G4496" s="65"/>
      <c r="H4496" s="65"/>
      <c r="I4496" s="66">
        <v>1268505.8842420529</v>
      </c>
    </row>
    <row r="4497" spans="1:9" hidden="1">
      <c r="A4497" s="67" t="s">
        <v>295</v>
      </c>
      <c r="B4497" s="68">
        <v>2045</v>
      </c>
      <c r="C4497" s="68">
        <v>2023</v>
      </c>
      <c r="D4497" s="68" t="s">
        <v>296</v>
      </c>
      <c r="E4497" s="68" t="s">
        <v>301</v>
      </c>
      <c r="F4497" s="68" t="s">
        <v>297</v>
      </c>
      <c r="G4497" s="68"/>
      <c r="H4497" s="68"/>
      <c r="I4497" s="69">
        <v>1005990.374696765</v>
      </c>
    </row>
    <row r="4498" spans="1:9" hidden="1">
      <c r="A4498" s="64" t="s">
        <v>295</v>
      </c>
      <c r="B4498" s="65">
        <v>2045</v>
      </c>
      <c r="C4498" s="65">
        <v>2023</v>
      </c>
      <c r="D4498" s="65" t="s">
        <v>296</v>
      </c>
      <c r="E4498" s="65" t="s">
        <v>301</v>
      </c>
      <c r="F4498" s="65" t="s">
        <v>298</v>
      </c>
      <c r="G4498" s="65"/>
      <c r="H4498" s="65"/>
      <c r="I4498" s="66">
        <v>510606.84476625331</v>
      </c>
    </row>
    <row r="4499" spans="1:9" hidden="1">
      <c r="A4499" s="67" t="s">
        <v>295</v>
      </c>
      <c r="B4499" s="68">
        <v>2045</v>
      </c>
      <c r="C4499" s="68">
        <v>2023</v>
      </c>
      <c r="D4499" s="68" t="s">
        <v>296</v>
      </c>
      <c r="E4499" s="68" t="s">
        <v>301</v>
      </c>
      <c r="F4499" s="68" t="s">
        <v>40</v>
      </c>
      <c r="G4499" s="68"/>
      <c r="H4499" s="68"/>
      <c r="I4499" s="69">
        <v>1535284.2397167061</v>
      </c>
    </row>
    <row r="4500" spans="1:9" hidden="1">
      <c r="A4500" s="64" t="s">
        <v>295</v>
      </c>
      <c r="B4500" s="65">
        <v>2045</v>
      </c>
      <c r="C4500" s="65">
        <v>2023</v>
      </c>
      <c r="D4500" s="65" t="s">
        <v>296</v>
      </c>
      <c r="E4500" s="65" t="s">
        <v>305</v>
      </c>
      <c r="F4500" s="65" t="s">
        <v>297</v>
      </c>
      <c r="G4500" s="65"/>
      <c r="H4500" s="65"/>
      <c r="I4500" s="66">
        <v>12435.056280000001</v>
      </c>
    </row>
    <row r="4501" spans="1:9" hidden="1">
      <c r="A4501" s="67" t="s">
        <v>295</v>
      </c>
      <c r="B4501" s="68">
        <v>2045</v>
      </c>
      <c r="C4501" s="68">
        <v>2023</v>
      </c>
      <c r="D4501" s="68" t="s">
        <v>296</v>
      </c>
      <c r="E4501" s="68" t="s">
        <v>305</v>
      </c>
      <c r="F4501" s="68" t="s">
        <v>298</v>
      </c>
      <c r="G4501" s="68"/>
      <c r="H4501" s="68"/>
      <c r="I4501" s="69">
        <v>8807.6356099999994</v>
      </c>
    </row>
    <row r="4502" spans="1:9" hidden="1">
      <c r="A4502" s="64" t="s">
        <v>295</v>
      </c>
      <c r="B4502" s="65">
        <v>2045</v>
      </c>
      <c r="C4502" s="65">
        <v>2023</v>
      </c>
      <c r="D4502" s="65" t="s">
        <v>296</v>
      </c>
      <c r="E4502" s="65" t="s">
        <v>305</v>
      </c>
      <c r="F4502" s="65" t="s">
        <v>40</v>
      </c>
      <c r="G4502" s="65"/>
      <c r="H4502" s="65"/>
      <c r="I4502" s="66">
        <v>157811.20185000001</v>
      </c>
    </row>
    <row r="4503" spans="1:9" hidden="1">
      <c r="A4503" s="67" t="s">
        <v>295</v>
      </c>
      <c r="B4503" s="68">
        <v>2045</v>
      </c>
      <c r="C4503" s="68">
        <v>2023</v>
      </c>
      <c r="D4503" s="68" t="s">
        <v>309</v>
      </c>
      <c r="E4503" s="68" t="s">
        <v>294</v>
      </c>
      <c r="F4503" s="68" t="s">
        <v>297</v>
      </c>
      <c r="G4503" s="68"/>
      <c r="H4503" s="68"/>
      <c r="I4503" s="69">
        <v>39585.049524216767</v>
      </c>
    </row>
    <row r="4504" spans="1:9" hidden="1">
      <c r="A4504" s="64" t="s">
        <v>295</v>
      </c>
      <c r="B4504" s="65">
        <v>2045</v>
      </c>
      <c r="C4504" s="65">
        <v>2023</v>
      </c>
      <c r="D4504" s="65" t="s">
        <v>309</v>
      </c>
      <c r="E4504" s="65" t="s">
        <v>294</v>
      </c>
      <c r="F4504" s="65" t="s">
        <v>298</v>
      </c>
      <c r="G4504" s="65"/>
      <c r="H4504" s="65"/>
      <c r="I4504" s="66">
        <v>255575.42819241251</v>
      </c>
    </row>
    <row r="4505" spans="1:9" hidden="1">
      <c r="A4505" s="67" t="s">
        <v>295</v>
      </c>
      <c r="B4505" s="68">
        <v>2045</v>
      </c>
      <c r="C4505" s="68">
        <v>2023</v>
      </c>
      <c r="D4505" s="68" t="s">
        <v>309</v>
      </c>
      <c r="E4505" s="68" t="s">
        <v>294</v>
      </c>
      <c r="F4505" s="68" t="s">
        <v>40</v>
      </c>
      <c r="G4505" s="68"/>
      <c r="H4505" s="68"/>
      <c r="I4505" s="69">
        <v>294575.62579719431</v>
      </c>
    </row>
    <row r="4506" spans="1:9" hidden="1">
      <c r="A4506" s="64" t="s">
        <v>295</v>
      </c>
      <c r="B4506" s="65">
        <v>2045</v>
      </c>
      <c r="C4506" s="65">
        <v>2023</v>
      </c>
      <c r="D4506" s="65" t="s">
        <v>309</v>
      </c>
      <c r="E4506" s="65" t="s">
        <v>301</v>
      </c>
      <c r="F4506" s="65" t="s">
        <v>297</v>
      </c>
      <c r="G4506" s="65"/>
      <c r="H4506" s="65"/>
      <c r="I4506" s="66">
        <v>40948.836099540262</v>
      </c>
    </row>
    <row r="4507" spans="1:9" hidden="1">
      <c r="A4507" s="67" t="s">
        <v>295</v>
      </c>
      <c r="B4507" s="68">
        <v>2045</v>
      </c>
      <c r="C4507" s="68">
        <v>2023</v>
      </c>
      <c r="D4507" s="68" t="s">
        <v>309</v>
      </c>
      <c r="E4507" s="68" t="s">
        <v>301</v>
      </c>
      <c r="F4507" s="68" t="s">
        <v>298</v>
      </c>
      <c r="G4507" s="68"/>
      <c r="H4507" s="68"/>
      <c r="I4507" s="69">
        <v>305240.43086338398</v>
      </c>
    </row>
    <row r="4508" spans="1:9" hidden="1">
      <c r="A4508" s="64" t="s">
        <v>295</v>
      </c>
      <c r="B4508" s="65">
        <v>2045</v>
      </c>
      <c r="C4508" s="65">
        <v>2023</v>
      </c>
      <c r="D4508" s="65" t="s">
        <v>309</v>
      </c>
      <c r="E4508" s="65" t="s">
        <v>301</v>
      </c>
      <c r="F4508" s="65" t="s">
        <v>40</v>
      </c>
      <c r="G4508" s="65"/>
      <c r="H4508" s="65"/>
      <c r="I4508" s="66">
        <v>345680.92241690878</v>
      </c>
    </row>
    <row r="4509" spans="1:9" hidden="1">
      <c r="A4509" s="67" t="s">
        <v>295</v>
      </c>
      <c r="B4509" s="68">
        <v>2045</v>
      </c>
      <c r="C4509" s="68">
        <v>2023</v>
      </c>
      <c r="D4509" s="68" t="s">
        <v>309</v>
      </c>
      <c r="E4509" s="68" t="s">
        <v>305</v>
      </c>
      <c r="F4509" s="68" t="s">
        <v>297</v>
      </c>
      <c r="G4509" s="68"/>
      <c r="H4509" s="68"/>
      <c r="I4509" s="69">
        <v>44.411409999999997</v>
      </c>
    </row>
    <row r="4510" spans="1:9" hidden="1">
      <c r="A4510" s="64" t="s">
        <v>295</v>
      </c>
      <c r="B4510" s="65">
        <v>2045</v>
      </c>
      <c r="C4510" s="65">
        <v>2023</v>
      </c>
      <c r="D4510" s="65" t="s">
        <v>309</v>
      </c>
      <c r="E4510" s="65" t="s">
        <v>305</v>
      </c>
      <c r="F4510" s="65" t="s">
        <v>298</v>
      </c>
      <c r="G4510" s="65"/>
      <c r="H4510" s="65"/>
      <c r="I4510" s="66">
        <v>7239.4356100000005</v>
      </c>
    </row>
    <row r="4511" spans="1:9" hidden="1">
      <c r="A4511" s="67" t="s">
        <v>295</v>
      </c>
      <c r="B4511" s="68">
        <v>2045</v>
      </c>
      <c r="C4511" s="68">
        <v>2023</v>
      </c>
      <c r="D4511" s="68" t="s">
        <v>309</v>
      </c>
      <c r="E4511" s="68" t="s">
        <v>305</v>
      </c>
      <c r="F4511" s="68" t="s">
        <v>40</v>
      </c>
      <c r="G4511" s="68"/>
      <c r="H4511" s="68"/>
      <c r="I4511" s="69">
        <v>48257.347020000001</v>
      </c>
    </row>
    <row r="4512" spans="1:9" hidden="1">
      <c r="A4512" s="64" t="s">
        <v>295</v>
      </c>
      <c r="B4512" s="65">
        <v>2045</v>
      </c>
      <c r="C4512" s="65">
        <v>2023</v>
      </c>
      <c r="D4512" s="65" t="s">
        <v>315</v>
      </c>
      <c r="E4512" s="65" t="s">
        <v>294</v>
      </c>
      <c r="F4512" s="65" t="s">
        <v>297</v>
      </c>
      <c r="G4512" s="65"/>
      <c r="H4512" s="65"/>
      <c r="I4512" s="66">
        <v>94402.898262802584</v>
      </c>
    </row>
    <row r="4513" spans="1:9" hidden="1">
      <c r="A4513" s="67" t="s">
        <v>295</v>
      </c>
      <c r="B4513" s="68">
        <v>2045</v>
      </c>
      <c r="C4513" s="68">
        <v>2023</v>
      </c>
      <c r="D4513" s="68" t="s">
        <v>315</v>
      </c>
      <c r="E4513" s="68" t="s">
        <v>294</v>
      </c>
      <c r="F4513" s="68" t="s">
        <v>298</v>
      </c>
      <c r="G4513" s="68"/>
      <c r="H4513" s="68"/>
      <c r="I4513" s="69">
        <v>161578.58573872401</v>
      </c>
    </row>
    <row r="4514" spans="1:9" hidden="1">
      <c r="A4514" s="64" t="s">
        <v>295</v>
      </c>
      <c r="B4514" s="65">
        <v>2045</v>
      </c>
      <c r="C4514" s="65">
        <v>2023</v>
      </c>
      <c r="D4514" s="65" t="s">
        <v>315</v>
      </c>
      <c r="E4514" s="65" t="s">
        <v>294</v>
      </c>
      <c r="F4514" s="65" t="s">
        <v>40</v>
      </c>
      <c r="G4514" s="65"/>
      <c r="H4514" s="65"/>
      <c r="I4514" s="66">
        <v>255350.99316288799</v>
      </c>
    </row>
    <row r="4515" spans="1:9" hidden="1">
      <c r="A4515" s="67" t="s">
        <v>295</v>
      </c>
      <c r="B4515" s="68">
        <v>2045</v>
      </c>
      <c r="C4515" s="68">
        <v>2023</v>
      </c>
      <c r="D4515" s="68" t="s">
        <v>315</v>
      </c>
      <c r="E4515" s="68" t="s">
        <v>301</v>
      </c>
      <c r="F4515" s="68" t="s">
        <v>297</v>
      </c>
      <c r="G4515" s="68"/>
      <c r="H4515" s="68"/>
      <c r="I4515" s="69">
        <v>101441.4012782768</v>
      </c>
    </row>
    <row r="4516" spans="1:9" hidden="1">
      <c r="A4516" s="64" t="s">
        <v>295</v>
      </c>
      <c r="B4516" s="65">
        <v>2045</v>
      </c>
      <c r="C4516" s="65">
        <v>2023</v>
      </c>
      <c r="D4516" s="65" t="s">
        <v>315</v>
      </c>
      <c r="E4516" s="65" t="s">
        <v>301</v>
      </c>
      <c r="F4516" s="65" t="s">
        <v>298</v>
      </c>
      <c r="G4516" s="65"/>
      <c r="H4516" s="65"/>
      <c r="I4516" s="66">
        <v>188848.46519242699</v>
      </c>
    </row>
    <row r="4517" spans="1:9" hidden="1">
      <c r="A4517" s="67" t="s">
        <v>295</v>
      </c>
      <c r="B4517" s="68">
        <v>2045</v>
      </c>
      <c r="C4517" s="68">
        <v>2023</v>
      </c>
      <c r="D4517" s="68" t="s">
        <v>315</v>
      </c>
      <c r="E4517" s="68" t="s">
        <v>301</v>
      </c>
      <c r="F4517" s="68" t="s">
        <v>40</v>
      </c>
      <c r="G4517" s="68"/>
      <c r="H4517" s="68"/>
      <c r="I4517" s="69">
        <v>289670.3544287007</v>
      </c>
    </row>
    <row r="4518" spans="1:9" hidden="1">
      <c r="A4518" s="64" t="s">
        <v>295</v>
      </c>
      <c r="B4518" s="65">
        <v>2045</v>
      </c>
      <c r="C4518" s="65">
        <v>2023</v>
      </c>
      <c r="D4518" s="65" t="s">
        <v>315</v>
      </c>
      <c r="E4518" s="65" t="s">
        <v>305</v>
      </c>
      <c r="F4518" s="65" t="s">
        <v>297</v>
      </c>
      <c r="G4518" s="65"/>
      <c r="H4518" s="65"/>
      <c r="I4518" s="66">
        <v>1146.0619799999999</v>
      </c>
    </row>
    <row r="4519" spans="1:9" hidden="1">
      <c r="A4519" s="67" t="s">
        <v>295</v>
      </c>
      <c r="B4519" s="68">
        <v>2045</v>
      </c>
      <c r="C4519" s="68">
        <v>2023</v>
      </c>
      <c r="D4519" s="68" t="s">
        <v>315</v>
      </c>
      <c r="E4519" s="68" t="s">
        <v>305</v>
      </c>
      <c r="F4519" s="68" t="s">
        <v>298</v>
      </c>
      <c r="G4519" s="68"/>
      <c r="H4519" s="68"/>
      <c r="I4519" s="69">
        <v>1498.3</v>
      </c>
    </row>
    <row r="4520" spans="1:9" hidden="1">
      <c r="A4520" s="64" t="s">
        <v>295</v>
      </c>
      <c r="B4520" s="65">
        <v>2045</v>
      </c>
      <c r="C4520" s="65">
        <v>2023</v>
      </c>
      <c r="D4520" s="65" t="s">
        <v>315</v>
      </c>
      <c r="E4520" s="65" t="s">
        <v>305</v>
      </c>
      <c r="F4520" s="65" t="s">
        <v>40</v>
      </c>
      <c r="G4520" s="65"/>
      <c r="H4520" s="65"/>
      <c r="I4520" s="66">
        <v>23000.661980000001</v>
      </c>
    </row>
    <row r="4521" spans="1:9" hidden="1">
      <c r="A4521" s="67" t="s">
        <v>295</v>
      </c>
      <c r="B4521" s="68">
        <v>2045</v>
      </c>
      <c r="C4521" s="68">
        <v>2023</v>
      </c>
      <c r="D4521" s="68" t="s">
        <v>316</v>
      </c>
      <c r="E4521" s="68" t="s">
        <v>294</v>
      </c>
      <c r="F4521" s="68" t="s">
        <v>297</v>
      </c>
      <c r="G4521" s="68"/>
      <c r="H4521" s="68"/>
      <c r="I4521" s="69">
        <v>388398.3882566411</v>
      </c>
    </row>
    <row r="4522" spans="1:9" hidden="1">
      <c r="A4522" s="64" t="s">
        <v>295</v>
      </c>
      <c r="B4522" s="65">
        <v>2045</v>
      </c>
      <c r="C4522" s="65">
        <v>2023</v>
      </c>
      <c r="D4522" s="65" t="s">
        <v>316</v>
      </c>
      <c r="E4522" s="65" t="s">
        <v>294</v>
      </c>
      <c r="F4522" s="65" t="s">
        <v>298</v>
      </c>
      <c r="G4522" s="65"/>
      <c r="H4522" s="65"/>
      <c r="I4522" s="66">
        <v>3211.6723295843258</v>
      </c>
    </row>
    <row r="4523" spans="1:9" hidden="1">
      <c r="A4523" s="67" t="s">
        <v>295</v>
      </c>
      <c r="B4523" s="68">
        <v>2045</v>
      </c>
      <c r="C4523" s="68">
        <v>2023</v>
      </c>
      <c r="D4523" s="68" t="s">
        <v>316</v>
      </c>
      <c r="E4523" s="68" t="s">
        <v>294</v>
      </c>
      <c r="F4523" s="68" t="s">
        <v>40</v>
      </c>
      <c r="G4523" s="68"/>
      <c r="H4523" s="68"/>
      <c r="I4523" s="69">
        <v>409142.95574094268</v>
      </c>
    </row>
    <row r="4524" spans="1:9" hidden="1">
      <c r="A4524" s="64" t="s">
        <v>295</v>
      </c>
      <c r="B4524" s="65">
        <v>2045</v>
      </c>
      <c r="C4524" s="65">
        <v>2023</v>
      </c>
      <c r="D4524" s="65" t="s">
        <v>316</v>
      </c>
      <c r="E4524" s="65" t="s">
        <v>301</v>
      </c>
      <c r="F4524" s="65" t="s">
        <v>297</v>
      </c>
      <c r="G4524" s="65"/>
      <c r="H4524" s="65"/>
      <c r="I4524" s="66">
        <v>494202.41164402041</v>
      </c>
    </row>
    <row r="4525" spans="1:9" hidden="1">
      <c r="A4525" s="67" t="s">
        <v>295</v>
      </c>
      <c r="B4525" s="68">
        <v>2045</v>
      </c>
      <c r="C4525" s="68">
        <v>2023</v>
      </c>
      <c r="D4525" s="68" t="s">
        <v>316</v>
      </c>
      <c r="E4525" s="68" t="s">
        <v>301</v>
      </c>
      <c r="F4525" s="68" t="s">
        <v>298</v>
      </c>
      <c r="G4525" s="68"/>
      <c r="H4525" s="68"/>
      <c r="I4525" s="69">
        <v>3434.6763161549188</v>
      </c>
    </row>
    <row r="4526" spans="1:9" hidden="1">
      <c r="A4526" s="64" t="s">
        <v>295</v>
      </c>
      <c r="B4526" s="65">
        <v>2045</v>
      </c>
      <c r="C4526" s="65">
        <v>2023</v>
      </c>
      <c r="D4526" s="65" t="s">
        <v>316</v>
      </c>
      <c r="E4526" s="65" t="s">
        <v>301</v>
      </c>
      <c r="F4526" s="65" t="s">
        <v>40</v>
      </c>
      <c r="G4526" s="65"/>
      <c r="H4526" s="65"/>
      <c r="I4526" s="66">
        <v>516899.90531586402</v>
      </c>
    </row>
    <row r="4527" spans="1:9" hidden="1">
      <c r="A4527" s="67" t="s">
        <v>295</v>
      </c>
      <c r="B4527" s="68">
        <v>2045</v>
      </c>
      <c r="C4527" s="68">
        <v>2023</v>
      </c>
      <c r="D4527" s="68" t="s">
        <v>316</v>
      </c>
      <c r="E4527" s="68" t="s">
        <v>305</v>
      </c>
      <c r="F4527" s="68" t="s">
        <v>297</v>
      </c>
      <c r="G4527" s="68"/>
      <c r="H4527" s="68"/>
      <c r="I4527" s="69">
        <v>9351.6865500000004</v>
      </c>
    </row>
    <row r="4528" spans="1:9" hidden="1">
      <c r="A4528" s="64" t="s">
        <v>295</v>
      </c>
      <c r="B4528" s="65">
        <v>2045</v>
      </c>
      <c r="C4528" s="65">
        <v>2023</v>
      </c>
      <c r="D4528" s="65" t="s">
        <v>316</v>
      </c>
      <c r="E4528" s="65" t="s">
        <v>305</v>
      </c>
      <c r="F4528" s="65" t="s">
        <v>298</v>
      </c>
      <c r="G4528" s="65"/>
      <c r="H4528" s="65"/>
      <c r="I4528" s="66">
        <v>0</v>
      </c>
    </row>
    <row r="4529" spans="1:9" hidden="1">
      <c r="A4529" s="67" t="s">
        <v>295</v>
      </c>
      <c r="B4529" s="68">
        <v>2045</v>
      </c>
      <c r="C4529" s="68">
        <v>2023</v>
      </c>
      <c r="D4529" s="68" t="s">
        <v>316</v>
      </c>
      <c r="E4529" s="68" t="s">
        <v>305</v>
      </c>
      <c r="F4529" s="68" t="s">
        <v>40</v>
      </c>
      <c r="G4529" s="68"/>
      <c r="H4529" s="68"/>
      <c r="I4529" s="69">
        <v>45560.29651</v>
      </c>
    </row>
    <row r="4530" spans="1:9" hidden="1">
      <c r="A4530" s="64" t="s">
        <v>295</v>
      </c>
      <c r="B4530" s="65">
        <v>2045</v>
      </c>
      <c r="C4530" s="65">
        <v>2023</v>
      </c>
      <c r="D4530" s="65" t="s">
        <v>317</v>
      </c>
      <c r="E4530" s="65" t="s">
        <v>294</v>
      </c>
      <c r="F4530" s="65" t="s">
        <v>297</v>
      </c>
      <c r="G4530" s="65"/>
      <c r="H4530" s="65"/>
      <c r="I4530" s="66">
        <v>146.3296376229201</v>
      </c>
    </row>
    <row r="4531" spans="1:9" hidden="1">
      <c r="A4531" s="67" t="s">
        <v>295</v>
      </c>
      <c r="B4531" s="68">
        <v>2045</v>
      </c>
      <c r="C4531" s="68">
        <v>2023</v>
      </c>
      <c r="D4531" s="68" t="s">
        <v>317</v>
      </c>
      <c r="E4531" s="68" t="s">
        <v>294</v>
      </c>
      <c r="F4531" s="68" t="s">
        <v>298</v>
      </c>
      <c r="G4531" s="68"/>
      <c r="H4531" s="68"/>
      <c r="I4531" s="69">
        <v>0</v>
      </c>
    </row>
    <row r="4532" spans="1:9" hidden="1">
      <c r="A4532" s="64" t="s">
        <v>295</v>
      </c>
      <c r="B4532" s="65">
        <v>2045</v>
      </c>
      <c r="C4532" s="65">
        <v>2023</v>
      </c>
      <c r="D4532" s="65" t="s">
        <v>317</v>
      </c>
      <c r="E4532" s="65" t="s">
        <v>294</v>
      </c>
      <c r="F4532" s="65" t="s">
        <v>40</v>
      </c>
      <c r="G4532" s="65"/>
      <c r="H4532" s="65"/>
      <c r="I4532" s="66">
        <v>17200.549140813371</v>
      </c>
    </row>
    <row r="4533" spans="1:9" hidden="1">
      <c r="A4533" s="67" t="s">
        <v>295</v>
      </c>
      <c r="B4533" s="68">
        <v>2045</v>
      </c>
      <c r="C4533" s="68">
        <v>2023</v>
      </c>
      <c r="D4533" s="68" t="s">
        <v>317</v>
      </c>
      <c r="E4533" s="68" t="s">
        <v>301</v>
      </c>
      <c r="F4533" s="68" t="s">
        <v>297</v>
      </c>
      <c r="G4533" s="68"/>
      <c r="H4533" s="68"/>
      <c r="I4533" s="69">
        <v>159.01072531148191</v>
      </c>
    </row>
    <row r="4534" spans="1:9" hidden="1">
      <c r="A4534" s="64" t="s">
        <v>295</v>
      </c>
      <c r="B4534" s="65">
        <v>2045</v>
      </c>
      <c r="C4534" s="65">
        <v>2023</v>
      </c>
      <c r="D4534" s="65" t="s">
        <v>317</v>
      </c>
      <c r="E4534" s="65" t="s">
        <v>301</v>
      </c>
      <c r="F4534" s="65" t="s">
        <v>298</v>
      </c>
      <c r="G4534" s="65"/>
      <c r="H4534" s="65"/>
      <c r="I4534" s="66">
        <v>0</v>
      </c>
    </row>
    <row r="4535" spans="1:9" hidden="1">
      <c r="A4535" s="67" t="s">
        <v>295</v>
      </c>
      <c r="B4535" s="68">
        <v>2045</v>
      </c>
      <c r="C4535" s="68">
        <v>2023</v>
      </c>
      <c r="D4535" s="68" t="s">
        <v>317</v>
      </c>
      <c r="E4535" s="68" t="s">
        <v>301</v>
      </c>
      <c r="F4535" s="68" t="s">
        <v>40</v>
      </c>
      <c r="G4535" s="68"/>
      <c r="H4535" s="68"/>
      <c r="I4535" s="69">
        <v>18861.501369175428</v>
      </c>
    </row>
    <row r="4536" spans="1:9" hidden="1">
      <c r="A4536" s="64" t="s">
        <v>295</v>
      </c>
      <c r="B4536" s="65">
        <v>2045</v>
      </c>
      <c r="C4536" s="65">
        <v>2023</v>
      </c>
      <c r="D4536" s="65" t="s">
        <v>317</v>
      </c>
      <c r="E4536" s="65" t="s">
        <v>305</v>
      </c>
      <c r="F4536" s="65" t="s">
        <v>297</v>
      </c>
      <c r="G4536" s="65"/>
      <c r="H4536" s="65"/>
      <c r="I4536" s="66">
        <v>1.362E-2</v>
      </c>
    </row>
    <row r="4537" spans="1:9" hidden="1">
      <c r="A4537" s="67" t="s">
        <v>295</v>
      </c>
      <c r="B4537" s="68">
        <v>2045</v>
      </c>
      <c r="C4537" s="68">
        <v>2023</v>
      </c>
      <c r="D4537" s="68" t="s">
        <v>317</v>
      </c>
      <c r="E4537" s="68" t="s">
        <v>305</v>
      </c>
      <c r="F4537" s="68" t="s">
        <v>40</v>
      </c>
      <c r="G4537" s="68"/>
      <c r="H4537" s="68"/>
      <c r="I4537" s="69">
        <v>538.02357999999992</v>
      </c>
    </row>
    <row r="4538" spans="1:9" hidden="1">
      <c r="A4538" s="64" t="s">
        <v>295</v>
      </c>
      <c r="B4538" s="65">
        <v>2045</v>
      </c>
      <c r="C4538" s="65">
        <v>2023</v>
      </c>
      <c r="D4538" s="65" t="s">
        <v>318</v>
      </c>
      <c r="E4538" s="65" t="s">
        <v>294</v>
      </c>
      <c r="F4538" s="65" t="s">
        <v>297</v>
      </c>
      <c r="G4538" s="65"/>
      <c r="H4538" s="65"/>
      <c r="I4538" s="66">
        <v>366748.57977302838</v>
      </c>
    </row>
    <row r="4539" spans="1:9" hidden="1">
      <c r="A4539" s="67" t="s">
        <v>295</v>
      </c>
      <c r="B4539" s="68">
        <v>2045</v>
      </c>
      <c r="C4539" s="68">
        <v>2023</v>
      </c>
      <c r="D4539" s="68" t="s">
        <v>318</v>
      </c>
      <c r="E4539" s="68" t="s">
        <v>294</v>
      </c>
      <c r="F4539" s="68" t="s">
        <v>298</v>
      </c>
      <c r="G4539" s="68"/>
      <c r="H4539" s="68"/>
      <c r="I4539" s="69">
        <v>0</v>
      </c>
    </row>
    <row r="4540" spans="1:9" hidden="1">
      <c r="A4540" s="64" t="s">
        <v>295</v>
      </c>
      <c r="B4540" s="65">
        <v>2045</v>
      </c>
      <c r="C4540" s="65">
        <v>2023</v>
      </c>
      <c r="D4540" s="65" t="s">
        <v>318</v>
      </c>
      <c r="E4540" s="65" t="s">
        <v>294</v>
      </c>
      <c r="F4540" s="65" t="s">
        <v>40</v>
      </c>
      <c r="G4540" s="65"/>
      <c r="H4540" s="65"/>
      <c r="I4540" s="66">
        <v>367149.47165724798</v>
      </c>
    </row>
    <row r="4541" spans="1:9" hidden="1">
      <c r="A4541" s="67" t="s">
        <v>295</v>
      </c>
      <c r="B4541" s="68">
        <v>2045</v>
      </c>
      <c r="C4541" s="68">
        <v>2023</v>
      </c>
      <c r="D4541" s="68" t="s">
        <v>318</v>
      </c>
      <c r="E4541" s="68" t="s">
        <v>301</v>
      </c>
      <c r="F4541" s="68" t="s">
        <v>297</v>
      </c>
      <c r="G4541" s="68"/>
      <c r="H4541" s="68"/>
      <c r="I4541" s="69">
        <v>470526.41874742613</v>
      </c>
    </row>
    <row r="4542" spans="1:9" hidden="1">
      <c r="A4542" s="64" t="s">
        <v>295</v>
      </c>
      <c r="B4542" s="65">
        <v>2045</v>
      </c>
      <c r="C4542" s="65">
        <v>2023</v>
      </c>
      <c r="D4542" s="65" t="s">
        <v>318</v>
      </c>
      <c r="E4542" s="65" t="s">
        <v>301</v>
      </c>
      <c r="F4542" s="65" t="s">
        <v>298</v>
      </c>
      <c r="G4542" s="65"/>
      <c r="H4542" s="65"/>
      <c r="I4542" s="66">
        <v>0</v>
      </c>
    </row>
    <row r="4543" spans="1:9" hidden="1">
      <c r="A4543" s="67" t="s">
        <v>295</v>
      </c>
      <c r="B4543" s="68">
        <v>2045</v>
      </c>
      <c r="C4543" s="68">
        <v>2023</v>
      </c>
      <c r="D4543" s="68" t="s">
        <v>318</v>
      </c>
      <c r="E4543" s="68" t="s">
        <v>301</v>
      </c>
      <c r="F4543" s="68" t="s">
        <v>40</v>
      </c>
      <c r="G4543" s="68"/>
      <c r="H4543" s="68"/>
      <c r="I4543" s="69">
        <v>471049.20040489489</v>
      </c>
    </row>
    <row r="4544" spans="1:9" hidden="1">
      <c r="A4544" s="64" t="s">
        <v>295</v>
      </c>
      <c r="B4544" s="65">
        <v>2045</v>
      </c>
      <c r="C4544" s="65">
        <v>2023</v>
      </c>
      <c r="D4544" s="65" t="s">
        <v>318</v>
      </c>
      <c r="E4544" s="65" t="s">
        <v>305</v>
      </c>
      <c r="F4544" s="65" t="s">
        <v>297</v>
      </c>
      <c r="G4544" s="65"/>
      <c r="H4544" s="65"/>
      <c r="I4544" s="66">
        <v>9248.3437999999987</v>
      </c>
    </row>
    <row r="4545" spans="1:9" hidden="1">
      <c r="A4545" s="67" t="s">
        <v>295</v>
      </c>
      <c r="B4545" s="68">
        <v>2045</v>
      </c>
      <c r="C4545" s="68">
        <v>2023</v>
      </c>
      <c r="D4545" s="68" t="s">
        <v>318</v>
      </c>
      <c r="E4545" s="68" t="s">
        <v>305</v>
      </c>
      <c r="F4545" s="68" t="s">
        <v>40</v>
      </c>
      <c r="G4545" s="68"/>
      <c r="H4545" s="68"/>
      <c r="I4545" s="69">
        <v>42733.843800000002</v>
      </c>
    </row>
    <row r="4546" spans="1:9" hidden="1">
      <c r="A4546" s="64" t="s">
        <v>295</v>
      </c>
      <c r="B4546" s="65">
        <v>2045</v>
      </c>
      <c r="C4546" s="65">
        <v>2023</v>
      </c>
      <c r="D4546" s="65" t="s">
        <v>320</v>
      </c>
      <c r="E4546" s="65" t="s">
        <v>294</v>
      </c>
      <c r="F4546" s="65" t="s">
        <v>297</v>
      </c>
      <c r="G4546" s="65"/>
      <c r="H4546" s="65"/>
      <c r="I4546" s="66">
        <v>3189.911513154058</v>
      </c>
    </row>
    <row r="4547" spans="1:9" hidden="1">
      <c r="A4547" s="67" t="s">
        <v>295</v>
      </c>
      <c r="B4547" s="68">
        <v>2045</v>
      </c>
      <c r="C4547" s="68">
        <v>2023</v>
      </c>
      <c r="D4547" s="68" t="s">
        <v>320</v>
      </c>
      <c r="E4547" s="68" t="s">
        <v>294</v>
      </c>
      <c r="F4547" s="68" t="s">
        <v>298</v>
      </c>
      <c r="G4547" s="68"/>
      <c r="H4547" s="68"/>
      <c r="I4547" s="69">
        <v>0</v>
      </c>
    </row>
    <row r="4548" spans="1:9" hidden="1">
      <c r="A4548" s="64" t="s">
        <v>295</v>
      </c>
      <c r="B4548" s="65">
        <v>2045</v>
      </c>
      <c r="C4548" s="65">
        <v>2023</v>
      </c>
      <c r="D4548" s="65" t="s">
        <v>320</v>
      </c>
      <c r="E4548" s="65" t="s">
        <v>294</v>
      </c>
      <c r="F4548" s="65" t="s">
        <v>40</v>
      </c>
      <c r="G4548" s="65"/>
      <c r="H4548" s="65"/>
      <c r="I4548" s="66">
        <v>3191.6235072280779</v>
      </c>
    </row>
    <row r="4549" spans="1:9" hidden="1">
      <c r="A4549" s="67" t="s">
        <v>295</v>
      </c>
      <c r="B4549" s="68">
        <v>2045</v>
      </c>
      <c r="C4549" s="68">
        <v>2023</v>
      </c>
      <c r="D4549" s="68" t="s">
        <v>320</v>
      </c>
      <c r="E4549" s="68" t="s">
        <v>301</v>
      </c>
      <c r="F4549" s="68" t="s">
        <v>297</v>
      </c>
      <c r="G4549" s="68"/>
      <c r="H4549" s="68"/>
      <c r="I4549" s="69">
        <v>4426.336008645214</v>
      </c>
    </row>
    <row r="4550" spans="1:9" hidden="1">
      <c r="A4550" s="64" t="s">
        <v>295</v>
      </c>
      <c r="B4550" s="65">
        <v>2045</v>
      </c>
      <c r="C4550" s="65">
        <v>2023</v>
      </c>
      <c r="D4550" s="65" t="s">
        <v>320</v>
      </c>
      <c r="E4550" s="65" t="s">
        <v>301</v>
      </c>
      <c r="F4550" s="65" t="s">
        <v>298</v>
      </c>
      <c r="G4550" s="65"/>
      <c r="H4550" s="65"/>
      <c r="I4550" s="66">
        <v>0</v>
      </c>
    </row>
    <row r="4551" spans="1:9" hidden="1">
      <c r="A4551" s="67" t="s">
        <v>295</v>
      </c>
      <c r="B4551" s="68">
        <v>2045</v>
      </c>
      <c r="C4551" s="68">
        <v>2023</v>
      </c>
      <c r="D4551" s="68" t="s">
        <v>320</v>
      </c>
      <c r="E4551" s="68" t="s">
        <v>301</v>
      </c>
      <c r="F4551" s="68" t="s">
        <v>40</v>
      </c>
      <c r="G4551" s="68"/>
      <c r="H4551" s="68"/>
      <c r="I4551" s="69">
        <v>4428.0431678715486</v>
      </c>
    </row>
    <row r="4552" spans="1:9" hidden="1">
      <c r="A4552" s="64" t="s">
        <v>295</v>
      </c>
      <c r="B4552" s="65">
        <v>2045</v>
      </c>
      <c r="C4552" s="65">
        <v>2023</v>
      </c>
      <c r="D4552" s="65" t="s">
        <v>320</v>
      </c>
      <c r="E4552" s="65" t="s">
        <v>305</v>
      </c>
      <c r="F4552" s="65" t="s">
        <v>297</v>
      </c>
      <c r="G4552" s="65"/>
      <c r="H4552" s="65"/>
      <c r="I4552" s="66">
        <v>42.5</v>
      </c>
    </row>
    <row r="4553" spans="1:9" hidden="1">
      <c r="A4553" s="67" t="s">
        <v>295</v>
      </c>
      <c r="B4553" s="68">
        <v>2045</v>
      </c>
      <c r="C4553" s="68">
        <v>2023</v>
      </c>
      <c r="D4553" s="68" t="s">
        <v>320</v>
      </c>
      <c r="E4553" s="68" t="s">
        <v>305</v>
      </c>
      <c r="F4553" s="68" t="s">
        <v>40</v>
      </c>
      <c r="G4553" s="68"/>
      <c r="H4553" s="68"/>
      <c r="I4553" s="69">
        <v>1541.3</v>
      </c>
    </row>
    <row r="4554" spans="1:9" hidden="1">
      <c r="A4554" s="64" t="s">
        <v>295</v>
      </c>
      <c r="B4554" s="65">
        <v>2045</v>
      </c>
      <c r="C4554" s="65">
        <v>2023</v>
      </c>
      <c r="D4554" s="65" t="s">
        <v>321</v>
      </c>
      <c r="E4554" s="65" t="s">
        <v>294</v>
      </c>
      <c r="F4554" s="65" t="s">
        <v>297</v>
      </c>
      <c r="G4554" s="65"/>
      <c r="H4554" s="65"/>
      <c r="I4554" s="66">
        <v>17151.655310352311</v>
      </c>
    </row>
    <row r="4555" spans="1:9" hidden="1">
      <c r="A4555" s="67" t="s">
        <v>295</v>
      </c>
      <c r="B4555" s="68">
        <v>2045</v>
      </c>
      <c r="C4555" s="68">
        <v>2023</v>
      </c>
      <c r="D4555" s="68" t="s">
        <v>321</v>
      </c>
      <c r="E4555" s="68" t="s">
        <v>294</v>
      </c>
      <c r="F4555" s="68" t="s">
        <v>298</v>
      </c>
      <c r="G4555" s="68"/>
      <c r="H4555" s="68"/>
      <c r="I4555" s="69">
        <v>0</v>
      </c>
    </row>
    <row r="4556" spans="1:9" hidden="1">
      <c r="A4556" s="64" t="s">
        <v>295</v>
      </c>
      <c r="B4556" s="65">
        <v>2045</v>
      </c>
      <c r="C4556" s="65">
        <v>2023</v>
      </c>
      <c r="D4556" s="65" t="s">
        <v>321</v>
      </c>
      <c r="E4556" s="65" t="s">
        <v>294</v>
      </c>
      <c r="F4556" s="65" t="s">
        <v>40</v>
      </c>
      <c r="G4556" s="65"/>
      <c r="H4556" s="65"/>
      <c r="I4556" s="66">
        <v>17177.523110411232</v>
      </c>
    </row>
    <row r="4557" spans="1:9" hidden="1">
      <c r="A4557" s="67" t="s">
        <v>295</v>
      </c>
      <c r="B4557" s="68">
        <v>2045</v>
      </c>
      <c r="C4557" s="68">
        <v>2023</v>
      </c>
      <c r="D4557" s="68" t="s">
        <v>321</v>
      </c>
      <c r="E4557" s="68" t="s">
        <v>301</v>
      </c>
      <c r="F4557" s="68" t="s">
        <v>297</v>
      </c>
      <c r="G4557" s="68"/>
      <c r="H4557" s="68"/>
      <c r="I4557" s="69">
        <v>17593.07223091284</v>
      </c>
    </row>
    <row r="4558" spans="1:9" hidden="1">
      <c r="A4558" s="64" t="s">
        <v>295</v>
      </c>
      <c r="B4558" s="65">
        <v>2045</v>
      </c>
      <c r="C4558" s="65">
        <v>2023</v>
      </c>
      <c r="D4558" s="65" t="s">
        <v>321</v>
      </c>
      <c r="E4558" s="65" t="s">
        <v>301</v>
      </c>
      <c r="F4558" s="65" t="s">
        <v>298</v>
      </c>
      <c r="G4558" s="65"/>
      <c r="H4558" s="65"/>
      <c r="I4558" s="66">
        <v>0</v>
      </c>
    </row>
    <row r="4559" spans="1:9" hidden="1">
      <c r="A4559" s="67" t="s">
        <v>295</v>
      </c>
      <c r="B4559" s="68">
        <v>2045</v>
      </c>
      <c r="C4559" s="68">
        <v>2023</v>
      </c>
      <c r="D4559" s="68" t="s">
        <v>321</v>
      </c>
      <c r="E4559" s="68" t="s">
        <v>301</v>
      </c>
      <c r="F4559" s="68" t="s">
        <v>40</v>
      </c>
      <c r="G4559" s="68"/>
      <c r="H4559" s="68"/>
      <c r="I4559" s="69">
        <v>17618.614845001521</v>
      </c>
    </row>
    <row r="4560" spans="1:9" hidden="1">
      <c r="A4560" s="64" t="s">
        <v>295</v>
      </c>
      <c r="B4560" s="65">
        <v>2045</v>
      </c>
      <c r="C4560" s="65">
        <v>2023</v>
      </c>
      <c r="D4560" s="65" t="s">
        <v>321</v>
      </c>
      <c r="E4560" s="65" t="s">
        <v>305</v>
      </c>
      <c r="F4560" s="65" t="s">
        <v>297</v>
      </c>
      <c r="G4560" s="65"/>
      <c r="H4560" s="65"/>
      <c r="I4560" s="66">
        <v>53.529119999999999</v>
      </c>
    </row>
    <row r="4561" spans="1:9" hidden="1">
      <c r="A4561" s="67" t="s">
        <v>295</v>
      </c>
      <c r="B4561" s="68">
        <v>2045</v>
      </c>
      <c r="C4561" s="68">
        <v>2023</v>
      </c>
      <c r="D4561" s="68" t="s">
        <v>321</v>
      </c>
      <c r="E4561" s="68" t="s">
        <v>305</v>
      </c>
      <c r="F4561" s="68" t="s">
        <v>40</v>
      </c>
      <c r="G4561" s="68"/>
      <c r="H4561" s="68"/>
      <c r="I4561" s="69">
        <v>418.42912000000001</v>
      </c>
    </row>
    <row r="4562" spans="1:9" hidden="1">
      <c r="A4562" s="64" t="s">
        <v>295</v>
      </c>
      <c r="B4562" s="65">
        <v>2045</v>
      </c>
      <c r="C4562" s="65">
        <v>2023</v>
      </c>
      <c r="D4562" s="65" t="s">
        <v>322</v>
      </c>
      <c r="E4562" s="65" t="s">
        <v>294</v>
      </c>
      <c r="F4562" s="65" t="s">
        <v>297</v>
      </c>
      <c r="G4562" s="65"/>
      <c r="H4562" s="65"/>
      <c r="I4562" s="66">
        <v>1180.268982483399</v>
      </c>
    </row>
    <row r="4563" spans="1:9" hidden="1">
      <c r="A4563" s="67" t="s">
        <v>295</v>
      </c>
      <c r="B4563" s="68">
        <v>2045</v>
      </c>
      <c r="C4563" s="68">
        <v>2023</v>
      </c>
      <c r="D4563" s="68" t="s">
        <v>322</v>
      </c>
      <c r="E4563" s="68" t="s">
        <v>294</v>
      </c>
      <c r="F4563" s="68" t="s">
        <v>298</v>
      </c>
      <c r="G4563" s="68"/>
      <c r="H4563" s="68"/>
      <c r="I4563" s="69">
        <v>3261.880752758535</v>
      </c>
    </row>
    <row r="4564" spans="1:9" hidden="1">
      <c r="A4564" s="64" t="s">
        <v>295</v>
      </c>
      <c r="B4564" s="65">
        <v>2045</v>
      </c>
      <c r="C4564" s="65">
        <v>2023</v>
      </c>
      <c r="D4564" s="65" t="s">
        <v>322</v>
      </c>
      <c r="E4564" s="65" t="s">
        <v>294</v>
      </c>
      <c r="F4564" s="65" t="s">
        <v>40</v>
      </c>
      <c r="G4564" s="65"/>
      <c r="H4564" s="65"/>
      <c r="I4564" s="66">
        <v>4442.0497252419336</v>
      </c>
    </row>
    <row r="4565" spans="1:9" hidden="1">
      <c r="A4565" s="67" t="s">
        <v>295</v>
      </c>
      <c r="B4565" s="68">
        <v>2045</v>
      </c>
      <c r="C4565" s="68">
        <v>2023</v>
      </c>
      <c r="D4565" s="68" t="s">
        <v>322</v>
      </c>
      <c r="E4565" s="68" t="s">
        <v>301</v>
      </c>
      <c r="F4565" s="68" t="s">
        <v>297</v>
      </c>
      <c r="G4565" s="68"/>
      <c r="H4565" s="68"/>
      <c r="I4565" s="69">
        <v>1515.8749017248349</v>
      </c>
    </row>
    <row r="4566" spans="1:9" hidden="1">
      <c r="A4566" s="64" t="s">
        <v>295</v>
      </c>
      <c r="B4566" s="65">
        <v>2045</v>
      </c>
      <c r="C4566" s="65">
        <v>2023</v>
      </c>
      <c r="D4566" s="65" t="s">
        <v>322</v>
      </c>
      <c r="E4566" s="65" t="s">
        <v>301</v>
      </c>
      <c r="F4566" s="65" t="s">
        <v>298</v>
      </c>
      <c r="G4566" s="65"/>
      <c r="H4566" s="65"/>
      <c r="I4566" s="66">
        <v>3444.9320771957041</v>
      </c>
    </row>
    <row r="4567" spans="1:9" hidden="1">
      <c r="A4567" s="67" t="s">
        <v>295</v>
      </c>
      <c r="B4567" s="68">
        <v>2045</v>
      </c>
      <c r="C4567" s="68">
        <v>2023</v>
      </c>
      <c r="D4567" s="68" t="s">
        <v>322</v>
      </c>
      <c r="E4567" s="68" t="s">
        <v>301</v>
      </c>
      <c r="F4567" s="68" t="s">
        <v>40</v>
      </c>
      <c r="G4567" s="68"/>
      <c r="H4567" s="68"/>
      <c r="I4567" s="69">
        <v>4960.7069789205379</v>
      </c>
    </row>
    <row r="4568" spans="1:9" hidden="1">
      <c r="A4568" s="64" t="s">
        <v>295</v>
      </c>
      <c r="B4568" s="65">
        <v>2045</v>
      </c>
      <c r="C4568" s="65">
        <v>2023</v>
      </c>
      <c r="D4568" s="65" t="s">
        <v>322</v>
      </c>
      <c r="E4568" s="65" t="s">
        <v>305</v>
      </c>
      <c r="F4568" s="65" t="s">
        <v>297</v>
      </c>
      <c r="G4568" s="65"/>
      <c r="H4568" s="65"/>
      <c r="I4568" s="66">
        <v>7.2</v>
      </c>
    </row>
    <row r="4569" spans="1:9" hidden="1">
      <c r="A4569" s="67" t="s">
        <v>295</v>
      </c>
      <c r="B4569" s="68">
        <v>2045</v>
      </c>
      <c r="C4569" s="68">
        <v>2023</v>
      </c>
      <c r="D4569" s="68" t="s">
        <v>322</v>
      </c>
      <c r="E4569" s="68" t="s">
        <v>305</v>
      </c>
      <c r="F4569" s="68" t="s">
        <v>40</v>
      </c>
      <c r="G4569" s="68"/>
      <c r="H4569" s="68"/>
      <c r="I4569" s="69">
        <v>328.6</v>
      </c>
    </row>
    <row r="4570" spans="1:9" hidden="1">
      <c r="A4570" s="64" t="s">
        <v>295</v>
      </c>
      <c r="B4570" s="65">
        <v>2045</v>
      </c>
      <c r="C4570" s="65">
        <v>2023</v>
      </c>
      <c r="D4570" s="65" t="s">
        <v>323</v>
      </c>
      <c r="E4570" s="65" t="s">
        <v>294</v>
      </c>
      <c r="F4570" s="65" t="s">
        <v>297</v>
      </c>
      <c r="G4570" s="65"/>
      <c r="H4570" s="65"/>
      <c r="I4570" s="66">
        <v>253683.22388742751</v>
      </c>
    </row>
    <row r="4571" spans="1:9" hidden="1">
      <c r="A4571" s="67" t="s">
        <v>295</v>
      </c>
      <c r="B4571" s="68">
        <v>2045</v>
      </c>
      <c r="C4571" s="68">
        <v>2023</v>
      </c>
      <c r="D4571" s="68" t="s">
        <v>323</v>
      </c>
      <c r="E4571" s="68" t="s">
        <v>294</v>
      </c>
      <c r="F4571" s="68" t="s">
        <v>298</v>
      </c>
      <c r="G4571" s="68"/>
      <c r="H4571" s="68"/>
      <c r="I4571" s="69">
        <v>925.13409169079443</v>
      </c>
    </row>
    <row r="4572" spans="1:9" hidden="1">
      <c r="A4572" s="64" t="s">
        <v>295</v>
      </c>
      <c r="B4572" s="65">
        <v>2045</v>
      </c>
      <c r="C4572" s="65">
        <v>2023</v>
      </c>
      <c r="D4572" s="65" t="s">
        <v>323</v>
      </c>
      <c r="E4572" s="65" t="s">
        <v>294</v>
      </c>
      <c r="F4572" s="65" t="s">
        <v>40</v>
      </c>
      <c r="G4572" s="65"/>
      <c r="H4572" s="65"/>
      <c r="I4572" s="66">
        <v>255156.72092286541</v>
      </c>
    </row>
    <row r="4573" spans="1:9" hidden="1">
      <c r="A4573" s="67" t="s">
        <v>295</v>
      </c>
      <c r="B4573" s="68">
        <v>2045</v>
      </c>
      <c r="C4573" s="68">
        <v>2023</v>
      </c>
      <c r="D4573" s="68" t="s">
        <v>323</v>
      </c>
      <c r="E4573" s="68" t="s">
        <v>301</v>
      </c>
      <c r="F4573" s="68" t="s">
        <v>297</v>
      </c>
      <c r="G4573" s="68"/>
      <c r="H4573" s="68"/>
      <c r="I4573" s="69">
        <v>323319.17917857639</v>
      </c>
    </row>
    <row r="4574" spans="1:9" hidden="1">
      <c r="A4574" s="64" t="s">
        <v>295</v>
      </c>
      <c r="B4574" s="65">
        <v>2045</v>
      </c>
      <c r="C4574" s="65">
        <v>2023</v>
      </c>
      <c r="D4574" s="65" t="s">
        <v>323</v>
      </c>
      <c r="E4574" s="65" t="s">
        <v>301</v>
      </c>
      <c r="F4574" s="65" t="s">
        <v>298</v>
      </c>
      <c r="G4574" s="65"/>
      <c r="H4574" s="65"/>
      <c r="I4574" s="66">
        <v>1085.2157273945329</v>
      </c>
    </row>
    <row r="4575" spans="1:9" hidden="1">
      <c r="A4575" s="67" t="s">
        <v>295</v>
      </c>
      <c r="B4575" s="68">
        <v>2045</v>
      </c>
      <c r="C4575" s="68">
        <v>2023</v>
      </c>
      <c r="D4575" s="68" t="s">
        <v>323</v>
      </c>
      <c r="E4575" s="68" t="s">
        <v>301</v>
      </c>
      <c r="F4575" s="68" t="s">
        <v>40</v>
      </c>
      <c r="G4575" s="68"/>
      <c r="H4575" s="68"/>
      <c r="I4575" s="69">
        <v>324952.10418215441</v>
      </c>
    </row>
    <row r="4576" spans="1:9" hidden="1">
      <c r="A4576" s="64" t="s">
        <v>295</v>
      </c>
      <c r="B4576" s="65">
        <v>2045</v>
      </c>
      <c r="C4576" s="65">
        <v>2023</v>
      </c>
      <c r="D4576" s="65" t="s">
        <v>323</v>
      </c>
      <c r="E4576" s="65" t="s">
        <v>305</v>
      </c>
      <c r="F4576" s="65" t="s">
        <v>297</v>
      </c>
      <c r="G4576" s="65"/>
      <c r="H4576" s="65"/>
      <c r="I4576" s="66">
        <v>1456.9963399999999</v>
      </c>
    </row>
    <row r="4577" spans="1:9" hidden="1">
      <c r="A4577" s="67" t="s">
        <v>295</v>
      </c>
      <c r="B4577" s="68">
        <v>2045</v>
      </c>
      <c r="C4577" s="68">
        <v>2023</v>
      </c>
      <c r="D4577" s="68" t="s">
        <v>323</v>
      </c>
      <c r="E4577" s="68" t="s">
        <v>305</v>
      </c>
      <c r="F4577" s="68" t="s">
        <v>40</v>
      </c>
      <c r="G4577" s="68"/>
      <c r="H4577" s="68"/>
      <c r="I4577" s="69">
        <v>21069.296340000001</v>
      </c>
    </row>
    <row r="4578" spans="1:9" hidden="1">
      <c r="A4578" s="64" t="s">
        <v>295</v>
      </c>
      <c r="B4578" s="65">
        <v>2045</v>
      </c>
      <c r="C4578" s="65">
        <v>2023</v>
      </c>
      <c r="D4578" s="65" t="s">
        <v>324</v>
      </c>
      <c r="E4578" s="65" t="s">
        <v>294</v>
      </c>
      <c r="F4578" s="65" t="s">
        <v>297</v>
      </c>
      <c r="G4578" s="65"/>
      <c r="H4578" s="65"/>
      <c r="I4578" s="66">
        <v>3468.2415745158369</v>
      </c>
    </row>
    <row r="4579" spans="1:9" hidden="1">
      <c r="A4579" s="67" t="s">
        <v>295</v>
      </c>
      <c r="B4579" s="68">
        <v>2045</v>
      </c>
      <c r="C4579" s="68">
        <v>2023</v>
      </c>
      <c r="D4579" s="68" t="s">
        <v>324</v>
      </c>
      <c r="E4579" s="68" t="s">
        <v>294</v>
      </c>
      <c r="F4579" s="68" t="s">
        <v>298</v>
      </c>
      <c r="G4579" s="68"/>
      <c r="H4579" s="68"/>
      <c r="I4579" s="69">
        <v>0</v>
      </c>
    </row>
    <row r="4580" spans="1:9" hidden="1">
      <c r="A4580" s="64" t="s">
        <v>295</v>
      </c>
      <c r="B4580" s="65">
        <v>2045</v>
      </c>
      <c r="C4580" s="65">
        <v>2023</v>
      </c>
      <c r="D4580" s="65" t="s">
        <v>324</v>
      </c>
      <c r="E4580" s="65" t="s">
        <v>294</v>
      </c>
      <c r="F4580" s="65" t="s">
        <v>40</v>
      </c>
      <c r="G4580" s="65"/>
      <c r="H4580" s="65"/>
      <c r="I4580" s="66">
        <v>3472.4717230776409</v>
      </c>
    </row>
    <row r="4581" spans="1:9" hidden="1">
      <c r="A4581" s="67" t="s">
        <v>295</v>
      </c>
      <c r="B4581" s="68">
        <v>2045</v>
      </c>
      <c r="C4581" s="68">
        <v>2023</v>
      </c>
      <c r="D4581" s="68" t="s">
        <v>324</v>
      </c>
      <c r="E4581" s="68" t="s">
        <v>301</v>
      </c>
      <c r="F4581" s="68" t="s">
        <v>297</v>
      </c>
      <c r="G4581" s="68"/>
      <c r="H4581" s="68"/>
      <c r="I4581" s="69">
        <v>3468.9803045158369</v>
      </c>
    </row>
    <row r="4582" spans="1:9" hidden="1">
      <c r="A4582" s="64" t="s">
        <v>295</v>
      </c>
      <c r="B4582" s="65">
        <v>2045</v>
      </c>
      <c r="C4582" s="65">
        <v>2023</v>
      </c>
      <c r="D4582" s="65" t="s">
        <v>324</v>
      </c>
      <c r="E4582" s="65" t="s">
        <v>301</v>
      </c>
      <c r="F4582" s="65" t="s">
        <v>298</v>
      </c>
      <c r="G4582" s="65"/>
      <c r="H4582" s="65"/>
      <c r="I4582" s="66">
        <v>0</v>
      </c>
    </row>
    <row r="4583" spans="1:9" hidden="1">
      <c r="A4583" s="67" t="s">
        <v>295</v>
      </c>
      <c r="B4583" s="68">
        <v>2045</v>
      </c>
      <c r="C4583" s="68">
        <v>2023</v>
      </c>
      <c r="D4583" s="68" t="s">
        <v>324</v>
      </c>
      <c r="E4583" s="68" t="s">
        <v>301</v>
      </c>
      <c r="F4583" s="68" t="s">
        <v>40</v>
      </c>
      <c r="G4583" s="68"/>
      <c r="H4583" s="68"/>
      <c r="I4583" s="69">
        <v>3473.210453077641</v>
      </c>
    </row>
    <row r="4584" spans="1:9" hidden="1">
      <c r="A4584" s="64" t="s">
        <v>295</v>
      </c>
      <c r="B4584" s="65">
        <v>2045</v>
      </c>
      <c r="C4584" s="65">
        <v>2023</v>
      </c>
      <c r="D4584" s="65" t="s">
        <v>324</v>
      </c>
      <c r="E4584" s="65" t="s">
        <v>305</v>
      </c>
      <c r="F4584" s="65" t="s">
        <v>297</v>
      </c>
      <c r="G4584" s="65"/>
      <c r="H4584" s="65"/>
      <c r="I4584" s="66">
        <v>4.0999999999999996</v>
      </c>
    </row>
    <row r="4585" spans="1:9" hidden="1">
      <c r="A4585" s="67" t="s">
        <v>295</v>
      </c>
      <c r="B4585" s="68">
        <v>2045</v>
      </c>
      <c r="C4585" s="68">
        <v>2023</v>
      </c>
      <c r="D4585" s="68" t="s">
        <v>324</v>
      </c>
      <c r="E4585" s="68" t="s">
        <v>305</v>
      </c>
      <c r="F4585" s="68" t="s">
        <v>40</v>
      </c>
      <c r="G4585" s="68"/>
      <c r="H4585" s="68"/>
      <c r="I4585" s="69">
        <v>1246.2</v>
      </c>
    </row>
    <row r="4586" spans="1:9" hidden="1">
      <c r="A4586" s="64" t="s">
        <v>295</v>
      </c>
      <c r="B4586" s="65">
        <v>2045</v>
      </c>
      <c r="C4586" s="65">
        <v>2023</v>
      </c>
      <c r="D4586" s="65" t="s">
        <v>325</v>
      </c>
      <c r="E4586" s="65" t="s">
        <v>294</v>
      </c>
      <c r="F4586" s="65" t="s">
        <v>297</v>
      </c>
      <c r="G4586" s="65"/>
      <c r="H4586" s="65"/>
      <c r="I4586" s="66">
        <v>40474.786013249643</v>
      </c>
    </row>
    <row r="4587" spans="1:9" hidden="1">
      <c r="A4587" s="67" t="s">
        <v>295</v>
      </c>
      <c r="B4587" s="68">
        <v>2045</v>
      </c>
      <c r="C4587" s="68">
        <v>2023</v>
      </c>
      <c r="D4587" s="68" t="s">
        <v>325</v>
      </c>
      <c r="E4587" s="68" t="s">
        <v>294</v>
      </c>
      <c r="F4587" s="68" t="s">
        <v>298</v>
      </c>
      <c r="G4587" s="68"/>
      <c r="H4587" s="68"/>
      <c r="I4587" s="69">
        <v>10393.41715767461</v>
      </c>
    </row>
    <row r="4588" spans="1:9" hidden="1">
      <c r="A4588" s="64" t="s">
        <v>295</v>
      </c>
      <c r="B4588" s="65">
        <v>2045</v>
      </c>
      <c r="C4588" s="65">
        <v>2023</v>
      </c>
      <c r="D4588" s="65" t="s">
        <v>325</v>
      </c>
      <c r="E4588" s="65" t="s">
        <v>294</v>
      </c>
      <c r="F4588" s="65" t="s">
        <v>40</v>
      </c>
      <c r="G4588" s="65"/>
      <c r="H4588" s="65"/>
      <c r="I4588" s="66">
        <v>50868.216895084777</v>
      </c>
    </row>
    <row r="4589" spans="1:9" hidden="1">
      <c r="A4589" s="67" t="s">
        <v>295</v>
      </c>
      <c r="B4589" s="68">
        <v>2045</v>
      </c>
      <c r="C4589" s="68">
        <v>2023</v>
      </c>
      <c r="D4589" s="68" t="s">
        <v>325</v>
      </c>
      <c r="E4589" s="68" t="s">
        <v>301</v>
      </c>
      <c r="F4589" s="68" t="s">
        <v>297</v>
      </c>
      <c r="G4589" s="68"/>
      <c r="H4589" s="68"/>
      <c r="I4589" s="69">
        <v>42670.566191835031</v>
      </c>
    </row>
    <row r="4590" spans="1:9" hidden="1">
      <c r="A4590" s="64" t="s">
        <v>295</v>
      </c>
      <c r="B4590" s="65">
        <v>2045</v>
      </c>
      <c r="C4590" s="65">
        <v>2023</v>
      </c>
      <c r="D4590" s="65" t="s">
        <v>325</v>
      </c>
      <c r="E4590" s="65" t="s">
        <v>301</v>
      </c>
      <c r="F4590" s="65" t="s">
        <v>298</v>
      </c>
      <c r="G4590" s="65"/>
      <c r="H4590" s="65"/>
      <c r="I4590" s="66">
        <v>11998.256678164969</v>
      </c>
    </row>
    <row r="4591" spans="1:9" hidden="1">
      <c r="A4591" s="67" t="s">
        <v>295</v>
      </c>
      <c r="B4591" s="68">
        <v>2045</v>
      </c>
      <c r="C4591" s="68">
        <v>2023</v>
      </c>
      <c r="D4591" s="68" t="s">
        <v>325</v>
      </c>
      <c r="E4591" s="68" t="s">
        <v>301</v>
      </c>
      <c r="F4591" s="68" t="s">
        <v>40</v>
      </c>
      <c r="G4591" s="68"/>
      <c r="H4591" s="68"/>
      <c r="I4591" s="69">
        <v>54668.942860000003</v>
      </c>
    </row>
    <row r="4592" spans="1:9" hidden="1">
      <c r="A4592" s="64" t="s">
        <v>295</v>
      </c>
      <c r="B4592" s="65">
        <v>2045</v>
      </c>
      <c r="C4592" s="65">
        <v>2023</v>
      </c>
      <c r="D4592" s="65" t="s">
        <v>325</v>
      </c>
      <c r="E4592" s="65" t="s">
        <v>305</v>
      </c>
      <c r="F4592" s="65" t="s">
        <v>297</v>
      </c>
      <c r="G4592" s="65"/>
      <c r="H4592" s="65"/>
      <c r="I4592" s="66">
        <v>431.7</v>
      </c>
    </row>
    <row r="4593" spans="1:9" hidden="1">
      <c r="A4593" s="67" t="s">
        <v>295</v>
      </c>
      <c r="B4593" s="68">
        <v>2045</v>
      </c>
      <c r="C4593" s="68">
        <v>2023</v>
      </c>
      <c r="D4593" s="68" t="s">
        <v>325</v>
      </c>
      <c r="E4593" s="68" t="s">
        <v>305</v>
      </c>
      <c r="F4593" s="68" t="s">
        <v>298</v>
      </c>
      <c r="G4593" s="68"/>
      <c r="H4593" s="68"/>
      <c r="I4593" s="69">
        <v>69.900000000000006</v>
      </c>
    </row>
    <row r="4594" spans="1:9" hidden="1">
      <c r="A4594" s="64" t="s">
        <v>295</v>
      </c>
      <c r="B4594" s="65">
        <v>2045</v>
      </c>
      <c r="C4594" s="65">
        <v>2023</v>
      </c>
      <c r="D4594" s="65" t="s">
        <v>325</v>
      </c>
      <c r="E4594" s="65" t="s">
        <v>305</v>
      </c>
      <c r="F4594" s="65" t="s">
        <v>40</v>
      </c>
      <c r="G4594" s="65"/>
      <c r="H4594" s="65"/>
      <c r="I4594" s="66">
        <v>18677.400000000001</v>
      </c>
    </row>
    <row r="4595" spans="1:9" hidden="1">
      <c r="A4595" s="67" t="s">
        <v>295</v>
      </c>
      <c r="B4595" s="68">
        <v>2045</v>
      </c>
      <c r="C4595" s="68">
        <v>2023</v>
      </c>
      <c r="D4595" s="68" t="s">
        <v>326</v>
      </c>
      <c r="E4595" s="68" t="s">
        <v>294</v>
      </c>
      <c r="F4595" s="68" t="s">
        <v>297</v>
      </c>
      <c r="G4595" s="68"/>
      <c r="H4595" s="68"/>
      <c r="I4595" s="69">
        <v>0</v>
      </c>
    </row>
    <row r="4596" spans="1:9" hidden="1">
      <c r="A4596" s="64" t="s">
        <v>295</v>
      </c>
      <c r="B4596" s="65">
        <v>2045</v>
      </c>
      <c r="C4596" s="65">
        <v>2023</v>
      </c>
      <c r="D4596" s="65" t="s">
        <v>326</v>
      </c>
      <c r="E4596" s="65" t="s">
        <v>294</v>
      </c>
      <c r="F4596" s="65" t="s">
        <v>298</v>
      </c>
      <c r="G4596" s="65"/>
      <c r="H4596" s="65"/>
      <c r="I4596" s="66">
        <v>0</v>
      </c>
    </row>
    <row r="4597" spans="1:9" hidden="1">
      <c r="A4597" s="67" t="s">
        <v>295</v>
      </c>
      <c r="B4597" s="68">
        <v>2045</v>
      </c>
      <c r="C4597" s="68">
        <v>2023</v>
      </c>
      <c r="D4597" s="68" t="s">
        <v>326</v>
      </c>
      <c r="E4597" s="68" t="s">
        <v>294</v>
      </c>
      <c r="F4597" s="68" t="s">
        <v>40</v>
      </c>
      <c r="G4597" s="68"/>
      <c r="H4597" s="68"/>
      <c r="I4597" s="69">
        <v>0</v>
      </c>
    </row>
    <row r="4598" spans="1:9" hidden="1">
      <c r="A4598" s="64" t="s">
        <v>295</v>
      </c>
      <c r="B4598" s="65">
        <v>2045</v>
      </c>
      <c r="C4598" s="65">
        <v>2023</v>
      </c>
      <c r="D4598" s="65" t="s">
        <v>326</v>
      </c>
      <c r="E4598" s="65" t="s">
        <v>301</v>
      </c>
      <c r="F4598" s="65" t="s">
        <v>297</v>
      </c>
      <c r="G4598" s="65"/>
      <c r="H4598" s="65"/>
      <c r="I4598" s="66">
        <v>0</v>
      </c>
    </row>
    <row r="4599" spans="1:9" hidden="1">
      <c r="A4599" s="67" t="s">
        <v>295</v>
      </c>
      <c r="B4599" s="68">
        <v>2045</v>
      </c>
      <c r="C4599" s="68">
        <v>2023</v>
      </c>
      <c r="D4599" s="68" t="s">
        <v>326</v>
      </c>
      <c r="E4599" s="68" t="s">
        <v>301</v>
      </c>
      <c r="F4599" s="68" t="s">
        <v>298</v>
      </c>
      <c r="G4599" s="68"/>
      <c r="H4599" s="68"/>
      <c r="I4599" s="69">
        <v>0</v>
      </c>
    </row>
    <row r="4600" spans="1:9" hidden="1">
      <c r="A4600" s="64" t="s">
        <v>295</v>
      </c>
      <c r="B4600" s="65">
        <v>2045</v>
      </c>
      <c r="C4600" s="65">
        <v>2023</v>
      </c>
      <c r="D4600" s="65" t="s">
        <v>326</v>
      </c>
      <c r="E4600" s="65" t="s">
        <v>301</v>
      </c>
      <c r="F4600" s="65" t="s">
        <v>40</v>
      </c>
      <c r="G4600" s="65"/>
      <c r="H4600" s="65"/>
      <c r="I4600" s="66">
        <v>0</v>
      </c>
    </row>
    <row r="4601" spans="1:9" hidden="1">
      <c r="A4601" s="67" t="s">
        <v>295</v>
      </c>
      <c r="B4601" s="68">
        <v>2045</v>
      </c>
      <c r="C4601" s="68">
        <v>2023</v>
      </c>
      <c r="D4601" s="68" t="s">
        <v>304</v>
      </c>
      <c r="E4601" s="68" t="s">
        <v>294</v>
      </c>
      <c r="F4601" s="68" t="s">
        <v>297</v>
      </c>
      <c r="G4601" s="68"/>
      <c r="H4601" s="68"/>
      <c r="I4601" s="69">
        <v>43830.112968195142</v>
      </c>
    </row>
    <row r="4602" spans="1:9" hidden="1">
      <c r="A4602" s="64" t="s">
        <v>295</v>
      </c>
      <c r="B4602" s="65">
        <v>2045</v>
      </c>
      <c r="C4602" s="65">
        <v>2023</v>
      </c>
      <c r="D4602" s="65" t="s">
        <v>304</v>
      </c>
      <c r="E4602" s="65" t="s">
        <v>294</v>
      </c>
      <c r="F4602" s="65" t="s">
        <v>298</v>
      </c>
      <c r="G4602" s="65"/>
      <c r="H4602" s="65"/>
      <c r="I4602" s="66">
        <v>169275.65725022461</v>
      </c>
    </row>
    <row r="4603" spans="1:9" hidden="1">
      <c r="A4603" s="67" t="s">
        <v>295</v>
      </c>
      <c r="B4603" s="68">
        <v>2045</v>
      </c>
      <c r="C4603" s="68">
        <v>2023</v>
      </c>
      <c r="D4603" s="68" t="s">
        <v>304</v>
      </c>
      <c r="E4603" s="68" t="s">
        <v>294</v>
      </c>
      <c r="F4603" s="68" t="s">
        <v>40</v>
      </c>
      <c r="G4603" s="68"/>
      <c r="H4603" s="68"/>
      <c r="I4603" s="69">
        <v>212868.17714929249</v>
      </c>
    </row>
    <row r="4604" spans="1:9" hidden="1">
      <c r="A4604" s="64" t="s">
        <v>295</v>
      </c>
      <c r="B4604" s="65">
        <v>2045</v>
      </c>
      <c r="C4604" s="65">
        <v>2023</v>
      </c>
      <c r="D4604" s="65" t="s">
        <v>304</v>
      </c>
      <c r="E4604" s="65" t="s">
        <v>301</v>
      </c>
      <c r="F4604" s="65" t="s">
        <v>297</v>
      </c>
      <c r="G4604" s="65"/>
      <c r="H4604" s="65"/>
      <c r="I4604" s="66">
        <v>47121.956837167687</v>
      </c>
    </row>
    <row r="4605" spans="1:9" hidden="1">
      <c r="A4605" s="67" t="s">
        <v>295</v>
      </c>
      <c r="B4605" s="68">
        <v>2045</v>
      </c>
      <c r="C4605" s="68">
        <v>2023</v>
      </c>
      <c r="D4605" s="68" t="s">
        <v>304</v>
      </c>
      <c r="E4605" s="68" t="s">
        <v>301</v>
      </c>
      <c r="F4605" s="68" t="s">
        <v>298</v>
      </c>
      <c r="G4605" s="68"/>
      <c r="H4605" s="68"/>
      <c r="I4605" s="69">
        <v>179184.06932395429</v>
      </c>
    </row>
    <row r="4606" spans="1:9" hidden="1">
      <c r="A4606" s="64" t="s">
        <v>295</v>
      </c>
      <c r="B4606" s="65">
        <v>2045</v>
      </c>
      <c r="C4606" s="65">
        <v>2023</v>
      </c>
      <c r="D4606" s="65" t="s">
        <v>304</v>
      </c>
      <c r="E4606" s="65" t="s">
        <v>301</v>
      </c>
      <c r="F4606" s="65" t="s">
        <v>40</v>
      </c>
      <c r="G4606" s="65"/>
      <c r="H4606" s="65"/>
      <c r="I4606" s="66">
        <v>226046.91576800161</v>
      </c>
    </row>
    <row r="4607" spans="1:9" hidden="1">
      <c r="A4607" s="67" t="s">
        <v>295</v>
      </c>
      <c r="B4607" s="68">
        <v>2045</v>
      </c>
      <c r="C4607" s="68">
        <v>2023</v>
      </c>
      <c r="D4607" s="68" t="s">
        <v>304</v>
      </c>
      <c r="E4607" s="68" t="s">
        <v>305</v>
      </c>
      <c r="F4607" s="68" t="s">
        <v>297</v>
      </c>
      <c r="G4607" s="68"/>
      <c r="H4607" s="68"/>
      <c r="I4607" s="69">
        <v>1216.6890599999999</v>
      </c>
    </row>
    <row r="4608" spans="1:9" hidden="1">
      <c r="A4608" s="64" t="s">
        <v>295</v>
      </c>
      <c r="B4608" s="65">
        <v>2045</v>
      </c>
      <c r="C4608" s="65">
        <v>2023</v>
      </c>
      <c r="D4608" s="65" t="s">
        <v>304</v>
      </c>
      <c r="E4608" s="65" t="s">
        <v>305</v>
      </c>
      <c r="F4608" s="65" t="s">
        <v>298</v>
      </c>
      <c r="G4608" s="65"/>
      <c r="H4608" s="65"/>
      <c r="I4608" s="66">
        <v>767.4</v>
      </c>
    </row>
    <row r="4609" spans="1:9" hidden="1">
      <c r="A4609" s="67" t="s">
        <v>295</v>
      </c>
      <c r="B4609" s="68">
        <v>2045</v>
      </c>
      <c r="C4609" s="68">
        <v>2023</v>
      </c>
      <c r="D4609" s="68" t="s">
        <v>304</v>
      </c>
      <c r="E4609" s="68" t="s">
        <v>305</v>
      </c>
      <c r="F4609" s="68" t="s">
        <v>40</v>
      </c>
      <c r="G4609" s="68"/>
      <c r="H4609" s="68"/>
      <c r="I4609" s="69">
        <v>17600.889060000001</v>
      </c>
    </row>
    <row r="4610" spans="1:9" hidden="1">
      <c r="A4610" s="64" t="s">
        <v>295</v>
      </c>
      <c r="B4610" s="65">
        <v>2045</v>
      </c>
      <c r="C4610" s="65">
        <v>2023</v>
      </c>
      <c r="D4610" s="65" t="s">
        <v>306</v>
      </c>
      <c r="E4610" s="65" t="s">
        <v>294</v>
      </c>
      <c r="F4610" s="65" t="s">
        <v>297</v>
      </c>
      <c r="G4610" s="65"/>
      <c r="H4610" s="65"/>
      <c r="I4610" s="66">
        <v>346547.10734583798</v>
      </c>
    </row>
    <row r="4611" spans="1:9" hidden="1">
      <c r="A4611" s="67" t="s">
        <v>295</v>
      </c>
      <c r="B4611" s="68">
        <v>2045</v>
      </c>
      <c r="C4611" s="68">
        <v>2023</v>
      </c>
      <c r="D4611" s="68" t="s">
        <v>306</v>
      </c>
      <c r="E4611" s="68" t="s">
        <v>294</v>
      </c>
      <c r="F4611" s="68" t="s">
        <v>40</v>
      </c>
      <c r="G4611" s="68"/>
      <c r="H4611" s="68"/>
      <c r="I4611" s="69">
        <v>346379.26621687523</v>
      </c>
    </row>
    <row r="4612" spans="1:9" hidden="1">
      <c r="A4612" s="64" t="s">
        <v>295</v>
      </c>
      <c r="B4612" s="65">
        <v>2045</v>
      </c>
      <c r="C4612" s="65">
        <v>2023</v>
      </c>
      <c r="D4612" s="65" t="s">
        <v>306</v>
      </c>
      <c r="E4612" s="65" t="s">
        <v>301</v>
      </c>
      <c r="F4612" s="65" t="s">
        <v>297</v>
      </c>
      <c r="G4612" s="65"/>
      <c r="H4612" s="65"/>
      <c r="I4612" s="66">
        <v>364858.05953096948</v>
      </c>
    </row>
    <row r="4613" spans="1:9" hidden="1">
      <c r="A4613" s="67" t="s">
        <v>295</v>
      </c>
      <c r="B4613" s="68">
        <v>2045</v>
      </c>
      <c r="C4613" s="68">
        <v>2023</v>
      </c>
      <c r="D4613" s="68" t="s">
        <v>306</v>
      </c>
      <c r="E4613" s="68" t="s">
        <v>301</v>
      </c>
      <c r="F4613" s="68" t="s">
        <v>40</v>
      </c>
      <c r="G4613" s="68"/>
      <c r="H4613" s="68"/>
      <c r="I4613" s="69">
        <v>364858.05953096948</v>
      </c>
    </row>
    <row r="4614" spans="1:9" hidden="1">
      <c r="A4614" s="64" t="s">
        <v>295</v>
      </c>
      <c r="B4614" s="65">
        <v>2045</v>
      </c>
      <c r="C4614" s="65">
        <v>2023</v>
      </c>
      <c r="D4614" s="65" t="s">
        <v>306</v>
      </c>
      <c r="E4614" s="65" t="s">
        <v>305</v>
      </c>
      <c r="F4614" s="65" t="s">
        <v>297</v>
      </c>
      <c r="G4614" s="65"/>
      <c r="H4614" s="65"/>
      <c r="I4614" s="66">
        <v>2082.3725199999999</v>
      </c>
    </row>
    <row r="4615" spans="1:9" hidden="1">
      <c r="A4615" s="67" t="s">
        <v>295</v>
      </c>
      <c r="B4615" s="68">
        <v>2045</v>
      </c>
      <c r="C4615" s="68">
        <v>2023</v>
      </c>
      <c r="D4615" s="68" t="s">
        <v>306</v>
      </c>
      <c r="E4615" s="68" t="s">
        <v>305</v>
      </c>
      <c r="F4615" s="68" t="s">
        <v>40</v>
      </c>
      <c r="G4615" s="68"/>
      <c r="H4615" s="68"/>
      <c r="I4615" s="69">
        <v>38694.67252</v>
      </c>
    </row>
    <row r="4616" spans="1:9" hidden="1">
      <c r="A4616" s="64" t="s">
        <v>295</v>
      </c>
      <c r="B4616" s="65">
        <v>2045</v>
      </c>
      <c r="C4616" s="65">
        <v>2023</v>
      </c>
      <c r="D4616" s="65" t="s">
        <v>307</v>
      </c>
      <c r="E4616" s="65" t="s">
        <v>294</v>
      </c>
      <c r="F4616" s="65" t="s">
        <v>40</v>
      </c>
      <c r="G4616" s="65"/>
      <c r="H4616" s="65"/>
      <c r="I4616" s="66">
        <v>-246120.11028506249</v>
      </c>
    </row>
    <row r="4617" spans="1:9" hidden="1">
      <c r="A4617" s="67" t="s">
        <v>295</v>
      </c>
      <c r="B4617" s="68">
        <v>2045</v>
      </c>
      <c r="C4617" s="68">
        <v>2023</v>
      </c>
      <c r="D4617" s="68" t="s">
        <v>307</v>
      </c>
      <c r="E4617" s="68" t="s">
        <v>301</v>
      </c>
      <c r="F4617" s="68" t="s">
        <v>40</v>
      </c>
      <c r="G4617" s="68"/>
      <c r="H4617" s="68"/>
      <c r="I4617" s="69">
        <v>-213515.76774722981</v>
      </c>
    </row>
    <row r="4618" spans="1:9" hidden="1">
      <c r="A4618" s="64" t="s">
        <v>295</v>
      </c>
      <c r="B4618" s="65">
        <v>2045</v>
      </c>
      <c r="C4618" s="65">
        <v>2023</v>
      </c>
      <c r="D4618" s="65" t="s">
        <v>307</v>
      </c>
      <c r="E4618" s="65" t="s">
        <v>305</v>
      </c>
      <c r="F4618" s="65" t="s">
        <v>40</v>
      </c>
      <c r="G4618" s="65"/>
      <c r="H4618" s="65"/>
      <c r="I4618" s="66">
        <v>-9923.0927300000003</v>
      </c>
    </row>
    <row r="4619" spans="1:9" hidden="1">
      <c r="A4619" s="67" t="s">
        <v>295</v>
      </c>
      <c r="B4619" s="68">
        <v>2045</v>
      </c>
      <c r="C4619" s="68">
        <v>2023</v>
      </c>
      <c r="D4619" s="68" t="s">
        <v>327</v>
      </c>
      <c r="E4619" s="68" t="s">
        <v>294</v>
      </c>
      <c r="F4619" s="68" t="s">
        <v>40</v>
      </c>
      <c r="G4619" s="68"/>
      <c r="H4619" s="68"/>
      <c r="I4619" s="69">
        <v>-285798.85201000702</v>
      </c>
    </row>
    <row r="4620" spans="1:9" hidden="1">
      <c r="A4620" s="64" t="s">
        <v>295</v>
      </c>
      <c r="B4620" s="65">
        <v>2045</v>
      </c>
      <c r="C4620" s="65">
        <v>2023</v>
      </c>
      <c r="D4620" s="65" t="s">
        <v>327</v>
      </c>
      <c r="E4620" s="65" t="s">
        <v>301</v>
      </c>
      <c r="F4620" s="65" t="s">
        <v>40</v>
      </c>
      <c r="G4620" s="65"/>
      <c r="H4620" s="65"/>
      <c r="I4620" s="66">
        <v>-266121.2822168885</v>
      </c>
    </row>
    <row r="4621" spans="1:9" hidden="1">
      <c r="A4621" s="67" t="s">
        <v>295</v>
      </c>
      <c r="B4621" s="68">
        <v>2045</v>
      </c>
      <c r="C4621" s="68">
        <v>2023</v>
      </c>
      <c r="D4621" s="68" t="s">
        <v>327</v>
      </c>
      <c r="E4621" s="68" t="s">
        <v>305</v>
      </c>
      <c r="F4621" s="68" t="s">
        <v>40</v>
      </c>
      <c r="G4621" s="68"/>
      <c r="H4621" s="68"/>
      <c r="I4621" s="69">
        <v>-16090.921609999999</v>
      </c>
    </row>
    <row r="4622" spans="1:9" hidden="1">
      <c r="A4622" s="64" t="s">
        <v>295</v>
      </c>
      <c r="B4622" s="65">
        <v>2045</v>
      </c>
      <c r="C4622" s="65">
        <v>2023</v>
      </c>
      <c r="D4622" s="65" t="s">
        <v>328</v>
      </c>
      <c r="E4622" s="65" t="s">
        <v>294</v>
      </c>
      <c r="F4622" s="65" t="s">
        <v>40</v>
      </c>
      <c r="G4622" s="65"/>
      <c r="H4622" s="65"/>
      <c r="I4622" s="66">
        <v>22266.356308920978</v>
      </c>
    </row>
    <row r="4623" spans="1:9" hidden="1">
      <c r="A4623" s="67" t="s">
        <v>295</v>
      </c>
      <c r="B4623" s="68">
        <v>2045</v>
      </c>
      <c r="C4623" s="68">
        <v>2023</v>
      </c>
      <c r="D4623" s="68" t="s">
        <v>328</v>
      </c>
      <c r="E4623" s="68" t="s">
        <v>301</v>
      </c>
      <c r="F4623" s="68" t="s">
        <v>40</v>
      </c>
      <c r="G4623" s="68"/>
      <c r="H4623" s="68"/>
      <c r="I4623" s="69">
        <v>30817.97198967338</v>
      </c>
    </row>
    <row r="4624" spans="1:9" hidden="1">
      <c r="A4624" s="64" t="s">
        <v>295</v>
      </c>
      <c r="B4624" s="65">
        <v>2045</v>
      </c>
      <c r="C4624" s="65">
        <v>2023</v>
      </c>
      <c r="D4624" s="65" t="s">
        <v>328</v>
      </c>
      <c r="E4624" s="65" t="s">
        <v>305</v>
      </c>
      <c r="F4624" s="65" t="s">
        <v>40</v>
      </c>
      <c r="G4624" s="65"/>
      <c r="H4624" s="65"/>
      <c r="I4624" s="66">
        <v>-2165.3160600000001</v>
      </c>
    </row>
    <row r="4625" spans="1:9" hidden="1">
      <c r="A4625" s="67" t="s">
        <v>295</v>
      </c>
      <c r="B4625" s="68">
        <v>2045</v>
      </c>
      <c r="C4625" s="68">
        <v>2023</v>
      </c>
      <c r="D4625" s="68" t="s">
        <v>329</v>
      </c>
      <c r="E4625" s="68" t="s">
        <v>294</v>
      </c>
      <c r="F4625" s="68" t="s">
        <v>40</v>
      </c>
      <c r="G4625" s="68"/>
      <c r="H4625" s="68"/>
      <c r="I4625" s="69">
        <v>11326.344352634271</v>
      </c>
    </row>
    <row r="4626" spans="1:9" hidden="1">
      <c r="A4626" s="64" t="s">
        <v>295</v>
      </c>
      <c r="B4626" s="65">
        <v>2045</v>
      </c>
      <c r="C4626" s="65">
        <v>2023</v>
      </c>
      <c r="D4626" s="65" t="s">
        <v>329</v>
      </c>
      <c r="E4626" s="65" t="s">
        <v>301</v>
      </c>
      <c r="F4626" s="65" t="s">
        <v>40</v>
      </c>
      <c r="G4626" s="65"/>
      <c r="H4626" s="65"/>
      <c r="I4626" s="66">
        <v>11974.006949152799</v>
      </c>
    </row>
    <row r="4627" spans="1:9" hidden="1">
      <c r="A4627" s="67" t="s">
        <v>295</v>
      </c>
      <c r="B4627" s="68">
        <v>2045</v>
      </c>
      <c r="C4627" s="68">
        <v>2023</v>
      </c>
      <c r="D4627" s="68" t="s">
        <v>329</v>
      </c>
      <c r="E4627" s="68" t="s">
        <v>305</v>
      </c>
      <c r="F4627" s="68" t="s">
        <v>40</v>
      </c>
      <c r="G4627" s="68"/>
      <c r="H4627" s="68"/>
      <c r="I4627" s="69">
        <v>5543.7132799999999</v>
      </c>
    </row>
    <row r="4628" spans="1:9" hidden="1">
      <c r="A4628" s="64" t="s">
        <v>295</v>
      </c>
      <c r="B4628" s="65">
        <v>2045</v>
      </c>
      <c r="C4628" s="65">
        <v>2023</v>
      </c>
      <c r="D4628" s="65" t="s">
        <v>330</v>
      </c>
      <c r="E4628" s="65" t="s">
        <v>294</v>
      </c>
      <c r="F4628" s="65" t="s">
        <v>40</v>
      </c>
      <c r="G4628" s="65"/>
      <c r="H4628" s="65"/>
      <c r="I4628" s="66">
        <v>11688.664178188939</v>
      </c>
    </row>
    <row r="4629" spans="1:9" hidden="1">
      <c r="A4629" s="67" t="s">
        <v>295</v>
      </c>
      <c r="B4629" s="68">
        <v>2045</v>
      </c>
      <c r="C4629" s="68">
        <v>2023</v>
      </c>
      <c r="D4629" s="68" t="s">
        <v>330</v>
      </c>
      <c r="E4629" s="68" t="s">
        <v>301</v>
      </c>
      <c r="F4629" s="68" t="s">
        <v>40</v>
      </c>
      <c r="G4629" s="68"/>
      <c r="H4629" s="68"/>
      <c r="I4629" s="69">
        <v>12875.464832632309</v>
      </c>
    </row>
    <row r="4630" spans="1:9" hidden="1">
      <c r="A4630" s="64" t="s">
        <v>295</v>
      </c>
      <c r="B4630" s="65">
        <v>2045</v>
      </c>
      <c r="C4630" s="65">
        <v>2023</v>
      </c>
      <c r="D4630" s="65" t="s">
        <v>330</v>
      </c>
      <c r="E4630" s="65" t="s">
        <v>305</v>
      </c>
      <c r="F4630" s="65" t="s">
        <v>40</v>
      </c>
      <c r="G4630" s="65"/>
      <c r="H4630" s="65"/>
      <c r="I4630" s="66">
        <v>764.28647999999998</v>
      </c>
    </row>
    <row r="4631" spans="1:9" hidden="1">
      <c r="A4631" s="67" t="s">
        <v>295</v>
      </c>
      <c r="B4631" s="68">
        <v>2045</v>
      </c>
      <c r="C4631" s="68">
        <v>2023</v>
      </c>
      <c r="D4631" s="68" t="s">
        <v>331</v>
      </c>
      <c r="E4631" s="68" t="s">
        <v>294</v>
      </c>
      <c r="F4631" s="68" t="s">
        <v>40</v>
      </c>
      <c r="G4631" s="68"/>
      <c r="H4631" s="68"/>
      <c r="I4631" s="69">
        <v>28667.452607006289</v>
      </c>
    </row>
    <row r="4632" spans="1:9" hidden="1">
      <c r="A4632" s="64" t="s">
        <v>295</v>
      </c>
      <c r="B4632" s="65">
        <v>2045</v>
      </c>
      <c r="C4632" s="65">
        <v>2023</v>
      </c>
      <c r="D4632" s="65" t="s">
        <v>331</v>
      </c>
      <c r="E4632" s="65" t="s">
        <v>301</v>
      </c>
      <c r="F4632" s="65" t="s">
        <v>40</v>
      </c>
      <c r="G4632" s="65"/>
      <c r="H4632" s="65"/>
      <c r="I4632" s="66">
        <v>29222.52928938788</v>
      </c>
    </row>
    <row r="4633" spans="1:9" hidden="1">
      <c r="A4633" s="67" t="s">
        <v>295</v>
      </c>
      <c r="B4633" s="68">
        <v>2045</v>
      </c>
      <c r="C4633" s="68">
        <v>2023</v>
      </c>
      <c r="D4633" s="68" t="s">
        <v>331</v>
      </c>
      <c r="E4633" s="68" t="s">
        <v>305</v>
      </c>
      <c r="F4633" s="68" t="s">
        <v>40</v>
      </c>
      <c r="G4633" s="68"/>
      <c r="H4633" s="68"/>
      <c r="I4633" s="69">
        <v>3254.5682999999999</v>
      </c>
    </row>
    <row r="4634" spans="1:9" hidden="1">
      <c r="A4634" s="64" t="s">
        <v>295</v>
      </c>
      <c r="B4634" s="65">
        <v>2045</v>
      </c>
      <c r="C4634" s="65">
        <v>2023</v>
      </c>
      <c r="D4634" s="65" t="s">
        <v>332</v>
      </c>
      <c r="E4634" s="65" t="s">
        <v>294</v>
      </c>
      <c r="F4634" s="65" t="s">
        <v>40</v>
      </c>
      <c r="G4634" s="65"/>
      <c r="H4634" s="65"/>
      <c r="I4634" s="66">
        <v>504.10782999999992</v>
      </c>
    </row>
    <row r="4635" spans="1:9" hidden="1">
      <c r="A4635" s="67" t="s">
        <v>295</v>
      </c>
      <c r="B4635" s="68">
        <v>2045</v>
      </c>
      <c r="C4635" s="68">
        <v>2023</v>
      </c>
      <c r="D4635" s="68" t="s">
        <v>332</v>
      </c>
      <c r="E4635" s="68" t="s">
        <v>301</v>
      </c>
      <c r="F4635" s="68" t="s">
        <v>40</v>
      </c>
      <c r="G4635" s="68"/>
      <c r="H4635" s="68"/>
      <c r="I4635" s="69">
        <v>332.90782999999999</v>
      </c>
    </row>
    <row r="4636" spans="1:9" hidden="1">
      <c r="A4636" s="64" t="s">
        <v>295</v>
      </c>
      <c r="B4636" s="65">
        <v>2045</v>
      </c>
      <c r="C4636" s="65">
        <v>2023</v>
      </c>
      <c r="D4636" s="65" t="s">
        <v>332</v>
      </c>
      <c r="E4636" s="65" t="s">
        <v>305</v>
      </c>
      <c r="F4636" s="65" t="s">
        <v>40</v>
      </c>
      <c r="G4636" s="65"/>
      <c r="H4636" s="65"/>
      <c r="I4636" s="66">
        <v>325.67687999999998</v>
      </c>
    </row>
    <row r="4637" spans="1:9" hidden="1">
      <c r="A4637" s="67" t="s">
        <v>295</v>
      </c>
      <c r="B4637" s="68">
        <v>2045</v>
      </c>
      <c r="C4637" s="68">
        <v>2023</v>
      </c>
      <c r="D4637" s="68" t="s">
        <v>333</v>
      </c>
      <c r="E4637" s="68" t="s">
        <v>294</v>
      </c>
      <c r="F4637" s="68" t="s">
        <v>40</v>
      </c>
      <c r="G4637" s="68"/>
      <c r="H4637" s="68"/>
      <c r="I4637" s="69">
        <v>-34251.333496687817</v>
      </c>
    </row>
    <row r="4638" spans="1:9" hidden="1">
      <c r="A4638" s="64" t="s">
        <v>295</v>
      </c>
      <c r="B4638" s="65">
        <v>2045</v>
      </c>
      <c r="C4638" s="65">
        <v>2023</v>
      </c>
      <c r="D4638" s="65" t="s">
        <v>333</v>
      </c>
      <c r="E4638" s="65" t="s">
        <v>301</v>
      </c>
      <c r="F4638" s="65" t="s">
        <v>40</v>
      </c>
      <c r="G4638" s="65"/>
      <c r="H4638" s="65"/>
      <c r="I4638" s="66">
        <v>-33023.974466687832</v>
      </c>
    </row>
    <row r="4639" spans="1:9" hidden="1">
      <c r="A4639" s="67" t="s">
        <v>295</v>
      </c>
      <c r="B4639" s="68">
        <v>2045</v>
      </c>
      <c r="C4639" s="68">
        <v>2023</v>
      </c>
      <c r="D4639" s="68" t="s">
        <v>333</v>
      </c>
      <c r="E4639" s="68" t="s">
        <v>305</v>
      </c>
      <c r="F4639" s="68" t="s">
        <v>40</v>
      </c>
      <c r="G4639" s="68"/>
      <c r="H4639" s="68"/>
      <c r="I4639" s="69">
        <v>-1555.2</v>
      </c>
    </row>
    <row r="4640" spans="1:9" hidden="1">
      <c r="A4640" s="64" t="s">
        <v>295</v>
      </c>
      <c r="B4640" s="65">
        <v>2045</v>
      </c>
      <c r="C4640" s="65">
        <v>2023</v>
      </c>
      <c r="D4640" s="65" t="s">
        <v>334</v>
      </c>
      <c r="E4640" s="65" t="s">
        <v>294</v>
      </c>
      <c r="F4640" s="65" t="s">
        <v>40</v>
      </c>
      <c r="G4640" s="65"/>
      <c r="H4640" s="65"/>
      <c r="I4640" s="66">
        <v>253.85033000000001</v>
      </c>
    </row>
    <row r="4641" spans="1:9" hidden="1">
      <c r="A4641" s="67" t="s">
        <v>295</v>
      </c>
      <c r="B4641" s="68">
        <v>2045</v>
      </c>
      <c r="C4641" s="68">
        <v>2023</v>
      </c>
      <c r="D4641" s="68" t="s">
        <v>334</v>
      </c>
      <c r="E4641" s="68" t="s">
        <v>301</v>
      </c>
      <c r="F4641" s="68" t="s">
        <v>40</v>
      </c>
      <c r="G4641" s="68"/>
      <c r="H4641" s="68"/>
      <c r="I4641" s="69">
        <v>253.85033000000001</v>
      </c>
    </row>
    <row r="4642" spans="1:9" hidden="1">
      <c r="A4642" s="64" t="s">
        <v>295</v>
      </c>
      <c r="B4642" s="65">
        <v>2045</v>
      </c>
      <c r="C4642" s="65">
        <v>2023</v>
      </c>
      <c r="D4642" s="65" t="s">
        <v>308</v>
      </c>
      <c r="E4642" s="65" t="s">
        <v>294</v>
      </c>
      <c r="F4642" s="65" t="s">
        <v>297</v>
      </c>
      <c r="G4642" s="65"/>
      <c r="H4642" s="65"/>
      <c r="I4642" s="66">
        <v>62290.338049066333</v>
      </c>
    </row>
    <row r="4643" spans="1:9" hidden="1">
      <c r="A4643" s="67" t="s">
        <v>295</v>
      </c>
      <c r="B4643" s="68">
        <v>2045</v>
      </c>
      <c r="C4643" s="68">
        <v>2023</v>
      </c>
      <c r="D4643" s="68" t="s">
        <v>308</v>
      </c>
      <c r="E4643" s="68" t="s">
        <v>294</v>
      </c>
      <c r="F4643" s="68" t="s">
        <v>298</v>
      </c>
      <c r="G4643" s="68"/>
      <c r="H4643" s="68"/>
      <c r="I4643" s="69">
        <v>224.3287340154582</v>
      </c>
    </row>
    <row r="4644" spans="1:9" hidden="1">
      <c r="A4644" s="64" t="s">
        <v>295</v>
      </c>
      <c r="B4644" s="65">
        <v>2045</v>
      </c>
      <c r="C4644" s="65">
        <v>2023</v>
      </c>
      <c r="D4644" s="65" t="s">
        <v>308</v>
      </c>
      <c r="E4644" s="65" t="s">
        <v>294</v>
      </c>
      <c r="F4644" s="65" t="s">
        <v>40</v>
      </c>
      <c r="G4644" s="65"/>
      <c r="H4644" s="65"/>
      <c r="I4644" s="66">
        <v>62687.912953081788</v>
      </c>
    </row>
    <row r="4645" spans="1:9" hidden="1">
      <c r="A4645" s="67" t="s">
        <v>295</v>
      </c>
      <c r="B4645" s="68">
        <v>2045</v>
      </c>
      <c r="C4645" s="68">
        <v>2023</v>
      </c>
      <c r="D4645" s="68" t="s">
        <v>308</v>
      </c>
      <c r="E4645" s="68" t="s">
        <v>301</v>
      </c>
      <c r="F4645" s="68" t="s">
        <v>297</v>
      </c>
      <c r="G4645" s="68"/>
      <c r="H4645" s="68"/>
      <c r="I4645" s="69">
        <v>63319.117309025118</v>
      </c>
    </row>
    <row r="4646" spans="1:9" hidden="1">
      <c r="A4646" s="64" t="s">
        <v>295</v>
      </c>
      <c r="B4646" s="65">
        <v>2045</v>
      </c>
      <c r="C4646" s="65">
        <v>2023</v>
      </c>
      <c r="D4646" s="65" t="s">
        <v>308</v>
      </c>
      <c r="E4646" s="65" t="s">
        <v>301</v>
      </c>
      <c r="F4646" s="65" t="s">
        <v>298</v>
      </c>
      <c r="G4646" s="65"/>
      <c r="H4646" s="65"/>
      <c r="I4646" s="66">
        <v>224.3287339981631</v>
      </c>
    </row>
    <row r="4647" spans="1:9" hidden="1">
      <c r="A4647" s="67" t="s">
        <v>295</v>
      </c>
      <c r="B4647" s="68">
        <v>2045</v>
      </c>
      <c r="C4647" s="68">
        <v>2023</v>
      </c>
      <c r="D4647" s="68" t="s">
        <v>308</v>
      </c>
      <c r="E4647" s="68" t="s">
        <v>301</v>
      </c>
      <c r="F4647" s="68" t="s">
        <v>40</v>
      </c>
      <c r="G4647" s="68"/>
      <c r="H4647" s="68"/>
      <c r="I4647" s="69">
        <v>63442.140611077957</v>
      </c>
    </row>
    <row r="4648" spans="1:9" hidden="1">
      <c r="A4648" s="64" t="s">
        <v>295</v>
      </c>
      <c r="B4648" s="65">
        <v>2045</v>
      </c>
      <c r="C4648" s="65">
        <v>2023</v>
      </c>
      <c r="D4648" s="65" t="s">
        <v>308</v>
      </c>
      <c r="E4648" s="65" t="s">
        <v>305</v>
      </c>
      <c r="F4648" s="65" t="s">
        <v>297</v>
      </c>
      <c r="G4648" s="65"/>
      <c r="H4648" s="65"/>
      <c r="I4648" s="66">
        <v>1709.29557</v>
      </c>
    </row>
    <row r="4649" spans="1:9" hidden="1">
      <c r="A4649" s="67" t="s">
        <v>295</v>
      </c>
      <c r="B4649" s="68">
        <v>2045</v>
      </c>
      <c r="C4649" s="68">
        <v>2023</v>
      </c>
      <c r="D4649" s="68" t="s">
        <v>308</v>
      </c>
      <c r="E4649" s="68" t="s">
        <v>305</v>
      </c>
      <c r="F4649" s="68" t="s">
        <v>40</v>
      </c>
      <c r="G4649" s="68"/>
      <c r="H4649" s="68"/>
      <c r="I4649" s="69">
        <v>10149.395570000001</v>
      </c>
    </row>
    <row r="4650" spans="1:9" hidden="1">
      <c r="A4650" s="64" t="s">
        <v>295</v>
      </c>
      <c r="B4650" s="65">
        <v>2045</v>
      </c>
      <c r="C4650" s="65">
        <v>2023</v>
      </c>
      <c r="D4650" s="65" t="s">
        <v>310</v>
      </c>
      <c r="E4650" s="65" t="s">
        <v>294</v>
      </c>
      <c r="F4650" s="65" t="s">
        <v>297</v>
      </c>
      <c r="G4650" s="65"/>
      <c r="H4650" s="65"/>
      <c r="I4650" s="66">
        <v>179.2</v>
      </c>
    </row>
    <row r="4651" spans="1:9" hidden="1">
      <c r="A4651" s="67" t="s">
        <v>295</v>
      </c>
      <c r="B4651" s="68">
        <v>2045</v>
      </c>
      <c r="C4651" s="68">
        <v>2023</v>
      </c>
      <c r="D4651" s="68" t="s">
        <v>310</v>
      </c>
      <c r="E4651" s="68" t="s">
        <v>294</v>
      </c>
      <c r="F4651" s="68" t="s">
        <v>40</v>
      </c>
      <c r="G4651" s="68"/>
      <c r="H4651" s="68"/>
      <c r="I4651" s="69">
        <v>125689.9008184187</v>
      </c>
    </row>
    <row r="4652" spans="1:9" hidden="1">
      <c r="A4652" s="64" t="s">
        <v>295</v>
      </c>
      <c r="B4652" s="65">
        <v>2045</v>
      </c>
      <c r="C4652" s="65">
        <v>2023</v>
      </c>
      <c r="D4652" s="65" t="s">
        <v>310</v>
      </c>
      <c r="E4652" s="65" t="s">
        <v>301</v>
      </c>
      <c r="F4652" s="65" t="s">
        <v>297</v>
      </c>
      <c r="G4652" s="65"/>
      <c r="H4652" s="65"/>
      <c r="I4652" s="66">
        <v>179.2</v>
      </c>
    </row>
    <row r="4653" spans="1:9" hidden="1">
      <c r="A4653" s="67" t="s">
        <v>295</v>
      </c>
      <c r="B4653" s="68">
        <v>2045</v>
      </c>
      <c r="C4653" s="68">
        <v>2023</v>
      </c>
      <c r="D4653" s="68" t="s">
        <v>310</v>
      </c>
      <c r="E4653" s="68" t="s">
        <v>301</v>
      </c>
      <c r="F4653" s="68" t="s">
        <v>40</v>
      </c>
      <c r="G4653" s="68"/>
      <c r="H4653" s="68"/>
      <c r="I4653" s="69">
        <v>134417.47246485631</v>
      </c>
    </row>
    <row r="4654" spans="1:9" hidden="1">
      <c r="A4654" s="64" t="s">
        <v>295</v>
      </c>
      <c r="B4654" s="65">
        <v>2045</v>
      </c>
      <c r="C4654" s="65">
        <v>2023</v>
      </c>
      <c r="D4654" s="65" t="s">
        <v>310</v>
      </c>
      <c r="E4654" s="65" t="s">
        <v>305</v>
      </c>
      <c r="F4654" s="65" t="s">
        <v>40</v>
      </c>
      <c r="G4654" s="65"/>
      <c r="H4654" s="65"/>
      <c r="I4654" s="66">
        <v>1336.43688</v>
      </c>
    </row>
    <row r="4655" spans="1:9" hidden="1">
      <c r="A4655" s="67" t="s">
        <v>295</v>
      </c>
      <c r="B4655" s="68">
        <v>2045</v>
      </c>
      <c r="C4655" s="68">
        <v>2023</v>
      </c>
      <c r="D4655" s="68" t="s">
        <v>311</v>
      </c>
      <c r="E4655" s="68" t="s">
        <v>294</v>
      </c>
      <c r="F4655" s="68" t="s">
        <v>297</v>
      </c>
      <c r="G4655" s="68"/>
      <c r="H4655" s="68"/>
      <c r="I4655" s="69">
        <v>856.5</v>
      </c>
    </row>
    <row r="4656" spans="1:9" hidden="1">
      <c r="A4656" s="64" t="s">
        <v>295</v>
      </c>
      <c r="B4656" s="65">
        <v>2045</v>
      </c>
      <c r="C4656" s="65">
        <v>2023</v>
      </c>
      <c r="D4656" s="65" t="s">
        <v>311</v>
      </c>
      <c r="E4656" s="65" t="s">
        <v>294</v>
      </c>
      <c r="F4656" s="65" t="s">
        <v>40</v>
      </c>
      <c r="G4656" s="65"/>
      <c r="H4656" s="65"/>
      <c r="I4656" s="66">
        <v>142755.5078617369</v>
      </c>
    </row>
    <row r="4657" spans="1:9" hidden="1">
      <c r="A4657" s="67" t="s">
        <v>295</v>
      </c>
      <c r="B4657" s="68">
        <v>2045</v>
      </c>
      <c r="C4657" s="68">
        <v>2023</v>
      </c>
      <c r="D4657" s="68" t="s">
        <v>311</v>
      </c>
      <c r="E4657" s="68" t="s">
        <v>301</v>
      </c>
      <c r="F4657" s="68" t="s">
        <v>297</v>
      </c>
      <c r="G4657" s="68"/>
      <c r="H4657" s="68"/>
      <c r="I4657" s="69">
        <v>856.5</v>
      </c>
    </row>
    <row r="4658" spans="1:9" hidden="1">
      <c r="A4658" s="64" t="s">
        <v>295</v>
      </c>
      <c r="B4658" s="65">
        <v>2045</v>
      </c>
      <c r="C4658" s="65">
        <v>2023</v>
      </c>
      <c r="D4658" s="65" t="s">
        <v>311</v>
      </c>
      <c r="E4658" s="65" t="s">
        <v>301</v>
      </c>
      <c r="F4658" s="65" t="s">
        <v>40</v>
      </c>
      <c r="G4658" s="65"/>
      <c r="H4658" s="65"/>
      <c r="I4658" s="66">
        <v>145215.77264568899</v>
      </c>
    </row>
    <row r="4659" spans="1:9" hidden="1">
      <c r="A4659" s="67" t="s">
        <v>295</v>
      </c>
      <c r="B4659" s="68">
        <v>2045</v>
      </c>
      <c r="C4659" s="68">
        <v>2023</v>
      </c>
      <c r="D4659" s="68" t="s">
        <v>311</v>
      </c>
      <c r="E4659" s="68" t="s">
        <v>305</v>
      </c>
      <c r="F4659" s="68" t="s">
        <v>40</v>
      </c>
      <c r="G4659" s="68"/>
      <c r="H4659" s="68"/>
      <c r="I4659" s="69">
        <v>1006.8</v>
      </c>
    </row>
    <row r="4660" spans="1:9" hidden="1">
      <c r="A4660" s="64" t="s">
        <v>295</v>
      </c>
      <c r="B4660" s="65">
        <v>2045</v>
      </c>
      <c r="C4660" s="65">
        <v>2023</v>
      </c>
      <c r="D4660" s="65" t="s">
        <v>312</v>
      </c>
      <c r="E4660" s="65" t="s">
        <v>294</v>
      </c>
      <c r="F4660" s="65" t="s">
        <v>297</v>
      </c>
      <c r="G4660" s="65"/>
      <c r="H4660" s="65"/>
      <c r="I4660" s="66">
        <v>701.56979999999999</v>
      </c>
    </row>
    <row r="4661" spans="1:9" hidden="1">
      <c r="A4661" s="67" t="s">
        <v>295</v>
      </c>
      <c r="B4661" s="68">
        <v>2045</v>
      </c>
      <c r="C4661" s="68">
        <v>2023</v>
      </c>
      <c r="D4661" s="68" t="s">
        <v>312</v>
      </c>
      <c r="E4661" s="68" t="s">
        <v>294</v>
      </c>
      <c r="F4661" s="68" t="s">
        <v>40</v>
      </c>
      <c r="G4661" s="68"/>
      <c r="H4661" s="68"/>
      <c r="I4661" s="69">
        <v>845.4622720032329</v>
      </c>
    </row>
    <row r="4662" spans="1:9" hidden="1">
      <c r="A4662" s="64" t="s">
        <v>295</v>
      </c>
      <c r="B4662" s="65">
        <v>2045</v>
      </c>
      <c r="C4662" s="65">
        <v>2023</v>
      </c>
      <c r="D4662" s="65" t="s">
        <v>312</v>
      </c>
      <c r="E4662" s="65" t="s">
        <v>301</v>
      </c>
      <c r="F4662" s="65" t="s">
        <v>297</v>
      </c>
      <c r="G4662" s="65"/>
      <c r="H4662" s="65"/>
      <c r="I4662" s="66">
        <v>705.46979999999996</v>
      </c>
    </row>
    <row r="4663" spans="1:9" hidden="1">
      <c r="A4663" s="67" t="s">
        <v>295</v>
      </c>
      <c r="B4663" s="68">
        <v>2045</v>
      </c>
      <c r="C4663" s="68">
        <v>2023</v>
      </c>
      <c r="D4663" s="68" t="s">
        <v>312</v>
      </c>
      <c r="E4663" s="68" t="s">
        <v>301</v>
      </c>
      <c r="F4663" s="68" t="s">
        <v>40</v>
      </c>
      <c r="G4663" s="68"/>
      <c r="H4663" s="68"/>
      <c r="I4663" s="69">
        <v>849.36980000000005</v>
      </c>
    </row>
    <row r="4664" spans="1:9" hidden="1">
      <c r="A4664" s="64" t="s">
        <v>295</v>
      </c>
      <c r="B4664" s="65">
        <v>2045</v>
      </c>
      <c r="C4664" s="65">
        <v>2023</v>
      </c>
      <c r="D4664" s="65" t="s">
        <v>313</v>
      </c>
      <c r="E4664" s="65" t="s">
        <v>294</v>
      </c>
      <c r="F4664" s="65" t="s">
        <v>297</v>
      </c>
      <c r="G4664" s="65"/>
      <c r="H4664" s="65"/>
      <c r="I4664" s="66">
        <v>1273035.656311953</v>
      </c>
    </row>
    <row r="4665" spans="1:9" hidden="1">
      <c r="A4665" s="67" t="s">
        <v>295</v>
      </c>
      <c r="B4665" s="68">
        <v>2045</v>
      </c>
      <c r="C4665" s="68">
        <v>2023</v>
      </c>
      <c r="D4665" s="68" t="s">
        <v>313</v>
      </c>
      <c r="E4665" s="68" t="s">
        <v>294</v>
      </c>
      <c r="F4665" s="68" t="s">
        <v>298</v>
      </c>
      <c r="G4665" s="68"/>
      <c r="H4665" s="68"/>
      <c r="I4665" s="69">
        <v>601184.22348432627</v>
      </c>
    </row>
    <row r="4666" spans="1:9" hidden="1">
      <c r="A4666" s="64" t="s">
        <v>295</v>
      </c>
      <c r="B4666" s="65">
        <v>2045</v>
      </c>
      <c r="C4666" s="65">
        <v>2023</v>
      </c>
      <c r="D4666" s="65" t="s">
        <v>313</v>
      </c>
      <c r="E4666" s="65" t="s">
        <v>294</v>
      </c>
      <c r="F4666" s="65" t="s">
        <v>40</v>
      </c>
      <c r="G4666" s="65"/>
      <c r="H4666" s="65"/>
      <c r="I4666" s="66">
        <v>1890858.0510213019</v>
      </c>
    </row>
    <row r="4667" spans="1:9" hidden="1">
      <c r="A4667" s="67" t="s">
        <v>295</v>
      </c>
      <c r="B4667" s="68">
        <v>2045</v>
      </c>
      <c r="C4667" s="68">
        <v>2023</v>
      </c>
      <c r="D4667" s="68" t="s">
        <v>313</v>
      </c>
      <c r="E4667" s="68" t="s">
        <v>301</v>
      </c>
      <c r="F4667" s="68" t="s">
        <v>297</v>
      </c>
      <c r="G4667" s="68"/>
      <c r="H4667" s="68"/>
      <c r="I4667" s="69">
        <v>1481994.6781739269</v>
      </c>
    </row>
    <row r="4668" spans="1:9" hidden="1">
      <c r="A4668" s="64" t="s">
        <v>295</v>
      </c>
      <c r="B4668" s="65">
        <v>2045</v>
      </c>
      <c r="C4668" s="65">
        <v>2023</v>
      </c>
      <c r="D4668" s="65" t="s">
        <v>313</v>
      </c>
      <c r="E4668" s="65" t="s">
        <v>301</v>
      </c>
      <c r="F4668" s="65" t="s">
        <v>298</v>
      </c>
      <c r="G4668" s="65"/>
      <c r="H4668" s="65"/>
      <c r="I4668" s="66">
        <v>690015.44282420573</v>
      </c>
    </row>
    <row r="4669" spans="1:9" hidden="1">
      <c r="A4669" s="67" t="s">
        <v>295</v>
      </c>
      <c r="B4669" s="68">
        <v>2045</v>
      </c>
      <c r="C4669" s="68">
        <v>2023</v>
      </c>
      <c r="D4669" s="68" t="s">
        <v>313</v>
      </c>
      <c r="E4669" s="68" t="s">
        <v>301</v>
      </c>
      <c r="F4669" s="68" t="s">
        <v>40</v>
      </c>
      <c r="G4669" s="68"/>
      <c r="H4669" s="68"/>
      <c r="I4669" s="69">
        <v>2190336.4758567549</v>
      </c>
    </row>
    <row r="4670" spans="1:9" hidden="1">
      <c r="A4670" s="64" t="s">
        <v>295</v>
      </c>
      <c r="B4670" s="65">
        <v>2045</v>
      </c>
      <c r="C4670" s="65">
        <v>2023</v>
      </c>
      <c r="D4670" s="65" t="s">
        <v>313</v>
      </c>
      <c r="E4670" s="65" t="s">
        <v>305</v>
      </c>
      <c r="F4670" s="65" t="s">
        <v>297</v>
      </c>
      <c r="G4670" s="65"/>
      <c r="H4670" s="65"/>
      <c r="I4670" s="66">
        <v>17443.413420000001</v>
      </c>
    </row>
    <row r="4671" spans="1:9" hidden="1">
      <c r="A4671" s="67" t="s">
        <v>295</v>
      </c>
      <c r="B4671" s="68">
        <v>2045</v>
      </c>
      <c r="C4671" s="68">
        <v>2023</v>
      </c>
      <c r="D4671" s="68" t="s">
        <v>313</v>
      </c>
      <c r="E4671" s="68" t="s">
        <v>305</v>
      </c>
      <c r="F4671" s="68" t="s">
        <v>298</v>
      </c>
      <c r="G4671" s="68"/>
      <c r="H4671" s="68"/>
      <c r="I4671" s="69">
        <v>9575.1356100000012</v>
      </c>
    </row>
    <row r="4672" spans="1:9" hidden="1">
      <c r="A4672" s="64" t="s">
        <v>295</v>
      </c>
      <c r="B4672" s="65">
        <v>2045</v>
      </c>
      <c r="C4672" s="65">
        <v>2023</v>
      </c>
      <c r="D4672" s="65" t="s">
        <v>313</v>
      </c>
      <c r="E4672" s="65" t="s">
        <v>305</v>
      </c>
      <c r="F4672" s="65" t="s">
        <v>40</v>
      </c>
      <c r="G4672" s="65"/>
      <c r="H4672" s="65"/>
      <c r="I4672" s="66">
        <v>224256.25899999999</v>
      </c>
    </row>
    <row r="4673" spans="1:9" hidden="1">
      <c r="A4673" s="67" t="s">
        <v>295</v>
      </c>
      <c r="B4673" s="68">
        <v>2045</v>
      </c>
      <c r="C4673" s="68">
        <v>2023</v>
      </c>
      <c r="D4673" s="68" t="s">
        <v>314</v>
      </c>
      <c r="E4673" s="68" t="s">
        <v>294</v>
      </c>
      <c r="F4673" s="68" t="s">
        <v>297</v>
      </c>
      <c r="G4673" s="68"/>
      <c r="H4673" s="68"/>
      <c r="I4673" s="69">
        <v>1273035.656311953</v>
      </c>
    </row>
    <row r="4674" spans="1:9" hidden="1">
      <c r="A4674" s="64" t="s">
        <v>295</v>
      </c>
      <c r="B4674" s="65">
        <v>2045</v>
      </c>
      <c r="C4674" s="65">
        <v>2023</v>
      </c>
      <c r="D4674" s="65" t="s">
        <v>314</v>
      </c>
      <c r="E4674" s="65" t="s">
        <v>294</v>
      </c>
      <c r="F4674" s="65" t="s">
        <v>298</v>
      </c>
      <c r="G4674" s="65"/>
      <c r="H4674" s="65"/>
      <c r="I4674" s="66">
        <v>601184.22348432627</v>
      </c>
    </row>
    <row r="4675" spans="1:9" hidden="1">
      <c r="A4675" s="67" t="s">
        <v>295</v>
      </c>
      <c r="B4675" s="68">
        <v>2045</v>
      </c>
      <c r="C4675" s="68">
        <v>2023</v>
      </c>
      <c r="D4675" s="68" t="s">
        <v>314</v>
      </c>
      <c r="E4675" s="68" t="s">
        <v>294</v>
      </c>
      <c r="F4675" s="68" t="s">
        <v>40</v>
      </c>
      <c r="G4675" s="68"/>
      <c r="H4675" s="68"/>
      <c r="I4675" s="69">
        <v>1644737.7407162399</v>
      </c>
    </row>
    <row r="4676" spans="1:9" hidden="1">
      <c r="A4676" s="64" t="s">
        <v>295</v>
      </c>
      <c r="B4676" s="65">
        <v>2045</v>
      </c>
      <c r="C4676" s="65">
        <v>2023</v>
      </c>
      <c r="D4676" s="65" t="s">
        <v>314</v>
      </c>
      <c r="E4676" s="65" t="s">
        <v>301</v>
      </c>
      <c r="F4676" s="65" t="s">
        <v>297</v>
      </c>
      <c r="G4676" s="65"/>
      <c r="H4676" s="65"/>
      <c r="I4676" s="66">
        <v>1481994.6781739269</v>
      </c>
    </row>
    <row r="4677" spans="1:9" hidden="1">
      <c r="A4677" s="67" t="s">
        <v>295</v>
      </c>
      <c r="B4677" s="68">
        <v>2045</v>
      </c>
      <c r="C4677" s="68">
        <v>2023</v>
      </c>
      <c r="D4677" s="68" t="s">
        <v>314</v>
      </c>
      <c r="E4677" s="68" t="s">
        <v>301</v>
      </c>
      <c r="F4677" s="68" t="s">
        <v>298</v>
      </c>
      <c r="G4677" s="68"/>
      <c r="H4677" s="68"/>
      <c r="I4677" s="69">
        <v>690015.44282420573</v>
      </c>
    </row>
    <row r="4678" spans="1:9" hidden="1">
      <c r="A4678" s="64" t="s">
        <v>295</v>
      </c>
      <c r="B4678" s="65">
        <v>2045</v>
      </c>
      <c r="C4678" s="65">
        <v>2023</v>
      </c>
      <c r="D4678" s="65" t="s">
        <v>314</v>
      </c>
      <c r="E4678" s="65" t="s">
        <v>301</v>
      </c>
      <c r="F4678" s="65" t="s">
        <v>40</v>
      </c>
      <c r="G4678" s="65"/>
      <c r="H4678" s="65"/>
      <c r="I4678" s="66">
        <v>1976820.7576595249</v>
      </c>
    </row>
    <row r="4679" spans="1:9" hidden="1">
      <c r="A4679" s="67" t="s">
        <v>295</v>
      </c>
      <c r="B4679" s="68">
        <v>2045</v>
      </c>
      <c r="C4679" s="68">
        <v>2023</v>
      </c>
      <c r="D4679" s="68" t="s">
        <v>314</v>
      </c>
      <c r="E4679" s="68" t="s">
        <v>305</v>
      </c>
      <c r="F4679" s="68" t="s">
        <v>297</v>
      </c>
      <c r="G4679" s="68"/>
      <c r="H4679" s="68"/>
      <c r="I4679" s="69">
        <v>17443.413420000001</v>
      </c>
    </row>
    <row r="4680" spans="1:9" hidden="1">
      <c r="A4680" s="64" t="s">
        <v>295</v>
      </c>
      <c r="B4680" s="65">
        <v>2045</v>
      </c>
      <c r="C4680" s="65">
        <v>2023</v>
      </c>
      <c r="D4680" s="65" t="s">
        <v>314</v>
      </c>
      <c r="E4680" s="65" t="s">
        <v>305</v>
      </c>
      <c r="F4680" s="65" t="s">
        <v>298</v>
      </c>
      <c r="G4680" s="65"/>
      <c r="H4680" s="65"/>
      <c r="I4680" s="66">
        <v>9575.1356100000012</v>
      </c>
    </row>
    <row r="4681" spans="1:9" hidden="1">
      <c r="A4681" s="67" t="s">
        <v>295</v>
      </c>
      <c r="B4681" s="68">
        <v>2045</v>
      </c>
      <c r="C4681" s="68">
        <v>2023</v>
      </c>
      <c r="D4681" s="68" t="s">
        <v>314</v>
      </c>
      <c r="E4681" s="68" t="s">
        <v>305</v>
      </c>
      <c r="F4681" s="68" t="s">
        <v>40</v>
      </c>
      <c r="G4681" s="68"/>
      <c r="H4681" s="68"/>
      <c r="I4681" s="69">
        <v>214646.66626999999</v>
      </c>
    </row>
    <row r="4682" spans="1:9" hidden="1">
      <c r="A4682" s="64" t="s">
        <v>295</v>
      </c>
      <c r="B4682" s="65">
        <v>2046</v>
      </c>
      <c r="C4682" s="65">
        <v>2023</v>
      </c>
      <c r="D4682" s="65" t="s">
        <v>296</v>
      </c>
      <c r="E4682" s="65" t="s">
        <v>294</v>
      </c>
      <c r="F4682" s="65" t="s">
        <v>297</v>
      </c>
      <c r="G4682" s="65"/>
      <c r="H4682" s="65"/>
      <c r="I4682" s="66">
        <v>810313.93375480932</v>
      </c>
    </row>
    <row r="4683" spans="1:9" hidden="1">
      <c r="A4683" s="67" t="s">
        <v>295</v>
      </c>
      <c r="B4683" s="68">
        <v>2046</v>
      </c>
      <c r="C4683" s="68">
        <v>2023</v>
      </c>
      <c r="D4683" s="68" t="s">
        <v>296</v>
      </c>
      <c r="E4683" s="68" t="s">
        <v>294</v>
      </c>
      <c r="F4683" s="68" t="s">
        <v>298</v>
      </c>
      <c r="G4683" s="68"/>
      <c r="H4683" s="68"/>
      <c r="I4683" s="69">
        <v>429908.58607824129</v>
      </c>
    </row>
    <row r="4684" spans="1:9" hidden="1">
      <c r="A4684" s="64" t="s">
        <v>295</v>
      </c>
      <c r="B4684" s="65">
        <v>2046</v>
      </c>
      <c r="C4684" s="65">
        <v>2023</v>
      </c>
      <c r="D4684" s="65" t="s">
        <v>296</v>
      </c>
      <c r="E4684" s="65" t="s">
        <v>294</v>
      </c>
      <c r="F4684" s="65" t="s">
        <v>40</v>
      </c>
      <c r="G4684" s="65"/>
      <c r="H4684" s="65"/>
      <c r="I4684" s="66">
        <v>1257198.515545523</v>
      </c>
    </row>
    <row r="4685" spans="1:9" hidden="1">
      <c r="A4685" s="67" t="s">
        <v>295</v>
      </c>
      <c r="B4685" s="68">
        <v>2046</v>
      </c>
      <c r="C4685" s="68">
        <v>2023</v>
      </c>
      <c r="D4685" s="68" t="s">
        <v>296</v>
      </c>
      <c r="E4685" s="68" t="s">
        <v>301</v>
      </c>
      <c r="F4685" s="68" t="s">
        <v>297</v>
      </c>
      <c r="G4685" s="68"/>
      <c r="H4685" s="68"/>
      <c r="I4685" s="69">
        <v>995447.31305706536</v>
      </c>
    </row>
    <row r="4686" spans="1:9" hidden="1">
      <c r="A4686" s="64" t="s">
        <v>295</v>
      </c>
      <c r="B4686" s="65">
        <v>2046</v>
      </c>
      <c r="C4686" s="65">
        <v>2023</v>
      </c>
      <c r="D4686" s="65" t="s">
        <v>296</v>
      </c>
      <c r="E4686" s="65" t="s">
        <v>301</v>
      </c>
      <c r="F4686" s="65" t="s">
        <v>298</v>
      </c>
      <c r="G4686" s="65"/>
      <c r="H4686" s="65"/>
      <c r="I4686" s="66">
        <v>508962.19219502859</v>
      </c>
    </row>
    <row r="4687" spans="1:9" hidden="1">
      <c r="A4687" s="67" t="s">
        <v>295</v>
      </c>
      <c r="B4687" s="68">
        <v>2046</v>
      </c>
      <c r="C4687" s="68">
        <v>2023</v>
      </c>
      <c r="D4687" s="68" t="s">
        <v>296</v>
      </c>
      <c r="E4687" s="68" t="s">
        <v>301</v>
      </c>
      <c r="F4687" s="68" t="s">
        <v>40</v>
      </c>
      <c r="G4687" s="68"/>
      <c r="H4687" s="68"/>
      <c r="I4687" s="69">
        <v>1523218.924534546</v>
      </c>
    </row>
    <row r="4688" spans="1:9" hidden="1">
      <c r="A4688" s="64" t="s">
        <v>295</v>
      </c>
      <c r="B4688" s="65">
        <v>2046</v>
      </c>
      <c r="C4688" s="65">
        <v>2023</v>
      </c>
      <c r="D4688" s="65" t="s">
        <v>296</v>
      </c>
      <c r="E4688" s="65" t="s">
        <v>305</v>
      </c>
      <c r="F4688" s="65" t="s">
        <v>297</v>
      </c>
      <c r="G4688" s="65"/>
      <c r="H4688" s="65"/>
      <c r="I4688" s="66">
        <v>12437.3496</v>
      </c>
    </row>
    <row r="4689" spans="1:9" hidden="1">
      <c r="A4689" s="67" t="s">
        <v>295</v>
      </c>
      <c r="B4689" s="68">
        <v>2046</v>
      </c>
      <c r="C4689" s="68">
        <v>2023</v>
      </c>
      <c r="D4689" s="68" t="s">
        <v>296</v>
      </c>
      <c r="E4689" s="68" t="s">
        <v>305</v>
      </c>
      <c r="F4689" s="68" t="s">
        <v>298</v>
      </c>
      <c r="G4689" s="68"/>
      <c r="H4689" s="68"/>
      <c r="I4689" s="69">
        <v>8828.7541700000002</v>
      </c>
    </row>
    <row r="4690" spans="1:9" hidden="1">
      <c r="A4690" s="64" t="s">
        <v>295</v>
      </c>
      <c r="B4690" s="65">
        <v>2046</v>
      </c>
      <c r="C4690" s="65">
        <v>2023</v>
      </c>
      <c r="D4690" s="65" t="s">
        <v>296</v>
      </c>
      <c r="E4690" s="65" t="s">
        <v>305</v>
      </c>
      <c r="F4690" s="65" t="s">
        <v>40</v>
      </c>
      <c r="G4690" s="65"/>
      <c r="H4690" s="65"/>
      <c r="I4690" s="66">
        <v>158216.56471000001</v>
      </c>
    </row>
    <row r="4691" spans="1:9" hidden="1">
      <c r="A4691" s="67" t="s">
        <v>295</v>
      </c>
      <c r="B4691" s="68">
        <v>2046</v>
      </c>
      <c r="C4691" s="68">
        <v>2023</v>
      </c>
      <c r="D4691" s="68" t="s">
        <v>309</v>
      </c>
      <c r="E4691" s="68" t="s">
        <v>294</v>
      </c>
      <c r="F4691" s="68" t="s">
        <v>297</v>
      </c>
      <c r="G4691" s="68"/>
      <c r="H4691" s="68"/>
      <c r="I4691" s="69">
        <v>40106.517409005959</v>
      </c>
    </row>
    <row r="4692" spans="1:9" hidden="1">
      <c r="A4692" s="64" t="s">
        <v>295</v>
      </c>
      <c r="B4692" s="65">
        <v>2046</v>
      </c>
      <c r="C4692" s="65">
        <v>2023</v>
      </c>
      <c r="D4692" s="65" t="s">
        <v>309</v>
      </c>
      <c r="E4692" s="65" t="s">
        <v>294</v>
      </c>
      <c r="F4692" s="65" t="s">
        <v>298</v>
      </c>
      <c r="G4692" s="65"/>
      <c r="H4692" s="65"/>
      <c r="I4692" s="66">
        <v>255370.39867197149</v>
      </c>
    </row>
    <row r="4693" spans="1:9" hidden="1">
      <c r="A4693" s="67" t="s">
        <v>295</v>
      </c>
      <c r="B4693" s="68">
        <v>2046</v>
      </c>
      <c r="C4693" s="68">
        <v>2023</v>
      </c>
      <c r="D4693" s="68" t="s">
        <v>309</v>
      </c>
      <c r="E4693" s="68" t="s">
        <v>294</v>
      </c>
      <c r="F4693" s="68" t="s">
        <v>40</v>
      </c>
      <c r="G4693" s="68"/>
      <c r="H4693" s="68"/>
      <c r="I4693" s="69">
        <v>294909.43528545753</v>
      </c>
    </row>
    <row r="4694" spans="1:9" hidden="1">
      <c r="A4694" s="64" t="s">
        <v>295</v>
      </c>
      <c r="B4694" s="65">
        <v>2046</v>
      </c>
      <c r="C4694" s="65">
        <v>2023</v>
      </c>
      <c r="D4694" s="65" t="s">
        <v>309</v>
      </c>
      <c r="E4694" s="65" t="s">
        <v>301</v>
      </c>
      <c r="F4694" s="65" t="s">
        <v>297</v>
      </c>
      <c r="G4694" s="65"/>
      <c r="H4694" s="65"/>
      <c r="I4694" s="66">
        <v>40432.303120702243</v>
      </c>
    </row>
    <row r="4695" spans="1:9" hidden="1">
      <c r="A4695" s="67" t="s">
        <v>295</v>
      </c>
      <c r="B4695" s="68">
        <v>2046</v>
      </c>
      <c r="C4695" s="68">
        <v>2023</v>
      </c>
      <c r="D4695" s="68" t="s">
        <v>309</v>
      </c>
      <c r="E4695" s="68" t="s">
        <v>301</v>
      </c>
      <c r="F4695" s="68" t="s">
        <v>298</v>
      </c>
      <c r="G4695" s="68"/>
      <c r="H4695" s="68"/>
      <c r="I4695" s="69">
        <v>304705.27886524872</v>
      </c>
    </row>
    <row r="4696" spans="1:9" hidden="1">
      <c r="A4696" s="64" t="s">
        <v>295</v>
      </c>
      <c r="B4696" s="65">
        <v>2046</v>
      </c>
      <c r="C4696" s="65">
        <v>2023</v>
      </c>
      <c r="D4696" s="65" t="s">
        <v>309</v>
      </c>
      <c r="E4696" s="65" t="s">
        <v>301</v>
      </c>
      <c r="F4696" s="65" t="s">
        <v>40</v>
      </c>
      <c r="G4696" s="65"/>
      <c r="H4696" s="65"/>
      <c r="I4696" s="66">
        <v>344644.7560923362</v>
      </c>
    </row>
    <row r="4697" spans="1:9" hidden="1">
      <c r="A4697" s="67" t="s">
        <v>295</v>
      </c>
      <c r="B4697" s="68">
        <v>2046</v>
      </c>
      <c r="C4697" s="68">
        <v>2023</v>
      </c>
      <c r="D4697" s="68" t="s">
        <v>309</v>
      </c>
      <c r="E4697" s="68" t="s">
        <v>305</v>
      </c>
      <c r="F4697" s="68" t="s">
        <v>297</v>
      </c>
      <c r="G4697" s="68"/>
      <c r="H4697" s="68"/>
      <c r="I4697" s="69">
        <v>42.028460000000003</v>
      </c>
    </row>
    <row r="4698" spans="1:9" hidden="1">
      <c r="A4698" s="64" t="s">
        <v>295</v>
      </c>
      <c r="B4698" s="65">
        <v>2046</v>
      </c>
      <c r="C4698" s="65">
        <v>2023</v>
      </c>
      <c r="D4698" s="65" t="s">
        <v>309</v>
      </c>
      <c r="E4698" s="65" t="s">
        <v>305</v>
      </c>
      <c r="F4698" s="65" t="s">
        <v>298</v>
      </c>
      <c r="G4698" s="65"/>
      <c r="H4698" s="65"/>
      <c r="I4698" s="66">
        <v>7252.9741700000004</v>
      </c>
    </row>
    <row r="4699" spans="1:9" hidden="1">
      <c r="A4699" s="67" t="s">
        <v>295</v>
      </c>
      <c r="B4699" s="68">
        <v>2046</v>
      </c>
      <c r="C4699" s="68">
        <v>2023</v>
      </c>
      <c r="D4699" s="68" t="s">
        <v>309</v>
      </c>
      <c r="E4699" s="68" t="s">
        <v>305</v>
      </c>
      <c r="F4699" s="68" t="s">
        <v>40</v>
      </c>
      <c r="G4699" s="68"/>
      <c r="H4699" s="68"/>
      <c r="I4699" s="69">
        <v>48268.502630000003</v>
      </c>
    </row>
    <row r="4700" spans="1:9" hidden="1">
      <c r="A4700" s="64" t="s">
        <v>295</v>
      </c>
      <c r="B4700" s="65">
        <v>2046</v>
      </c>
      <c r="C4700" s="65">
        <v>2023</v>
      </c>
      <c r="D4700" s="65" t="s">
        <v>315</v>
      </c>
      <c r="E4700" s="65" t="s">
        <v>294</v>
      </c>
      <c r="F4700" s="65" t="s">
        <v>297</v>
      </c>
      <c r="G4700" s="65"/>
      <c r="H4700" s="65"/>
      <c r="I4700" s="66">
        <v>94155.532428337203</v>
      </c>
    </row>
    <row r="4701" spans="1:9" hidden="1">
      <c r="A4701" s="67" t="s">
        <v>295</v>
      </c>
      <c r="B4701" s="68">
        <v>2046</v>
      </c>
      <c r="C4701" s="68">
        <v>2023</v>
      </c>
      <c r="D4701" s="68" t="s">
        <v>315</v>
      </c>
      <c r="E4701" s="68" t="s">
        <v>294</v>
      </c>
      <c r="F4701" s="68" t="s">
        <v>298</v>
      </c>
      <c r="G4701" s="68"/>
      <c r="H4701" s="68"/>
      <c r="I4701" s="69">
        <v>160105.13696160811</v>
      </c>
    </row>
    <row r="4702" spans="1:9" hidden="1">
      <c r="A4702" s="64" t="s">
        <v>295</v>
      </c>
      <c r="B4702" s="65">
        <v>2046</v>
      </c>
      <c r="C4702" s="65">
        <v>2023</v>
      </c>
      <c r="D4702" s="65" t="s">
        <v>315</v>
      </c>
      <c r="E4702" s="65" t="s">
        <v>294</v>
      </c>
      <c r="F4702" s="65" t="s">
        <v>40</v>
      </c>
      <c r="G4702" s="65"/>
      <c r="H4702" s="65"/>
      <c r="I4702" s="66">
        <v>253648.6726835882</v>
      </c>
    </row>
    <row r="4703" spans="1:9" hidden="1">
      <c r="A4703" s="67" t="s">
        <v>295</v>
      </c>
      <c r="B4703" s="68">
        <v>2046</v>
      </c>
      <c r="C4703" s="68">
        <v>2023</v>
      </c>
      <c r="D4703" s="68" t="s">
        <v>315</v>
      </c>
      <c r="E4703" s="68" t="s">
        <v>301</v>
      </c>
      <c r="F4703" s="68" t="s">
        <v>297</v>
      </c>
      <c r="G4703" s="68"/>
      <c r="H4703" s="68"/>
      <c r="I4703" s="69">
        <v>101473.8813944389</v>
      </c>
    </row>
    <row r="4704" spans="1:9" hidden="1">
      <c r="A4704" s="64" t="s">
        <v>295</v>
      </c>
      <c r="B4704" s="65">
        <v>2046</v>
      </c>
      <c r="C4704" s="65">
        <v>2023</v>
      </c>
      <c r="D4704" s="65" t="s">
        <v>315</v>
      </c>
      <c r="E4704" s="65" t="s">
        <v>301</v>
      </c>
      <c r="F4704" s="65" t="s">
        <v>298</v>
      </c>
      <c r="G4704" s="65"/>
      <c r="H4704" s="65"/>
      <c r="I4704" s="66">
        <v>187818.43615240109</v>
      </c>
    </row>
    <row r="4705" spans="1:9" hidden="1">
      <c r="A4705" s="67" t="s">
        <v>295</v>
      </c>
      <c r="B4705" s="68">
        <v>2046</v>
      </c>
      <c r="C4705" s="68">
        <v>2023</v>
      </c>
      <c r="D4705" s="68" t="s">
        <v>315</v>
      </c>
      <c r="E4705" s="68" t="s">
        <v>301</v>
      </c>
      <c r="F4705" s="68" t="s">
        <v>40</v>
      </c>
      <c r="G4705" s="68"/>
      <c r="H4705" s="68"/>
      <c r="I4705" s="69">
        <v>288691.25381423812</v>
      </c>
    </row>
    <row r="4706" spans="1:9" hidden="1">
      <c r="A4706" s="64" t="s">
        <v>295</v>
      </c>
      <c r="B4706" s="65">
        <v>2046</v>
      </c>
      <c r="C4706" s="65">
        <v>2023</v>
      </c>
      <c r="D4706" s="65" t="s">
        <v>315</v>
      </c>
      <c r="E4706" s="65" t="s">
        <v>305</v>
      </c>
      <c r="F4706" s="65" t="s">
        <v>297</v>
      </c>
      <c r="G4706" s="65"/>
      <c r="H4706" s="65"/>
      <c r="I4706" s="66">
        <v>1154.4577999999999</v>
      </c>
    </row>
    <row r="4707" spans="1:9" hidden="1">
      <c r="A4707" s="67" t="s">
        <v>295</v>
      </c>
      <c r="B4707" s="68">
        <v>2046</v>
      </c>
      <c r="C4707" s="68">
        <v>2023</v>
      </c>
      <c r="D4707" s="68" t="s">
        <v>315</v>
      </c>
      <c r="E4707" s="68" t="s">
        <v>305</v>
      </c>
      <c r="F4707" s="68" t="s">
        <v>298</v>
      </c>
      <c r="G4707" s="68"/>
      <c r="H4707" s="68"/>
      <c r="I4707" s="69">
        <v>1505.88</v>
      </c>
    </row>
    <row r="4708" spans="1:9" hidden="1">
      <c r="A4708" s="64" t="s">
        <v>295</v>
      </c>
      <c r="B4708" s="65">
        <v>2046</v>
      </c>
      <c r="C4708" s="65">
        <v>2023</v>
      </c>
      <c r="D4708" s="65" t="s">
        <v>315</v>
      </c>
      <c r="E4708" s="65" t="s">
        <v>305</v>
      </c>
      <c r="F4708" s="65" t="s">
        <v>40</v>
      </c>
      <c r="G4708" s="65"/>
      <c r="H4708" s="65"/>
      <c r="I4708" s="66">
        <v>23121.197800000002</v>
      </c>
    </row>
    <row r="4709" spans="1:9" hidden="1">
      <c r="A4709" s="67" t="s">
        <v>295</v>
      </c>
      <c r="B4709" s="68">
        <v>2046</v>
      </c>
      <c r="C4709" s="68">
        <v>2023</v>
      </c>
      <c r="D4709" s="68" t="s">
        <v>316</v>
      </c>
      <c r="E4709" s="68" t="s">
        <v>294</v>
      </c>
      <c r="F4709" s="68" t="s">
        <v>297</v>
      </c>
      <c r="G4709" s="68"/>
      <c r="H4709" s="68"/>
      <c r="I4709" s="69">
        <v>382125.46379146067</v>
      </c>
    </row>
    <row r="4710" spans="1:9" hidden="1">
      <c r="A4710" s="64" t="s">
        <v>295</v>
      </c>
      <c r="B4710" s="65">
        <v>2046</v>
      </c>
      <c r="C4710" s="65">
        <v>2023</v>
      </c>
      <c r="D4710" s="65" t="s">
        <v>316</v>
      </c>
      <c r="E4710" s="65" t="s">
        <v>294</v>
      </c>
      <c r="F4710" s="65" t="s">
        <v>298</v>
      </c>
      <c r="G4710" s="65"/>
      <c r="H4710" s="65"/>
      <c r="I4710" s="66">
        <v>3207.607174961227</v>
      </c>
    </row>
    <row r="4711" spans="1:9" hidden="1">
      <c r="A4711" s="67" t="s">
        <v>295</v>
      </c>
      <c r="B4711" s="68">
        <v>2046</v>
      </c>
      <c r="C4711" s="68">
        <v>2023</v>
      </c>
      <c r="D4711" s="68" t="s">
        <v>316</v>
      </c>
      <c r="E4711" s="68" t="s">
        <v>294</v>
      </c>
      <c r="F4711" s="68" t="s">
        <v>40</v>
      </c>
      <c r="G4711" s="68"/>
      <c r="H4711" s="68"/>
      <c r="I4711" s="69">
        <v>402952.71128078358</v>
      </c>
    </row>
    <row r="4712" spans="1:9" hidden="1">
      <c r="A4712" s="64" t="s">
        <v>295</v>
      </c>
      <c r="B4712" s="65">
        <v>2046</v>
      </c>
      <c r="C4712" s="65">
        <v>2023</v>
      </c>
      <c r="D4712" s="65" t="s">
        <v>316</v>
      </c>
      <c r="E4712" s="65" t="s">
        <v>301</v>
      </c>
      <c r="F4712" s="65" t="s">
        <v>297</v>
      </c>
      <c r="G4712" s="65"/>
      <c r="H4712" s="65"/>
      <c r="I4712" s="66">
        <v>487538.29468783131</v>
      </c>
    </row>
    <row r="4713" spans="1:9" hidden="1">
      <c r="A4713" s="67" t="s">
        <v>295</v>
      </c>
      <c r="B4713" s="68">
        <v>2046</v>
      </c>
      <c r="C4713" s="68">
        <v>2023</v>
      </c>
      <c r="D4713" s="68" t="s">
        <v>316</v>
      </c>
      <c r="E4713" s="68" t="s">
        <v>301</v>
      </c>
      <c r="F4713" s="68" t="s">
        <v>298</v>
      </c>
      <c r="G4713" s="68"/>
      <c r="H4713" s="68"/>
      <c r="I4713" s="69">
        <v>3431.106881990183</v>
      </c>
    </row>
    <row r="4714" spans="1:9" hidden="1">
      <c r="A4714" s="64" t="s">
        <v>295</v>
      </c>
      <c r="B4714" s="65">
        <v>2046</v>
      </c>
      <c r="C4714" s="65">
        <v>2023</v>
      </c>
      <c r="D4714" s="65" t="s">
        <v>316</v>
      </c>
      <c r="E4714" s="65" t="s">
        <v>301</v>
      </c>
      <c r="F4714" s="65" t="s">
        <v>40</v>
      </c>
      <c r="G4714" s="65"/>
      <c r="H4714" s="65"/>
      <c r="I4714" s="66">
        <v>510337.9269237814</v>
      </c>
    </row>
    <row r="4715" spans="1:9" hidden="1">
      <c r="A4715" s="67" t="s">
        <v>295</v>
      </c>
      <c r="B4715" s="68">
        <v>2046</v>
      </c>
      <c r="C4715" s="68">
        <v>2023</v>
      </c>
      <c r="D4715" s="68" t="s">
        <v>316</v>
      </c>
      <c r="E4715" s="68" t="s">
        <v>305</v>
      </c>
      <c r="F4715" s="68" t="s">
        <v>297</v>
      </c>
      <c r="G4715" s="68"/>
      <c r="H4715" s="68"/>
      <c r="I4715" s="69">
        <v>9351.30998</v>
      </c>
    </row>
    <row r="4716" spans="1:9" hidden="1">
      <c r="A4716" s="64" t="s">
        <v>295</v>
      </c>
      <c r="B4716" s="65">
        <v>2046</v>
      </c>
      <c r="C4716" s="65">
        <v>2023</v>
      </c>
      <c r="D4716" s="65" t="s">
        <v>316</v>
      </c>
      <c r="E4716" s="65" t="s">
        <v>305</v>
      </c>
      <c r="F4716" s="65" t="s">
        <v>298</v>
      </c>
      <c r="G4716" s="65"/>
      <c r="H4716" s="65"/>
      <c r="I4716" s="66">
        <v>0</v>
      </c>
    </row>
    <row r="4717" spans="1:9" hidden="1">
      <c r="A4717" s="67" t="s">
        <v>295</v>
      </c>
      <c r="B4717" s="68">
        <v>2046</v>
      </c>
      <c r="C4717" s="68">
        <v>2023</v>
      </c>
      <c r="D4717" s="68" t="s">
        <v>316</v>
      </c>
      <c r="E4717" s="68" t="s">
        <v>305</v>
      </c>
      <c r="F4717" s="68" t="s">
        <v>40</v>
      </c>
      <c r="G4717" s="68"/>
      <c r="H4717" s="68"/>
      <c r="I4717" s="69">
        <v>45621.670919999997</v>
      </c>
    </row>
    <row r="4718" spans="1:9" hidden="1">
      <c r="A4718" s="64" t="s">
        <v>295</v>
      </c>
      <c r="B4718" s="65">
        <v>2046</v>
      </c>
      <c r="C4718" s="65">
        <v>2023</v>
      </c>
      <c r="D4718" s="65" t="s">
        <v>317</v>
      </c>
      <c r="E4718" s="65" t="s">
        <v>294</v>
      </c>
      <c r="F4718" s="65" t="s">
        <v>297</v>
      </c>
      <c r="G4718" s="65"/>
      <c r="H4718" s="65"/>
      <c r="I4718" s="66">
        <v>179.16267122337811</v>
      </c>
    </row>
    <row r="4719" spans="1:9" hidden="1">
      <c r="A4719" s="67" t="s">
        <v>295</v>
      </c>
      <c r="B4719" s="68">
        <v>2046</v>
      </c>
      <c r="C4719" s="68">
        <v>2023</v>
      </c>
      <c r="D4719" s="68" t="s">
        <v>317</v>
      </c>
      <c r="E4719" s="68" t="s">
        <v>294</v>
      </c>
      <c r="F4719" s="68" t="s">
        <v>298</v>
      </c>
      <c r="G4719" s="68"/>
      <c r="H4719" s="68"/>
      <c r="I4719" s="69">
        <v>0</v>
      </c>
    </row>
    <row r="4720" spans="1:9" hidden="1">
      <c r="A4720" s="64" t="s">
        <v>295</v>
      </c>
      <c r="B4720" s="65">
        <v>2046</v>
      </c>
      <c r="C4720" s="65">
        <v>2023</v>
      </c>
      <c r="D4720" s="65" t="s">
        <v>317</v>
      </c>
      <c r="E4720" s="65" t="s">
        <v>294</v>
      </c>
      <c r="F4720" s="65" t="s">
        <v>40</v>
      </c>
      <c r="G4720" s="65"/>
      <c r="H4720" s="65"/>
      <c r="I4720" s="66">
        <v>17329.968575072129</v>
      </c>
    </row>
    <row r="4721" spans="1:9" hidden="1">
      <c r="A4721" s="67" t="s">
        <v>295</v>
      </c>
      <c r="B4721" s="68">
        <v>2046</v>
      </c>
      <c r="C4721" s="68">
        <v>2023</v>
      </c>
      <c r="D4721" s="68" t="s">
        <v>317</v>
      </c>
      <c r="E4721" s="68" t="s">
        <v>301</v>
      </c>
      <c r="F4721" s="68" t="s">
        <v>297</v>
      </c>
      <c r="G4721" s="68"/>
      <c r="H4721" s="68"/>
      <c r="I4721" s="69">
        <v>192.0071941974463</v>
      </c>
    </row>
    <row r="4722" spans="1:9" hidden="1">
      <c r="A4722" s="64" t="s">
        <v>295</v>
      </c>
      <c r="B4722" s="65">
        <v>2046</v>
      </c>
      <c r="C4722" s="65">
        <v>2023</v>
      </c>
      <c r="D4722" s="65" t="s">
        <v>317</v>
      </c>
      <c r="E4722" s="65" t="s">
        <v>301</v>
      </c>
      <c r="F4722" s="65" t="s">
        <v>298</v>
      </c>
      <c r="G4722" s="65"/>
      <c r="H4722" s="65"/>
      <c r="I4722" s="66">
        <v>0</v>
      </c>
    </row>
    <row r="4723" spans="1:9" hidden="1">
      <c r="A4723" s="67" t="s">
        <v>295</v>
      </c>
      <c r="B4723" s="68">
        <v>2046</v>
      </c>
      <c r="C4723" s="68">
        <v>2023</v>
      </c>
      <c r="D4723" s="68" t="s">
        <v>317</v>
      </c>
      <c r="E4723" s="68" t="s">
        <v>301</v>
      </c>
      <c r="F4723" s="68" t="s">
        <v>40</v>
      </c>
      <c r="G4723" s="68"/>
      <c r="H4723" s="68"/>
      <c r="I4723" s="69">
        <v>19016.110505367491</v>
      </c>
    </row>
    <row r="4724" spans="1:9" hidden="1">
      <c r="A4724" s="64" t="s">
        <v>295</v>
      </c>
      <c r="B4724" s="65">
        <v>2046</v>
      </c>
      <c r="C4724" s="65">
        <v>2023</v>
      </c>
      <c r="D4724" s="65" t="s">
        <v>317</v>
      </c>
      <c r="E4724" s="65" t="s">
        <v>305</v>
      </c>
      <c r="F4724" s="65" t="s">
        <v>297</v>
      </c>
      <c r="G4724" s="65"/>
      <c r="H4724" s="65"/>
      <c r="I4724" s="66">
        <v>1.3690000000000001E-2</v>
      </c>
    </row>
    <row r="4725" spans="1:9" hidden="1">
      <c r="A4725" s="67" t="s">
        <v>295</v>
      </c>
      <c r="B4725" s="68">
        <v>2046</v>
      </c>
      <c r="C4725" s="68">
        <v>2023</v>
      </c>
      <c r="D4725" s="68" t="s">
        <v>317</v>
      </c>
      <c r="E4725" s="68" t="s">
        <v>305</v>
      </c>
      <c r="F4725" s="68" t="s">
        <v>40</v>
      </c>
      <c r="G4725" s="68"/>
      <c r="H4725" s="68"/>
      <c r="I4725" s="69">
        <v>538.09463000000005</v>
      </c>
    </row>
    <row r="4726" spans="1:9" hidden="1">
      <c r="A4726" s="64" t="s">
        <v>295</v>
      </c>
      <c r="B4726" s="65">
        <v>2046</v>
      </c>
      <c r="C4726" s="65">
        <v>2023</v>
      </c>
      <c r="D4726" s="65" t="s">
        <v>318</v>
      </c>
      <c r="E4726" s="65" t="s">
        <v>294</v>
      </c>
      <c r="F4726" s="65" t="s">
        <v>297</v>
      </c>
      <c r="G4726" s="65"/>
      <c r="H4726" s="65"/>
      <c r="I4726" s="66">
        <v>360563.44769405923</v>
      </c>
    </row>
    <row r="4727" spans="1:9" hidden="1">
      <c r="A4727" s="67" t="s">
        <v>295</v>
      </c>
      <c r="B4727" s="68">
        <v>2046</v>
      </c>
      <c r="C4727" s="68">
        <v>2023</v>
      </c>
      <c r="D4727" s="68" t="s">
        <v>318</v>
      </c>
      <c r="E4727" s="68" t="s">
        <v>294</v>
      </c>
      <c r="F4727" s="68" t="s">
        <v>298</v>
      </c>
      <c r="G4727" s="68"/>
      <c r="H4727" s="68"/>
      <c r="I4727" s="69">
        <v>0</v>
      </c>
    </row>
    <row r="4728" spans="1:9" hidden="1">
      <c r="A4728" s="64" t="s">
        <v>295</v>
      </c>
      <c r="B4728" s="65">
        <v>2046</v>
      </c>
      <c r="C4728" s="65">
        <v>2023</v>
      </c>
      <c r="D4728" s="65" t="s">
        <v>318</v>
      </c>
      <c r="E4728" s="65" t="s">
        <v>294</v>
      </c>
      <c r="F4728" s="65" t="s">
        <v>40</v>
      </c>
      <c r="G4728" s="65"/>
      <c r="H4728" s="65"/>
      <c r="I4728" s="66">
        <v>360952.26444663352</v>
      </c>
    </row>
    <row r="4729" spans="1:9" hidden="1">
      <c r="A4729" s="67" t="s">
        <v>295</v>
      </c>
      <c r="B4729" s="68">
        <v>2046</v>
      </c>
      <c r="C4729" s="68">
        <v>2023</v>
      </c>
      <c r="D4729" s="68" t="s">
        <v>318</v>
      </c>
      <c r="E4729" s="68" t="s">
        <v>301</v>
      </c>
      <c r="F4729" s="68" t="s">
        <v>297</v>
      </c>
      <c r="G4729" s="68"/>
      <c r="H4729" s="68"/>
      <c r="I4729" s="69">
        <v>463869.85764727253</v>
      </c>
    </row>
    <row r="4730" spans="1:9" hidden="1">
      <c r="A4730" s="64" t="s">
        <v>295</v>
      </c>
      <c r="B4730" s="65">
        <v>2046</v>
      </c>
      <c r="C4730" s="65">
        <v>2023</v>
      </c>
      <c r="D4730" s="65" t="s">
        <v>318</v>
      </c>
      <c r="E4730" s="65" t="s">
        <v>301</v>
      </c>
      <c r="F4730" s="65" t="s">
        <v>298</v>
      </c>
      <c r="G4730" s="65"/>
      <c r="H4730" s="65"/>
      <c r="I4730" s="66">
        <v>0</v>
      </c>
    </row>
    <row r="4731" spans="1:9" hidden="1">
      <c r="A4731" s="67" t="s">
        <v>295</v>
      </c>
      <c r="B4731" s="68">
        <v>2046</v>
      </c>
      <c r="C4731" s="68">
        <v>2023</v>
      </c>
      <c r="D4731" s="68" t="s">
        <v>318</v>
      </c>
      <c r="E4731" s="68" t="s">
        <v>301</v>
      </c>
      <c r="F4731" s="68" t="s">
        <v>40</v>
      </c>
      <c r="G4731" s="68"/>
      <c r="H4731" s="68"/>
      <c r="I4731" s="69">
        <v>464376.89277161309</v>
      </c>
    </row>
    <row r="4732" spans="1:9" hidden="1">
      <c r="A4732" s="64" t="s">
        <v>295</v>
      </c>
      <c r="B4732" s="65">
        <v>2046</v>
      </c>
      <c r="C4732" s="65">
        <v>2023</v>
      </c>
      <c r="D4732" s="65" t="s">
        <v>318</v>
      </c>
      <c r="E4732" s="65" t="s">
        <v>305</v>
      </c>
      <c r="F4732" s="65" t="s">
        <v>297</v>
      </c>
      <c r="G4732" s="65"/>
      <c r="H4732" s="65"/>
      <c r="I4732" s="66">
        <v>9247.0153499999997</v>
      </c>
    </row>
    <row r="4733" spans="1:9" hidden="1">
      <c r="A4733" s="67" t="s">
        <v>295</v>
      </c>
      <c r="B4733" s="68">
        <v>2046</v>
      </c>
      <c r="C4733" s="68">
        <v>2023</v>
      </c>
      <c r="D4733" s="68" t="s">
        <v>318</v>
      </c>
      <c r="E4733" s="68" t="s">
        <v>305</v>
      </c>
      <c r="F4733" s="68" t="s">
        <v>40</v>
      </c>
      <c r="G4733" s="68"/>
      <c r="H4733" s="68"/>
      <c r="I4733" s="69">
        <v>42737.215349999999</v>
      </c>
    </row>
    <row r="4734" spans="1:9" hidden="1">
      <c r="A4734" s="64" t="s">
        <v>295</v>
      </c>
      <c r="B4734" s="65">
        <v>2046</v>
      </c>
      <c r="C4734" s="65">
        <v>2023</v>
      </c>
      <c r="D4734" s="65" t="s">
        <v>320</v>
      </c>
      <c r="E4734" s="65" t="s">
        <v>294</v>
      </c>
      <c r="F4734" s="65" t="s">
        <v>297</v>
      </c>
      <c r="G4734" s="65"/>
      <c r="H4734" s="65"/>
      <c r="I4734" s="66">
        <v>3162.0620549247578</v>
      </c>
    </row>
    <row r="4735" spans="1:9" hidden="1">
      <c r="A4735" s="67" t="s">
        <v>295</v>
      </c>
      <c r="B4735" s="68">
        <v>2046</v>
      </c>
      <c r="C4735" s="68">
        <v>2023</v>
      </c>
      <c r="D4735" s="68" t="s">
        <v>320</v>
      </c>
      <c r="E4735" s="68" t="s">
        <v>294</v>
      </c>
      <c r="F4735" s="68" t="s">
        <v>298</v>
      </c>
      <c r="G4735" s="68"/>
      <c r="H4735" s="68"/>
      <c r="I4735" s="69">
        <v>0</v>
      </c>
    </row>
    <row r="4736" spans="1:9" hidden="1">
      <c r="A4736" s="64" t="s">
        <v>295</v>
      </c>
      <c r="B4736" s="65">
        <v>2046</v>
      </c>
      <c r="C4736" s="65">
        <v>2023</v>
      </c>
      <c r="D4736" s="65" t="s">
        <v>320</v>
      </c>
      <c r="E4736" s="65" t="s">
        <v>294</v>
      </c>
      <c r="F4736" s="65" t="s">
        <v>40</v>
      </c>
      <c r="G4736" s="65"/>
      <c r="H4736" s="65"/>
      <c r="I4736" s="66">
        <v>3163.722482592389</v>
      </c>
    </row>
    <row r="4737" spans="1:9" hidden="1">
      <c r="A4737" s="67" t="s">
        <v>295</v>
      </c>
      <c r="B4737" s="68">
        <v>2046</v>
      </c>
      <c r="C4737" s="68">
        <v>2023</v>
      </c>
      <c r="D4737" s="68" t="s">
        <v>320</v>
      </c>
      <c r="E4737" s="68" t="s">
        <v>301</v>
      </c>
      <c r="F4737" s="68" t="s">
        <v>297</v>
      </c>
      <c r="G4737" s="68"/>
      <c r="H4737" s="68"/>
      <c r="I4737" s="69">
        <v>4455.8828414609297</v>
      </c>
    </row>
    <row r="4738" spans="1:9" hidden="1">
      <c r="A4738" s="64" t="s">
        <v>295</v>
      </c>
      <c r="B4738" s="65">
        <v>2046</v>
      </c>
      <c r="C4738" s="65">
        <v>2023</v>
      </c>
      <c r="D4738" s="65" t="s">
        <v>320</v>
      </c>
      <c r="E4738" s="65" t="s">
        <v>301</v>
      </c>
      <c r="F4738" s="65" t="s">
        <v>298</v>
      </c>
      <c r="G4738" s="65"/>
      <c r="H4738" s="65"/>
      <c r="I4738" s="66">
        <v>0</v>
      </c>
    </row>
    <row r="4739" spans="1:9" hidden="1">
      <c r="A4739" s="67" t="s">
        <v>295</v>
      </c>
      <c r="B4739" s="68">
        <v>2046</v>
      </c>
      <c r="C4739" s="68">
        <v>2023</v>
      </c>
      <c r="D4739" s="68" t="s">
        <v>320</v>
      </c>
      <c r="E4739" s="68" t="s">
        <v>301</v>
      </c>
      <c r="F4739" s="68" t="s">
        <v>40</v>
      </c>
      <c r="G4739" s="68"/>
      <c r="H4739" s="68"/>
      <c r="I4739" s="69">
        <v>4457.5385799097203</v>
      </c>
    </row>
    <row r="4740" spans="1:9" hidden="1">
      <c r="A4740" s="64" t="s">
        <v>295</v>
      </c>
      <c r="B4740" s="65">
        <v>2046</v>
      </c>
      <c r="C4740" s="65">
        <v>2023</v>
      </c>
      <c r="D4740" s="65" t="s">
        <v>320</v>
      </c>
      <c r="E4740" s="65" t="s">
        <v>305</v>
      </c>
      <c r="F4740" s="65" t="s">
        <v>297</v>
      </c>
      <c r="G4740" s="65"/>
      <c r="H4740" s="65"/>
      <c r="I4740" s="66">
        <v>43.14</v>
      </c>
    </row>
    <row r="4741" spans="1:9" hidden="1">
      <c r="A4741" s="67" t="s">
        <v>295</v>
      </c>
      <c r="B4741" s="68">
        <v>2046</v>
      </c>
      <c r="C4741" s="68">
        <v>2023</v>
      </c>
      <c r="D4741" s="68" t="s">
        <v>320</v>
      </c>
      <c r="E4741" s="68" t="s">
        <v>305</v>
      </c>
      <c r="F4741" s="68" t="s">
        <v>40</v>
      </c>
      <c r="G4741" s="68"/>
      <c r="H4741" s="68"/>
      <c r="I4741" s="69">
        <v>1578.86</v>
      </c>
    </row>
    <row r="4742" spans="1:9" hidden="1">
      <c r="A4742" s="64" t="s">
        <v>295</v>
      </c>
      <c r="B4742" s="65">
        <v>2046</v>
      </c>
      <c r="C4742" s="65">
        <v>2023</v>
      </c>
      <c r="D4742" s="65" t="s">
        <v>321</v>
      </c>
      <c r="E4742" s="65" t="s">
        <v>294</v>
      </c>
      <c r="F4742" s="65" t="s">
        <v>297</v>
      </c>
      <c r="G4742" s="65"/>
      <c r="H4742" s="65"/>
      <c r="I4742" s="66">
        <v>17061.98556924452</v>
      </c>
    </row>
    <row r="4743" spans="1:9" hidden="1">
      <c r="A4743" s="67" t="s">
        <v>295</v>
      </c>
      <c r="B4743" s="68">
        <v>2046</v>
      </c>
      <c r="C4743" s="68">
        <v>2023</v>
      </c>
      <c r="D4743" s="68" t="s">
        <v>321</v>
      </c>
      <c r="E4743" s="68" t="s">
        <v>294</v>
      </c>
      <c r="F4743" s="68" t="s">
        <v>298</v>
      </c>
      <c r="G4743" s="68"/>
      <c r="H4743" s="68"/>
      <c r="I4743" s="69">
        <v>0</v>
      </c>
    </row>
    <row r="4744" spans="1:9" hidden="1">
      <c r="A4744" s="64" t="s">
        <v>295</v>
      </c>
      <c r="B4744" s="65">
        <v>2046</v>
      </c>
      <c r="C4744" s="65">
        <v>2023</v>
      </c>
      <c r="D4744" s="65" t="s">
        <v>321</v>
      </c>
      <c r="E4744" s="65" t="s">
        <v>294</v>
      </c>
      <c r="F4744" s="65" t="s">
        <v>40</v>
      </c>
      <c r="G4744" s="65"/>
      <c r="H4744" s="65"/>
      <c r="I4744" s="66">
        <v>17087.074053866821</v>
      </c>
    </row>
    <row r="4745" spans="1:9" hidden="1">
      <c r="A4745" s="67" t="s">
        <v>295</v>
      </c>
      <c r="B4745" s="68">
        <v>2046</v>
      </c>
      <c r="C4745" s="68">
        <v>2023</v>
      </c>
      <c r="D4745" s="68" t="s">
        <v>321</v>
      </c>
      <c r="E4745" s="68" t="s">
        <v>301</v>
      </c>
      <c r="F4745" s="68" t="s">
        <v>297</v>
      </c>
      <c r="G4745" s="68"/>
      <c r="H4745" s="68"/>
      <c r="I4745" s="69">
        <v>17516.79419541989</v>
      </c>
    </row>
    <row r="4746" spans="1:9" hidden="1">
      <c r="A4746" s="64" t="s">
        <v>295</v>
      </c>
      <c r="B4746" s="65">
        <v>2046</v>
      </c>
      <c r="C4746" s="65">
        <v>2023</v>
      </c>
      <c r="D4746" s="65" t="s">
        <v>321</v>
      </c>
      <c r="E4746" s="65" t="s">
        <v>301</v>
      </c>
      <c r="F4746" s="65" t="s">
        <v>298</v>
      </c>
      <c r="G4746" s="65"/>
      <c r="H4746" s="65"/>
      <c r="I4746" s="66">
        <v>0</v>
      </c>
    </row>
    <row r="4747" spans="1:9" hidden="1">
      <c r="A4747" s="67" t="s">
        <v>295</v>
      </c>
      <c r="B4747" s="68">
        <v>2046</v>
      </c>
      <c r="C4747" s="68">
        <v>2023</v>
      </c>
      <c r="D4747" s="68" t="s">
        <v>321</v>
      </c>
      <c r="E4747" s="68" t="s">
        <v>301</v>
      </c>
      <c r="F4747" s="68" t="s">
        <v>40</v>
      </c>
      <c r="G4747" s="68"/>
      <c r="H4747" s="68"/>
      <c r="I4747" s="69">
        <v>17541.56728889083</v>
      </c>
    </row>
    <row r="4748" spans="1:9" hidden="1">
      <c r="A4748" s="64" t="s">
        <v>295</v>
      </c>
      <c r="B4748" s="65">
        <v>2046</v>
      </c>
      <c r="C4748" s="65">
        <v>2023</v>
      </c>
      <c r="D4748" s="65" t="s">
        <v>321</v>
      </c>
      <c r="E4748" s="65" t="s">
        <v>305</v>
      </c>
      <c r="F4748" s="65" t="s">
        <v>297</v>
      </c>
      <c r="G4748" s="65"/>
      <c r="H4748" s="65"/>
      <c r="I4748" s="66">
        <v>53.840940000000003</v>
      </c>
    </row>
    <row r="4749" spans="1:9" hidden="1">
      <c r="A4749" s="67" t="s">
        <v>295</v>
      </c>
      <c r="B4749" s="68">
        <v>2046</v>
      </c>
      <c r="C4749" s="68">
        <v>2023</v>
      </c>
      <c r="D4749" s="68" t="s">
        <v>321</v>
      </c>
      <c r="E4749" s="68" t="s">
        <v>305</v>
      </c>
      <c r="F4749" s="68" t="s">
        <v>40</v>
      </c>
      <c r="G4749" s="68"/>
      <c r="H4749" s="68"/>
      <c r="I4749" s="69">
        <v>438.78093999999999</v>
      </c>
    </row>
    <row r="4750" spans="1:9" hidden="1">
      <c r="A4750" s="64" t="s">
        <v>295</v>
      </c>
      <c r="B4750" s="65">
        <v>2046</v>
      </c>
      <c r="C4750" s="65">
        <v>2023</v>
      </c>
      <c r="D4750" s="65" t="s">
        <v>322</v>
      </c>
      <c r="E4750" s="65" t="s">
        <v>294</v>
      </c>
      <c r="F4750" s="65" t="s">
        <v>297</v>
      </c>
      <c r="G4750" s="65"/>
      <c r="H4750" s="65"/>
      <c r="I4750" s="66">
        <v>1177.062762008896</v>
      </c>
    </row>
    <row r="4751" spans="1:9" hidden="1">
      <c r="A4751" s="67" t="s">
        <v>295</v>
      </c>
      <c r="B4751" s="68">
        <v>2046</v>
      </c>
      <c r="C4751" s="68">
        <v>2023</v>
      </c>
      <c r="D4751" s="68" t="s">
        <v>322</v>
      </c>
      <c r="E4751" s="68" t="s">
        <v>294</v>
      </c>
      <c r="F4751" s="68" t="s">
        <v>298</v>
      </c>
      <c r="G4751" s="68"/>
      <c r="H4751" s="68"/>
      <c r="I4751" s="69">
        <v>3260.9002106099201</v>
      </c>
    </row>
    <row r="4752" spans="1:9" hidden="1">
      <c r="A4752" s="64" t="s">
        <v>295</v>
      </c>
      <c r="B4752" s="65">
        <v>2046</v>
      </c>
      <c r="C4752" s="65">
        <v>2023</v>
      </c>
      <c r="D4752" s="65" t="s">
        <v>322</v>
      </c>
      <c r="E4752" s="65" t="s">
        <v>294</v>
      </c>
      <c r="F4752" s="65" t="s">
        <v>40</v>
      </c>
      <c r="G4752" s="65"/>
      <c r="H4752" s="65"/>
      <c r="I4752" s="66">
        <v>4437.882972618816</v>
      </c>
    </row>
    <row r="4753" spans="1:9" hidden="1">
      <c r="A4753" s="67" t="s">
        <v>295</v>
      </c>
      <c r="B4753" s="68">
        <v>2046</v>
      </c>
      <c r="C4753" s="68">
        <v>2023</v>
      </c>
      <c r="D4753" s="68" t="s">
        <v>322</v>
      </c>
      <c r="E4753" s="68" t="s">
        <v>301</v>
      </c>
      <c r="F4753" s="68" t="s">
        <v>297</v>
      </c>
      <c r="G4753" s="68"/>
      <c r="H4753" s="68"/>
      <c r="I4753" s="69">
        <v>1522.1529854805351</v>
      </c>
    </row>
    <row r="4754" spans="1:9" hidden="1">
      <c r="A4754" s="64" t="s">
        <v>295</v>
      </c>
      <c r="B4754" s="65">
        <v>2046</v>
      </c>
      <c r="C4754" s="65">
        <v>2023</v>
      </c>
      <c r="D4754" s="65" t="s">
        <v>322</v>
      </c>
      <c r="E4754" s="65" t="s">
        <v>301</v>
      </c>
      <c r="F4754" s="65" t="s">
        <v>298</v>
      </c>
      <c r="G4754" s="65"/>
      <c r="H4754" s="65"/>
      <c r="I4754" s="66">
        <v>3442.0660825196992</v>
      </c>
    </row>
    <row r="4755" spans="1:9" hidden="1">
      <c r="A4755" s="67" t="s">
        <v>295</v>
      </c>
      <c r="B4755" s="68">
        <v>2046</v>
      </c>
      <c r="C4755" s="68">
        <v>2023</v>
      </c>
      <c r="D4755" s="68" t="s">
        <v>322</v>
      </c>
      <c r="E4755" s="68" t="s">
        <v>301</v>
      </c>
      <c r="F4755" s="68" t="s">
        <v>40</v>
      </c>
      <c r="G4755" s="68"/>
      <c r="H4755" s="68"/>
      <c r="I4755" s="69">
        <v>4964.1390680002332</v>
      </c>
    </row>
    <row r="4756" spans="1:9" hidden="1">
      <c r="A4756" s="64" t="s">
        <v>295</v>
      </c>
      <c r="B4756" s="65">
        <v>2046</v>
      </c>
      <c r="C4756" s="65">
        <v>2023</v>
      </c>
      <c r="D4756" s="65" t="s">
        <v>322</v>
      </c>
      <c r="E4756" s="65" t="s">
        <v>305</v>
      </c>
      <c r="F4756" s="65" t="s">
        <v>297</v>
      </c>
      <c r="G4756" s="65"/>
      <c r="H4756" s="65"/>
      <c r="I4756" s="66">
        <v>7.2</v>
      </c>
    </row>
    <row r="4757" spans="1:9" hidden="1">
      <c r="A4757" s="67" t="s">
        <v>295</v>
      </c>
      <c r="B4757" s="68">
        <v>2046</v>
      </c>
      <c r="C4757" s="68">
        <v>2023</v>
      </c>
      <c r="D4757" s="68" t="s">
        <v>322</v>
      </c>
      <c r="E4757" s="68" t="s">
        <v>305</v>
      </c>
      <c r="F4757" s="68" t="s">
        <v>40</v>
      </c>
      <c r="G4757" s="68"/>
      <c r="H4757" s="68"/>
      <c r="I4757" s="69">
        <v>328.62</v>
      </c>
    </row>
    <row r="4758" spans="1:9" hidden="1">
      <c r="A4758" s="64" t="s">
        <v>295</v>
      </c>
      <c r="B4758" s="65">
        <v>2046</v>
      </c>
      <c r="C4758" s="65">
        <v>2023</v>
      </c>
      <c r="D4758" s="65" t="s">
        <v>323</v>
      </c>
      <c r="E4758" s="65" t="s">
        <v>294</v>
      </c>
      <c r="F4758" s="65" t="s">
        <v>297</v>
      </c>
      <c r="G4758" s="65"/>
      <c r="H4758" s="65"/>
      <c r="I4758" s="66">
        <v>250090.77857370349</v>
      </c>
    </row>
    <row r="4759" spans="1:9" hidden="1">
      <c r="A4759" s="67" t="s">
        <v>295</v>
      </c>
      <c r="B4759" s="68">
        <v>2046</v>
      </c>
      <c r="C4759" s="68">
        <v>2023</v>
      </c>
      <c r="D4759" s="68" t="s">
        <v>323</v>
      </c>
      <c r="E4759" s="68" t="s">
        <v>294</v>
      </c>
      <c r="F4759" s="68" t="s">
        <v>298</v>
      </c>
      <c r="G4759" s="68"/>
      <c r="H4759" s="68"/>
      <c r="I4759" s="69">
        <v>920.91495189803913</v>
      </c>
    </row>
    <row r="4760" spans="1:9" hidden="1">
      <c r="A4760" s="64" t="s">
        <v>295</v>
      </c>
      <c r="B4760" s="65">
        <v>2046</v>
      </c>
      <c r="C4760" s="65">
        <v>2023</v>
      </c>
      <c r="D4760" s="65" t="s">
        <v>323</v>
      </c>
      <c r="E4760" s="65" t="s">
        <v>294</v>
      </c>
      <c r="F4760" s="65" t="s">
        <v>40</v>
      </c>
      <c r="G4760" s="65"/>
      <c r="H4760" s="65"/>
      <c r="I4760" s="66">
        <v>251543.73421562149</v>
      </c>
    </row>
    <row r="4761" spans="1:9" hidden="1">
      <c r="A4761" s="67" t="s">
        <v>295</v>
      </c>
      <c r="B4761" s="68">
        <v>2046</v>
      </c>
      <c r="C4761" s="68">
        <v>2023</v>
      </c>
      <c r="D4761" s="68" t="s">
        <v>323</v>
      </c>
      <c r="E4761" s="68" t="s">
        <v>301</v>
      </c>
      <c r="F4761" s="68" t="s">
        <v>297</v>
      </c>
      <c r="G4761" s="68"/>
      <c r="H4761" s="68"/>
      <c r="I4761" s="69">
        <v>319946.38615944528</v>
      </c>
    </row>
    <row r="4762" spans="1:9" hidden="1">
      <c r="A4762" s="64" t="s">
        <v>295</v>
      </c>
      <c r="B4762" s="65">
        <v>2046</v>
      </c>
      <c r="C4762" s="65">
        <v>2023</v>
      </c>
      <c r="D4762" s="65" t="s">
        <v>323</v>
      </c>
      <c r="E4762" s="65" t="s">
        <v>301</v>
      </c>
      <c r="F4762" s="65" t="s">
        <v>298</v>
      </c>
      <c r="G4762" s="65"/>
      <c r="H4762" s="65"/>
      <c r="I4762" s="66">
        <v>1078.209428577049</v>
      </c>
    </row>
    <row r="4763" spans="1:9" hidden="1">
      <c r="A4763" s="67" t="s">
        <v>295</v>
      </c>
      <c r="B4763" s="68">
        <v>2046</v>
      </c>
      <c r="C4763" s="68">
        <v>2023</v>
      </c>
      <c r="D4763" s="68" t="s">
        <v>323</v>
      </c>
      <c r="E4763" s="68" t="s">
        <v>301</v>
      </c>
      <c r="F4763" s="68" t="s">
        <v>40</v>
      </c>
      <c r="G4763" s="68"/>
      <c r="H4763" s="68"/>
      <c r="I4763" s="69">
        <v>321555.80236771971</v>
      </c>
    </row>
    <row r="4764" spans="1:9" hidden="1">
      <c r="A4764" s="64" t="s">
        <v>295</v>
      </c>
      <c r="B4764" s="65">
        <v>2046</v>
      </c>
      <c r="C4764" s="65">
        <v>2023</v>
      </c>
      <c r="D4764" s="65" t="s">
        <v>323</v>
      </c>
      <c r="E4764" s="65" t="s">
        <v>305</v>
      </c>
      <c r="F4764" s="65" t="s">
        <v>297</v>
      </c>
      <c r="G4764" s="65"/>
      <c r="H4764" s="65"/>
      <c r="I4764" s="66">
        <v>1453.43336</v>
      </c>
    </row>
    <row r="4765" spans="1:9" hidden="1">
      <c r="A4765" s="67" t="s">
        <v>295</v>
      </c>
      <c r="B4765" s="68">
        <v>2046</v>
      </c>
      <c r="C4765" s="68">
        <v>2023</v>
      </c>
      <c r="D4765" s="68" t="s">
        <v>323</v>
      </c>
      <c r="E4765" s="68" t="s">
        <v>305</v>
      </c>
      <c r="F4765" s="68" t="s">
        <v>40</v>
      </c>
      <c r="G4765" s="68"/>
      <c r="H4765" s="68"/>
      <c r="I4765" s="69">
        <v>21281.353360000001</v>
      </c>
    </row>
    <row r="4766" spans="1:9" hidden="1">
      <c r="A4766" s="64" t="s">
        <v>295</v>
      </c>
      <c r="B4766" s="65">
        <v>2046</v>
      </c>
      <c r="C4766" s="65">
        <v>2023</v>
      </c>
      <c r="D4766" s="65" t="s">
        <v>324</v>
      </c>
      <c r="E4766" s="65" t="s">
        <v>294</v>
      </c>
      <c r="F4766" s="65" t="s">
        <v>297</v>
      </c>
      <c r="G4766" s="65"/>
      <c r="H4766" s="65"/>
      <c r="I4766" s="66">
        <v>3478.5670828126022</v>
      </c>
    </row>
    <row r="4767" spans="1:9" hidden="1">
      <c r="A4767" s="67" t="s">
        <v>295</v>
      </c>
      <c r="B4767" s="68">
        <v>2046</v>
      </c>
      <c r="C4767" s="68">
        <v>2023</v>
      </c>
      <c r="D4767" s="68" t="s">
        <v>324</v>
      </c>
      <c r="E4767" s="68" t="s">
        <v>294</v>
      </c>
      <c r="F4767" s="68" t="s">
        <v>298</v>
      </c>
      <c r="G4767" s="68"/>
      <c r="H4767" s="68"/>
      <c r="I4767" s="69">
        <v>0</v>
      </c>
    </row>
    <row r="4768" spans="1:9" hidden="1">
      <c r="A4768" s="64" t="s">
        <v>295</v>
      </c>
      <c r="B4768" s="65">
        <v>2046</v>
      </c>
      <c r="C4768" s="65">
        <v>2023</v>
      </c>
      <c r="D4768" s="65" t="s">
        <v>324</v>
      </c>
      <c r="E4768" s="65" t="s">
        <v>294</v>
      </c>
      <c r="F4768" s="65" t="s">
        <v>40</v>
      </c>
      <c r="G4768" s="65"/>
      <c r="H4768" s="65"/>
      <c r="I4768" s="66">
        <v>3482.6698164708519</v>
      </c>
    </row>
    <row r="4769" spans="1:9" hidden="1">
      <c r="A4769" s="67" t="s">
        <v>295</v>
      </c>
      <c r="B4769" s="68">
        <v>2046</v>
      </c>
      <c r="C4769" s="68">
        <v>2023</v>
      </c>
      <c r="D4769" s="68" t="s">
        <v>324</v>
      </c>
      <c r="E4769" s="68" t="s">
        <v>301</v>
      </c>
      <c r="F4769" s="68" t="s">
        <v>297</v>
      </c>
      <c r="G4769" s="68"/>
      <c r="H4769" s="68"/>
      <c r="I4769" s="69">
        <v>3479.448712812602</v>
      </c>
    </row>
    <row r="4770" spans="1:9" hidden="1">
      <c r="A4770" s="64" t="s">
        <v>295</v>
      </c>
      <c r="B4770" s="65">
        <v>2046</v>
      </c>
      <c r="C4770" s="65">
        <v>2023</v>
      </c>
      <c r="D4770" s="65" t="s">
        <v>324</v>
      </c>
      <c r="E4770" s="65" t="s">
        <v>301</v>
      </c>
      <c r="F4770" s="65" t="s">
        <v>298</v>
      </c>
      <c r="G4770" s="65"/>
      <c r="H4770" s="65"/>
      <c r="I4770" s="66">
        <v>0</v>
      </c>
    </row>
    <row r="4771" spans="1:9" hidden="1">
      <c r="A4771" s="67" t="s">
        <v>295</v>
      </c>
      <c r="B4771" s="68">
        <v>2046</v>
      </c>
      <c r="C4771" s="68">
        <v>2023</v>
      </c>
      <c r="D4771" s="68" t="s">
        <v>324</v>
      </c>
      <c r="E4771" s="68" t="s">
        <v>301</v>
      </c>
      <c r="F4771" s="68" t="s">
        <v>40</v>
      </c>
      <c r="G4771" s="68"/>
      <c r="H4771" s="68"/>
      <c r="I4771" s="69">
        <v>3483.5514464708522</v>
      </c>
    </row>
    <row r="4772" spans="1:9" hidden="1">
      <c r="A4772" s="64" t="s">
        <v>295</v>
      </c>
      <c r="B4772" s="65">
        <v>2046</v>
      </c>
      <c r="C4772" s="65">
        <v>2023</v>
      </c>
      <c r="D4772" s="65" t="s">
        <v>324</v>
      </c>
      <c r="E4772" s="65" t="s">
        <v>305</v>
      </c>
      <c r="F4772" s="65" t="s">
        <v>297</v>
      </c>
      <c r="G4772" s="65"/>
      <c r="H4772" s="65"/>
      <c r="I4772" s="66">
        <v>4.0999999999999996</v>
      </c>
    </row>
    <row r="4773" spans="1:9" hidden="1">
      <c r="A4773" s="67" t="s">
        <v>295</v>
      </c>
      <c r="B4773" s="68">
        <v>2046</v>
      </c>
      <c r="C4773" s="68">
        <v>2023</v>
      </c>
      <c r="D4773" s="68" t="s">
        <v>324</v>
      </c>
      <c r="E4773" s="68" t="s">
        <v>305</v>
      </c>
      <c r="F4773" s="68" t="s">
        <v>40</v>
      </c>
      <c r="G4773" s="68"/>
      <c r="H4773" s="68"/>
      <c r="I4773" s="69">
        <v>1246.2</v>
      </c>
    </row>
    <row r="4774" spans="1:9" hidden="1">
      <c r="A4774" s="64" t="s">
        <v>295</v>
      </c>
      <c r="B4774" s="65">
        <v>2046</v>
      </c>
      <c r="C4774" s="65">
        <v>2023</v>
      </c>
      <c r="D4774" s="65" t="s">
        <v>325</v>
      </c>
      <c r="E4774" s="65" t="s">
        <v>294</v>
      </c>
      <c r="F4774" s="65" t="s">
        <v>297</v>
      </c>
      <c r="G4774" s="65"/>
      <c r="H4774" s="65"/>
      <c r="I4774" s="66">
        <v>40418.514499489313</v>
      </c>
    </row>
    <row r="4775" spans="1:9" hidden="1">
      <c r="A4775" s="67" t="s">
        <v>295</v>
      </c>
      <c r="B4775" s="68">
        <v>2046</v>
      </c>
      <c r="C4775" s="68">
        <v>2023</v>
      </c>
      <c r="D4775" s="68" t="s">
        <v>325</v>
      </c>
      <c r="E4775" s="68" t="s">
        <v>294</v>
      </c>
      <c r="F4775" s="68" t="s">
        <v>298</v>
      </c>
      <c r="G4775" s="68"/>
      <c r="H4775" s="68"/>
      <c r="I4775" s="69">
        <v>10308.18829780236</v>
      </c>
    </row>
    <row r="4776" spans="1:9" hidden="1">
      <c r="A4776" s="64" t="s">
        <v>295</v>
      </c>
      <c r="B4776" s="65">
        <v>2046</v>
      </c>
      <c r="C4776" s="65">
        <v>2023</v>
      </c>
      <c r="D4776" s="65" t="s">
        <v>325</v>
      </c>
      <c r="E4776" s="65" t="s">
        <v>294</v>
      </c>
      <c r="F4776" s="65" t="s">
        <v>40</v>
      </c>
      <c r="G4776" s="65"/>
      <c r="H4776" s="65"/>
      <c r="I4776" s="66">
        <v>50722.892303601577</v>
      </c>
    </row>
    <row r="4777" spans="1:9" hidden="1">
      <c r="A4777" s="67" t="s">
        <v>295</v>
      </c>
      <c r="B4777" s="68">
        <v>2046</v>
      </c>
      <c r="C4777" s="68">
        <v>2023</v>
      </c>
      <c r="D4777" s="68" t="s">
        <v>325</v>
      </c>
      <c r="E4777" s="68" t="s">
        <v>301</v>
      </c>
      <c r="F4777" s="68" t="s">
        <v>297</v>
      </c>
      <c r="G4777" s="68"/>
      <c r="H4777" s="68"/>
      <c r="I4777" s="69">
        <v>42638.218981835031</v>
      </c>
    </row>
    <row r="4778" spans="1:9" hidden="1">
      <c r="A4778" s="64" t="s">
        <v>295</v>
      </c>
      <c r="B4778" s="65">
        <v>2046</v>
      </c>
      <c r="C4778" s="65">
        <v>2023</v>
      </c>
      <c r="D4778" s="65" t="s">
        <v>325</v>
      </c>
      <c r="E4778" s="65" t="s">
        <v>301</v>
      </c>
      <c r="F4778" s="65" t="s">
        <v>298</v>
      </c>
      <c r="G4778" s="65"/>
      <c r="H4778" s="65"/>
      <c r="I4778" s="66">
        <v>11928.96086816497</v>
      </c>
    </row>
    <row r="4779" spans="1:9" hidden="1">
      <c r="A4779" s="67" t="s">
        <v>295</v>
      </c>
      <c r="B4779" s="68">
        <v>2046</v>
      </c>
      <c r="C4779" s="68">
        <v>2023</v>
      </c>
      <c r="D4779" s="68" t="s">
        <v>325</v>
      </c>
      <c r="E4779" s="68" t="s">
        <v>301</v>
      </c>
      <c r="F4779" s="68" t="s">
        <v>40</v>
      </c>
      <c r="G4779" s="68"/>
      <c r="H4779" s="68"/>
      <c r="I4779" s="69">
        <v>54567.21385</v>
      </c>
    </row>
    <row r="4780" spans="1:9" hidden="1">
      <c r="A4780" s="64" t="s">
        <v>295</v>
      </c>
      <c r="B4780" s="65">
        <v>2046</v>
      </c>
      <c r="C4780" s="65">
        <v>2023</v>
      </c>
      <c r="D4780" s="65" t="s">
        <v>325</v>
      </c>
      <c r="E4780" s="65" t="s">
        <v>305</v>
      </c>
      <c r="F4780" s="65" t="s">
        <v>297</v>
      </c>
      <c r="G4780" s="65"/>
      <c r="H4780" s="65"/>
      <c r="I4780" s="66">
        <v>431.92</v>
      </c>
    </row>
    <row r="4781" spans="1:9" hidden="1">
      <c r="A4781" s="67" t="s">
        <v>295</v>
      </c>
      <c r="B4781" s="68">
        <v>2046</v>
      </c>
      <c r="C4781" s="68">
        <v>2023</v>
      </c>
      <c r="D4781" s="68" t="s">
        <v>325</v>
      </c>
      <c r="E4781" s="68" t="s">
        <v>305</v>
      </c>
      <c r="F4781" s="68" t="s">
        <v>298</v>
      </c>
      <c r="G4781" s="68"/>
      <c r="H4781" s="68"/>
      <c r="I4781" s="69">
        <v>69.900000000000006</v>
      </c>
    </row>
    <row r="4782" spans="1:9" hidden="1">
      <c r="A4782" s="64" t="s">
        <v>295</v>
      </c>
      <c r="B4782" s="65">
        <v>2046</v>
      </c>
      <c r="C4782" s="65">
        <v>2023</v>
      </c>
      <c r="D4782" s="65" t="s">
        <v>325</v>
      </c>
      <c r="E4782" s="65" t="s">
        <v>305</v>
      </c>
      <c r="F4782" s="65" t="s">
        <v>40</v>
      </c>
      <c r="G4782" s="65"/>
      <c r="H4782" s="65"/>
      <c r="I4782" s="66">
        <v>18677.599999999999</v>
      </c>
    </row>
    <row r="4783" spans="1:9" hidden="1">
      <c r="A4783" s="67" t="s">
        <v>295</v>
      </c>
      <c r="B4783" s="68">
        <v>2046</v>
      </c>
      <c r="C4783" s="68">
        <v>2023</v>
      </c>
      <c r="D4783" s="68" t="s">
        <v>326</v>
      </c>
      <c r="E4783" s="68" t="s">
        <v>294</v>
      </c>
      <c r="F4783" s="68" t="s">
        <v>297</v>
      </c>
      <c r="G4783" s="68"/>
      <c r="H4783" s="68"/>
      <c r="I4783" s="69">
        <v>0</v>
      </c>
    </row>
    <row r="4784" spans="1:9" hidden="1">
      <c r="A4784" s="64" t="s">
        <v>295</v>
      </c>
      <c r="B4784" s="65">
        <v>2046</v>
      </c>
      <c r="C4784" s="65">
        <v>2023</v>
      </c>
      <c r="D4784" s="65" t="s">
        <v>326</v>
      </c>
      <c r="E4784" s="65" t="s">
        <v>294</v>
      </c>
      <c r="F4784" s="65" t="s">
        <v>298</v>
      </c>
      <c r="G4784" s="65"/>
      <c r="H4784" s="65"/>
      <c r="I4784" s="66">
        <v>0</v>
      </c>
    </row>
    <row r="4785" spans="1:9" hidden="1">
      <c r="A4785" s="67" t="s">
        <v>295</v>
      </c>
      <c r="B4785" s="68">
        <v>2046</v>
      </c>
      <c r="C4785" s="68">
        <v>2023</v>
      </c>
      <c r="D4785" s="68" t="s">
        <v>326</v>
      </c>
      <c r="E4785" s="68" t="s">
        <v>294</v>
      </c>
      <c r="F4785" s="68" t="s">
        <v>40</v>
      </c>
      <c r="G4785" s="68"/>
      <c r="H4785" s="68"/>
      <c r="I4785" s="69">
        <v>0</v>
      </c>
    </row>
    <row r="4786" spans="1:9" hidden="1">
      <c r="A4786" s="64" t="s">
        <v>295</v>
      </c>
      <c r="B4786" s="65">
        <v>2046</v>
      </c>
      <c r="C4786" s="65">
        <v>2023</v>
      </c>
      <c r="D4786" s="65" t="s">
        <v>326</v>
      </c>
      <c r="E4786" s="65" t="s">
        <v>301</v>
      </c>
      <c r="F4786" s="65" t="s">
        <v>297</v>
      </c>
      <c r="G4786" s="65"/>
      <c r="H4786" s="65"/>
      <c r="I4786" s="66">
        <v>0</v>
      </c>
    </row>
    <row r="4787" spans="1:9" hidden="1">
      <c r="A4787" s="67" t="s">
        <v>295</v>
      </c>
      <c r="B4787" s="68">
        <v>2046</v>
      </c>
      <c r="C4787" s="68">
        <v>2023</v>
      </c>
      <c r="D4787" s="68" t="s">
        <v>326</v>
      </c>
      <c r="E4787" s="68" t="s">
        <v>301</v>
      </c>
      <c r="F4787" s="68" t="s">
        <v>298</v>
      </c>
      <c r="G4787" s="68"/>
      <c r="H4787" s="68"/>
      <c r="I4787" s="69">
        <v>0</v>
      </c>
    </row>
    <row r="4788" spans="1:9" hidden="1">
      <c r="A4788" s="64" t="s">
        <v>295</v>
      </c>
      <c r="B4788" s="65">
        <v>2046</v>
      </c>
      <c r="C4788" s="65">
        <v>2023</v>
      </c>
      <c r="D4788" s="65" t="s">
        <v>326</v>
      </c>
      <c r="E4788" s="65" t="s">
        <v>301</v>
      </c>
      <c r="F4788" s="65" t="s">
        <v>40</v>
      </c>
      <c r="G4788" s="65"/>
      <c r="H4788" s="65"/>
      <c r="I4788" s="66">
        <v>0</v>
      </c>
    </row>
    <row r="4789" spans="1:9" hidden="1">
      <c r="A4789" s="67" t="s">
        <v>295</v>
      </c>
      <c r="B4789" s="68">
        <v>2046</v>
      </c>
      <c r="C4789" s="68">
        <v>2023</v>
      </c>
      <c r="D4789" s="68" t="s">
        <v>304</v>
      </c>
      <c r="E4789" s="68" t="s">
        <v>294</v>
      </c>
      <c r="F4789" s="68" t="s">
        <v>297</v>
      </c>
      <c r="G4789" s="68"/>
      <c r="H4789" s="68"/>
      <c r="I4789" s="69">
        <v>43496.061431534457</v>
      </c>
    </row>
    <row r="4790" spans="1:9" hidden="1">
      <c r="A4790" s="64" t="s">
        <v>295</v>
      </c>
      <c r="B4790" s="65">
        <v>2046</v>
      </c>
      <c r="C4790" s="65">
        <v>2023</v>
      </c>
      <c r="D4790" s="65" t="s">
        <v>304</v>
      </c>
      <c r="E4790" s="65" t="s">
        <v>294</v>
      </c>
      <c r="F4790" s="65" t="s">
        <v>298</v>
      </c>
      <c r="G4790" s="65"/>
      <c r="H4790" s="65"/>
      <c r="I4790" s="66">
        <v>169515.80451970009</v>
      </c>
    </row>
    <row r="4791" spans="1:9" hidden="1">
      <c r="A4791" s="67" t="s">
        <v>295</v>
      </c>
      <c r="B4791" s="68">
        <v>2046</v>
      </c>
      <c r="C4791" s="68">
        <v>2023</v>
      </c>
      <c r="D4791" s="68" t="s">
        <v>304</v>
      </c>
      <c r="E4791" s="68" t="s">
        <v>294</v>
      </c>
      <c r="F4791" s="68" t="s">
        <v>40</v>
      </c>
      <c r="G4791" s="68"/>
      <c r="H4791" s="68"/>
      <c r="I4791" s="69">
        <v>212774.49066109871</v>
      </c>
    </row>
    <row r="4792" spans="1:9" hidden="1">
      <c r="A4792" s="64" t="s">
        <v>295</v>
      </c>
      <c r="B4792" s="65">
        <v>2046</v>
      </c>
      <c r="C4792" s="65">
        <v>2023</v>
      </c>
      <c r="D4792" s="65" t="s">
        <v>304</v>
      </c>
      <c r="E4792" s="65" t="s">
        <v>301</v>
      </c>
      <c r="F4792" s="65" t="s">
        <v>297</v>
      </c>
      <c r="G4792" s="65"/>
      <c r="H4792" s="65"/>
      <c r="I4792" s="66">
        <v>46782.45224802653</v>
      </c>
    </row>
    <row r="4793" spans="1:9" hidden="1">
      <c r="A4793" s="67" t="s">
        <v>295</v>
      </c>
      <c r="B4793" s="68">
        <v>2046</v>
      </c>
      <c r="C4793" s="68">
        <v>2023</v>
      </c>
      <c r="D4793" s="68" t="s">
        <v>304</v>
      </c>
      <c r="E4793" s="68" t="s">
        <v>301</v>
      </c>
      <c r="F4793" s="68" t="s">
        <v>298</v>
      </c>
      <c r="G4793" s="68"/>
      <c r="H4793" s="68"/>
      <c r="I4793" s="69">
        <v>179635.2410589564</v>
      </c>
    </row>
    <row r="4794" spans="1:9" hidden="1">
      <c r="A4794" s="64" t="s">
        <v>295</v>
      </c>
      <c r="B4794" s="65">
        <v>2046</v>
      </c>
      <c r="C4794" s="65">
        <v>2023</v>
      </c>
      <c r="D4794" s="65" t="s">
        <v>304</v>
      </c>
      <c r="E4794" s="65" t="s">
        <v>301</v>
      </c>
      <c r="F4794" s="65" t="s">
        <v>40</v>
      </c>
      <c r="G4794" s="65"/>
      <c r="H4794" s="65"/>
      <c r="I4794" s="66">
        <v>226158.3795613808</v>
      </c>
    </row>
    <row r="4795" spans="1:9" hidden="1">
      <c r="A4795" s="67" t="s">
        <v>295</v>
      </c>
      <c r="B4795" s="68">
        <v>2046</v>
      </c>
      <c r="C4795" s="68">
        <v>2023</v>
      </c>
      <c r="D4795" s="68" t="s">
        <v>304</v>
      </c>
      <c r="E4795" s="68" t="s">
        <v>305</v>
      </c>
      <c r="F4795" s="68" t="s">
        <v>297</v>
      </c>
      <c r="G4795" s="68"/>
      <c r="H4795" s="68"/>
      <c r="I4795" s="69">
        <v>1223.11681</v>
      </c>
    </row>
    <row r="4796" spans="1:9" hidden="1">
      <c r="A4796" s="64" t="s">
        <v>295</v>
      </c>
      <c r="B4796" s="65">
        <v>2046</v>
      </c>
      <c r="C4796" s="65">
        <v>2023</v>
      </c>
      <c r="D4796" s="65" t="s">
        <v>304</v>
      </c>
      <c r="E4796" s="65" t="s">
        <v>305</v>
      </c>
      <c r="F4796" s="65" t="s">
        <v>298</v>
      </c>
      <c r="G4796" s="65"/>
      <c r="H4796" s="65"/>
      <c r="I4796" s="66">
        <v>768.84</v>
      </c>
    </row>
    <row r="4797" spans="1:9" hidden="1">
      <c r="A4797" s="67" t="s">
        <v>295</v>
      </c>
      <c r="B4797" s="68">
        <v>2046</v>
      </c>
      <c r="C4797" s="68">
        <v>2023</v>
      </c>
      <c r="D4797" s="68" t="s">
        <v>304</v>
      </c>
      <c r="E4797" s="68" t="s">
        <v>305</v>
      </c>
      <c r="F4797" s="68" t="s">
        <v>40</v>
      </c>
      <c r="G4797" s="68"/>
      <c r="H4797" s="68"/>
      <c r="I4797" s="69">
        <v>17682.95681</v>
      </c>
    </row>
    <row r="4798" spans="1:9" hidden="1">
      <c r="A4798" s="64" t="s">
        <v>295</v>
      </c>
      <c r="B4798" s="65">
        <v>2046</v>
      </c>
      <c r="C4798" s="65">
        <v>2023</v>
      </c>
      <c r="D4798" s="65" t="s">
        <v>306</v>
      </c>
      <c r="E4798" s="65" t="s">
        <v>294</v>
      </c>
      <c r="F4798" s="65" t="s">
        <v>297</v>
      </c>
      <c r="G4798" s="65"/>
      <c r="H4798" s="65"/>
      <c r="I4798" s="66">
        <v>345896.98879298579</v>
      </c>
    </row>
    <row r="4799" spans="1:9" hidden="1">
      <c r="A4799" s="67" t="s">
        <v>295</v>
      </c>
      <c r="B4799" s="68">
        <v>2046</v>
      </c>
      <c r="C4799" s="68">
        <v>2023</v>
      </c>
      <c r="D4799" s="68" t="s">
        <v>306</v>
      </c>
      <c r="E4799" s="68" t="s">
        <v>294</v>
      </c>
      <c r="F4799" s="68" t="s">
        <v>40</v>
      </c>
      <c r="G4799" s="68"/>
      <c r="H4799" s="68"/>
      <c r="I4799" s="69">
        <v>345729.42047824932</v>
      </c>
    </row>
    <row r="4800" spans="1:9" hidden="1">
      <c r="A4800" s="64" t="s">
        <v>295</v>
      </c>
      <c r="B4800" s="65">
        <v>2046</v>
      </c>
      <c r="C4800" s="65">
        <v>2023</v>
      </c>
      <c r="D4800" s="65" t="s">
        <v>306</v>
      </c>
      <c r="E4800" s="65" t="s">
        <v>301</v>
      </c>
      <c r="F4800" s="65" t="s">
        <v>297</v>
      </c>
      <c r="G4800" s="65"/>
      <c r="H4800" s="65"/>
      <c r="I4800" s="66">
        <v>364483.53308889578</v>
      </c>
    </row>
    <row r="4801" spans="1:9" hidden="1">
      <c r="A4801" s="67" t="s">
        <v>295</v>
      </c>
      <c r="B4801" s="68">
        <v>2046</v>
      </c>
      <c r="C4801" s="68">
        <v>2023</v>
      </c>
      <c r="D4801" s="68" t="s">
        <v>306</v>
      </c>
      <c r="E4801" s="68" t="s">
        <v>301</v>
      </c>
      <c r="F4801" s="68" t="s">
        <v>40</v>
      </c>
      <c r="G4801" s="68"/>
      <c r="H4801" s="68"/>
      <c r="I4801" s="69">
        <v>364483.53308889578</v>
      </c>
    </row>
    <row r="4802" spans="1:9" hidden="1">
      <c r="A4802" s="64" t="s">
        <v>295</v>
      </c>
      <c r="B4802" s="65">
        <v>2046</v>
      </c>
      <c r="C4802" s="65">
        <v>2023</v>
      </c>
      <c r="D4802" s="65" t="s">
        <v>306</v>
      </c>
      <c r="E4802" s="65" t="s">
        <v>305</v>
      </c>
      <c r="F4802" s="65" t="s">
        <v>297</v>
      </c>
      <c r="G4802" s="65"/>
      <c r="H4802" s="65"/>
      <c r="I4802" s="66">
        <v>2085.0873099999999</v>
      </c>
    </row>
    <row r="4803" spans="1:9" hidden="1">
      <c r="A4803" s="67" t="s">
        <v>295</v>
      </c>
      <c r="B4803" s="68">
        <v>2046</v>
      </c>
      <c r="C4803" s="68">
        <v>2023</v>
      </c>
      <c r="D4803" s="68" t="s">
        <v>306</v>
      </c>
      <c r="E4803" s="68" t="s">
        <v>305</v>
      </c>
      <c r="F4803" s="68" t="s">
        <v>40</v>
      </c>
      <c r="G4803" s="68"/>
      <c r="H4803" s="68"/>
      <c r="I4803" s="69">
        <v>39326.547310000002</v>
      </c>
    </row>
    <row r="4804" spans="1:9" hidden="1">
      <c r="A4804" s="64" t="s">
        <v>295</v>
      </c>
      <c r="B4804" s="65">
        <v>2046</v>
      </c>
      <c r="C4804" s="65">
        <v>2023</v>
      </c>
      <c r="D4804" s="65" t="s">
        <v>307</v>
      </c>
      <c r="E4804" s="65" t="s">
        <v>294</v>
      </c>
      <c r="F4804" s="65" t="s">
        <v>40</v>
      </c>
      <c r="G4804" s="65"/>
      <c r="H4804" s="65"/>
      <c r="I4804" s="66">
        <v>-245125.69903039481</v>
      </c>
    </row>
    <row r="4805" spans="1:9" hidden="1">
      <c r="A4805" s="67" t="s">
        <v>295</v>
      </c>
      <c r="B4805" s="68">
        <v>2046</v>
      </c>
      <c r="C4805" s="68">
        <v>2023</v>
      </c>
      <c r="D4805" s="68" t="s">
        <v>307</v>
      </c>
      <c r="E4805" s="68" t="s">
        <v>301</v>
      </c>
      <c r="F4805" s="68" t="s">
        <v>40</v>
      </c>
      <c r="G4805" s="68"/>
      <c r="H4805" s="68"/>
      <c r="I4805" s="69">
        <v>-213752.26315340871</v>
      </c>
    </row>
    <row r="4806" spans="1:9" hidden="1">
      <c r="A4806" s="64" t="s">
        <v>295</v>
      </c>
      <c r="B4806" s="65">
        <v>2046</v>
      </c>
      <c r="C4806" s="65">
        <v>2023</v>
      </c>
      <c r="D4806" s="65" t="s">
        <v>307</v>
      </c>
      <c r="E4806" s="65" t="s">
        <v>305</v>
      </c>
      <c r="F4806" s="65" t="s">
        <v>40</v>
      </c>
      <c r="G4806" s="65"/>
      <c r="H4806" s="65"/>
      <c r="I4806" s="66">
        <v>-9270.5723999999991</v>
      </c>
    </row>
    <row r="4807" spans="1:9" hidden="1">
      <c r="A4807" s="67" t="s">
        <v>295</v>
      </c>
      <c r="B4807" s="68">
        <v>2046</v>
      </c>
      <c r="C4807" s="68">
        <v>2023</v>
      </c>
      <c r="D4807" s="68" t="s">
        <v>327</v>
      </c>
      <c r="E4807" s="68" t="s">
        <v>294</v>
      </c>
      <c r="F4807" s="68" t="s">
        <v>40</v>
      </c>
      <c r="G4807" s="68"/>
      <c r="H4807" s="68"/>
      <c r="I4807" s="69">
        <v>-284858.82364907372</v>
      </c>
    </row>
    <row r="4808" spans="1:9" hidden="1">
      <c r="A4808" s="64" t="s">
        <v>295</v>
      </c>
      <c r="B4808" s="65">
        <v>2046</v>
      </c>
      <c r="C4808" s="65">
        <v>2023</v>
      </c>
      <c r="D4808" s="65" t="s">
        <v>327</v>
      </c>
      <c r="E4808" s="65" t="s">
        <v>301</v>
      </c>
      <c r="F4808" s="65" t="s">
        <v>40</v>
      </c>
      <c r="G4808" s="65"/>
      <c r="H4808" s="65"/>
      <c r="I4808" s="66">
        <v>-265162.56070868328</v>
      </c>
    </row>
    <row r="4809" spans="1:9" hidden="1">
      <c r="A4809" s="67" t="s">
        <v>295</v>
      </c>
      <c r="B4809" s="68">
        <v>2046</v>
      </c>
      <c r="C4809" s="68">
        <v>2023</v>
      </c>
      <c r="D4809" s="68" t="s">
        <v>327</v>
      </c>
      <c r="E4809" s="68" t="s">
        <v>305</v>
      </c>
      <c r="F4809" s="68" t="s">
        <v>40</v>
      </c>
      <c r="G4809" s="68"/>
      <c r="H4809" s="68"/>
      <c r="I4809" s="69">
        <v>-15814.76161</v>
      </c>
    </row>
    <row r="4810" spans="1:9" hidden="1">
      <c r="A4810" s="64" t="s">
        <v>295</v>
      </c>
      <c r="B4810" s="65">
        <v>2046</v>
      </c>
      <c r="C4810" s="65">
        <v>2023</v>
      </c>
      <c r="D4810" s="65" t="s">
        <v>328</v>
      </c>
      <c r="E4810" s="65" t="s">
        <v>294</v>
      </c>
      <c r="F4810" s="65" t="s">
        <v>40</v>
      </c>
      <c r="G4810" s="65"/>
      <c r="H4810" s="65"/>
      <c r="I4810" s="66">
        <v>22076.496091990761</v>
      </c>
    </row>
    <row r="4811" spans="1:9" hidden="1">
      <c r="A4811" s="67" t="s">
        <v>295</v>
      </c>
      <c r="B4811" s="68">
        <v>2046</v>
      </c>
      <c r="C4811" s="68">
        <v>2023</v>
      </c>
      <c r="D4811" s="68" t="s">
        <v>328</v>
      </c>
      <c r="E4811" s="68" t="s">
        <v>301</v>
      </c>
      <c r="F4811" s="68" t="s">
        <v>40</v>
      </c>
      <c r="G4811" s="68"/>
      <c r="H4811" s="68"/>
      <c r="I4811" s="69">
        <v>30682.88803169064</v>
      </c>
    </row>
    <row r="4812" spans="1:9" hidden="1">
      <c r="A4812" s="64" t="s">
        <v>295</v>
      </c>
      <c r="B4812" s="65">
        <v>2046</v>
      </c>
      <c r="C4812" s="65">
        <v>2023</v>
      </c>
      <c r="D4812" s="65" t="s">
        <v>328</v>
      </c>
      <c r="E4812" s="65" t="s">
        <v>305</v>
      </c>
      <c r="F4812" s="65" t="s">
        <v>40</v>
      </c>
      <c r="G4812" s="65"/>
      <c r="H4812" s="65"/>
      <c r="I4812" s="66">
        <v>-2153.9560700000002</v>
      </c>
    </row>
    <row r="4813" spans="1:9" hidden="1">
      <c r="A4813" s="67" t="s">
        <v>295</v>
      </c>
      <c r="B4813" s="68">
        <v>2046</v>
      </c>
      <c r="C4813" s="68">
        <v>2023</v>
      </c>
      <c r="D4813" s="68" t="s">
        <v>329</v>
      </c>
      <c r="E4813" s="68" t="s">
        <v>294</v>
      </c>
      <c r="F4813" s="68" t="s">
        <v>40</v>
      </c>
      <c r="G4813" s="68"/>
      <c r="H4813" s="68"/>
      <c r="I4813" s="69">
        <v>11547.063358168491</v>
      </c>
    </row>
    <row r="4814" spans="1:9" hidden="1">
      <c r="A4814" s="64" t="s">
        <v>295</v>
      </c>
      <c r="B4814" s="65">
        <v>2046</v>
      </c>
      <c r="C4814" s="65">
        <v>2023</v>
      </c>
      <c r="D4814" s="65" t="s">
        <v>329</v>
      </c>
      <c r="E4814" s="65" t="s">
        <v>301</v>
      </c>
      <c r="F4814" s="65" t="s">
        <v>40</v>
      </c>
      <c r="G4814" s="65"/>
      <c r="H4814" s="65"/>
      <c r="I4814" s="66">
        <v>11163.209095078641</v>
      </c>
    </row>
    <row r="4815" spans="1:9" hidden="1">
      <c r="A4815" s="67" t="s">
        <v>295</v>
      </c>
      <c r="B4815" s="68">
        <v>2046</v>
      </c>
      <c r="C4815" s="68">
        <v>2023</v>
      </c>
      <c r="D4815" s="68" t="s">
        <v>329</v>
      </c>
      <c r="E4815" s="68" t="s">
        <v>305</v>
      </c>
      <c r="F4815" s="68" t="s">
        <v>40</v>
      </c>
      <c r="G4815" s="68"/>
      <c r="H4815" s="68"/>
      <c r="I4815" s="69">
        <v>5830.3531499999999</v>
      </c>
    </row>
    <row r="4816" spans="1:9" hidden="1">
      <c r="A4816" s="64" t="s">
        <v>295</v>
      </c>
      <c r="B4816" s="65">
        <v>2046</v>
      </c>
      <c r="C4816" s="65">
        <v>2023</v>
      </c>
      <c r="D4816" s="65" t="s">
        <v>330</v>
      </c>
      <c r="E4816" s="65" t="s">
        <v>294</v>
      </c>
      <c r="F4816" s="65" t="s">
        <v>40</v>
      </c>
      <c r="G4816" s="65"/>
      <c r="H4816" s="65"/>
      <c r="I4816" s="66">
        <v>11692.135231975581</v>
      </c>
    </row>
    <row r="4817" spans="1:9" hidden="1">
      <c r="A4817" s="67" t="s">
        <v>295</v>
      </c>
      <c r="B4817" s="68">
        <v>2046</v>
      </c>
      <c r="C4817" s="68">
        <v>2023</v>
      </c>
      <c r="D4817" s="68" t="s">
        <v>330</v>
      </c>
      <c r="E4817" s="68" t="s">
        <v>301</v>
      </c>
      <c r="F4817" s="68" t="s">
        <v>40</v>
      </c>
      <c r="G4817" s="68"/>
      <c r="H4817" s="68"/>
      <c r="I4817" s="69">
        <v>12918.2872665054</v>
      </c>
    </row>
    <row r="4818" spans="1:9" hidden="1">
      <c r="A4818" s="64" t="s">
        <v>295</v>
      </c>
      <c r="B4818" s="65">
        <v>2046</v>
      </c>
      <c r="C4818" s="65">
        <v>2023</v>
      </c>
      <c r="D4818" s="65" t="s">
        <v>330</v>
      </c>
      <c r="E4818" s="65" t="s">
        <v>305</v>
      </c>
      <c r="F4818" s="65" t="s">
        <v>40</v>
      </c>
      <c r="G4818" s="65"/>
      <c r="H4818" s="65"/>
      <c r="I4818" s="66">
        <v>764.06648000000007</v>
      </c>
    </row>
    <row r="4819" spans="1:9" hidden="1">
      <c r="A4819" s="67" t="s">
        <v>295</v>
      </c>
      <c r="B4819" s="68">
        <v>2046</v>
      </c>
      <c r="C4819" s="68">
        <v>2023</v>
      </c>
      <c r="D4819" s="68" t="s">
        <v>331</v>
      </c>
      <c r="E4819" s="68" t="s">
        <v>294</v>
      </c>
      <c r="F4819" s="68" t="s">
        <v>40</v>
      </c>
      <c r="G4819" s="68"/>
      <c r="H4819" s="68"/>
      <c r="I4819" s="69">
        <v>28538.77224912199</v>
      </c>
    </row>
    <row r="4820" spans="1:9" hidden="1">
      <c r="A4820" s="64" t="s">
        <v>295</v>
      </c>
      <c r="B4820" s="65">
        <v>2046</v>
      </c>
      <c r="C4820" s="65">
        <v>2023</v>
      </c>
      <c r="D4820" s="65" t="s">
        <v>331</v>
      </c>
      <c r="E4820" s="65" t="s">
        <v>301</v>
      </c>
      <c r="F4820" s="65" t="s">
        <v>40</v>
      </c>
      <c r="G4820" s="65"/>
      <c r="H4820" s="65"/>
      <c r="I4820" s="66">
        <v>28818.252129772962</v>
      </c>
    </row>
    <row r="4821" spans="1:9" hidden="1">
      <c r="A4821" s="67" t="s">
        <v>295</v>
      </c>
      <c r="B4821" s="68">
        <v>2046</v>
      </c>
      <c r="C4821" s="68">
        <v>2023</v>
      </c>
      <c r="D4821" s="68" t="s">
        <v>331</v>
      </c>
      <c r="E4821" s="68" t="s">
        <v>305</v>
      </c>
      <c r="F4821" s="68" t="s">
        <v>40</v>
      </c>
      <c r="G4821" s="68"/>
      <c r="H4821" s="68"/>
      <c r="I4821" s="69">
        <v>3281.1887000000002</v>
      </c>
    </row>
    <row r="4822" spans="1:9" hidden="1">
      <c r="A4822" s="64" t="s">
        <v>295</v>
      </c>
      <c r="B4822" s="65">
        <v>2046</v>
      </c>
      <c r="C4822" s="65">
        <v>2023</v>
      </c>
      <c r="D4822" s="65" t="s">
        <v>332</v>
      </c>
      <c r="E4822" s="65" t="s">
        <v>294</v>
      </c>
      <c r="F4822" s="65" t="s">
        <v>40</v>
      </c>
      <c r="G4822" s="65"/>
      <c r="H4822" s="65"/>
      <c r="I4822" s="66">
        <v>510.8932299999999</v>
      </c>
    </row>
    <row r="4823" spans="1:9" hidden="1">
      <c r="A4823" s="67" t="s">
        <v>295</v>
      </c>
      <c r="B4823" s="68">
        <v>2046</v>
      </c>
      <c r="C4823" s="68">
        <v>2023</v>
      </c>
      <c r="D4823" s="68" t="s">
        <v>332</v>
      </c>
      <c r="E4823" s="68" t="s">
        <v>301</v>
      </c>
      <c r="F4823" s="68" t="s">
        <v>40</v>
      </c>
      <c r="G4823" s="68"/>
      <c r="H4823" s="68"/>
      <c r="I4823" s="69">
        <v>333.53322999999989</v>
      </c>
    </row>
    <row r="4824" spans="1:9" hidden="1">
      <c r="A4824" s="64" t="s">
        <v>295</v>
      </c>
      <c r="B4824" s="65">
        <v>2046</v>
      </c>
      <c r="C4824" s="65">
        <v>2023</v>
      </c>
      <c r="D4824" s="65" t="s">
        <v>332</v>
      </c>
      <c r="E4824" s="65" t="s">
        <v>305</v>
      </c>
      <c r="F4824" s="65" t="s">
        <v>40</v>
      </c>
      <c r="G4824" s="65"/>
      <c r="H4824" s="65"/>
      <c r="I4824" s="66">
        <v>331.89695999999998</v>
      </c>
    </row>
    <row r="4825" spans="1:9" hidden="1">
      <c r="A4825" s="67" t="s">
        <v>295</v>
      </c>
      <c r="B4825" s="68">
        <v>2046</v>
      </c>
      <c r="C4825" s="68">
        <v>2023</v>
      </c>
      <c r="D4825" s="68" t="s">
        <v>333</v>
      </c>
      <c r="E4825" s="68" t="s">
        <v>294</v>
      </c>
      <c r="F4825" s="68" t="s">
        <v>40</v>
      </c>
      <c r="G4825" s="68"/>
      <c r="H4825" s="68"/>
      <c r="I4825" s="69">
        <v>-34137.385850697101</v>
      </c>
    </row>
    <row r="4826" spans="1:9" hidden="1">
      <c r="A4826" s="64" t="s">
        <v>295</v>
      </c>
      <c r="B4826" s="65">
        <v>2046</v>
      </c>
      <c r="C4826" s="65">
        <v>2023</v>
      </c>
      <c r="D4826" s="65" t="s">
        <v>333</v>
      </c>
      <c r="E4826" s="65" t="s">
        <v>301</v>
      </c>
      <c r="F4826" s="65" t="s">
        <v>40</v>
      </c>
      <c r="G4826" s="65"/>
      <c r="H4826" s="65"/>
      <c r="I4826" s="66">
        <v>-32912.370300697097</v>
      </c>
    </row>
    <row r="4827" spans="1:9" hidden="1">
      <c r="A4827" s="67" t="s">
        <v>295</v>
      </c>
      <c r="B4827" s="68">
        <v>2046</v>
      </c>
      <c r="C4827" s="68">
        <v>2023</v>
      </c>
      <c r="D4827" s="68" t="s">
        <v>333</v>
      </c>
      <c r="E4827" s="68" t="s">
        <v>305</v>
      </c>
      <c r="F4827" s="68" t="s">
        <v>40</v>
      </c>
      <c r="G4827" s="68"/>
      <c r="H4827" s="68"/>
      <c r="I4827" s="69">
        <v>-1509.42</v>
      </c>
    </row>
    <row r="4828" spans="1:9" hidden="1">
      <c r="A4828" s="64" t="s">
        <v>295</v>
      </c>
      <c r="B4828" s="65">
        <v>2046</v>
      </c>
      <c r="C4828" s="65">
        <v>2023</v>
      </c>
      <c r="D4828" s="65" t="s">
        <v>334</v>
      </c>
      <c r="E4828" s="65" t="s">
        <v>294</v>
      </c>
      <c r="F4828" s="65" t="s">
        <v>40</v>
      </c>
      <c r="G4828" s="65"/>
      <c r="H4828" s="65"/>
      <c r="I4828" s="66">
        <v>253.85033000000001</v>
      </c>
    </row>
    <row r="4829" spans="1:9" hidden="1">
      <c r="A4829" s="67" t="s">
        <v>295</v>
      </c>
      <c r="B4829" s="68">
        <v>2046</v>
      </c>
      <c r="C4829" s="68">
        <v>2023</v>
      </c>
      <c r="D4829" s="68" t="s">
        <v>334</v>
      </c>
      <c r="E4829" s="68" t="s">
        <v>301</v>
      </c>
      <c r="F4829" s="68" t="s">
        <v>40</v>
      </c>
      <c r="G4829" s="68"/>
      <c r="H4829" s="68"/>
      <c r="I4829" s="69">
        <v>253.85033000000001</v>
      </c>
    </row>
    <row r="4830" spans="1:9" hidden="1">
      <c r="A4830" s="64" t="s">
        <v>295</v>
      </c>
      <c r="B4830" s="65">
        <v>2046</v>
      </c>
      <c r="C4830" s="65">
        <v>2023</v>
      </c>
      <c r="D4830" s="65" t="s">
        <v>308</v>
      </c>
      <c r="E4830" s="65" t="s">
        <v>294</v>
      </c>
      <c r="F4830" s="65" t="s">
        <v>297</v>
      </c>
      <c r="G4830" s="65"/>
      <c r="H4830" s="65"/>
      <c r="I4830" s="66">
        <v>61282.72261246579</v>
      </c>
    </row>
    <row r="4831" spans="1:9" hidden="1">
      <c r="A4831" s="67" t="s">
        <v>295</v>
      </c>
      <c r="B4831" s="68">
        <v>2046</v>
      </c>
      <c r="C4831" s="68">
        <v>2023</v>
      </c>
      <c r="D4831" s="68" t="s">
        <v>308</v>
      </c>
      <c r="E4831" s="68" t="s">
        <v>294</v>
      </c>
      <c r="F4831" s="68" t="s">
        <v>298</v>
      </c>
      <c r="G4831" s="68"/>
      <c r="H4831" s="68"/>
      <c r="I4831" s="69">
        <v>222.26435189736199</v>
      </c>
    </row>
    <row r="4832" spans="1:9" hidden="1">
      <c r="A4832" s="64" t="s">
        <v>295</v>
      </c>
      <c r="B4832" s="65">
        <v>2046</v>
      </c>
      <c r="C4832" s="65">
        <v>2023</v>
      </c>
      <c r="D4832" s="65" t="s">
        <v>308</v>
      </c>
      <c r="E4832" s="65" t="s">
        <v>294</v>
      </c>
      <c r="F4832" s="65" t="s">
        <v>40</v>
      </c>
      <c r="G4832" s="65"/>
      <c r="H4832" s="65"/>
      <c r="I4832" s="66">
        <v>61717.465134363149</v>
      </c>
    </row>
    <row r="4833" spans="1:9" hidden="1">
      <c r="A4833" s="67" t="s">
        <v>295</v>
      </c>
      <c r="B4833" s="68">
        <v>2046</v>
      </c>
      <c r="C4833" s="68">
        <v>2023</v>
      </c>
      <c r="D4833" s="68" t="s">
        <v>308</v>
      </c>
      <c r="E4833" s="68" t="s">
        <v>301</v>
      </c>
      <c r="F4833" s="68" t="s">
        <v>297</v>
      </c>
      <c r="G4833" s="68"/>
      <c r="H4833" s="68"/>
      <c r="I4833" s="69">
        <v>62349.926292422213</v>
      </c>
    </row>
    <row r="4834" spans="1:9" hidden="1">
      <c r="A4834" s="64" t="s">
        <v>295</v>
      </c>
      <c r="B4834" s="65">
        <v>2046</v>
      </c>
      <c r="C4834" s="65">
        <v>2023</v>
      </c>
      <c r="D4834" s="65" t="s">
        <v>308</v>
      </c>
      <c r="E4834" s="65" t="s">
        <v>301</v>
      </c>
      <c r="F4834" s="65" t="s">
        <v>298</v>
      </c>
      <c r="G4834" s="65"/>
      <c r="H4834" s="65"/>
      <c r="I4834" s="66">
        <v>222.2643518790766</v>
      </c>
    </row>
    <row r="4835" spans="1:9" hidden="1">
      <c r="A4835" s="67" t="s">
        <v>295</v>
      </c>
      <c r="B4835" s="68">
        <v>2046</v>
      </c>
      <c r="C4835" s="68">
        <v>2023</v>
      </c>
      <c r="D4835" s="68" t="s">
        <v>308</v>
      </c>
      <c r="E4835" s="68" t="s">
        <v>301</v>
      </c>
      <c r="F4835" s="68" t="s">
        <v>40</v>
      </c>
      <c r="G4835" s="68"/>
      <c r="H4835" s="68"/>
      <c r="I4835" s="69">
        <v>62471.817474213603</v>
      </c>
    </row>
    <row r="4836" spans="1:9" hidden="1">
      <c r="A4836" s="64" t="s">
        <v>295</v>
      </c>
      <c r="B4836" s="65">
        <v>2046</v>
      </c>
      <c r="C4836" s="65">
        <v>2023</v>
      </c>
      <c r="D4836" s="65" t="s">
        <v>308</v>
      </c>
      <c r="E4836" s="65" t="s">
        <v>305</v>
      </c>
      <c r="F4836" s="65" t="s">
        <v>297</v>
      </c>
      <c r="G4836" s="65"/>
      <c r="H4836" s="65"/>
      <c r="I4836" s="66">
        <v>1714.65678</v>
      </c>
    </row>
    <row r="4837" spans="1:9" hidden="1">
      <c r="A4837" s="67" t="s">
        <v>295</v>
      </c>
      <c r="B4837" s="68">
        <v>2046</v>
      </c>
      <c r="C4837" s="68">
        <v>2023</v>
      </c>
      <c r="D4837" s="68" t="s">
        <v>308</v>
      </c>
      <c r="E4837" s="68" t="s">
        <v>305</v>
      </c>
      <c r="F4837" s="68" t="s">
        <v>40</v>
      </c>
      <c r="G4837" s="68"/>
      <c r="H4837" s="68"/>
      <c r="I4837" s="69">
        <v>10128.296780000001</v>
      </c>
    </row>
    <row r="4838" spans="1:9" hidden="1">
      <c r="A4838" s="64" t="s">
        <v>295</v>
      </c>
      <c r="B4838" s="65">
        <v>2046</v>
      </c>
      <c r="C4838" s="65">
        <v>2023</v>
      </c>
      <c r="D4838" s="65" t="s">
        <v>310</v>
      </c>
      <c r="E4838" s="65" t="s">
        <v>294</v>
      </c>
      <c r="F4838" s="65" t="s">
        <v>297</v>
      </c>
      <c r="G4838" s="65"/>
      <c r="H4838" s="65"/>
      <c r="I4838" s="66">
        <v>182.42</v>
      </c>
    </row>
    <row r="4839" spans="1:9" hidden="1">
      <c r="A4839" s="67" t="s">
        <v>295</v>
      </c>
      <c r="B4839" s="68">
        <v>2046</v>
      </c>
      <c r="C4839" s="68">
        <v>2023</v>
      </c>
      <c r="D4839" s="68" t="s">
        <v>310</v>
      </c>
      <c r="E4839" s="68" t="s">
        <v>294</v>
      </c>
      <c r="F4839" s="68" t="s">
        <v>40</v>
      </c>
      <c r="G4839" s="68"/>
      <c r="H4839" s="68"/>
      <c r="I4839" s="69">
        <v>126266.8212211052</v>
      </c>
    </row>
    <row r="4840" spans="1:9" hidden="1">
      <c r="A4840" s="64" t="s">
        <v>295</v>
      </c>
      <c r="B4840" s="65">
        <v>2046</v>
      </c>
      <c r="C4840" s="65">
        <v>2023</v>
      </c>
      <c r="D4840" s="65" t="s">
        <v>310</v>
      </c>
      <c r="E4840" s="65" t="s">
        <v>301</v>
      </c>
      <c r="F4840" s="65" t="s">
        <v>297</v>
      </c>
      <c r="G4840" s="65"/>
      <c r="H4840" s="65"/>
      <c r="I4840" s="66">
        <v>182.42</v>
      </c>
    </row>
    <row r="4841" spans="1:9" hidden="1">
      <c r="A4841" s="67" t="s">
        <v>295</v>
      </c>
      <c r="B4841" s="68">
        <v>2046</v>
      </c>
      <c r="C4841" s="68">
        <v>2023</v>
      </c>
      <c r="D4841" s="68" t="s">
        <v>310</v>
      </c>
      <c r="E4841" s="68" t="s">
        <v>301</v>
      </c>
      <c r="F4841" s="68" t="s">
        <v>40</v>
      </c>
      <c r="G4841" s="68"/>
      <c r="H4841" s="68"/>
      <c r="I4841" s="69">
        <v>135078.68764604841</v>
      </c>
    </row>
    <row r="4842" spans="1:9" hidden="1">
      <c r="A4842" s="64" t="s">
        <v>295</v>
      </c>
      <c r="B4842" s="65">
        <v>2046</v>
      </c>
      <c r="C4842" s="65">
        <v>2023</v>
      </c>
      <c r="D4842" s="65" t="s">
        <v>310</v>
      </c>
      <c r="E4842" s="65" t="s">
        <v>305</v>
      </c>
      <c r="F4842" s="65" t="s">
        <v>40</v>
      </c>
      <c r="G4842" s="65"/>
      <c r="H4842" s="65"/>
      <c r="I4842" s="66">
        <v>1342.7728500000001</v>
      </c>
    </row>
    <row r="4843" spans="1:9" hidden="1">
      <c r="A4843" s="67" t="s">
        <v>295</v>
      </c>
      <c r="B4843" s="68">
        <v>2046</v>
      </c>
      <c r="C4843" s="68">
        <v>2023</v>
      </c>
      <c r="D4843" s="68" t="s">
        <v>311</v>
      </c>
      <c r="E4843" s="68" t="s">
        <v>294</v>
      </c>
      <c r="F4843" s="68" t="s">
        <v>297</v>
      </c>
      <c r="G4843" s="68"/>
      <c r="H4843" s="68"/>
      <c r="I4843" s="69">
        <v>858.92</v>
      </c>
    </row>
    <row r="4844" spans="1:9" hidden="1">
      <c r="A4844" s="64" t="s">
        <v>295</v>
      </c>
      <c r="B4844" s="65">
        <v>2046</v>
      </c>
      <c r="C4844" s="65">
        <v>2023</v>
      </c>
      <c r="D4844" s="65" t="s">
        <v>311</v>
      </c>
      <c r="E4844" s="65" t="s">
        <v>294</v>
      </c>
      <c r="F4844" s="65" t="s">
        <v>40</v>
      </c>
      <c r="G4844" s="65"/>
      <c r="H4844" s="65"/>
      <c r="I4844" s="66">
        <v>143423.86441506149</v>
      </c>
    </row>
    <row r="4845" spans="1:9" hidden="1">
      <c r="A4845" s="67" t="s">
        <v>295</v>
      </c>
      <c r="B4845" s="68">
        <v>2046</v>
      </c>
      <c r="C4845" s="68">
        <v>2023</v>
      </c>
      <c r="D4845" s="68" t="s">
        <v>311</v>
      </c>
      <c r="E4845" s="68" t="s">
        <v>301</v>
      </c>
      <c r="F4845" s="68" t="s">
        <v>297</v>
      </c>
      <c r="G4845" s="68"/>
      <c r="H4845" s="68"/>
      <c r="I4845" s="69">
        <v>858.92</v>
      </c>
    </row>
    <row r="4846" spans="1:9" hidden="1">
      <c r="A4846" s="64" t="s">
        <v>295</v>
      </c>
      <c r="B4846" s="65">
        <v>2046</v>
      </c>
      <c r="C4846" s="65">
        <v>2023</v>
      </c>
      <c r="D4846" s="65" t="s">
        <v>311</v>
      </c>
      <c r="E4846" s="65" t="s">
        <v>301</v>
      </c>
      <c r="F4846" s="65" t="s">
        <v>40</v>
      </c>
      <c r="G4846" s="65"/>
      <c r="H4846" s="65"/>
      <c r="I4846" s="66">
        <v>145923.94530497101</v>
      </c>
    </row>
    <row r="4847" spans="1:9" hidden="1">
      <c r="A4847" s="67" t="s">
        <v>295</v>
      </c>
      <c r="B4847" s="68">
        <v>2046</v>
      </c>
      <c r="C4847" s="68">
        <v>2023</v>
      </c>
      <c r="D4847" s="68" t="s">
        <v>311</v>
      </c>
      <c r="E4847" s="68" t="s">
        <v>305</v>
      </c>
      <c r="F4847" s="68" t="s">
        <v>40</v>
      </c>
      <c r="G4847" s="68"/>
      <c r="H4847" s="68"/>
      <c r="I4847" s="69">
        <v>1009.22</v>
      </c>
    </row>
    <row r="4848" spans="1:9" hidden="1">
      <c r="A4848" s="64" t="s">
        <v>295</v>
      </c>
      <c r="B4848" s="65">
        <v>2046</v>
      </c>
      <c r="C4848" s="65">
        <v>2023</v>
      </c>
      <c r="D4848" s="65" t="s">
        <v>312</v>
      </c>
      <c r="E4848" s="65" t="s">
        <v>294</v>
      </c>
      <c r="F4848" s="65" t="s">
        <v>297</v>
      </c>
      <c r="G4848" s="65"/>
      <c r="H4848" s="65"/>
      <c r="I4848" s="66">
        <v>705.16980000000001</v>
      </c>
    </row>
    <row r="4849" spans="1:9" hidden="1">
      <c r="A4849" s="67" t="s">
        <v>295</v>
      </c>
      <c r="B4849" s="68">
        <v>2046</v>
      </c>
      <c r="C4849" s="68">
        <v>2023</v>
      </c>
      <c r="D4849" s="68" t="s">
        <v>312</v>
      </c>
      <c r="E4849" s="68" t="s">
        <v>294</v>
      </c>
      <c r="F4849" s="68" t="s">
        <v>40</v>
      </c>
      <c r="G4849" s="68"/>
      <c r="H4849" s="68"/>
      <c r="I4849" s="69">
        <v>849.06220793517537</v>
      </c>
    </row>
    <row r="4850" spans="1:9" hidden="1">
      <c r="A4850" s="64" t="s">
        <v>295</v>
      </c>
      <c r="B4850" s="65">
        <v>2046</v>
      </c>
      <c r="C4850" s="65">
        <v>2023</v>
      </c>
      <c r="D4850" s="65" t="s">
        <v>312</v>
      </c>
      <c r="E4850" s="65" t="s">
        <v>301</v>
      </c>
      <c r="F4850" s="65" t="s">
        <v>297</v>
      </c>
      <c r="G4850" s="65"/>
      <c r="H4850" s="65"/>
      <c r="I4850" s="66">
        <v>709.26980000000003</v>
      </c>
    </row>
    <row r="4851" spans="1:9" hidden="1">
      <c r="A4851" s="67" t="s">
        <v>295</v>
      </c>
      <c r="B4851" s="68">
        <v>2046</v>
      </c>
      <c r="C4851" s="68">
        <v>2023</v>
      </c>
      <c r="D4851" s="68" t="s">
        <v>312</v>
      </c>
      <c r="E4851" s="68" t="s">
        <v>301</v>
      </c>
      <c r="F4851" s="68" t="s">
        <v>40</v>
      </c>
      <c r="G4851" s="68"/>
      <c r="H4851" s="68"/>
      <c r="I4851" s="69">
        <v>853.16980000000001</v>
      </c>
    </row>
    <row r="4852" spans="1:9" hidden="1">
      <c r="A4852" s="64" t="s">
        <v>295</v>
      </c>
      <c r="B4852" s="65">
        <v>2046</v>
      </c>
      <c r="C4852" s="65">
        <v>2023</v>
      </c>
      <c r="D4852" s="65" t="s">
        <v>313</v>
      </c>
      <c r="E4852" s="65" t="s">
        <v>294</v>
      </c>
      <c r="F4852" s="65" t="s">
        <v>297</v>
      </c>
      <c r="G4852" s="65"/>
      <c r="H4852" s="65"/>
      <c r="I4852" s="66">
        <v>1261404.3785817949</v>
      </c>
    </row>
    <row r="4853" spans="1:9" hidden="1">
      <c r="A4853" s="67" t="s">
        <v>295</v>
      </c>
      <c r="B4853" s="68">
        <v>2046</v>
      </c>
      <c r="C4853" s="68">
        <v>2023</v>
      </c>
      <c r="D4853" s="68" t="s">
        <v>313</v>
      </c>
      <c r="E4853" s="68" t="s">
        <v>294</v>
      </c>
      <c r="F4853" s="68" t="s">
        <v>298</v>
      </c>
      <c r="G4853" s="68"/>
      <c r="H4853" s="68"/>
      <c r="I4853" s="69">
        <v>599646.25494983874</v>
      </c>
    </row>
    <row r="4854" spans="1:9" hidden="1">
      <c r="A4854" s="64" t="s">
        <v>295</v>
      </c>
      <c r="B4854" s="65">
        <v>2046</v>
      </c>
      <c r="C4854" s="65">
        <v>2023</v>
      </c>
      <c r="D4854" s="65" t="s">
        <v>313</v>
      </c>
      <c r="E4854" s="65" t="s">
        <v>294</v>
      </c>
      <c r="F4854" s="65" t="s">
        <v>40</v>
      </c>
      <c r="G4854" s="65"/>
      <c r="H4854" s="65"/>
      <c r="I4854" s="66">
        <v>1877834.9638092341</v>
      </c>
    </row>
    <row r="4855" spans="1:9" hidden="1">
      <c r="A4855" s="67" t="s">
        <v>295</v>
      </c>
      <c r="B4855" s="68">
        <v>2046</v>
      </c>
      <c r="C4855" s="68">
        <v>2023</v>
      </c>
      <c r="D4855" s="68" t="s">
        <v>313</v>
      </c>
      <c r="E4855" s="68" t="s">
        <v>301</v>
      </c>
      <c r="F4855" s="68" t="s">
        <v>297</v>
      </c>
      <c r="G4855" s="68"/>
      <c r="H4855" s="68"/>
      <c r="I4855" s="69">
        <v>1469772.35450641</v>
      </c>
    </row>
    <row r="4856" spans="1:9" hidden="1">
      <c r="A4856" s="64" t="s">
        <v>295</v>
      </c>
      <c r="B4856" s="65">
        <v>2046</v>
      </c>
      <c r="C4856" s="65">
        <v>2023</v>
      </c>
      <c r="D4856" s="65" t="s">
        <v>313</v>
      </c>
      <c r="E4856" s="65" t="s">
        <v>301</v>
      </c>
      <c r="F4856" s="65" t="s">
        <v>298</v>
      </c>
      <c r="G4856" s="65"/>
      <c r="H4856" s="65"/>
      <c r="I4856" s="66">
        <v>688819.4775958641</v>
      </c>
    </row>
    <row r="4857" spans="1:9" hidden="1">
      <c r="A4857" s="67" t="s">
        <v>295</v>
      </c>
      <c r="B4857" s="68">
        <v>2046</v>
      </c>
      <c r="C4857" s="68">
        <v>2023</v>
      </c>
      <c r="D4857" s="68" t="s">
        <v>313</v>
      </c>
      <c r="E4857" s="68" t="s">
        <v>301</v>
      </c>
      <c r="F4857" s="68" t="s">
        <v>40</v>
      </c>
      <c r="G4857" s="68"/>
      <c r="H4857" s="68"/>
      <c r="I4857" s="69">
        <v>2177041.8932590359</v>
      </c>
    </row>
    <row r="4858" spans="1:9" hidden="1">
      <c r="A4858" s="64" t="s">
        <v>295</v>
      </c>
      <c r="B4858" s="65">
        <v>2046</v>
      </c>
      <c r="C4858" s="65">
        <v>2023</v>
      </c>
      <c r="D4858" s="65" t="s">
        <v>313</v>
      </c>
      <c r="E4858" s="65" t="s">
        <v>305</v>
      </c>
      <c r="F4858" s="65" t="s">
        <v>297</v>
      </c>
      <c r="G4858" s="65"/>
      <c r="H4858" s="65"/>
      <c r="I4858" s="66">
        <v>17460.190500000001</v>
      </c>
    </row>
    <row r="4859" spans="1:9" hidden="1">
      <c r="A4859" s="67" t="s">
        <v>295</v>
      </c>
      <c r="B4859" s="68">
        <v>2046</v>
      </c>
      <c r="C4859" s="68">
        <v>2023</v>
      </c>
      <c r="D4859" s="68" t="s">
        <v>313</v>
      </c>
      <c r="E4859" s="68" t="s">
        <v>305</v>
      </c>
      <c r="F4859" s="68" t="s">
        <v>298</v>
      </c>
      <c r="G4859" s="68"/>
      <c r="H4859" s="68"/>
      <c r="I4859" s="69">
        <v>9597.6741700000002</v>
      </c>
    </row>
    <row r="4860" spans="1:9" hidden="1">
      <c r="A4860" s="64" t="s">
        <v>295</v>
      </c>
      <c r="B4860" s="65">
        <v>2046</v>
      </c>
      <c r="C4860" s="65">
        <v>2023</v>
      </c>
      <c r="D4860" s="65" t="s">
        <v>313</v>
      </c>
      <c r="E4860" s="65" t="s">
        <v>305</v>
      </c>
      <c r="F4860" s="65" t="s">
        <v>40</v>
      </c>
      <c r="G4860" s="65"/>
      <c r="H4860" s="65"/>
      <c r="I4860" s="66">
        <v>225354.42561000001</v>
      </c>
    </row>
    <row r="4861" spans="1:9" hidden="1">
      <c r="A4861" s="67" t="s">
        <v>295</v>
      </c>
      <c r="B4861" s="68">
        <v>2046</v>
      </c>
      <c r="C4861" s="68">
        <v>2023</v>
      </c>
      <c r="D4861" s="68" t="s">
        <v>314</v>
      </c>
      <c r="E4861" s="68" t="s">
        <v>294</v>
      </c>
      <c r="F4861" s="68" t="s">
        <v>297</v>
      </c>
      <c r="G4861" s="68"/>
      <c r="H4861" s="68"/>
      <c r="I4861" s="69">
        <v>1261404.3785817949</v>
      </c>
    </row>
    <row r="4862" spans="1:9" hidden="1">
      <c r="A4862" s="64" t="s">
        <v>295</v>
      </c>
      <c r="B4862" s="65">
        <v>2046</v>
      </c>
      <c r="C4862" s="65">
        <v>2023</v>
      </c>
      <c r="D4862" s="65" t="s">
        <v>314</v>
      </c>
      <c r="E4862" s="65" t="s">
        <v>294</v>
      </c>
      <c r="F4862" s="65" t="s">
        <v>298</v>
      </c>
      <c r="G4862" s="65"/>
      <c r="H4862" s="65"/>
      <c r="I4862" s="66">
        <v>599646.25494983874</v>
      </c>
    </row>
    <row r="4863" spans="1:9" hidden="1">
      <c r="A4863" s="67" t="s">
        <v>295</v>
      </c>
      <c r="B4863" s="68">
        <v>2046</v>
      </c>
      <c r="C4863" s="68">
        <v>2023</v>
      </c>
      <c r="D4863" s="68" t="s">
        <v>314</v>
      </c>
      <c r="E4863" s="68" t="s">
        <v>294</v>
      </c>
      <c r="F4863" s="68" t="s">
        <v>40</v>
      </c>
      <c r="G4863" s="68"/>
      <c r="H4863" s="68"/>
      <c r="I4863" s="69">
        <v>1621724.0786588399</v>
      </c>
    </row>
    <row r="4864" spans="1:9" hidden="1">
      <c r="A4864" s="64" t="s">
        <v>295</v>
      </c>
      <c r="B4864" s="65">
        <v>2046</v>
      </c>
      <c r="C4864" s="65">
        <v>2023</v>
      </c>
      <c r="D4864" s="65" t="s">
        <v>314</v>
      </c>
      <c r="E4864" s="65" t="s">
        <v>301</v>
      </c>
      <c r="F4864" s="65" t="s">
        <v>297</v>
      </c>
      <c r="G4864" s="65"/>
      <c r="H4864" s="65"/>
      <c r="I4864" s="66">
        <v>1469772.35450641</v>
      </c>
    </row>
    <row r="4865" spans="1:9" hidden="1">
      <c r="A4865" s="67" t="s">
        <v>295</v>
      </c>
      <c r="B4865" s="68">
        <v>2046</v>
      </c>
      <c r="C4865" s="68">
        <v>2023</v>
      </c>
      <c r="D4865" s="68" t="s">
        <v>314</v>
      </c>
      <c r="E4865" s="68" t="s">
        <v>301</v>
      </c>
      <c r="F4865" s="68" t="s">
        <v>298</v>
      </c>
      <c r="G4865" s="68"/>
      <c r="H4865" s="68"/>
      <c r="I4865" s="69">
        <v>688819.4775958641</v>
      </c>
    </row>
    <row r="4866" spans="1:9" hidden="1">
      <c r="A4866" s="64" t="s">
        <v>295</v>
      </c>
      <c r="B4866" s="65">
        <v>2046</v>
      </c>
      <c r="C4866" s="65">
        <v>2023</v>
      </c>
      <c r="D4866" s="65" t="s">
        <v>314</v>
      </c>
      <c r="E4866" s="65" t="s">
        <v>301</v>
      </c>
      <c r="F4866" s="65" t="s">
        <v>40</v>
      </c>
      <c r="G4866" s="65"/>
      <c r="H4866" s="65"/>
      <c r="I4866" s="66">
        <v>1963289.501325628</v>
      </c>
    </row>
    <row r="4867" spans="1:9" hidden="1">
      <c r="A4867" s="67" t="s">
        <v>295</v>
      </c>
      <c r="B4867" s="68">
        <v>2046</v>
      </c>
      <c r="C4867" s="68">
        <v>2023</v>
      </c>
      <c r="D4867" s="68" t="s">
        <v>314</v>
      </c>
      <c r="E4867" s="68" t="s">
        <v>305</v>
      </c>
      <c r="F4867" s="68" t="s">
        <v>297</v>
      </c>
      <c r="G4867" s="68"/>
      <c r="H4867" s="68"/>
      <c r="I4867" s="69">
        <v>17460.190500000001</v>
      </c>
    </row>
    <row r="4868" spans="1:9" hidden="1">
      <c r="A4868" s="64" t="s">
        <v>295</v>
      </c>
      <c r="B4868" s="65">
        <v>2046</v>
      </c>
      <c r="C4868" s="65">
        <v>2023</v>
      </c>
      <c r="D4868" s="65" t="s">
        <v>314</v>
      </c>
      <c r="E4868" s="65" t="s">
        <v>305</v>
      </c>
      <c r="F4868" s="65" t="s">
        <v>298</v>
      </c>
      <c r="G4868" s="65"/>
      <c r="H4868" s="65"/>
      <c r="I4868" s="66">
        <v>9597.6741700000002</v>
      </c>
    </row>
    <row r="4869" spans="1:9" hidden="1">
      <c r="A4869" s="67" t="s">
        <v>295</v>
      </c>
      <c r="B4869" s="68">
        <v>2046</v>
      </c>
      <c r="C4869" s="68">
        <v>2023</v>
      </c>
      <c r="D4869" s="68" t="s">
        <v>314</v>
      </c>
      <c r="E4869" s="68" t="s">
        <v>305</v>
      </c>
      <c r="F4869" s="68" t="s">
        <v>40</v>
      </c>
      <c r="G4869" s="68"/>
      <c r="H4869" s="68"/>
      <c r="I4869" s="69">
        <v>216397.63321999999</v>
      </c>
    </row>
    <row r="4870" spans="1:9" hidden="1">
      <c r="A4870" s="64" t="s">
        <v>295</v>
      </c>
      <c r="B4870" s="65">
        <v>2047</v>
      </c>
      <c r="C4870" s="65">
        <v>2023</v>
      </c>
      <c r="D4870" s="65" t="s">
        <v>296</v>
      </c>
      <c r="E4870" s="65" t="s">
        <v>294</v>
      </c>
      <c r="F4870" s="65" t="s">
        <v>297</v>
      </c>
      <c r="G4870" s="65"/>
      <c r="H4870" s="65"/>
      <c r="I4870" s="66">
        <v>801448.68489819788</v>
      </c>
    </row>
    <row r="4871" spans="1:9" hidden="1">
      <c r="A4871" s="67" t="s">
        <v>295</v>
      </c>
      <c r="B4871" s="68">
        <v>2047</v>
      </c>
      <c r="C4871" s="68">
        <v>2023</v>
      </c>
      <c r="D4871" s="68" t="s">
        <v>296</v>
      </c>
      <c r="E4871" s="68" t="s">
        <v>294</v>
      </c>
      <c r="F4871" s="68" t="s">
        <v>298</v>
      </c>
      <c r="G4871" s="68"/>
      <c r="H4871" s="68"/>
      <c r="I4871" s="69">
        <v>428790.02243340242</v>
      </c>
    </row>
    <row r="4872" spans="1:9" hidden="1">
      <c r="A4872" s="64" t="s">
        <v>295</v>
      </c>
      <c r="B4872" s="65">
        <v>2047</v>
      </c>
      <c r="C4872" s="65">
        <v>2023</v>
      </c>
      <c r="D4872" s="65" t="s">
        <v>296</v>
      </c>
      <c r="E4872" s="65" t="s">
        <v>294</v>
      </c>
      <c r="F4872" s="65" t="s">
        <v>40</v>
      </c>
      <c r="G4872" s="65"/>
      <c r="H4872" s="65"/>
      <c r="I4872" s="66">
        <v>1247320.7935738261</v>
      </c>
    </row>
    <row r="4873" spans="1:9" hidden="1">
      <c r="A4873" s="67" t="s">
        <v>295</v>
      </c>
      <c r="B4873" s="68">
        <v>2047</v>
      </c>
      <c r="C4873" s="68">
        <v>2023</v>
      </c>
      <c r="D4873" s="68" t="s">
        <v>296</v>
      </c>
      <c r="E4873" s="68" t="s">
        <v>301</v>
      </c>
      <c r="F4873" s="68" t="s">
        <v>297</v>
      </c>
      <c r="G4873" s="68"/>
      <c r="H4873" s="68"/>
      <c r="I4873" s="69">
        <v>985389.18883736595</v>
      </c>
    </row>
    <row r="4874" spans="1:9" hidden="1">
      <c r="A4874" s="64" t="s">
        <v>295</v>
      </c>
      <c r="B4874" s="65">
        <v>2047</v>
      </c>
      <c r="C4874" s="65">
        <v>2023</v>
      </c>
      <c r="D4874" s="65" t="s">
        <v>296</v>
      </c>
      <c r="E4874" s="65" t="s">
        <v>301</v>
      </c>
      <c r="F4874" s="65" t="s">
        <v>298</v>
      </c>
      <c r="G4874" s="65"/>
      <c r="H4874" s="65"/>
      <c r="I4874" s="66">
        <v>508157.18919380411</v>
      </c>
    </row>
    <row r="4875" spans="1:9" hidden="1">
      <c r="A4875" s="67" t="s">
        <v>295</v>
      </c>
      <c r="B4875" s="68">
        <v>2047</v>
      </c>
      <c r="C4875" s="68">
        <v>2023</v>
      </c>
      <c r="D4875" s="68" t="s">
        <v>296</v>
      </c>
      <c r="E4875" s="68" t="s">
        <v>301</v>
      </c>
      <c r="F4875" s="68" t="s">
        <v>40</v>
      </c>
      <c r="G4875" s="68"/>
      <c r="H4875" s="68"/>
      <c r="I4875" s="69">
        <v>1512478.450382387</v>
      </c>
    </row>
    <row r="4876" spans="1:9" hidden="1">
      <c r="A4876" s="64" t="s">
        <v>295</v>
      </c>
      <c r="B4876" s="65">
        <v>2047</v>
      </c>
      <c r="C4876" s="65">
        <v>2023</v>
      </c>
      <c r="D4876" s="65" t="s">
        <v>296</v>
      </c>
      <c r="E4876" s="65" t="s">
        <v>305</v>
      </c>
      <c r="F4876" s="65" t="s">
        <v>297</v>
      </c>
      <c r="G4876" s="65"/>
      <c r="H4876" s="65"/>
      <c r="I4876" s="66">
        <v>12439.64291</v>
      </c>
    </row>
    <row r="4877" spans="1:9" hidden="1">
      <c r="A4877" s="67" t="s">
        <v>295</v>
      </c>
      <c r="B4877" s="68">
        <v>2047</v>
      </c>
      <c r="C4877" s="68">
        <v>2023</v>
      </c>
      <c r="D4877" s="68" t="s">
        <v>296</v>
      </c>
      <c r="E4877" s="68" t="s">
        <v>305</v>
      </c>
      <c r="F4877" s="68" t="s">
        <v>298</v>
      </c>
      <c r="G4877" s="68"/>
      <c r="H4877" s="68"/>
      <c r="I4877" s="69">
        <v>8849.8727299999991</v>
      </c>
    </row>
    <row r="4878" spans="1:9" hidden="1">
      <c r="A4878" s="64" t="s">
        <v>295</v>
      </c>
      <c r="B4878" s="65">
        <v>2047</v>
      </c>
      <c r="C4878" s="65">
        <v>2023</v>
      </c>
      <c r="D4878" s="65" t="s">
        <v>296</v>
      </c>
      <c r="E4878" s="65" t="s">
        <v>305</v>
      </c>
      <c r="F4878" s="65" t="s">
        <v>40</v>
      </c>
      <c r="G4878" s="65"/>
      <c r="H4878" s="65"/>
      <c r="I4878" s="66">
        <v>158621.92756000001</v>
      </c>
    </row>
    <row r="4879" spans="1:9" hidden="1">
      <c r="A4879" s="67" t="s">
        <v>295</v>
      </c>
      <c r="B4879" s="68">
        <v>2047</v>
      </c>
      <c r="C4879" s="68">
        <v>2023</v>
      </c>
      <c r="D4879" s="68" t="s">
        <v>309</v>
      </c>
      <c r="E4879" s="68" t="s">
        <v>294</v>
      </c>
      <c r="F4879" s="68" t="s">
        <v>297</v>
      </c>
      <c r="G4879" s="68"/>
      <c r="H4879" s="68"/>
      <c r="I4879" s="69">
        <v>40558.401672125372</v>
      </c>
    </row>
    <row r="4880" spans="1:9" hidden="1">
      <c r="A4880" s="64" t="s">
        <v>295</v>
      </c>
      <c r="B4880" s="65">
        <v>2047</v>
      </c>
      <c r="C4880" s="65">
        <v>2023</v>
      </c>
      <c r="D4880" s="65" t="s">
        <v>309</v>
      </c>
      <c r="E4880" s="65" t="s">
        <v>294</v>
      </c>
      <c r="F4880" s="65" t="s">
        <v>298</v>
      </c>
      <c r="G4880" s="65"/>
      <c r="H4880" s="65"/>
      <c r="I4880" s="66">
        <v>255784.3378891951</v>
      </c>
    </row>
    <row r="4881" spans="1:9" hidden="1">
      <c r="A4881" s="67" t="s">
        <v>295</v>
      </c>
      <c r="B4881" s="68">
        <v>2047</v>
      </c>
      <c r="C4881" s="68">
        <v>2023</v>
      </c>
      <c r="D4881" s="68" t="s">
        <v>309</v>
      </c>
      <c r="E4881" s="68" t="s">
        <v>294</v>
      </c>
      <c r="F4881" s="68" t="s">
        <v>40</v>
      </c>
      <c r="G4881" s="68"/>
      <c r="H4881" s="68"/>
      <c r="I4881" s="69">
        <v>295792.62993010902</v>
      </c>
    </row>
    <row r="4882" spans="1:9" hidden="1">
      <c r="A4882" s="64" t="s">
        <v>295</v>
      </c>
      <c r="B4882" s="65">
        <v>2047</v>
      </c>
      <c r="C4882" s="65">
        <v>2023</v>
      </c>
      <c r="D4882" s="65" t="s">
        <v>309</v>
      </c>
      <c r="E4882" s="65" t="s">
        <v>301</v>
      </c>
      <c r="F4882" s="65" t="s">
        <v>297</v>
      </c>
      <c r="G4882" s="65"/>
      <c r="H4882" s="65"/>
      <c r="I4882" s="66">
        <v>39941.63448186421</v>
      </c>
    </row>
    <row r="4883" spans="1:9" hidden="1">
      <c r="A4883" s="67" t="s">
        <v>295</v>
      </c>
      <c r="B4883" s="68">
        <v>2047</v>
      </c>
      <c r="C4883" s="68">
        <v>2023</v>
      </c>
      <c r="D4883" s="68" t="s">
        <v>309</v>
      </c>
      <c r="E4883" s="68" t="s">
        <v>301</v>
      </c>
      <c r="F4883" s="68" t="s">
        <v>298</v>
      </c>
      <c r="G4883" s="68"/>
      <c r="H4883" s="68"/>
      <c r="I4883" s="69">
        <v>304989.74094711337</v>
      </c>
    </row>
    <row r="4884" spans="1:9" hidden="1">
      <c r="A4884" s="64" t="s">
        <v>295</v>
      </c>
      <c r="B4884" s="65">
        <v>2047</v>
      </c>
      <c r="C4884" s="65">
        <v>2023</v>
      </c>
      <c r="D4884" s="65" t="s">
        <v>309</v>
      </c>
      <c r="E4884" s="65" t="s">
        <v>301</v>
      </c>
      <c r="F4884" s="65" t="s">
        <v>40</v>
      </c>
      <c r="G4884" s="65"/>
      <c r="H4884" s="65"/>
      <c r="I4884" s="66">
        <v>344453.26820776361</v>
      </c>
    </row>
    <row r="4885" spans="1:9" hidden="1">
      <c r="A4885" s="67" t="s">
        <v>295</v>
      </c>
      <c r="B4885" s="68">
        <v>2047</v>
      </c>
      <c r="C4885" s="68">
        <v>2023</v>
      </c>
      <c r="D4885" s="68" t="s">
        <v>309</v>
      </c>
      <c r="E4885" s="68" t="s">
        <v>305</v>
      </c>
      <c r="F4885" s="68" t="s">
        <v>297</v>
      </c>
      <c r="G4885" s="68"/>
      <c r="H4885" s="68"/>
      <c r="I4885" s="69">
        <v>39.645510000000002</v>
      </c>
    </row>
    <row r="4886" spans="1:9" hidden="1">
      <c r="A4886" s="64" t="s">
        <v>295</v>
      </c>
      <c r="B4886" s="65">
        <v>2047</v>
      </c>
      <c r="C4886" s="65">
        <v>2023</v>
      </c>
      <c r="D4886" s="65" t="s">
        <v>309</v>
      </c>
      <c r="E4886" s="65" t="s">
        <v>305</v>
      </c>
      <c r="F4886" s="65" t="s">
        <v>298</v>
      </c>
      <c r="G4886" s="65"/>
      <c r="H4886" s="65"/>
      <c r="I4886" s="66">
        <v>7266.5127300000004</v>
      </c>
    </row>
    <row r="4887" spans="1:9" hidden="1">
      <c r="A4887" s="67" t="s">
        <v>295</v>
      </c>
      <c r="B4887" s="68">
        <v>2047</v>
      </c>
      <c r="C4887" s="68">
        <v>2023</v>
      </c>
      <c r="D4887" s="68" t="s">
        <v>309</v>
      </c>
      <c r="E4887" s="68" t="s">
        <v>305</v>
      </c>
      <c r="F4887" s="68" t="s">
        <v>40</v>
      </c>
      <c r="G4887" s="68"/>
      <c r="H4887" s="68"/>
      <c r="I4887" s="69">
        <v>48279.65825</v>
      </c>
    </row>
    <row r="4888" spans="1:9" hidden="1">
      <c r="A4888" s="64" t="s">
        <v>295</v>
      </c>
      <c r="B4888" s="65">
        <v>2047</v>
      </c>
      <c r="C4888" s="65">
        <v>2023</v>
      </c>
      <c r="D4888" s="65" t="s">
        <v>315</v>
      </c>
      <c r="E4888" s="65" t="s">
        <v>294</v>
      </c>
      <c r="F4888" s="65" t="s">
        <v>297</v>
      </c>
      <c r="G4888" s="65"/>
      <c r="H4888" s="65"/>
      <c r="I4888" s="66">
        <v>93927.953254920096</v>
      </c>
    </row>
    <row r="4889" spans="1:9" hidden="1">
      <c r="A4889" s="67" t="s">
        <v>295</v>
      </c>
      <c r="B4889" s="68">
        <v>2047</v>
      </c>
      <c r="C4889" s="68">
        <v>2023</v>
      </c>
      <c r="D4889" s="68" t="s">
        <v>315</v>
      </c>
      <c r="E4889" s="68" t="s">
        <v>294</v>
      </c>
      <c r="F4889" s="68" t="s">
        <v>298</v>
      </c>
      <c r="G4889" s="68"/>
      <c r="H4889" s="68"/>
      <c r="I4889" s="69">
        <v>158672.9945607002</v>
      </c>
    </row>
    <row r="4890" spans="1:9" hidden="1">
      <c r="A4890" s="64" t="s">
        <v>295</v>
      </c>
      <c r="B4890" s="65">
        <v>2047</v>
      </c>
      <c r="C4890" s="65">
        <v>2023</v>
      </c>
      <c r="D4890" s="65" t="s">
        <v>315</v>
      </c>
      <c r="E4890" s="65" t="s">
        <v>294</v>
      </c>
      <c r="F4890" s="65" t="s">
        <v>40</v>
      </c>
      <c r="G4890" s="65"/>
      <c r="H4890" s="65"/>
      <c r="I4890" s="66">
        <v>252007.74523154469</v>
      </c>
    </row>
    <row r="4891" spans="1:9" hidden="1">
      <c r="A4891" s="67" t="s">
        <v>295</v>
      </c>
      <c r="B4891" s="68">
        <v>2047</v>
      </c>
      <c r="C4891" s="68">
        <v>2023</v>
      </c>
      <c r="D4891" s="68" t="s">
        <v>315</v>
      </c>
      <c r="E4891" s="68" t="s">
        <v>301</v>
      </c>
      <c r="F4891" s="68" t="s">
        <v>297</v>
      </c>
      <c r="G4891" s="68"/>
      <c r="H4891" s="68"/>
      <c r="I4891" s="69">
        <v>101463.037920601</v>
      </c>
    </row>
    <row r="4892" spans="1:9" hidden="1">
      <c r="A4892" s="64" t="s">
        <v>295</v>
      </c>
      <c r="B4892" s="65">
        <v>2047</v>
      </c>
      <c r="C4892" s="65">
        <v>2023</v>
      </c>
      <c r="D4892" s="65" t="s">
        <v>315</v>
      </c>
      <c r="E4892" s="65" t="s">
        <v>301</v>
      </c>
      <c r="F4892" s="65" t="s">
        <v>298</v>
      </c>
      <c r="G4892" s="65"/>
      <c r="H4892" s="65"/>
      <c r="I4892" s="66">
        <v>186809.25573237511</v>
      </c>
    </row>
    <row r="4893" spans="1:9" hidden="1">
      <c r="A4893" s="67" t="s">
        <v>295</v>
      </c>
      <c r="B4893" s="68">
        <v>2047</v>
      </c>
      <c r="C4893" s="68">
        <v>2023</v>
      </c>
      <c r="D4893" s="68" t="s">
        <v>315</v>
      </c>
      <c r="E4893" s="68" t="s">
        <v>301</v>
      </c>
      <c r="F4893" s="68" t="s">
        <v>40</v>
      </c>
      <c r="G4893" s="68"/>
      <c r="H4893" s="68"/>
      <c r="I4893" s="69">
        <v>287689.67825977539</v>
      </c>
    </row>
    <row r="4894" spans="1:9" hidden="1">
      <c r="A4894" s="64" t="s">
        <v>295</v>
      </c>
      <c r="B4894" s="65">
        <v>2047</v>
      </c>
      <c r="C4894" s="65">
        <v>2023</v>
      </c>
      <c r="D4894" s="65" t="s">
        <v>315</v>
      </c>
      <c r="E4894" s="65" t="s">
        <v>305</v>
      </c>
      <c r="F4894" s="65" t="s">
        <v>297</v>
      </c>
      <c r="G4894" s="65"/>
      <c r="H4894" s="65"/>
      <c r="I4894" s="66">
        <v>1162.8536200000001</v>
      </c>
    </row>
    <row r="4895" spans="1:9" hidden="1">
      <c r="A4895" s="67" t="s">
        <v>295</v>
      </c>
      <c r="B4895" s="68">
        <v>2047</v>
      </c>
      <c r="C4895" s="68">
        <v>2023</v>
      </c>
      <c r="D4895" s="68" t="s">
        <v>315</v>
      </c>
      <c r="E4895" s="68" t="s">
        <v>305</v>
      </c>
      <c r="F4895" s="68" t="s">
        <v>298</v>
      </c>
      <c r="G4895" s="68"/>
      <c r="H4895" s="68"/>
      <c r="I4895" s="69">
        <v>1513.46</v>
      </c>
    </row>
    <row r="4896" spans="1:9" hidden="1">
      <c r="A4896" s="64" t="s">
        <v>295</v>
      </c>
      <c r="B4896" s="65">
        <v>2047</v>
      </c>
      <c r="C4896" s="65">
        <v>2023</v>
      </c>
      <c r="D4896" s="65" t="s">
        <v>315</v>
      </c>
      <c r="E4896" s="65" t="s">
        <v>305</v>
      </c>
      <c r="F4896" s="65" t="s">
        <v>40</v>
      </c>
      <c r="G4896" s="65"/>
      <c r="H4896" s="65"/>
      <c r="I4896" s="66">
        <v>23241.733619999999</v>
      </c>
    </row>
    <row r="4897" spans="1:9" hidden="1">
      <c r="A4897" s="67" t="s">
        <v>295</v>
      </c>
      <c r="B4897" s="68">
        <v>2047</v>
      </c>
      <c r="C4897" s="68">
        <v>2023</v>
      </c>
      <c r="D4897" s="68" t="s">
        <v>316</v>
      </c>
      <c r="E4897" s="68" t="s">
        <v>294</v>
      </c>
      <c r="F4897" s="68" t="s">
        <v>297</v>
      </c>
      <c r="G4897" s="68"/>
      <c r="H4897" s="68"/>
      <c r="I4897" s="69">
        <v>376432.01161135588</v>
      </c>
    </row>
    <row r="4898" spans="1:9" hidden="1">
      <c r="A4898" s="64" t="s">
        <v>295</v>
      </c>
      <c r="B4898" s="65">
        <v>2047</v>
      </c>
      <c r="C4898" s="65">
        <v>2023</v>
      </c>
      <c r="D4898" s="65" t="s">
        <v>316</v>
      </c>
      <c r="E4898" s="65" t="s">
        <v>294</v>
      </c>
      <c r="F4898" s="65" t="s">
        <v>298</v>
      </c>
      <c r="G4898" s="65"/>
      <c r="H4898" s="65"/>
      <c r="I4898" s="66">
        <v>3203.3905603381272</v>
      </c>
    </row>
    <row r="4899" spans="1:9" hidden="1">
      <c r="A4899" s="67" t="s">
        <v>295</v>
      </c>
      <c r="B4899" s="68">
        <v>2047</v>
      </c>
      <c r="C4899" s="68">
        <v>2023</v>
      </c>
      <c r="D4899" s="68" t="s">
        <v>316</v>
      </c>
      <c r="E4899" s="68" t="s">
        <v>294</v>
      </c>
      <c r="F4899" s="68" t="s">
        <v>40</v>
      </c>
      <c r="G4899" s="68"/>
      <c r="H4899" s="68"/>
      <c r="I4899" s="69">
        <v>397341.54167570022</v>
      </c>
    </row>
    <row r="4900" spans="1:9" hidden="1">
      <c r="A4900" s="64" t="s">
        <v>295</v>
      </c>
      <c r="B4900" s="65">
        <v>2047</v>
      </c>
      <c r="C4900" s="65">
        <v>2023</v>
      </c>
      <c r="D4900" s="65" t="s">
        <v>316</v>
      </c>
      <c r="E4900" s="65" t="s">
        <v>301</v>
      </c>
      <c r="F4900" s="65" t="s">
        <v>297</v>
      </c>
      <c r="G4900" s="65"/>
      <c r="H4900" s="65"/>
      <c r="I4900" s="66">
        <v>481327.43962164212</v>
      </c>
    </row>
    <row r="4901" spans="1:9" hidden="1">
      <c r="A4901" s="67" t="s">
        <v>295</v>
      </c>
      <c r="B4901" s="68">
        <v>2047</v>
      </c>
      <c r="C4901" s="68">
        <v>2023</v>
      </c>
      <c r="D4901" s="68" t="s">
        <v>316</v>
      </c>
      <c r="E4901" s="68" t="s">
        <v>301</v>
      </c>
      <c r="F4901" s="68" t="s">
        <v>298</v>
      </c>
      <c r="G4901" s="68"/>
      <c r="H4901" s="68"/>
      <c r="I4901" s="69">
        <v>3428.511767825446</v>
      </c>
    </row>
    <row r="4902" spans="1:9" hidden="1">
      <c r="A4902" s="64" t="s">
        <v>295</v>
      </c>
      <c r="B4902" s="65">
        <v>2047</v>
      </c>
      <c r="C4902" s="65">
        <v>2023</v>
      </c>
      <c r="D4902" s="65" t="s">
        <v>316</v>
      </c>
      <c r="E4902" s="65" t="s">
        <v>301</v>
      </c>
      <c r="F4902" s="65" t="s">
        <v>40</v>
      </c>
      <c r="G4902" s="65"/>
      <c r="H4902" s="65"/>
      <c r="I4902" s="66">
        <v>504230.13883169868</v>
      </c>
    </row>
    <row r="4903" spans="1:9" hidden="1">
      <c r="A4903" s="67" t="s">
        <v>295</v>
      </c>
      <c r="B4903" s="68">
        <v>2047</v>
      </c>
      <c r="C4903" s="68">
        <v>2023</v>
      </c>
      <c r="D4903" s="68" t="s">
        <v>316</v>
      </c>
      <c r="E4903" s="68" t="s">
        <v>305</v>
      </c>
      <c r="F4903" s="68" t="s">
        <v>297</v>
      </c>
      <c r="G4903" s="68"/>
      <c r="H4903" s="68"/>
      <c r="I4903" s="69">
        <v>9350.9333999999999</v>
      </c>
    </row>
    <row r="4904" spans="1:9" hidden="1">
      <c r="A4904" s="64" t="s">
        <v>295</v>
      </c>
      <c r="B4904" s="65">
        <v>2047</v>
      </c>
      <c r="C4904" s="65">
        <v>2023</v>
      </c>
      <c r="D4904" s="65" t="s">
        <v>316</v>
      </c>
      <c r="E4904" s="65" t="s">
        <v>305</v>
      </c>
      <c r="F4904" s="65" t="s">
        <v>298</v>
      </c>
      <c r="G4904" s="65"/>
      <c r="H4904" s="65"/>
      <c r="I4904" s="66">
        <v>0</v>
      </c>
    </row>
    <row r="4905" spans="1:9" hidden="1">
      <c r="A4905" s="67" t="s">
        <v>295</v>
      </c>
      <c r="B4905" s="68">
        <v>2047</v>
      </c>
      <c r="C4905" s="68">
        <v>2023</v>
      </c>
      <c r="D4905" s="68" t="s">
        <v>316</v>
      </c>
      <c r="E4905" s="68" t="s">
        <v>305</v>
      </c>
      <c r="F4905" s="68" t="s">
        <v>40</v>
      </c>
      <c r="G4905" s="68"/>
      <c r="H4905" s="68"/>
      <c r="I4905" s="69">
        <v>45683.045319999997</v>
      </c>
    </row>
    <row r="4906" spans="1:9" hidden="1">
      <c r="A4906" s="64" t="s">
        <v>295</v>
      </c>
      <c r="B4906" s="65">
        <v>2047</v>
      </c>
      <c r="C4906" s="65">
        <v>2023</v>
      </c>
      <c r="D4906" s="65" t="s">
        <v>317</v>
      </c>
      <c r="E4906" s="65" t="s">
        <v>294</v>
      </c>
      <c r="F4906" s="65" t="s">
        <v>297</v>
      </c>
      <c r="G4906" s="65"/>
      <c r="H4906" s="65"/>
      <c r="I4906" s="66">
        <v>211.99521482383611</v>
      </c>
    </row>
    <row r="4907" spans="1:9" hidden="1">
      <c r="A4907" s="67" t="s">
        <v>295</v>
      </c>
      <c r="B4907" s="68">
        <v>2047</v>
      </c>
      <c r="C4907" s="68">
        <v>2023</v>
      </c>
      <c r="D4907" s="68" t="s">
        <v>317</v>
      </c>
      <c r="E4907" s="68" t="s">
        <v>294</v>
      </c>
      <c r="F4907" s="68" t="s">
        <v>298</v>
      </c>
      <c r="G4907" s="68"/>
      <c r="H4907" s="68"/>
      <c r="I4907" s="69">
        <v>0</v>
      </c>
    </row>
    <row r="4908" spans="1:9" hidden="1">
      <c r="A4908" s="64" t="s">
        <v>295</v>
      </c>
      <c r="B4908" s="65">
        <v>2047</v>
      </c>
      <c r="C4908" s="65">
        <v>2023</v>
      </c>
      <c r="D4908" s="65" t="s">
        <v>317</v>
      </c>
      <c r="E4908" s="65" t="s">
        <v>294</v>
      </c>
      <c r="F4908" s="65" t="s">
        <v>40</v>
      </c>
      <c r="G4908" s="65"/>
      <c r="H4908" s="65"/>
      <c r="I4908" s="66">
        <v>17459.241529330891</v>
      </c>
    </row>
    <row r="4909" spans="1:9" hidden="1">
      <c r="A4909" s="67" t="s">
        <v>295</v>
      </c>
      <c r="B4909" s="68">
        <v>2047</v>
      </c>
      <c r="C4909" s="68">
        <v>2023</v>
      </c>
      <c r="D4909" s="68" t="s">
        <v>317</v>
      </c>
      <c r="E4909" s="68" t="s">
        <v>301</v>
      </c>
      <c r="F4909" s="68" t="s">
        <v>297</v>
      </c>
      <c r="G4909" s="68"/>
      <c r="H4909" s="68"/>
      <c r="I4909" s="69">
        <v>225.0031830834107</v>
      </c>
    </row>
    <row r="4910" spans="1:9" hidden="1">
      <c r="A4910" s="64" t="s">
        <v>295</v>
      </c>
      <c r="B4910" s="65">
        <v>2047</v>
      </c>
      <c r="C4910" s="65">
        <v>2023</v>
      </c>
      <c r="D4910" s="65" t="s">
        <v>317</v>
      </c>
      <c r="E4910" s="65" t="s">
        <v>301</v>
      </c>
      <c r="F4910" s="65" t="s">
        <v>298</v>
      </c>
      <c r="G4910" s="65"/>
      <c r="H4910" s="65"/>
      <c r="I4910" s="66">
        <v>0</v>
      </c>
    </row>
    <row r="4911" spans="1:9" hidden="1">
      <c r="A4911" s="67" t="s">
        <v>295</v>
      </c>
      <c r="B4911" s="68">
        <v>2047</v>
      </c>
      <c r="C4911" s="68">
        <v>2023</v>
      </c>
      <c r="D4911" s="68" t="s">
        <v>317</v>
      </c>
      <c r="E4911" s="68" t="s">
        <v>301</v>
      </c>
      <c r="F4911" s="68" t="s">
        <v>40</v>
      </c>
      <c r="G4911" s="68"/>
      <c r="H4911" s="68"/>
      <c r="I4911" s="69">
        <v>19170.673151559549</v>
      </c>
    </row>
    <row r="4912" spans="1:9" hidden="1">
      <c r="A4912" s="64" t="s">
        <v>295</v>
      </c>
      <c r="B4912" s="65">
        <v>2047</v>
      </c>
      <c r="C4912" s="65">
        <v>2023</v>
      </c>
      <c r="D4912" s="65" t="s">
        <v>317</v>
      </c>
      <c r="E4912" s="65" t="s">
        <v>305</v>
      </c>
      <c r="F4912" s="65" t="s">
        <v>297</v>
      </c>
      <c r="G4912" s="65"/>
      <c r="H4912" s="65"/>
      <c r="I4912" s="66">
        <v>1.375E-2</v>
      </c>
    </row>
    <row r="4913" spans="1:9" hidden="1">
      <c r="A4913" s="67" t="s">
        <v>295</v>
      </c>
      <c r="B4913" s="68">
        <v>2047</v>
      </c>
      <c r="C4913" s="68">
        <v>2023</v>
      </c>
      <c r="D4913" s="68" t="s">
        <v>317</v>
      </c>
      <c r="E4913" s="68" t="s">
        <v>305</v>
      </c>
      <c r="F4913" s="68" t="s">
        <v>40</v>
      </c>
      <c r="G4913" s="68"/>
      <c r="H4913" s="68"/>
      <c r="I4913" s="69">
        <v>538.16566999999998</v>
      </c>
    </row>
    <row r="4914" spans="1:9" hidden="1">
      <c r="A4914" s="64" t="s">
        <v>295</v>
      </c>
      <c r="B4914" s="65">
        <v>2047</v>
      </c>
      <c r="C4914" s="65">
        <v>2023</v>
      </c>
      <c r="D4914" s="65" t="s">
        <v>318</v>
      </c>
      <c r="E4914" s="65" t="s">
        <v>294</v>
      </c>
      <c r="F4914" s="65" t="s">
        <v>297</v>
      </c>
      <c r="G4914" s="65"/>
      <c r="H4914" s="65"/>
      <c r="I4914" s="66">
        <v>354959.23398047721</v>
      </c>
    </row>
    <row r="4915" spans="1:9" hidden="1">
      <c r="A4915" s="67" t="s">
        <v>295</v>
      </c>
      <c r="B4915" s="68">
        <v>2047</v>
      </c>
      <c r="C4915" s="68">
        <v>2023</v>
      </c>
      <c r="D4915" s="68" t="s">
        <v>318</v>
      </c>
      <c r="E4915" s="68" t="s">
        <v>294</v>
      </c>
      <c r="F4915" s="68" t="s">
        <v>298</v>
      </c>
      <c r="G4915" s="68"/>
      <c r="H4915" s="68"/>
      <c r="I4915" s="69">
        <v>0</v>
      </c>
    </row>
    <row r="4916" spans="1:9" hidden="1">
      <c r="A4916" s="64" t="s">
        <v>295</v>
      </c>
      <c r="B4916" s="65">
        <v>2047</v>
      </c>
      <c r="C4916" s="65">
        <v>2023</v>
      </c>
      <c r="D4916" s="65" t="s">
        <v>318</v>
      </c>
      <c r="E4916" s="65" t="s">
        <v>294</v>
      </c>
      <c r="F4916" s="65" t="s">
        <v>40</v>
      </c>
      <c r="G4916" s="65"/>
      <c r="H4916" s="65"/>
      <c r="I4916" s="66">
        <v>355335.97560140613</v>
      </c>
    </row>
    <row r="4917" spans="1:9" hidden="1">
      <c r="A4917" s="67" t="s">
        <v>295</v>
      </c>
      <c r="B4917" s="68">
        <v>2047</v>
      </c>
      <c r="C4917" s="68">
        <v>2023</v>
      </c>
      <c r="D4917" s="68" t="s">
        <v>318</v>
      </c>
      <c r="E4917" s="68" t="s">
        <v>301</v>
      </c>
      <c r="F4917" s="68" t="s">
        <v>297</v>
      </c>
      <c r="G4917" s="68"/>
      <c r="H4917" s="68"/>
      <c r="I4917" s="69">
        <v>457665.27002711891</v>
      </c>
    </row>
    <row r="4918" spans="1:9" hidden="1">
      <c r="A4918" s="64" t="s">
        <v>295</v>
      </c>
      <c r="B4918" s="65">
        <v>2047</v>
      </c>
      <c r="C4918" s="65">
        <v>2023</v>
      </c>
      <c r="D4918" s="65" t="s">
        <v>318</v>
      </c>
      <c r="E4918" s="65" t="s">
        <v>301</v>
      </c>
      <c r="F4918" s="65" t="s">
        <v>298</v>
      </c>
      <c r="G4918" s="65"/>
      <c r="H4918" s="65"/>
      <c r="I4918" s="66">
        <v>0</v>
      </c>
    </row>
    <row r="4919" spans="1:9" hidden="1">
      <c r="A4919" s="67" t="s">
        <v>295</v>
      </c>
      <c r="B4919" s="68">
        <v>2047</v>
      </c>
      <c r="C4919" s="68">
        <v>2023</v>
      </c>
      <c r="D4919" s="68" t="s">
        <v>318</v>
      </c>
      <c r="E4919" s="68" t="s">
        <v>301</v>
      </c>
      <c r="F4919" s="68" t="s">
        <v>40</v>
      </c>
      <c r="G4919" s="68"/>
      <c r="H4919" s="68"/>
      <c r="I4919" s="69">
        <v>458156.55861833133</v>
      </c>
    </row>
    <row r="4920" spans="1:9" hidden="1">
      <c r="A4920" s="64" t="s">
        <v>295</v>
      </c>
      <c r="B4920" s="65">
        <v>2047</v>
      </c>
      <c r="C4920" s="65">
        <v>2023</v>
      </c>
      <c r="D4920" s="65" t="s">
        <v>318</v>
      </c>
      <c r="E4920" s="65" t="s">
        <v>305</v>
      </c>
      <c r="F4920" s="65" t="s">
        <v>297</v>
      </c>
      <c r="G4920" s="65"/>
      <c r="H4920" s="65"/>
      <c r="I4920" s="66">
        <v>9245.6869000000006</v>
      </c>
    </row>
    <row r="4921" spans="1:9" hidden="1">
      <c r="A4921" s="67" t="s">
        <v>295</v>
      </c>
      <c r="B4921" s="68">
        <v>2047</v>
      </c>
      <c r="C4921" s="68">
        <v>2023</v>
      </c>
      <c r="D4921" s="68" t="s">
        <v>318</v>
      </c>
      <c r="E4921" s="68" t="s">
        <v>305</v>
      </c>
      <c r="F4921" s="68" t="s">
        <v>40</v>
      </c>
      <c r="G4921" s="68"/>
      <c r="H4921" s="68"/>
      <c r="I4921" s="69">
        <v>42740.586900000002</v>
      </c>
    </row>
    <row r="4922" spans="1:9" hidden="1">
      <c r="A4922" s="64" t="s">
        <v>295</v>
      </c>
      <c r="B4922" s="65">
        <v>2047</v>
      </c>
      <c r="C4922" s="65">
        <v>2023</v>
      </c>
      <c r="D4922" s="65" t="s">
        <v>320</v>
      </c>
      <c r="E4922" s="65" t="s">
        <v>294</v>
      </c>
      <c r="F4922" s="65" t="s">
        <v>297</v>
      </c>
      <c r="G4922" s="65"/>
      <c r="H4922" s="65"/>
      <c r="I4922" s="66">
        <v>3130.949786695458</v>
      </c>
    </row>
    <row r="4923" spans="1:9" hidden="1">
      <c r="A4923" s="67" t="s">
        <v>295</v>
      </c>
      <c r="B4923" s="68">
        <v>2047</v>
      </c>
      <c r="C4923" s="68">
        <v>2023</v>
      </c>
      <c r="D4923" s="68" t="s">
        <v>320</v>
      </c>
      <c r="E4923" s="68" t="s">
        <v>294</v>
      </c>
      <c r="F4923" s="68" t="s">
        <v>298</v>
      </c>
      <c r="G4923" s="68"/>
      <c r="H4923" s="68"/>
      <c r="I4923" s="69">
        <v>0</v>
      </c>
    </row>
    <row r="4924" spans="1:9" hidden="1">
      <c r="A4924" s="64" t="s">
        <v>295</v>
      </c>
      <c r="B4924" s="65">
        <v>2047</v>
      </c>
      <c r="C4924" s="65">
        <v>2023</v>
      </c>
      <c r="D4924" s="65" t="s">
        <v>320</v>
      </c>
      <c r="E4924" s="65" t="s">
        <v>294</v>
      </c>
      <c r="F4924" s="65" t="s">
        <v>40</v>
      </c>
      <c r="G4924" s="65"/>
      <c r="H4924" s="65"/>
      <c r="I4924" s="66">
        <v>3132.5586479567</v>
      </c>
    </row>
    <row r="4925" spans="1:9" hidden="1">
      <c r="A4925" s="67" t="s">
        <v>295</v>
      </c>
      <c r="B4925" s="68">
        <v>2047</v>
      </c>
      <c r="C4925" s="68">
        <v>2023</v>
      </c>
      <c r="D4925" s="68" t="s">
        <v>320</v>
      </c>
      <c r="E4925" s="68" t="s">
        <v>301</v>
      </c>
      <c r="F4925" s="68" t="s">
        <v>297</v>
      </c>
      <c r="G4925" s="68"/>
      <c r="H4925" s="68"/>
      <c r="I4925" s="69">
        <v>4485.631814276644</v>
      </c>
    </row>
    <row r="4926" spans="1:9" hidden="1">
      <c r="A4926" s="64" t="s">
        <v>295</v>
      </c>
      <c r="B4926" s="65">
        <v>2047</v>
      </c>
      <c r="C4926" s="65">
        <v>2023</v>
      </c>
      <c r="D4926" s="65" t="s">
        <v>320</v>
      </c>
      <c r="E4926" s="65" t="s">
        <v>301</v>
      </c>
      <c r="F4926" s="65" t="s">
        <v>298</v>
      </c>
      <c r="G4926" s="65"/>
      <c r="H4926" s="65"/>
      <c r="I4926" s="66">
        <v>0</v>
      </c>
    </row>
    <row r="4927" spans="1:9" hidden="1">
      <c r="A4927" s="67" t="s">
        <v>295</v>
      </c>
      <c r="B4927" s="68">
        <v>2047</v>
      </c>
      <c r="C4927" s="68">
        <v>2023</v>
      </c>
      <c r="D4927" s="68" t="s">
        <v>320</v>
      </c>
      <c r="E4927" s="68" t="s">
        <v>301</v>
      </c>
      <c r="F4927" s="68" t="s">
        <v>40</v>
      </c>
      <c r="G4927" s="68"/>
      <c r="H4927" s="68"/>
      <c r="I4927" s="69">
        <v>4487.2361319478914</v>
      </c>
    </row>
    <row r="4928" spans="1:9" hidden="1">
      <c r="A4928" s="64" t="s">
        <v>295</v>
      </c>
      <c r="B4928" s="65">
        <v>2047</v>
      </c>
      <c r="C4928" s="65">
        <v>2023</v>
      </c>
      <c r="D4928" s="65" t="s">
        <v>320</v>
      </c>
      <c r="E4928" s="65" t="s">
        <v>305</v>
      </c>
      <c r="F4928" s="65" t="s">
        <v>297</v>
      </c>
      <c r="G4928" s="65"/>
      <c r="H4928" s="65"/>
      <c r="I4928" s="66">
        <v>43.78</v>
      </c>
    </row>
    <row r="4929" spans="1:9" hidden="1">
      <c r="A4929" s="67" t="s">
        <v>295</v>
      </c>
      <c r="B4929" s="68">
        <v>2047</v>
      </c>
      <c r="C4929" s="68">
        <v>2023</v>
      </c>
      <c r="D4929" s="68" t="s">
        <v>320</v>
      </c>
      <c r="E4929" s="68" t="s">
        <v>305</v>
      </c>
      <c r="F4929" s="68" t="s">
        <v>40</v>
      </c>
      <c r="G4929" s="68"/>
      <c r="H4929" s="68"/>
      <c r="I4929" s="69">
        <v>1616.42</v>
      </c>
    </row>
    <row r="4930" spans="1:9" hidden="1">
      <c r="A4930" s="64" t="s">
        <v>295</v>
      </c>
      <c r="B4930" s="65">
        <v>2047</v>
      </c>
      <c r="C4930" s="65">
        <v>2023</v>
      </c>
      <c r="D4930" s="65" t="s">
        <v>321</v>
      </c>
      <c r="E4930" s="65" t="s">
        <v>294</v>
      </c>
      <c r="F4930" s="65" t="s">
        <v>297</v>
      </c>
      <c r="G4930" s="65"/>
      <c r="H4930" s="65"/>
      <c r="I4930" s="66">
        <v>16971.30680533775</v>
      </c>
    </row>
    <row r="4931" spans="1:9" hidden="1">
      <c r="A4931" s="67" t="s">
        <v>295</v>
      </c>
      <c r="B4931" s="68">
        <v>2047</v>
      </c>
      <c r="C4931" s="68">
        <v>2023</v>
      </c>
      <c r="D4931" s="68" t="s">
        <v>321</v>
      </c>
      <c r="E4931" s="68" t="s">
        <v>294</v>
      </c>
      <c r="F4931" s="68" t="s">
        <v>298</v>
      </c>
      <c r="G4931" s="68"/>
      <c r="H4931" s="68"/>
      <c r="I4931" s="69">
        <v>0</v>
      </c>
    </row>
    <row r="4932" spans="1:9" hidden="1">
      <c r="A4932" s="64" t="s">
        <v>295</v>
      </c>
      <c r="B4932" s="65">
        <v>2047</v>
      </c>
      <c r="C4932" s="65">
        <v>2023</v>
      </c>
      <c r="D4932" s="65" t="s">
        <v>321</v>
      </c>
      <c r="E4932" s="65" t="s">
        <v>294</v>
      </c>
      <c r="F4932" s="65" t="s">
        <v>40</v>
      </c>
      <c r="G4932" s="65"/>
      <c r="H4932" s="65"/>
      <c r="I4932" s="66">
        <v>16995.616134523421</v>
      </c>
    </row>
    <row r="4933" spans="1:9" hidden="1">
      <c r="A4933" s="67" t="s">
        <v>295</v>
      </c>
      <c r="B4933" s="68">
        <v>2047</v>
      </c>
      <c r="C4933" s="68">
        <v>2023</v>
      </c>
      <c r="D4933" s="68" t="s">
        <v>321</v>
      </c>
      <c r="E4933" s="68" t="s">
        <v>301</v>
      </c>
      <c r="F4933" s="68" t="s">
        <v>297</v>
      </c>
      <c r="G4933" s="68"/>
      <c r="H4933" s="68"/>
      <c r="I4933" s="69">
        <v>17439.600659926931</v>
      </c>
    </row>
    <row r="4934" spans="1:9" hidden="1">
      <c r="A4934" s="64" t="s">
        <v>295</v>
      </c>
      <c r="B4934" s="65">
        <v>2047</v>
      </c>
      <c r="C4934" s="65">
        <v>2023</v>
      </c>
      <c r="D4934" s="65" t="s">
        <v>321</v>
      </c>
      <c r="E4934" s="65" t="s">
        <v>301</v>
      </c>
      <c r="F4934" s="65" t="s">
        <v>298</v>
      </c>
      <c r="G4934" s="65"/>
      <c r="H4934" s="65"/>
      <c r="I4934" s="66">
        <v>0</v>
      </c>
    </row>
    <row r="4935" spans="1:9" hidden="1">
      <c r="A4935" s="67" t="s">
        <v>295</v>
      </c>
      <c r="B4935" s="68">
        <v>2047</v>
      </c>
      <c r="C4935" s="68">
        <v>2023</v>
      </c>
      <c r="D4935" s="68" t="s">
        <v>321</v>
      </c>
      <c r="E4935" s="68" t="s">
        <v>301</v>
      </c>
      <c r="F4935" s="68" t="s">
        <v>40</v>
      </c>
      <c r="G4935" s="68"/>
      <c r="H4935" s="68"/>
      <c r="I4935" s="69">
        <v>17463.60439278014</v>
      </c>
    </row>
    <row r="4936" spans="1:9" hidden="1">
      <c r="A4936" s="64" t="s">
        <v>295</v>
      </c>
      <c r="B4936" s="65">
        <v>2047</v>
      </c>
      <c r="C4936" s="65">
        <v>2023</v>
      </c>
      <c r="D4936" s="65" t="s">
        <v>321</v>
      </c>
      <c r="E4936" s="65" t="s">
        <v>305</v>
      </c>
      <c r="F4936" s="65" t="s">
        <v>297</v>
      </c>
      <c r="G4936" s="65"/>
      <c r="H4936" s="65"/>
      <c r="I4936" s="66">
        <v>54.152749999999997</v>
      </c>
    </row>
    <row r="4937" spans="1:9" hidden="1">
      <c r="A4937" s="67" t="s">
        <v>295</v>
      </c>
      <c r="B4937" s="68">
        <v>2047</v>
      </c>
      <c r="C4937" s="68">
        <v>2023</v>
      </c>
      <c r="D4937" s="68" t="s">
        <v>321</v>
      </c>
      <c r="E4937" s="68" t="s">
        <v>305</v>
      </c>
      <c r="F4937" s="68" t="s">
        <v>40</v>
      </c>
      <c r="G4937" s="68"/>
      <c r="H4937" s="68"/>
      <c r="I4937" s="69">
        <v>459.13274999999999</v>
      </c>
    </row>
    <row r="4938" spans="1:9" hidden="1">
      <c r="A4938" s="64" t="s">
        <v>295</v>
      </c>
      <c r="B4938" s="65">
        <v>2047</v>
      </c>
      <c r="C4938" s="65">
        <v>2023</v>
      </c>
      <c r="D4938" s="65" t="s">
        <v>322</v>
      </c>
      <c r="E4938" s="65" t="s">
        <v>294</v>
      </c>
      <c r="F4938" s="65" t="s">
        <v>297</v>
      </c>
      <c r="G4938" s="65"/>
      <c r="H4938" s="65"/>
      <c r="I4938" s="66">
        <v>1176.8827940217041</v>
      </c>
    </row>
    <row r="4939" spans="1:9" hidden="1">
      <c r="A4939" s="67" t="s">
        <v>295</v>
      </c>
      <c r="B4939" s="68">
        <v>2047</v>
      </c>
      <c r="C4939" s="68">
        <v>2023</v>
      </c>
      <c r="D4939" s="68" t="s">
        <v>322</v>
      </c>
      <c r="E4939" s="68" t="s">
        <v>294</v>
      </c>
      <c r="F4939" s="68" t="s">
        <v>298</v>
      </c>
      <c r="G4939" s="68"/>
      <c r="H4939" s="68"/>
      <c r="I4939" s="69">
        <v>3259.7682084613052</v>
      </c>
    </row>
    <row r="4940" spans="1:9" hidden="1">
      <c r="A4940" s="64" t="s">
        <v>295</v>
      </c>
      <c r="B4940" s="65">
        <v>2047</v>
      </c>
      <c r="C4940" s="65">
        <v>2023</v>
      </c>
      <c r="D4940" s="65" t="s">
        <v>322</v>
      </c>
      <c r="E4940" s="65" t="s">
        <v>294</v>
      </c>
      <c r="F4940" s="65" t="s">
        <v>40</v>
      </c>
      <c r="G4940" s="65"/>
      <c r="H4940" s="65"/>
      <c r="I4940" s="66">
        <v>4436.5909924830084</v>
      </c>
    </row>
    <row r="4941" spans="1:9" hidden="1">
      <c r="A4941" s="67" t="s">
        <v>295</v>
      </c>
      <c r="B4941" s="68">
        <v>2047</v>
      </c>
      <c r="C4941" s="68">
        <v>2023</v>
      </c>
      <c r="D4941" s="68" t="s">
        <v>322</v>
      </c>
      <c r="E4941" s="68" t="s">
        <v>301</v>
      </c>
      <c r="F4941" s="68" t="s">
        <v>297</v>
      </c>
      <c r="G4941" s="68"/>
      <c r="H4941" s="68"/>
      <c r="I4941" s="69">
        <v>1530.633389236235</v>
      </c>
    </row>
    <row r="4942" spans="1:9" hidden="1">
      <c r="A4942" s="64" t="s">
        <v>295</v>
      </c>
      <c r="B4942" s="65">
        <v>2047</v>
      </c>
      <c r="C4942" s="65">
        <v>2023</v>
      </c>
      <c r="D4942" s="65" t="s">
        <v>322</v>
      </c>
      <c r="E4942" s="65" t="s">
        <v>301</v>
      </c>
      <c r="F4942" s="65" t="s">
        <v>298</v>
      </c>
      <c r="G4942" s="65"/>
      <c r="H4942" s="65"/>
      <c r="I4942" s="66">
        <v>3440.1744078436941</v>
      </c>
    </row>
    <row r="4943" spans="1:9" hidden="1">
      <c r="A4943" s="67" t="s">
        <v>295</v>
      </c>
      <c r="B4943" s="68">
        <v>2047</v>
      </c>
      <c r="C4943" s="68">
        <v>2023</v>
      </c>
      <c r="D4943" s="68" t="s">
        <v>322</v>
      </c>
      <c r="E4943" s="68" t="s">
        <v>301</v>
      </c>
      <c r="F4943" s="68" t="s">
        <v>40</v>
      </c>
      <c r="G4943" s="68"/>
      <c r="H4943" s="68"/>
      <c r="I4943" s="69">
        <v>4970.7477970799291</v>
      </c>
    </row>
    <row r="4944" spans="1:9" hidden="1">
      <c r="A4944" s="64" t="s">
        <v>295</v>
      </c>
      <c r="B4944" s="65">
        <v>2047</v>
      </c>
      <c r="C4944" s="65">
        <v>2023</v>
      </c>
      <c r="D4944" s="65" t="s">
        <v>322</v>
      </c>
      <c r="E4944" s="65" t="s">
        <v>305</v>
      </c>
      <c r="F4944" s="65" t="s">
        <v>297</v>
      </c>
      <c r="G4944" s="65"/>
      <c r="H4944" s="65"/>
      <c r="I4944" s="66">
        <v>7.2</v>
      </c>
    </row>
    <row r="4945" spans="1:9" hidden="1">
      <c r="A4945" s="67" t="s">
        <v>295</v>
      </c>
      <c r="B4945" s="68">
        <v>2047</v>
      </c>
      <c r="C4945" s="68">
        <v>2023</v>
      </c>
      <c r="D4945" s="68" t="s">
        <v>322</v>
      </c>
      <c r="E4945" s="68" t="s">
        <v>305</v>
      </c>
      <c r="F4945" s="68" t="s">
        <v>40</v>
      </c>
      <c r="G4945" s="68"/>
      <c r="H4945" s="68"/>
      <c r="I4945" s="69">
        <v>328.64</v>
      </c>
    </row>
    <row r="4946" spans="1:9" hidden="1">
      <c r="A4946" s="64" t="s">
        <v>295</v>
      </c>
      <c r="B4946" s="65">
        <v>2047</v>
      </c>
      <c r="C4946" s="65">
        <v>2023</v>
      </c>
      <c r="D4946" s="65" t="s">
        <v>323</v>
      </c>
      <c r="E4946" s="65" t="s">
        <v>294</v>
      </c>
      <c r="F4946" s="65" t="s">
        <v>297</v>
      </c>
      <c r="G4946" s="65"/>
      <c r="H4946" s="65"/>
      <c r="I4946" s="66">
        <v>246727.24308264439</v>
      </c>
    </row>
    <row r="4947" spans="1:9" hidden="1">
      <c r="A4947" s="67" t="s">
        <v>295</v>
      </c>
      <c r="B4947" s="68">
        <v>2047</v>
      </c>
      <c r="C4947" s="68">
        <v>2023</v>
      </c>
      <c r="D4947" s="68" t="s">
        <v>323</v>
      </c>
      <c r="E4947" s="68" t="s">
        <v>294</v>
      </c>
      <c r="F4947" s="68" t="s">
        <v>298</v>
      </c>
      <c r="G4947" s="68"/>
      <c r="H4947" s="68"/>
      <c r="I4947" s="69">
        <v>913.07077947850667</v>
      </c>
    </row>
    <row r="4948" spans="1:9" hidden="1">
      <c r="A4948" s="64" t="s">
        <v>295</v>
      </c>
      <c r="B4948" s="65">
        <v>2047</v>
      </c>
      <c r="C4948" s="65">
        <v>2023</v>
      </c>
      <c r="D4948" s="65" t="s">
        <v>323</v>
      </c>
      <c r="E4948" s="65" t="s">
        <v>294</v>
      </c>
      <c r="F4948" s="65" t="s">
        <v>40</v>
      </c>
      <c r="G4948" s="65"/>
      <c r="H4948" s="65"/>
      <c r="I4948" s="66">
        <v>248155.7322684156</v>
      </c>
    </row>
    <row r="4949" spans="1:9" hidden="1">
      <c r="A4949" s="67" t="s">
        <v>295</v>
      </c>
      <c r="B4949" s="68">
        <v>2047</v>
      </c>
      <c r="C4949" s="68">
        <v>2023</v>
      </c>
      <c r="D4949" s="68" t="s">
        <v>323</v>
      </c>
      <c r="E4949" s="68" t="s">
        <v>301</v>
      </c>
      <c r="F4949" s="68" t="s">
        <v>297</v>
      </c>
      <c r="G4949" s="68"/>
      <c r="H4949" s="68"/>
      <c r="I4949" s="69">
        <v>316616.50071031431</v>
      </c>
    </row>
    <row r="4950" spans="1:9" hidden="1">
      <c r="A4950" s="64" t="s">
        <v>295</v>
      </c>
      <c r="B4950" s="65">
        <v>2047</v>
      </c>
      <c r="C4950" s="65">
        <v>2023</v>
      </c>
      <c r="D4950" s="65" t="s">
        <v>323</v>
      </c>
      <c r="E4950" s="65" t="s">
        <v>301</v>
      </c>
      <c r="F4950" s="65" t="s">
        <v>298</v>
      </c>
      <c r="G4950" s="65"/>
      <c r="H4950" s="65"/>
      <c r="I4950" s="66">
        <v>1069.1882097595651</v>
      </c>
    </row>
    <row r="4951" spans="1:9" hidden="1">
      <c r="A4951" s="67" t="s">
        <v>295</v>
      </c>
      <c r="B4951" s="68">
        <v>2047</v>
      </c>
      <c r="C4951" s="68">
        <v>2023</v>
      </c>
      <c r="D4951" s="68" t="s">
        <v>323</v>
      </c>
      <c r="E4951" s="68" t="s">
        <v>301</v>
      </c>
      <c r="F4951" s="68" t="s">
        <v>40</v>
      </c>
      <c r="G4951" s="68"/>
      <c r="H4951" s="68"/>
      <c r="I4951" s="69">
        <v>318200.39318328502</v>
      </c>
    </row>
    <row r="4952" spans="1:9" hidden="1">
      <c r="A4952" s="64" t="s">
        <v>295</v>
      </c>
      <c r="B4952" s="65">
        <v>2047</v>
      </c>
      <c r="C4952" s="65">
        <v>2023</v>
      </c>
      <c r="D4952" s="65" t="s">
        <v>323</v>
      </c>
      <c r="E4952" s="65" t="s">
        <v>305</v>
      </c>
      <c r="F4952" s="65" t="s">
        <v>297</v>
      </c>
      <c r="G4952" s="65"/>
      <c r="H4952" s="65"/>
      <c r="I4952" s="66">
        <v>1449.8703800000001</v>
      </c>
    </row>
    <row r="4953" spans="1:9" hidden="1">
      <c r="A4953" s="67" t="s">
        <v>295</v>
      </c>
      <c r="B4953" s="68">
        <v>2047</v>
      </c>
      <c r="C4953" s="68">
        <v>2023</v>
      </c>
      <c r="D4953" s="68" t="s">
        <v>323</v>
      </c>
      <c r="E4953" s="68" t="s">
        <v>305</v>
      </c>
      <c r="F4953" s="68" t="s">
        <v>40</v>
      </c>
      <c r="G4953" s="68"/>
      <c r="H4953" s="68"/>
      <c r="I4953" s="69">
        <v>21493.410380000001</v>
      </c>
    </row>
    <row r="4954" spans="1:9" hidden="1">
      <c r="A4954" s="64" t="s">
        <v>295</v>
      </c>
      <c r="B4954" s="65">
        <v>2047</v>
      </c>
      <c r="C4954" s="65">
        <v>2023</v>
      </c>
      <c r="D4954" s="65" t="s">
        <v>324</v>
      </c>
      <c r="E4954" s="65" t="s">
        <v>294</v>
      </c>
      <c r="F4954" s="65" t="s">
        <v>297</v>
      </c>
      <c r="G4954" s="65"/>
      <c r="H4954" s="65"/>
      <c r="I4954" s="66">
        <v>3489.2952411093661</v>
      </c>
    </row>
    <row r="4955" spans="1:9" hidden="1">
      <c r="A4955" s="67" t="s">
        <v>295</v>
      </c>
      <c r="B4955" s="68">
        <v>2047</v>
      </c>
      <c r="C4955" s="68">
        <v>2023</v>
      </c>
      <c r="D4955" s="68" t="s">
        <v>324</v>
      </c>
      <c r="E4955" s="68" t="s">
        <v>294</v>
      </c>
      <c r="F4955" s="68" t="s">
        <v>298</v>
      </c>
      <c r="G4955" s="68"/>
      <c r="H4955" s="68"/>
      <c r="I4955" s="69">
        <v>0</v>
      </c>
    </row>
    <row r="4956" spans="1:9" hidden="1">
      <c r="A4956" s="64" t="s">
        <v>295</v>
      </c>
      <c r="B4956" s="65">
        <v>2047</v>
      </c>
      <c r="C4956" s="65">
        <v>2023</v>
      </c>
      <c r="D4956" s="65" t="s">
        <v>324</v>
      </c>
      <c r="E4956" s="65" t="s">
        <v>294</v>
      </c>
      <c r="F4956" s="65" t="s">
        <v>40</v>
      </c>
      <c r="G4956" s="65"/>
      <c r="H4956" s="65"/>
      <c r="I4956" s="66">
        <v>3493.2705598640632</v>
      </c>
    </row>
    <row r="4957" spans="1:9" hidden="1">
      <c r="A4957" s="67" t="s">
        <v>295</v>
      </c>
      <c r="B4957" s="68">
        <v>2047</v>
      </c>
      <c r="C4957" s="68">
        <v>2023</v>
      </c>
      <c r="D4957" s="68" t="s">
        <v>324</v>
      </c>
      <c r="E4957" s="68" t="s">
        <v>301</v>
      </c>
      <c r="F4957" s="68" t="s">
        <v>297</v>
      </c>
      <c r="G4957" s="68"/>
      <c r="H4957" s="68"/>
      <c r="I4957" s="69">
        <v>3490.217121109366</v>
      </c>
    </row>
    <row r="4958" spans="1:9" hidden="1">
      <c r="A4958" s="64" t="s">
        <v>295</v>
      </c>
      <c r="B4958" s="65">
        <v>2047</v>
      </c>
      <c r="C4958" s="65">
        <v>2023</v>
      </c>
      <c r="D4958" s="65" t="s">
        <v>324</v>
      </c>
      <c r="E4958" s="65" t="s">
        <v>301</v>
      </c>
      <c r="F4958" s="65" t="s">
        <v>298</v>
      </c>
      <c r="G4958" s="65"/>
      <c r="H4958" s="65"/>
      <c r="I4958" s="66">
        <v>0</v>
      </c>
    </row>
    <row r="4959" spans="1:9" hidden="1">
      <c r="A4959" s="67" t="s">
        <v>295</v>
      </c>
      <c r="B4959" s="68">
        <v>2047</v>
      </c>
      <c r="C4959" s="68">
        <v>2023</v>
      </c>
      <c r="D4959" s="68" t="s">
        <v>324</v>
      </c>
      <c r="E4959" s="68" t="s">
        <v>301</v>
      </c>
      <c r="F4959" s="68" t="s">
        <v>40</v>
      </c>
      <c r="G4959" s="68"/>
      <c r="H4959" s="68"/>
      <c r="I4959" s="69">
        <v>3494.1924398640631</v>
      </c>
    </row>
    <row r="4960" spans="1:9" hidden="1">
      <c r="A4960" s="64" t="s">
        <v>295</v>
      </c>
      <c r="B4960" s="65">
        <v>2047</v>
      </c>
      <c r="C4960" s="65">
        <v>2023</v>
      </c>
      <c r="D4960" s="65" t="s">
        <v>324</v>
      </c>
      <c r="E4960" s="65" t="s">
        <v>305</v>
      </c>
      <c r="F4960" s="65" t="s">
        <v>297</v>
      </c>
      <c r="G4960" s="65"/>
      <c r="H4960" s="65"/>
      <c r="I4960" s="66">
        <v>4.0999999999999996</v>
      </c>
    </row>
    <row r="4961" spans="1:9" hidden="1">
      <c r="A4961" s="67" t="s">
        <v>295</v>
      </c>
      <c r="B4961" s="68">
        <v>2047</v>
      </c>
      <c r="C4961" s="68">
        <v>2023</v>
      </c>
      <c r="D4961" s="68" t="s">
        <v>324</v>
      </c>
      <c r="E4961" s="68" t="s">
        <v>305</v>
      </c>
      <c r="F4961" s="68" t="s">
        <v>40</v>
      </c>
      <c r="G4961" s="68"/>
      <c r="H4961" s="68"/>
      <c r="I4961" s="69">
        <v>1246.2</v>
      </c>
    </row>
    <row r="4962" spans="1:9" hidden="1">
      <c r="A4962" s="64" t="s">
        <v>295</v>
      </c>
      <c r="B4962" s="65">
        <v>2047</v>
      </c>
      <c r="C4962" s="65">
        <v>2023</v>
      </c>
      <c r="D4962" s="65" t="s">
        <v>325</v>
      </c>
      <c r="E4962" s="65" t="s">
        <v>294</v>
      </c>
      <c r="F4962" s="65" t="s">
        <v>297</v>
      </c>
      <c r="G4962" s="65"/>
      <c r="H4962" s="65"/>
      <c r="I4962" s="66">
        <v>40374.760026042677</v>
      </c>
    </row>
    <row r="4963" spans="1:9" hidden="1">
      <c r="A4963" s="67" t="s">
        <v>295</v>
      </c>
      <c r="B4963" s="68">
        <v>2047</v>
      </c>
      <c r="C4963" s="68">
        <v>2023</v>
      </c>
      <c r="D4963" s="68" t="s">
        <v>325</v>
      </c>
      <c r="E4963" s="68" t="s">
        <v>294</v>
      </c>
      <c r="F4963" s="68" t="s">
        <v>298</v>
      </c>
      <c r="G4963" s="68"/>
      <c r="H4963" s="68"/>
      <c r="I4963" s="69">
        <v>10223.748643690469</v>
      </c>
    </row>
    <row r="4964" spans="1:9" hidden="1">
      <c r="A4964" s="64" t="s">
        <v>295</v>
      </c>
      <c r="B4964" s="65">
        <v>2047</v>
      </c>
      <c r="C4964" s="65">
        <v>2023</v>
      </c>
      <c r="D4964" s="65" t="s">
        <v>325</v>
      </c>
      <c r="E4964" s="65" t="s">
        <v>294</v>
      </c>
      <c r="F4964" s="65" t="s">
        <v>40</v>
      </c>
      <c r="G4964" s="65"/>
      <c r="H4964" s="65"/>
      <c r="I4964" s="66">
        <v>50590.873938192453</v>
      </c>
    </row>
    <row r="4965" spans="1:9" hidden="1">
      <c r="A4965" s="67" t="s">
        <v>295</v>
      </c>
      <c r="B4965" s="68">
        <v>2047</v>
      </c>
      <c r="C4965" s="68">
        <v>2023</v>
      </c>
      <c r="D4965" s="68" t="s">
        <v>325</v>
      </c>
      <c r="E4965" s="68" t="s">
        <v>301</v>
      </c>
      <c r="F4965" s="68" t="s">
        <v>297</v>
      </c>
      <c r="G4965" s="68"/>
      <c r="H4965" s="68"/>
      <c r="I4965" s="69">
        <v>42611.198941835028</v>
      </c>
    </row>
    <row r="4966" spans="1:9" hidden="1">
      <c r="A4966" s="64" t="s">
        <v>295</v>
      </c>
      <c r="B4966" s="65">
        <v>2047</v>
      </c>
      <c r="C4966" s="65">
        <v>2023</v>
      </c>
      <c r="D4966" s="65" t="s">
        <v>325</v>
      </c>
      <c r="E4966" s="65" t="s">
        <v>301</v>
      </c>
      <c r="F4966" s="65" t="s">
        <v>298</v>
      </c>
      <c r="G4966" s="65"/>
      <c r="H4966" s="65"/>
      <c r="I4966" s="66">
        <v>11860.492518164971</v>
      </c>
    </row>
    <row r="4967" spans="1:9" hidden="1">
      <c r="A4967" s="67" t="s">
        <v>295</v>
      </c>
      <c r="B4967" s="68">
        <v>2047</v>
      </c>
      <c r="C4967" s="68">
        <v>2023</v>
      </c>
      <c r="D4967" s="68" t="s">
        <v>325</v>
      </c>
      <c r="E4967" s="68" t="s">
        <v>301</v>
      </c>
      <c r="F4967" s="68" t="s">
        <v>40</v>
      </c>
      <c r="G4967" s="68"/>
      <c r="H4967" s="68"/>
      <c r="I4967" s="69">
        <v>54471.739459999997</v>
      </c>
    </row>
    <row r="4968" spans="1:9" hidden="1">
      <c r="A4968" s="64" t="s">
        <v>295</v>
      </c>
      <c r="B4968" s="65">
        <v>2047</v>
      </c>
      <c r="C4968" s="65">
        <v>2023</v>
      </c>
      <c r="D4968" s="65" t="s">
        <v>325</v>
      </c>
      <c r="E4968" s="65" t="s">
        <v>305</v>
      </c>
      <c r="F4968" s="65" t="s">
        <v>297</v>
      </c>
      <c r="G4968" s="65"/>
      <c r="H4968" s="65"/>
      <c r="I4968" s="66">
        <v>432.14</v>
      </c>
    </row>
    <row r="4969" spans="1:9" hidden="1">
      <c r="A4969" s="67" t="s">
        <v>295</v>
      </c>
      <c r="B4969" s="68">
        <v>2047</v>
      </c>
      <c r="C4969" s="68">
        <v>2023</v>
      </c>
      <c r="D4969" s="68" t="s">
        <v>325</v>
      </c>
      <c r="E4969" s="68" t="s">
        <v>305</v>
      </c>
      <c r="F4969" s="68" t="s">
        <v>298</v>
      </c>
      <c r="G4969" s="68"/>
      <c r="H4969" s="68"/>
      <c r="I4969" s="69">
        <v>69.900000000000006</v>
      </c>
    </row>
    <row r="4970" spans="1:9" hidden="1">
      <c r="A4970" s="64" t="s">
        <v>295</v>
      </c>
      <c r="B4970" s="65">
        <v>2047</v>
      </c>
      <c r="C4970" s="65">
        <v>2023</v>
      </c>
      <c r="D4970" s="65" t="s">
        <v>325</v>
      </c>
      <c r="E4970" s="65" t="s">
        <v>305</v>
      </c>
      <c r="F4970" s="65" t="s">
        <v>40</v>
      </c>
      <c r="G4970" s="65"/>
      <c r="H4970" s="65"/>
      <c r="I4970" s="66">
        <v>18677.8</v>
      </c>
    </row>
    <row r="4971" spans="1:9" hidden="1">
      <c r="A4971" s="67" t="s">
        <v>295</v>
      </c>
      <c r="B4971" s="68">
        <v>2047</v>
      </c>
      <c r="C4971" s="68">
        <v>2023</v>
      </c>
      <c r="D4971" s="68" t="s">
        <v>326</v>
      </c>
      <c r="E4971" s="68" t="s">
        <v>294</v>
      </c>
      <c r="F4971" s="68" t="s">
        <v>297</v>
      </c>
      <c r="G4971" s="68"/>
      <c r="H4971" s="68"/>
      <c r="I4971" s="69">
        <v>0</v>
      </c>
    </row>
    <row r="4972" spans="1:9" hidden="1">
      <c r="A4972" s="64" t="s">
        <v>295</v>
      </c>
      <c r="B4972" s="65">
        <v>2047</v>
      </c>
      <c r="C4972" s="65">
        <v>2023</v>
      </c>
      <c r="D4972" s="65" t="s">
        <v>326</v>
      </c>
      <c r="E4972" s="65" t="s">
        <v>294</v>
      </c>
      <c r="F4972" s="65" t="s">
        <v>298</v>
      </c>
      <c r="G4972" s="65"/>
      <c r="H4972" s="65"/>
      <c r="I4972" s="66">
        <v>0</v>
      </c>
    </row>
    <row r="4973" spans="1:9" hidden="1">
      <c r="A4973" s="67" t="s">
        <v>295</v>
      </c>
      <c r="B4973" s="68">
        <v>2047</v>
      </c>
      <c r="C4973" s="68">
        <v>2023</v>
      </c>
      <c r="D4973" s="68" t="s">
        <v>326</v>
      </c>
      <c r="E4973" s="68" t="s">
        <v>294</v>
      </c>
      <c r="F4973" s="68" t="s">
        <v>40</v>
      </c>
      <c r="G4973" s="68"/>
      <c r="H4973" s="68"/>
      <c r="I4973" s="69">
        <v>0</v>
      </c>
    </row>
    <row r="4974" spans="1:9" hidden="1">
      <c r="A4974" s="64" t="s">
        <v>295</v>
      </c>
      <c r="B4974" s="65">
        <v>2047</v>
      </c>
      <c r="C4974" s="65">
        <v>2023</v>
      </c>
      <c r="D4974" s="65" t="s">
        <v>326</v>
      </c>
      <c r="E4974" s="65" t="s">
        <v>301</v>
      </c>
      <c r="F4974" s="65" t="s">
        <v>297</v>
      </c>
      <c r="G4974" s="65"/>
      <c r="H4974" s="65"/>
      <c r="I4974" s="66">
        <v>0</v>
      </c>
    </row>
    <row r="4975" spans="1:9" hidden="1">
      <c r="A4975" s="67" t="s">
        <v>295</v>
      </c>
      <c r="B4975" s="68">
        <v>2047</v>
      </c>
      <c r="C4975" s="68">
        <v>2023</v>
      </c>
      <c r="D4975" s="68" t="s">
        <v>326</v>
      </c>
      <c r="E4975" s="68" t="s">
        <v>301</v>
      </c>
      <c r="F4975" s="68" t="s">
        <v>298</v>
      </c>
      <c r="G4975" s="68"/>
      <c r="H4975" s="68"/>
      <c r="I4975" s="69">
        <v>0</v>
      </c>
    </row>
    <row r="4976" spans="1:9" hidden="1">
      <c r="A4976" s="64" t="s">
        <v>295</v>
      </c>
      <c r="B4976" s="65">
        <v>2047</v>
      </c>
      <c r="C4976" s="65">
        <v>2023</v>
      </c>
      <c r="D4976" s="65" t="s">
        <v>326</v>
      </c>
      <c r="E4976" s="65" t="s">
        <v>301</v>
      </c>
      <c r="F4976" s="65" t="s">
        <v>40</v>
      </c>
      <c r="G4976" s="65"/>
      <c r="H4976" s="65"/>
      <c r="I4976" s="66">
        <v>0</v>
      </c>
    </row>
    <row r="4977" spans="1:9" hidden="1">
      <c r="A4977" s="67" t="s">
        <v>295</v>
      </c>
      <c r="B4977" s="68">
        <v>2047</v>
      </c>
      <c r="C4977" s="68">
        <v>2023</v>
      </c>
      <c r="D4977" s="68" t="s">
        <v>304</v>
      </c>
      <c r="E4977" s="68" t="s">
        <v>294</v>
      </c>
      <c r="F4977" s="68" t="s">
        <v>297</v>
      </c>
      <c r="G4977" s="68"/>
      <c r="H4977" s="68"/>
      <c r="I4977" s="69">
        <v>43159.783821628182</v>
      </c>
    </row>
    <row r="4978" spans="1:9" hidden="1">
      <c r="A4978" s="64" t="s">
        <v>295</v>
      </c>
      <c r="B4978" s="65">
        <v>2047</v>
      </c>
      <c r="C4978" s="65">
        <v>2023</v>
      </c>
      <c r="D4978" s="65" t="s">
        <v>304</v>
      </c>
      <c r="E4978" s="65" t="s">
        <v>294</v>
      </c>
      <c r="F4978" s="65" t="s">
        <v>298</v>
      </c>
      <c r="G4978" s="65"/>
      <c r="H4978" s="65"/>
      <c r="I4978" s="66">
        <v>169755.55228430461</v>
      </c>
    </row>
    <row r="4979" spans="1:9" hidden="1">
      <c r="A4979" s="67" t="s">
        <v>295</v>
      </c>
      <c r="B4979" s="68">
        <v>2047</v>
      </c>
      <c r="C4979" s="68">
        <v>2023</v>
      </c>
      <c r="D4979" s="68" t="s">
        <v>304</v>
      </c>
      <c r="E4979" s="68" t="s">
        <v>294</v>
      </c>
      <c r="F4979" s="68" t="s">
        <v>40</v>
      </c>
      <c r="G4979" s="68"/>
      <c r="H4979" s="68"/>
      <c r="I4979" s="69">
        <v>212678.37857478831</v>
      </c>
    </row>
    <row r="4980" spans="1:9" hidden="1">
      <c r="A4980" s="64" t="s">
        <v>295</v>
      </c>
      <c r="B4980" s="65">
        <v>2047</v>
      </c>
      <c r="C4980" s="65">
        <v>2023</v>
      </c>
      <c r="D4980" s="65" t="s">
        <v>304</v>
      </c>
      <c r="E4980" s="65" t="s">
        <v>301</v>
      </c>
      <c r="F4980" s="65" t="s">
        <v>297</v>
      </c>
      <c r="G4980" s="65"/>
      <c r="H4980" s="65"/>
      <c r="I4980" s="66">
        <v>46442.936958885373</v>
      </c>
    </row>
    <row r="4981" spans="1:9" hidden="1">
      <c r="A4981" s="67" t="s">
        <v>295</v>
      </c>
      <c r="B4981" s="68">
        <v>2047</v>
      </c>
      <c r="C4981" s="68">
        <v>2023</v>
      </c>
      <c r="D4981" s="68" t="s">
        <v>304</v>
      </c>
      <c r="E4981" s="68" t="s">
        <v>301</v>
      </c>
      <c r="F4981" s="68" t="s">
        <v>298</v>
      </c>
      <c r="G4981" s="68"/>
      <c r="H4981" s="68"/>
      <c r="I4981" s="69">
        <v>180085.97256395861</v>
      </c>
    </row>
    <row r="4982" spans="1:9" hidden="1">
      <c r="A4982" s="64" t="s">
        <v>295</v>
      </c>
      <c r="B4982" s="65">
        <v>2047</v>
      </c>
      <c r="C4982" s="65">
        <v>2023</v>
      </c>
      <c r="D4982" s="65" t="s">
        <v>304</v>
      </c>
      <c r="E4982" s="65" t="s">
        <v>301</v>
      </c>
      <c r="F4982" s="65" t="s">
        <v>40</v>
      </c>
      <c r="G4982" s="65"/>
      <c r="H4982" s="65"/>
      <c r="I4982" s="66">
        <v>226269.59240476001</v>
      </c>
    </row>
    <row r="4983" spans="1:9" hidden="1">
      <c r="A4983" s="67" t="s">
        <v>295</v>
      </c>
      <c r="B4983" s="68">
        <v>2047</v>
      </c>
      <c r="C4983" s="68">
        <v>2023</v>
      </c>
      <c r="D4983" s="68" t="s">
        <v>304</v>
      </c>
      <c r="E4983" s="68" t="s">
        <v>305</v>
      </c>
      <c r="F4983" s="68" t="s">
        <v>297</v>
      </c>
      <c r="G4983" s="68"/>
      <c r="H4983" s="68"/>
      <c r="I4983" s="69">
        <v>1229.3968400000001</v>
      </c>
    </row>
    <row r="4984" spans="1:9" hidden="1">
      <c r="A4984" s="64" t="s">
        <v>295</v>
      </c>
      <c r="B4984" s="65">
        <v>2047</v>
      </c>
      <c r="C4984" s="65">
        <v>2023</v>
      </c>
      <c r="D4984" s="65" t="s">
        <v>304</v>
      </c>
      <c r="E4984" s="65" t="s">
        <v>305</v>
      </c>
      <c r="F4984" s="65" t="s">
        <v>298</v>
      </c>
      <c r="G4984" s="65"/>
      <c r="H4984" s="65"/>
      <c r="I4984" s="66">
        <v>770.28</v>
      </c>
    </row>
    <row r="4985" spans="1:9" hidden="1">
      <c r="A4985" s="67" t="s">
        <v>295</v>
      </c>
      <c r="B4985" s="68">
        <v>2047</v>
      </c>
      <c r="C4985" s="68">
        <v>2023</v>
      </c>
      <c r="D4985" s="68" t="s">
        <v>304</v>
      </c>
      <c r="E4985" s="68" t="s">
        <v>305</v>
      </c>
      <c r="F4985" s="68" t="s">
        <v>40</v>
      </c>
      <c r="G4985" s="68"/>
      <c r="H4985" s="68"/>
      <c r="I4985" s="69">
        <v>17764.876840000001</v>
      </c>
    </row>
    <row r="4986" spans="1:9" hidden="1">
      <c r="A4986" s="64" t="s">
        <v>295</v>
      </c>
      <c r="B4986" s="65">
        <v>2047</v>
      </c>
      <c r="C4986" s="65">
        <v>2023</v>
      </c>
      <c r="D4986" s="65" t="s">
        <v>306</v>
      </c>
      <c r="E4986" s="65" t="s">
        <v>294</v>
      </c>
      <c r="F4986" s="65" t="s">
        <v>297</v>
      </c>
      <c r="G4986" s="65"/>
      <c r="H4986" s="65"/>
      <c r="I4986" s="66">
        <v>345255.52747518022</v>
      </c>
    </row>
    <row r="4987" spans="1:9" hidden="1">
      <c r="A4987" s="67" t="s">
        <v>295</v>
      </c>
      <c r="B4987" s="68">
        <v>2047</v>
      </c>
      <c r="C4987" s="68">
        <v>2023</v>
      </c>
      <c r="D4987" s="68" t="s">
        <v>306</v>
      </c>
      <c r="E4987" s="68" t="s">
        <v>294</v>
      </c>
      <c r="F4987" s="68" t="s">
        <v>40</v>
      </c>
      <c r="G4987" s="68"/>
      <c r="H4987" s="68"/>
      <c r="I4987" s="69">
        <v>345088.23197466979</v>
      </c>
    </row>
    <row r="4988" spans="1:9" hidden="1">
      <c r="A4988" s="64" t="s">
        <v>295</v>
      </c>
      <c r="B4988" s="65">
        <v>2047</v>
      </c>
      <c r="C4988" s="65">
        <v>2023</v>
      </c>
      <c r="D4988" s="65" t="s">
        <v>306</v>
      </c>
      <c r="E4988" s="65" t="s">
        <v>301</v>
      </c>
      <c r="F4988" s="65" t="s">
        <v>297</v>
      </c>
      <c r="G4988" s="65"/>
      <c r="H4988" s="65"/>
      <c r="I4988" s="66">
        <v>364068.94571682223</v>
      </c>
    </row>
    <row r="4989" spans="1:9" hidden="1">
      <c r="A4989" s="67" t="s">
        <v>295</v>
      </c>
      <c r="B4989" s="68">
        <v>2047</v>
      </c>
      <c r="C4989" s="68">
        <v>2023</v>
      </c>
      <c r="D4989" s="68" t="s">
        <v>306</v>
      </c>
      <c r="E4989" s="68" t="s">
        <v>301</v>
      </c>
      <c r="F4989" s="68" t="s">
        <v>40</v>
      </c>
      <c r="G4989" s="68"/>
      <c r="H4989" s="68"/>
      <c r="I4989" s="69">
        <v>364068.94571682223</v>
      </c>
    </row>
    <row r="4990" spans="1:9" hidden="1">
      <c r="A4990" s="64" t="s">
        <v>295</v>
      </c>
      <c r="B4990" s="65">
        <v>2047</v>
      </c>
      <c r="C4990" s="65">
        <v>2023</v>
      </c>
      <c r="D4990" s="65" t="s">
        <v>306</v>
      </c>
      <c r="E4990" s="65" t="s">
        <v>305</v>
      </c>
      <c r="F4990" s="65" t="s">
        <v>297</v>
      </c>
      <c r="G4990" s="65"/>
      <c r="H4990" s="65"/>
      <c r="I4990" s="66">
        <v>2087.8398499999998</v>
      </c>
    </row>
    <row r="4991" spans="1:9" hidden="1">
      <c r="A4991" s="67" t="s">
        <v>295</v>
      </c>
      <c r="B4991" s="68">
        <v>2047</v>
      </c>
      <c r="C4991" s="68">
        <v>2023</v>
      </c>
      <c r="D4991" s="68" t="s">
        <v>306</v>
      </c>
      <c r="E4991" s="68" t="s">
        <v>305</v>
      </c>
      <c r="F4991" s="68" t="s">
        <v>40</v>
      </c>
      <c r="G4991" s="68"/>
      <c r="H4991" s="68"/>
      <c r="I4991" s="69">
        <v>39958.459849999999</v>
      </c>
    </row>
    <row r="4992" spans="1:9" hidden="1">
      <c r="A4992" s="64" t="s">
        <v>295</v>
      </c>
      <c r="B4992" s="65">
        <v>2047</v>
      </c>
      <c r="C4992" s="65">
        <v>2023</v>
      </c>
      <c r="D4992" s="65" t="s">
        <v>307</v>
      </c>
      <c r="E4992" s="65" t="s">
        <v>294</v>
      </c>
      <c r="F4992" s="65" t="s">
        <v>40</v>
      </c>
      <c r="G4992" s="65"/>
      <c r="H4992" s="65"/>
      <c r="I4992" s="66">
        <v>-245008.98795065889</v>
      </c>
    </row>
    <row r="4993" spans="1:9" hidden="1">
      <c r="A4993" s="67" t="s">
        <v>295</v>
      </c>
      <c r="B4993" s="68">
        <v>2047</v>
      </c>
      <c r="C4993" s="68">
        <v>2023</v>
      </c>
      <c r="D4993" s="68" t="s">
        <v>307</v>
      </c>
      <c r="E4993" s="68" t="s">
        <v>301</v>
      </c>
      <c r="F4993" s="68" t="s">
        <v>40</v>
      </c>
      <c r="G4993" s="68"/>
      <c r="H4993" s="68"/>
      <c r="I4993" s="69">
        <v>-213750.15956958759</v>
      </c>
    </row>
    <row r="4994" spans="1:9" hidden="1">
      <c r="A4994" s="64" t="s">
        <v>295</v>
      </c>
      <c r="B4994" s="65">
        <v>2047</v>
      </c>
      <c r="C4994" s="65">
        <v>2023</v>
      </c>
      <c r="D4994" s="65" t="s">
        <v>307</v>
      </c>
      <c r="E4994" s="65" t="s">
        <v>305</v>
      </c>
      <c r="F4994" s="65" t="s">
        <v>40</v>
      </c>
      <c r="G4994" s="65"/>
      <c r="H4994" s="65"/>
      <c r="I4994" s="66">
        <v>-8618.0522700000001</v>
      </c>
    </row>
    <row r="4995" spans="1:9" hidden="1">
      <c r="A4995" s="67" t="s">
        <v>295</v>
      </c>
      <c r="B4995" s="68">
        <v>2047</v>
      </c>
      <c r="C4995" s="68">
        <v>2023</v>
      </c>
      <c r="D4995" s="68" t="s">
        <v>327</v>
      </c>
      <c r="E4995" s="68" t="s">
        <v>294</v>
      </c>
      <c r="F4995" s="68" t="s">
        <v>40</v>
      </c>
      <c r="G4995" s="68"/>
      <c r="H4995" s="68"/>
      <c r="I4995" s="69">
        <v>-284454.93768183532</v>
      </c>
    </row>
    <row r="4996" spans="1:9" hidden="1">
      <c r="A4996" s="64" t="s">
        <v>295</v>
      </c>
      <c r="B4996" s="65">
        <v>2047</v>
      </c>
      <c r="C4996" s="65">
        <v>2023</v>
      </c>
      <c r="D4996" s="65" t="s">
        <v>327</v>
      </c>
      <c r="E4996" s="65" t="s">
        <v>301</v>
      </c>
      <c r="F4996" s="65" t="s">
        <v>40</v>
      </c>
      <c r="G4996" s="65"/>
      <c r="H4996" s="65"/>
      <c r="I4996" s="66">
        <v>-264584.7353804782</v>
      </c>
    </row>
    <row r="4997" spans="1:9" hidden="1">
      <c r="A4997" s="67" t="s">
        <v>295</v>
      </c>
      <c r="B4997" s="68">
        <v>2047</v>
      </c>
      <c r="C4997" s="68">
        <v>2023</v>
      </c>
      <c r="D4997" s="68" t="s">
        <v>327</v>
      </c>
      <c r="E4997" s="68" t="s">
        <v>305</v>
      </c>
      <c r="F4997" s="68" t="s">
        <v>40</v>
      </c>
      <c r="G4997" s="68"/>
      <c r="H4997" s="68"/>
      <c r="I4997" s="69">
        <v>-15538.60161</v>
      </c>
    </row>
    <row r="4998" spans="1:9" hidden="1">
      <c r="A4998" s="64" t="s">
        <v>295</v>
      </c>
      <c r="B4998" s="65">
        <v>2047</v>
      </c>
      <c r="C4998" s="65">
        <v>2023</v>
      </c>
      <c r="D4998" s="65" t="s">
        <v>328</v>
      </c>
      <c r="E4998" s="65" t="s">
        <v>294</v>
      </c>
      <c r="F4998" s="65" t="s">
        <v>40</v>
      </c>
      <c r="G4998" s="65"/>
      <c r="H4998" s="65"/>
      <c r="I4998" s="66">
        <v>21512.498239804801</v>
      </c>
    </row>
    <row r="4999" spans="1:9" hidden="1">
      <c r="A4999" s="67" t="s">
        <v>295</v>
      </c>
      <c r="B4999" s="68">
        <v>2047</v>
      </c>
      <c r="C4999" s="68">
        <v>2023</v>
      </c>
      <c r="D4999" s="68" t="s">
        <v>328</v>
      </c>
      <c r="E4999" s="68" t="s">
        <v>301</v>
      </c>
      <c r="F4999" s="68" t="s">
        <v>40</v>
      </c>
      <c r="G4999" s="68"/>
      <c r="H4999" s="68"/>
      <c r="I4999" s="69">
        <v>30335.7072737079</v>
      </c>
    </row>
    <row r="5000" spans="1:9" hidden="1">
      <c r="A5000" s="64" t="s">
        <v>295</v>
      </c>
      <c r="B5000" s="65">
        <v>2047</v>
      </c>
      <c r="C5000" s="65">
        <v>2023</v>
      </c>
      <c r="D5000" s="65" t="s">
        <v>328</v>
      </c>
      <c r="E5000" s="65" t="s">
        <v>305</v>
      </c>
      <c r="F5000" s="65" t="s">
        <v>40</v>
      </c>
      <c r="G5000" s="65"/>
      <c r="H5000" s="65"/>
      <c r="I5000" s="66">
        <v>-2142.5960599999999</v>
      </c>
    </row>
    <row r="5001" spans="1:9" hidden="1">
      <c r="A5001" s="67" t="s">
        <v>295</v>
      </c>
      <c r="B5001" s="68">
        <v>2047</v>
      </c>
      <c r="C5001" s="68">
        <v>2023</v>
      </c>
      <c r="D5001" s="68" t="s">
        <v>329</v>
      </c>
      <c r="E5001" s="68" t="s">
        <v>294</v>
      </c>
      <c r="F5001" s="68" t="s">
        <v>40</v>
      </c>
      <c r="G5001" s="68"/>
      <c r="H5001" s="68"/>
      <c r="I5001" s="69">
        <v>11756.89802772146</v>
      </c>
    </row>
    <row r="5002" spans="1:9" hidden="1">
      <c r="A5002" s="64" t="s">
        <v>295</v>
      </c>
      <c r="B5002" s="65">
        <v>2047</v>
      </c>
      <c r="C5002" s="65">
        <v>2023</v>
      </c>
      <c r="D5002" s="65" t="s">
        <v>329</v>
      </c>
      <c r="E5002" s="65" t="s">
        <v>301</v>
      </c>
      <c r="F5002" s="65" t="s">
        <v>40</v>
      </c>
      <c r="G5002" s="65"/>
      <c r="H5002" s="65"/>
      <c r="I5002" s="66">
        <v>10840.45479100448</v>
      </c>
    </row>
    <row r="5003" spans="1:9" hidden="1">
      <c r="A5003" s="67" t="s">
        <v>295</v>
      </c>
      <c r="B5003" s="68">
        <v>2047</v>
      </c>
      <c r="C5003" s="68">
        <v>2023</v>
      </c>
      <c r="D5003" s="68" t="s">
        <v>329</v>
      </c>
      <c r="E5003" s="68" t="s">
        <v>305</v>
      </c>
      <c r="F5003" s="68" t="s">
        <v>40</v>
      </c>
      <c r="G5003" s="68"/>
      <c r="H5003" s="68"/>
      <c r="I5003" s="69">
        <v>6116.9930199999999</v>
      </c>
    </row>
    <row r="5004" spans="1:9" hidden="1">
      <c r="A5004" s="64" t="s">
        <v>295</v>
      </c>
      <c r="B5004" s="65">
        <v>2047</v>
      </c>
      <c r="C5004" s="65">
        <v>2023</v>
      </c>
      <c r="D5004" s="65" t="s">
        <v>330</v>
      </c>
      <c r="E5004" s="65" t="s">
        <v>294</v>
      </c>
      <c r="F5004" s="65" t="s">
        <v>40</v>
      </c>
      <c r="G5004" s="65"/>
      <c r="H5004" s="65"/>
      <c r="I5004" s="66">
        <v>11695.607515762211</v>
      </c>
    </row>
    <row r="5005" spans="1:9" hidden="1">
      <c r="A5005" s="67" t="s">
        <v>295</v>
      </c>
      <c r="B5005" s="68">
        <v>2047</v>
      </c>
      <c r="C5005" s="68">
        <v>2023</v>
      </c>
      <c r="D5005" s="68" t="s">
        <v>330</v>
      </c>
      <c r="E5005" s="68" t="s">
        <v>301</v>
      </c>
      <c r="F5005" s="68" t="s">
        <v>40</v>
      </c>
      <c r="G5005" s="68"/>
      <c r="H5005" s="68"/>
      <c r="I5005" s="69">
        <v>12940.97576037848</v>
      </c>
    </row>
    <row r="5006" spans="1:9" hidden="1">
      <c r="A5006" s="64" t="s">
        <v>295</v>
      </c>
      <c r="B5006" s="65">
        <v>2047</v>
      </c>
      <c r="C5006" s="65">
        <v>2023</v>
      </c>
      <c r="D5006" s="65" t="s">
        <v>330</v>
      </c>
      <c r="E5006" s="65" t="s">
        <v>305</v>
      </c>
      <c r="F5006" s="65" t="s">
        <v>40</v>
      </c>
      <c r="G5006" s="65"/>
      <c r="H5006" s="65"/>
      <c r="I5006" s="66">
        <v>763.84648000000004</v>
      </c>
    </row>
    <row r="5007" spans="1:9" hidden="1">
      <c r="A5007" s="67" t="s">
        <v>295</v>
      </c>
      <c r="B5007" s="68">
        <v>2047</v>
      </c>
      <c r="C5007" s="68">
        <v>2023</v>
      </c>
      <c r="D5007" s="68" t="s">
        <v>331</v>
      </c>
      <c r="E5007" s="68" t="s">
        <v>294</v>
      </c>
      <c r="F5007" s="68" t="s">
        <v>40</v>
      </c>
      <c r="G5007" s="68"/>
      <c r="H5007" s="68"/>
      <c r="I5007" s="69">
        <v>28402.273181237681</v>
      </c>
    </row>
    <row r="5008" spans="1:9" hidden="1">
      <c r="A5008" s="64" t="s">
        <v>295</v>
      </c>
      <c r="B5008" s="65">
        <v>2047</v>
      </c>
      <c r="C5008" s="65">
        <v>2023</v>
      </c>
      <c r="D5008" s="65" t="s">
        <v>331</v>
      </c>
      <c r="E5008" s="65" t="s">
        <v>301</v>
      </c>
      <c r="F5008" s="65" t="s">
        <v>40</v>
      </c>
      <c r="G5008" s="65"/>
      <c r="H5008" s="65"/>
      <c r="I5008" s="66">
        <v>28744.352220158049</v>
      </c>
    </row>
    <row r="5009" spans="1:9" hidden="1">
      <c r="A5009" s="67" t="s">
        <v>295</v>
      </c>
      <c r="B5009" s="68">
        <v>2047</v>
      </c>
      <c r="C5009" s="68">
        <v>2023</v>
      </c>
      <c r="D5009" s="68" t="s">
        <v>331</v>
      </c>
      <c r="E5009" s="68" t="s">
        <v>305</v>
      </c>
      <c r="F5009" s="68" t="s">
        <v>40</v>
      </c>
      <c r="G5009" s="68"/>
      <c r="H5009" s="68"/>
      <c r="I5009" s="69">
        <v>3307.8088600000001</v>
      </c>
    </row>
    <row r="5010" spans="1:9" hidden="1">
      <c r="A5010" s="64" t="s">
        <v>295</v>
      </c>
      <c r="B5010" s="65">
        <v>2047</v>
      </c>
      <c r="C5010" s="65">
        <v>2023</v>
      </c>
      <c r="D5010" s="65" t="s">
        <v>332</v>
      </c>
      <c r="E5010" s="65" t="s">
        <v>294</v>
      </c>
      <c r="F5010" s="65" t="s">
        <v>40</v>
      </c>
      <c r="G5010" s="65"/>
      <c r="H5010" s="65"/>
      <c r="I5010" s="66">
        <v>518.23322999999993</v>
      </c>
    </row>
    <row r="5011" spans="1:9" hidden="1">
      <c r="A5011" s="67" t="s">
        <v>295</v>
      </c>
      <c r="B5011" s="68">
        <v>2047</v>
      </c>
      <c r="C5011" s="68">
        <v>2023</v>
      </c>
      <c r="D5011" s="68" t="s">
        <v>332</v>
      </c>
      <c r="E5011" s="68" t="s">
        <v>301</v>
      </c>
      <c r="F5011" s="68" t="s">
        <v>40</v>
      </c>
      <c r="G5011" s="68"/>
      <c r="H5011" s="68"/>
      <c r="I5011" s="69">
        <v>334.31322999999998</v>
      </c>
    </row>
    <row r="5012" spans="1:9" hidden="1">
      <c r="A5012" s="64" t="s">
        <v>295</v>
      </c>
      <c r="B5012" s="65">
        <v>2047</v>
      </c>
      <c r="C5012" s="65">
        <v>2023</v>
      </c>
      <c r="D5012" s="65" t="s">
        <v>332</v>
      </c>
      <c r="E5012" s="65" t="s">
        <v>305</v>
      </c>
      <c r="F5012" s="65" t="s">
        <v>40</v>
      </c>
      <c r="G5012" s="65"/>
      <c r="H5012" s="65"/>
      <c r="I5012" s="66">
        <v>338.11705000000001</v>
      </c>
    </row>
    <row r="5013" spans="1:9" hidden="1">
      <c r="A5013" s="67" t="s">
        <v>295</v>
      </c>
      <c r="B5013" s="68">
        <v>2047</v>
      </c>
      <c r="C5013" s="68">
        <v>2023</v>
      </c>
      <c r="D5013" s="68" t="s">
        <v>333</v>
      </c>
      <c r="E5013" s="68" t="s">
        <v>294</v>
      </c>
      <c r="F5013" s="68" t="s">
        <v>40</v>
      </c>
      <c r="G5013" s="68"/>
      <c r="H5013" s="68"/>
      <c r="I5013" s="69">
        <v>-33972.709894706371</v>
      </c>
    </row>
    <row r="5014" spans="1:9" hidden="1">
      <c r="A5014" s="64" t="s">
        <v>295</v>
      </c>
      <c r="B5014" s="65">
        <v>2047</v>
      </c>
      <c r="C5014" s="65">
        <v>2023</v>
      </c>
      <c r="D5014" s="65" t="s">
        <v>333</v>
      </c>
      <c r="E5014" s="65" t="s">
        <v>301</v>
      </c>
      <c r="F5014" s="65" t="s">
        <v>40</v>
      </c>
      <c r="G5014" s="65"/>
      <c r="H5014" s="65"/>
      <c r="I5014" s="66">
        <v>-32767.22177470637</v>
      </c>
    </row>
    <row r="5015" spans="1:9" hidden="1">
      <c r="A5015" s="67" t="s">
        <v>295</v>
      </c>
      <c r="B5015" s="68">
        <v>2047</v>
      </c>
      <c r="C5015" s="68">
        <v>2023</v>
      </c>
      <c r="D5015" s="68" t="s">
        <v>333</v>
      </c>
      <c r="E5015" s="68" t="s">
        <v>305</v>
      </c>
      <c r="F5015" s="68" t="s">
        <v>40</v>
      </c>
      <c r="G5015" s="68"/>
      <c r="H5015" s="68"/>
      <c r="I5015" s="69">
        <v>-1463.64</v>
      </c>
    </row>
    <row r="5016" spans="1:9" hidden="1">
      <c r="A5016" s="64" t="s">
        <v>295</v>
      </c>
      <c r="B5016" s="65">
        <v>2047</v>
      </c>
      <c r="C5016" s="65">
        <v>2023</v>
      </c>
      <c r="D5016" s="65" t="s">
        <v>334</v>
      </c>
      <c r="E5016" s="65" t="s">
        <v>294</v>
      </c>
      <c r="F5016" s="65" t="s">
        <v>40</v>
      </c>
      <c r="G5016" s="65"/>
      <c r="H5016" s="65"/>
      <c r="I5016" s="66">
        <v>253.85033000000001</v>
      </c>
    </row>
    <row r="5017" spans="1:9" hidden="1">
      <c r="A5017" s="67" t="s">
        <v>295</v>
      </c>
      <c r="B5017" s="68">
        <v>2047</v>
      </c>
      <c r="C5017" s="68">
        <v>2023</v>
      </c>
      <c r="D5017" s="68" t="s">
        <v>334</v>
      </c>
      <c r="E5017" s="68" t="s">
        <v>301</v>
      </c>
      <c r="F5017" s="68" t="s">
        <v>40</v>
      </c>
      <c r="G5017" s="68"/>
      <c r="H5017" s="68"/>
      <c r="I5017" s="69">
        <v>253.85033000000001</v>
      </c>
    </row>
    <row r="5018" spans="1:9" hidden="1">
      <c r="A5018" s="64" t="s">
        <v>295</v>
      </c>
      <c r="B5018" s="65">
        <v>2047</v>
      </c>
      <c r="C5018" s="65">
        <v>2023</v>
      </c>
      <c r="D5018" s="65" t="s">
        <v>308</v>
      </c>
      <c r="E5018" s="65" t="s">
        <v>294</v>
      </c>
      <c r="F5018" s="65" t="s">
        <v>297</v>
      </c>
      <c r="G5018" s="65"/>
      <c r="H5018" s="65"/>
      <c r="I5018" s="66">
        <v>60310.686055865241</v>
      </c>
    </row>
    <row r="5019" spans="1:9" hidden="1">
      <c r="A5019" s="67" t="s">
        <v>295</v>
      </c>
      <c r="B5019" s="68">
        <v>2047</v>
      </c>
      <c r="C5019" s="68">
        <v>2023</v>
      </c>
      <c r="D5019" s="68" t="s">
        <v>308</v>
      </c>
      <c r="E5019" s="68" t="s">
        <v>294</v>
      </c>
      <c r="F5019" s="68" t="s">
        <v>298</v>
      </c>
      <c r="G5019" s="68"/>
      <c r="H5019" s="68"/>
      <c r="I5019" s="69">
        <v>220.1999697792659</v>
      </c>
    </row>
    <row r="5020" spans="1:9" hidden="1">
      <c r="A5020" s="64" t="s">
        <v>295</v>
      </c>
      <c r="B5020" s="65">
        <v>2047</v>
      </c>
      <c r="C5020" s="65">
        <v>2023</v>
      </c>
      <c r="D5020" s="65" t="s">
        <v>308</v>
      </c>
      <c r="E5020" s="65" t="s">
        <v>294</v>
      </c>
      <c r="F5020" s="65" t="s">
        <v>40</v>
      </c>
      <c r="G5020" s="65"/>
      <c r="H5020" s="65"/>
      <c r="I5020" s="66">
        <v>60782.59619564451</v>
      </c>
    </row>
    <row r="5021" spans="1:9" hidden="1">
      <c r="A5021" s="67" t="s">
        <v>295</v>
      </c>
      <c r="B5021" s="68">
        <v>2047</v>
      </c>
      <c r="C5021" s="68">
        <v>2023</v>
      </c>
      <c r="D5021" s="68" t="s">
        <v>308</v>
      </c>
      <c r="E5021" s="68" t="s">
        <v>301</v>
      </c>
      <c r="F5021" s="68" t="s">
        <v>297</v>
      </c>
      <c r="G5021" s="68"/>
      <c r="H5021" s="68"/>
      <c r="I5021" s="69">
        <v>61392.173475819312</v>
      </c>
    </row>
    <row r="5022" spans="1:9" hidden="1">
      <c r="A5022" s="64" t="s">
        <v>295</v>
      </c>
      <c r="B5022" s="65">
        <v>2047</v>
      </c>
      <c r="C5022" s="65">
        <v>2023</v>
      </c>
      <c r="D5022" s="65" t="s">
        <v>308</v>
      </c>
      <c r="E5022" s="65" t="s">
        <v>301</v>
      </c>
      <c r="F5022" s="65" t="s">
        <v>298</v>
      </c>
      <c r="G5022" s="65"/>
      <c r="H5022" s="65"/>
      <c r="I5022" s="66">
        <v>220.19996975999061</v>
      </c>
    </row>
    <row r="5023" spans="1:9" hidden="1">
      <c r="A5023" s="67" t="s">
        <v>295</v>
      </c>
      <c r="B5023" s="68">
        <v>2047</v>
      </c>
      <c r="C5023" s="68">
        <v>2023</v>
      </c>
      <c r="D5023" s="68" t="s">
        <v>308</v>
      </c>
      <c r="E5023" s="68" t="s">
        <v>301</v>
      </c>
      <c r="F5023" s="68" t="s">
        <v>40</v>
      </c>
      <c r="G5023" s="68"/>
      <c r="H5023" s="68"/>
      <c r="I5023" s="69">
        <v>61512.932537349217</v>
      </c>
    </row>
    <row r="5024" spans="1:9" hidden="1">
      <c r="A5024" s="64" t="s">
        <v>295</v>
      </c>
      <c r="B5024" s="65">
        <v>2047</v>
      </c>
      <c r="C5024" s="65">
        <v>2023</v>
      </c>
      <c r="D5024" s="65" t="s">
        <v>308</v>
      </c>
      <c r="E5024" s="65" t="s">
        <v>305</v>
      </c>
      <c r="F5024" s="65" t="s">
        <v>297</v>
      </c>
      <c r="G5024" s="65"/>
      <c r="H5024" s="65"/>
      <c r="I5024" s="66">
        <v>1720.13618</v>
      </c>
    </row>
    <row r="5025" spans="1:9" hidden="1">
      <c r="A5025" s="67" t="s">
        <v>295</v>
      </c>
      <c r="B5025" s="68">
        <v>2047</v>
      </c>
      <c r="C5025" s="68">
        <v>2023</v>
      </c>
      <c r="D5025" s="68" t="s">
        <v>308</v>
      </c>
      <c r="E5025" s="68" t="s">
        <v>305</v>
      </c>
      <c r="F5025" s="68" t="s">
        <v>40</v>
      </c>
      <c r="G5025" s="68"/>
      <c r="H5025" s="68"/>
      <c r="I5025" s="69">
        <v>10107.31618</v>
      </c>
    </row>
    <row r="5026" spans="1:9" hidden="1">
      <c r="A5026" s="64" t="s">
        <v>295</v>
      </c>
      <c r="B5026" s="65">
        <v>2047</v>
      </c>
      <c r="C5026" s="65">
        <v>2023</v>
      </c>
      <c r="D5026" s="65" t="s">
        <v>310</v>
      </c>
      <c r="E5026" s="65" t="s">
        <v>294</v>
      </c>
      <c r="F5026" s="65" t="s">
        <v>297</v>
      </c>
      <c r="G5026" s="65"/>
      <c r="H5026" s="65"/>
      <c r="I5026" s="66">
        <v>185.64</v>
      </c>
    </row>
    <row r="5027" spans="1:9" hidden="1">
      <c r="A5027" s="67" t="s">
        <v>295</v>
      </c>
      <c r="B5027" s="68">
        <v>2047</v>
      </c>
      <c r="C5027" s="68">
        <v>2023</v>
      </c>
      <c r="D5027" s="68" t="s">
        <v>310</v>
      </c>
      <c r="E5027" s="68" t="s">
        <v>294</v>
      </c>
      <c r="F5027" s="68" t="s">
        <v>40</v>
      </c>
      <c r="G5027" s="68"/>
      <c r="H5027" s="68"/>
      <c r="I5027" s="69">
        <v>126779.8009481372</v>
      </c>
    </row>
    <row r="5028" spans="1:9" hidden="1">
      <c r="A5028" s="64" t="s">
        <v>295</v>
      </c>
      <c r="B5028" s="65">
        <v>2047</v>
      </c>
      <c r="C5028" s="65">
        <v>2023</v>
      </c>
      <c r="D5028" s="65" t="s">
        <v>310</v>
      </c>
      <c r="E5028" s="65" t="s">
        <v>301</v>
      </c>
      <c r="F5028" s="65" t="s">
        <v>297</v>
      </c>
      <c r="G5028" s="65"/>
      <c r="H5028" s="65"/>
      <c r="I5028" s="66">
        <v>185.64</v>
      </c>
    </row>
    <row r="5029" spans="1:9" hidden="1">
      <c r="A5029" s="67" t="s">
        <v>295</v>
      </c>
      <c r="B5029" s="68">
        <v>2047</v>
      </c>
      <c r="C5029" s="68">
        <v>2023</v>
      </c>
      <c r="D5029" s="68" t="s">
        <v>310</v>
      </c>
      <c r="E5029" s="68" t="s">
        <v>301</v>
      </c>
      <c r="F5029" s="68" t="s">
        <v>40</v>
      </c>
      <c r="G5029" s="68"/>
      <c r="H5029" s="68"/>
      <c r="I5029" s="69">
        <v>135651.97794724061</v>
      </c>
    </row>
    <row r="5030" spans="1:9" hidden="1">
      <c r="A5030" s="64" t="s">
        <v>295</v>
      </c>
      <c r="B5030" s="65">
        <v>2047</v>
      </c>
      <c r="C5030" s="65">
        <v>2023</v>
      </c>
      <c r="D5030" s="65" t="s">
        <v>310</v>
      </c>
      <c r="E5030" s="65" t="s">
        <v>305</v>
      </c>
      <c r="F5030" s="65" t="s">
        <v>40</v>
      </c>
      <c r="G5030" s="65"/>
      <c r="H5030" s="65"/>
      <c r="I5030" s="66">
        <v>1349.1088299999999</v>
      </c>
    </row>
    <row r="5031" spans="1:9" hidden="1">
      <c r="A5031" s="67" t="s">
        <v>295</v>
      </c>
      <c r="B5031" s="68">
        <v>2047</v>
      </c>
      <c r="C5031" s="68">
        <v>2023</v>
      </c>
      <c r="D5031" s="68" t="s">
        <v>311</v>
      </c>
      <c r="E5031" s="68" t="s">
        <v>294</v>
      </c>
      <c r="F5031" s="68" t="s">
        <v>297</v>
      </c>
      <c r="G5031" s="68"/>
      <c r="H5031" s="68"/>
      <c r="I5031" s="69">
        <v>861.34</v>
      </c>
    </row>
    <row r="5032" spans="1:9" hidden="1">
      <c r="A5032" s="64" t="s">
        <v>295</v>
      </c>
      <c r="B5032" s="65">
        <v>2047</v>
      </c>
      <c r="C5032" s="65">
        <v>2023</v>
      </c>
      <c r="D5032" s="65" t="s">
        <v>311</v>
      </c>
      <c r="E5032" s="65" t="s">
        <v>294</v>
      </c>
      <c r="F5032" s="65" t="s">
        <v>40</v>
      </c>
      <c r="G5032" s="65"/>
      <c r="H5032" s="65"/>
      <c r="I5032" s="66">
        <v>144092.55973838619</v>
      </c>
    </row>
    <row r="5033" spans="1:9" hidden="1">
      <c r="A5033" s="67" t="s">
        <v>295</v>
      </c>
      <c r="B5033" s="68">
        <v>2047</v>
      </c>
      <c r="C5033" s="68">
        <v>2023</v>
      </c>
      <c r="D5033" s="68" t="s">
        <v>311</v>
      </c>
      <c r="E5033" s="68" t="s">
        <v>301</v>
      </c>
      <c r="F5033" s="68" t="s">
        <v>297</v>
      </c>
      <c r="G5033" s="68"/>
      <c r="H5033" s="68"/>
      <c r="I5033" s="69">
        <v>861.34</v>
      </c>
    </row>
    <row r="5034" spans="1:9" hidden="1">
      <c r="A5034" s="64" t="s">
        <v>295</v>
      </c>
      <c r="B5034" s="65">
        <v>2047</v>
      </c>
      <c r="C5034" s="65">
        <v>2023</v>
      </c>
      <c r="D5034" s="65" t="s">
        <v>311</v>
      </c>
      <c r="E5034" s="65" t="s">
        <v>301</v>
      </c>
      <c r="F5034" s="65" t="s">
        <v>40</v>
      </c>
      <c r="G5034" s="65"/>
      <c r="H5034" s="65"/>
      <c r="I5034" s="66">
        <v>146632.45673425301</v>
      </c>
    </row>
    <row r="5035" spans="1:9" hidden="1">
      <c r="A5035" s="67" t="s">
        <v>295</v>
      </c>
      <c r="B5035" s="68">
        <v>2047</v>
      </c>
      <c r="C5035" s="68">
        <v>2023</v>
      </c>
      <c r="D5035" s="68" t="s">
        <v>311</v>
      </c>
      <c r="E5035" s="68" t="s">
        <v>305</v>
      </c>
      <c r="F5035" s="68" t="s">
        <v>40</v>
      </c>
      <c r="G5035" s="68"/>
      <c r="H5035" s="68"/>
      <c r="I5035" s="69">
        <v>1011.64</v>
      </c>
    </row>
    <row r="5036" spans="1:9" hidden="1">
      <c r="A5036" s="64" t="s">
        <v>295</v>
      </c>
      <c r="B5036" s="65">
        <v>2047</v>
      </c>
      <c r="C5036" s="65">
        <v>2023</v>
      </c>
      <c r="D5036" s="65" t="s">
        <v>312</v>
      </c>
      <c r="E5036" s="65" t="s">
        <v>294</v>
      </c>
      <c r="F5036" s="65" t="s">
        <v>297</v>
      </c>
      <c r="G5036" s="65"/>
      <c r="H5036" s="65"/>
      <c r="I5036" s="66">
        <v>709.26980000000003</v>
      </c>
    </row>
    <row r="5037" spans="1:9" hidden="1">
      <c r="A5037" s="67" t="s">
        <v>295</v>
      </c>
      <c r="B5037" s="68">
        <v>2047</v>
      </c>
      <c r="C5037" s="68">
        <v>2023</v>
      </c>
      <c r="D5037" s="68" t="s">
        <v>312</v>
      </c>
      <c r="E5037" s="68" t="s">
        <v>294</v>
      </c>
      <c r="F5037" s="68" t="s">
        <v>40</v>
      </c>
      <c r="G5037" s="68"/>
      <c r="H5037" s="68"/>
      <c r="I5037" s="69">
        <v>853.16214386711772</v>
      </c>
    </row>
    <row r="5038" spans="1:9" hidden="1">
      <c r="A5038" s="64" t="s">
        <v>295</v>
      </c>
      <c r="B5038" s="65">
        <v>2047</v>
      </c>
      <c r="C5038" s="65">
        <v>2023</v>
      </c>
      <c r="D5038" s="65" t="s">
        <v>312</v>
      </c>
      <c r="E5038" s="65" t="s">
        <v>301</v>
      </c>
      <c r="F5038" s="65" t="s">
        <v>297</v>
      </c>
      <c r="G5038" s="65"/>
      <c r="H5038" s="65"/>
      <c r="I5038" s="66">
        <v>713.16980000000001</v>
      </c>
    </row>
    <row r="5039" spans="1:9" hidden="1">
      <c r="A5039" s="67" t="s">
        <v>295</v>
      </c>
      <c r="B5039" s="68">
        <v>2047</v>
      </c>
      <c r="C5039" s="68">
        <v>2023</v>
      </c>
      <c r="D5039" s="68" t="s">
        <v>312</v>
      </c>
      <c r="E5039" s="68" t="s">
        <v>301</v>
      </c>
      <c r="F5039" s="68" t="s">
        <v>40</v>
      </c>
      <c r="G5039" s="68"/>
      <c r="H5039" s="68"/>
      <c r="I5039" s="69">
        <v>857.06979999999999</v>
      </c>
    </row>
    <row r="5040" spans="1:9" hidden="1">
      <c r="A5040" s="64" t="s">
        <v>295</v>
      </c>
      <c r="B5040" s="65">
        <v>2047</v>
      </c>
      <c r="C5040" s="65">
        <v>2023</v>
      </c>
      <c r="D5040" s="65" t="s">
        <v>313</v>
      </c>
      <c r="E5040" s="65" t="s">
        <v>294</v>
      </c>
      <c r="F5040" s="65" t="s">
        <v>297</v>
      </c>
      <c r="G5040" s="65"/>
      <c r="H5040" s="65"/>
      <c r="I5040" s="66">
        <v>1250588.348240871</v>
      </c>
    </row>
    <row r="5041" spans="1:9" hidden="1">
      <c r="A5041" s="67" t="s">
        <v>295</v>
      </c>
      <c r="B5041" s="68">
        <v>2047</v>
      </c>
      <c r="C5041" s="68">
        <v>2023</v>
      </c>
      <c r="D5041" s="68" t="s">
        <v>313</v>
      </c>
      <c r="E5041" s="68" t="s">
        <v>294</v>
      </c>
      <c r="F5041" s="68" t="s">
        <v>298</v>
      </c>
      <c r="G5041" s="68"/>
      <c r="H5041" s="68"/>
      <c r="I5041" s="69">
        <v>598765.37469748629</v>
      </c>
    </row>
    <row r="5042" spans="1:9" hidden="1">
      <c r="A5042" s="64" t="s">
        <v>295</v>
      </c>
      <c r="B5042" s="65">
        <v>2047</v>
      </c>
      <c r="C5042" s="65">
        <v>2023</v>
      </c>
      <c r="D5042" s="65" t="s">
        <v>313</v>
      </c>
      <c r="E5042" s="65" t="s">
        <v>294</v>
      </c>
      <c r="F5042" s="65" t="s">
        <v>40</v>
      </c>
      <c r="G5042" s="65"/>
      <c r="H5042" s="65"/>
      <c r="I5042" s="66">
        <v>1866283.666328928</v>
      </c>
    </row>
    <row r="5043" spans="1:9" hidden="1">
      <c r="A5043" s="67" t="s">
        <v>295</v>
      </c>
      <c r="B5043" s="68">
        <v>2047</v>
      </c>
      <c r="C5043" s="68">
        <v>2023</v>
      </c>
      <c r="D5043" s="68" t="s">
        <v>313</v>
      </c>
      <c r="E5043" s="68" t="s">
        <v>301</v>
      </c>
      <c r="F5043" s="68" t="s">
        <v>297</v>
      </c>
      <c r="G5043" s="68"/>
      <c r="H5043" s="68"/>
      <c r="I5043" s="69">
        <v>1458006.4347788929</v>
      </c>
    </row>
    <row r="5044" spans="1:9" hidden="1">
      <c r="A5044" s="64" t="s">
        <v>295</v>
      </c>
      <c r="B5044" s="65">
        <v>2047</v>
      </c>
      <c r="C5044" s="65">
        <v>2023</v>
      </c>
      <c r="D5044" s="65" t="s">
        <v>313</v>
      </c>
      <c r="E5044" s="65" t="s">
        <v>301</v>
      </c>
      <c r="F5044" s="65" t="s">
        <v>298</v>
      </c>
      <c r="G5044" s="65"/>
      <c r="H5044" s="65"/>
      <c r="I5044" s="66">
        <v>688463.0217275226</v>
      </c>
    </row>
    <row r="5045" spans="1:9" hidden="1">
      <c r="A5045" s="67" t="s">
        <v>295</v>
      </c>
      <c r="B5045" s="68">
        <v>2047</v>
      </c>
      <c r="C5045" s="68">
        <v>2023</v>
      </c>
      <c r="D5045" s="68" t="s">
        <v>313</v>
      </c>
      <c r="E5045" s="68" t="s">
        <v>301</v>
      </c>
      <c r="F5045" s="68" t="s">
        <v>40</v>
      </c>
      <c r="G5045" s="68"/>
      <c r="H5045" s="68"/>
      <c r="I5045" s="69">
        <v>2165042.917831318</v>
      </c>
    </row>
    <row r="5046" spans="1:9" hidden="1">
      <c r="A5046" s="64" t="s">
        <v>295</v>
      </c>
      <c r="B5046" s="65">
        <v>2047</v>
      </c>
      <c r="C5046" s="65">
        <v>2023</v>
      </c>
      <c r="D5046" s="65" t="s">
        <v>313</v>
      </c>
      <c r="E5046" s="65" t="s">
        <v>305</v>
      </c>
      <c r="F5046" s="65" t="s">
        <v>297</v>
      </c>
      <c r="G5046" s="65"/>
      <c r="H5046" s="65"/>
      <c r="I5046" s="66">
        <v>17476.97579</v>
      </c>
    </row>
    <row r="5047" spans="1:9" hidden="1">
      <c r="A5047" s="67" t="s">
        <v>295</v>
      </c>
      <c r="B5047" s="68">
        <v>2047</v>
      </c>
      <c r="C5047" s="68">
        <v>2023</v>
      </c>
      <c r="D5047" s="68" t="s">
        <v>313</v>
      </c>
      <c r="E5047" s="68" t="s">
        <v>305</v>
      </c>
      <c r="F5047" s="68" t="s">
        <v>298</v>
      </c>
      <c r="G5047" s="68"/>
      <c r="H5047" s="68"/>
      <c r="I5047" s="69">
        <v>9620.2127300000011</v>
      </c>
    </row>
    <row r="5048" spans="1:9" hidden="1">
      <c r="A5048" s="64" t="s">
        <v>295</v>
      </c>
      <c r="B5048" s="65">
        <v>2047</v>
      </c>
      <c r="C5048" s="65">
        <v>2023</v>
      </c>
      <c r="D5048" s="65" t="s">
        <v>313</v>
      </c>
      <c r="E5048" s="65" t="s">
        <v>305</v>
      </c>
      <c r="F5048" s="65" t="s">
        <v>40</v>
      </c>
      <c r="G5048" s="65"/>
      <c r="H5048" s="65"/>
      <c r="I5048" s="66">
        <v>226452.60044000001</v>
      </c>
    </row>
    <row r="5049" spans="1:9" hidden="1">
      <c r="A5049" s="67" t="s">
        <v>295</v>
      </c>
      <c r="B5049" s="68">
        <v>2047</v>
      </c>
      <c r="C5049" s="68">
        <v>2023</v>
      </c>
      <c r="D5049" s="68" t="s">
        <v>314</v>
      </c>
      <c r="E5049" s="68" t="s">
        <v>294</v>
      </c>
      <c r="F5049" s="68" t="s">
        <v>297</v>
      </c>
      <c r="G5049" s="68"/>
      <c r="H5049" s="68"/>
      <c r="I5049" s="69">
        <v>1250588.2482408709</v>
      </c>
    </row>
    <row r="5050" spans="1:9" hidden="1">
      <c r="A5050" s="64" t="s">
        <v>295</v>
      </c>
      <c r="B5050" s="65">
        <v>2047</v>
      </c>
      <c r="C5050" s="65">
        <v>2023</v>
      </c>
      <c r="D5050" s="65" t="s">
        <v>314</v>
      </c>
      <c r="E5050" s="65" t="s">
        <v>294</v>
      </c>
      <c r="F5050" s="65" t="s">
        <v>298</v>
      </c>
      <c r="G5050" s="65"/>
      <c r="H5050" s="65"/>
      <c r="I5050" s="66">
        <v>598765.47469748626</v>
      </c>
    </row>
    <row r="5051" spans="1:9" hidden="1">
      <c r="A5051" s="67" t="s">
        <v>295</v>
      </c>
      <c r="B5051" s="68">
        <v>2047</v>
      </c>
      <c r="C5051" s="68">
        <v>2023</v>
      </c>
      <c r="D5051" s="68" t="s">
        <v>314</v>
      </c>
      <c r="E5051" s="68" t="s">
        <v>294</v>
      </c>
      <c r="F5051" s="68" t="s">
        <v>40</v>
      </c>
      <c r="G5051" s="68"/>
      <c r="H5051" s="68"/>
      <c r="I5051" s="69">
        <v>1614452.409778269</v>
      </c>
    </row>
    <row r="5052" spans="1:9" hidden="1">
      <c r="A5052" s="64" t="s">
        <v>295</v>
      </c>
      <c r="B5052" s="65">
        <v>2047</v>
      </c>
      <c r="C5052" s="65">
        <v>2023</v>
      </c>
      <c r="D5052" s="65" t="s">
        <v>314</v>
      </c>
      <c r="E5052" s="65" t="s">
        <v>301</v>
      </c>
      <c r="F5052" s="65" t="s">
        <v>297</v>
      </c>
      <c r="G5052" s="65"/>
      <c r="H5052" s="65"/>
      <c r="I5052" s="66">
        <v>1458006.334778893</v>
      </c>
    </row>
    <row r="5053" spans="1:9" hidden="1">
      <c r="A5053" s="67" t="s">
        <v>295</v>
      </c>
      <c r="B5053" s="68">
        <v>2047</v>
      </c>
      <c r="C5053" s="68">
        <v>2023</v>
      </c>
      <c r="D5053" s="68" t="s">
        <v>314</v>
      </c>
      <c r="E5053" s="68" t="s">
        <v>301</v>
      </c>
      <c r="F5053" s="68" t="s">
        <v>298</v>
      </c>
      <c r="G5053" s="68"/>
      <c r="H5053" s="68"/>
      <c r="I5053" s="69">
        <v>688463.1217275227</v>
      </c>
    </row>
    <row r="5054" spans="1:9" hidden="1">
      <c r="A5054" s="64" t="s">
        <v>295</v>
      </c>
      <c r="B5054" s="65">
        <v>2047</v>
      </c>
      <c r="C5054" s="65">
        <v>2023</v>
      </c>
      <c r="D5054" s="65" t="s">
        <v>314</v>
      </c>
      <c r="E5054" s="65" t="s">
        <v>301</v>
      </c>
      <c r="F5054" s="65" t="s">
        <v>40</v>
      </c>
      <c r="G5054" s="65"/>
      <c r="H5054" s="65"/>
      <c r="I5054" s="66">
        <v>1951292.6112817309</v>
      </c>
    </row>
    <row r="5055" spans="1:9" hidden="1">
      <c r="A5055" s="67" t="s">
        <v>295</v>
      </c>
      <c r="B5055" s="68">
        <v>2047</v>
      </c>
      <c r="C5055" s="68">
        <v>2023</v>
      </c>
      <c r="D5055" s="68" t="s">
        <v>314</v>
      </c>
      <c r="E5055" s="68" t="s">
        <v>305</v>
      </c>
      <c r="F5055" s="68" t="s">
        <v>297</v>
      </c>
      <c r="G5055" s="68"/>
      <c r="H5055" s="68"/>
      <c r="I5055" s="69">
        <v>17476.97579</v>
      </c>
    </row>
    <row r="5056" spans="1:9" hidden="1">
      <c r="A5056" s="64" t="s">
        <v>295</v>
      </c>
      <c r="B5056" s="65">
        <v>2047</v>
      </c>
      <c r="C5056" s="65">
        <v>2023</v>
      </c>
      <c r="D5056" s="65" t="s">
        <v>314</v>
      </c>
      <c r="E5056" s="65" t="s">
        <v>305</v>
      </c>
      <c r="F5056" s="65" t="s">
        <v>298</v>
      </c>
      <c r="G5056" s="65"/>
      <c r="H5056" s="65"/>
      <c r="I5056" s="66">
        <v>9620.2127300000011</v>
      </c>
    </row>
    <row r="5057" spans="1:9" hidden="1">
      <c r="A5057" s="67" t="s">
        <v>295</v>
      </c>
      <c r="B5057" s="68">
        <v>2047</v>
      </c>
      <c r="C5057" s="68">
        <v>2023</v>
      </c>
      <c r="D5057" s="68" t="s">
        <v>314</v>
      </c>
      <c r="E5057" s="68" t="s">
        <v>305</v>
      </c>
      <c r="F5057" s="68" t="s">
        <v>40</v>
      </c>
      <c r="G5057" s="68"/>
      <c r="H5057" s="68"/>
      <c r="I5057" s="69">
        <v>218148.60816999999</v>
      </c>
    </row>
    <row r="5058" spans="1:9" hidden="1">
      <c r="A5058" s="64" t="s">
        <v>295</v>
      </c>
      <c r="B5058" s="65">
        <v>2048</v>
      </c>
      <c r="C5058" s="65">
        <v>2023</v>
      </c>
      <c r="D5058" s="65" t="s">
        <v>296</v>
      </c>
      <c r="E5058" s="65" t="s">
        <v>294</v>
      </c>
      <c r="F5058" s="65" t="s">
        <v>297</v>
      </c>
      <c r="G5058" s="65"/>
      <c r="H5058" s="65"/>
      <c r="I5058" s="66">
        <v>792948.54378051998</v>
      </c>
    </row>
    <row r="5059" spans="1:9" hidden="1">
      <c r="A5059" s="67" t="s">
        <v>295</v>
      </c>
      <c r="B5059" s="68">
        <v>2048</v>
      </c>
      <c r="C5059" s="68">
        <v>2023</v>
      </c>
      <c r="D5059" s="68" t="s">
        <v>296</v>
      </c>
      <c r="E5059" s="68" t="s">
        <v>294</v>
      </c>
      <c r="F5059" s="68" t="s">
        <v>298</v>
      </c>
      <c r="G5059" s="68"/>
      <c r="H5059" s="68"/>
      <c r="I5059" s="69">
        <v>427438.81118482101</v>
      </c>
    </row>
    <row r="5060" spans="1:9" hidden="1">
      <c r="A5060" s="64" t="s">
        <v>295</v>
      </c>
      <c r="B5060" s="65">
        <v>2048</v>
      </c>
      <c r="C5060" s="65">
        <v>2023</v>
      </c>
      <c r="D5060" s="65" t="s">
        <v>296</v>
      </c>
      <c r="E5060" s="65" t="s">
        <v>294</v>
      </c>
      <c r="F5060" s="65" t="s">
        <v>40</v>
      </c>
      <c r="G5060" s="65"/>
      <c r="H5060" s="65"/>
      <c r="I5060" s="66">
        <v>1237575.138498256</v>
      </c>
    </row>
    <row r="5061" spans="1:9" hidden="1">
      <c r="A5061" s="67" t="s">
        <v>295</v>
      </c>
      <c r="B5061" s="68">
        <v>2048</v>
      </c>
      <c r="C5061" s="68">
        <v>2023</v>
      </c>
      <c r="D5061" s="68" t="s">
        <v>296</v>
      </c>
      <c r="E5061" s="68" t="s">
        <v>301</v>
      </c>
      <c r="F5061" s="68" t="s">
        <v>297</v>
      </c>
      <c r="G5061" s="68"/>
      <c r="H5061" s="68"/>
      <c r="I5061" s="69">
        <v>975769.68947766651</v>
      </c>
    </row>
    <row r="5062" spans="1:9" hidden="1">
      <c r="A5062" s="64" t="s">
        <v>295</v>
      </c>
      <c r="B5062" s="65">
        <v>2048</v>
      </c>
      <c r="C5062" s="65">
        <v>2023</v>
      </c>
      <c r="D5062" s="65" t="s">
        <v>296</v>
      </c>
      <c r="E5062" s="65" t="s">
        <v>301</v>
      </c>
      <c r="F5062" s="65" t="s">
        <v>298</v>
      </c>
      <c r="G5062" s="65"/>
      <c r="H5062" s="65"/>
      <c r="I5062" s="66">
        <v>507579.17513257952</v>
      </c>
    </row>
    <row r="5063" spans="1:9" hidden="1">
      <c r="A5063" s="67" t="s">
        <v>295</v>
      </c>
      <c r="B5063" s="68">
        <v>2048</v>
      </c>
      <c r="C5063" s="68">
        <v>2023</v>
      </c>
      <c r="D5063" s="68" t="s">
        <v>296</v>
      </c>
      <c r="E5063" s="68" t="s">
        <v>301</v>
      </c>
      <c r="F5063" s="68" t="s">
        <v>40</v>
      </c>
      <c r="G5063" s="68"/>
      <c r="H5063" s="68"/>
      <c r="I5063" s="69">
        <v>1502403.2754002269</v>
      </c>
    </row>
    <row r="5064" spans="1:9" hidden="1">
      <c r="A5064" s="64" t="s">
        <v>295</v>
      </c>
      <c r="B5064" s="65">
        <v>2048</v>
      </c>
      <c r="C5064" s="65">
        <v>2023</v>
      </c>
      <c r="D5064" s="65" t="s">
        <v>296</v>
      </c>
      <c r="E5064" s="65" t="s">
        <v>305</v>
      </c>
      <c r="F5064" s="65" t="s">
        <v>297</v>
      </c>
      <c r="G5064" s="65"/>
      <c r="H5064" s="65"/>
      <c r="I5064" s="66">
        <v>12441.936229999999</v>
      </c>
    </row>
    <row r="5065" spans="1:9" hidden="1">
      <c r="A5065" s="67" t="s">
        <v>295</v>
      </c>
      <c r="B5065" s="68">
        <v>2048</v>
      </c>
      <c r="C5065" s="68">
        <v>2023</v>
      </c>
      <c r="D5065" s="68" t="s">
        <v>296</v>
      </c>
      <c r="E5065" s="68" t="s">
        <v>305</v>
      </c>
      <c r="F5065" s="68" t="s">
        <v>298</v>
      </c>
      <c r="G5065" s="68"/>
      <c r="H5065" s="68"/>
      <c r="I5065" s="69">
        <v>8870.9912899999999</v>
      </c>
    </row>
    <row r="5066" spans="1:9" hidden="1">
      <c r="A5066" s="64" t="s">
        <v>295</v>
      </c>
      <c r="B5066" s="65">
        <v>2048</v>
      </c>
      <c r="C5066" s="65">
        <v>2023</v>
      </c>
      <c r="D5066" s="65" t="s">
        <v>296</v>
      </c>
      <c r="E5066" s="65" t="s">
        <v>305</v>
      </c>
      <c r="F5066" s="65" t="s">
        <v>40</v>
      </c>
      <c r="G5066" s="65"/>
      <c r="H5066" s="65"/>
      <c r="I5066" s="66">
        <v>159027.29042</v>
      </c>
    </row>
    <row r="5067" spans="1:9" hidden="1">
      <c r="A5067" s="67" t="s">
        <v>295</v>
      </c>
      <c r="B5067" s="68">
        <v>2048</v>
      </c>
      <c r="C5067" s="68">
        <v>2023</v>
      </c>
      <c r="D5067" s="68" t="s">
        <v>309</v>
      </c>
      <c r="E5067" s="68" t="s">
        <v>294</v>
      </c>
      <c r="F5067" s="68" t="s">
        <v>297</v>
      </c>
      <c r="G5067" s="68"/>
      <c r="H5067" s="68"/>
      <c r="I5067" s="69">
        <v>40981.815285244782</v>
      </c>
    </row>
    <row r="5068" spans="1:9" hidden="1">
      <c r="A5068" s="64" t="s">
        <v>295</v>
      </c>
      <c r="B5068" s="65">
        <v>2048</v>
      </c>
      <c r="C5068" s="65">
        <v>2023</v>
      </c>
      <c r="D5068" s="65" t="s">
        <v>309</v>
      </c>
      <c r="E5068" s="65" t="s">
        <v>294</v>
      </c>
      <c r="F5068" s="65" t="s">
        <v>298</v>
      </c>
      <c r="G5068" s="65"/>
      <c r="H5068" s="65"/>
      <c r="I5068" s="66">
        <v>255849.24143267609</v>
      </c>
    </row>
    <row r="5069" spans="1:9" hidden="1">
      <c r="A5069" s="67" t="s">
        <v>295</v>
      </c>
      <c r="B5069" s="68">
        <v>2048</v>
      </c>
      <c r="C5069" s="68">
        <v>2023</v>
      </c>
      <c r="D5069" s="68" t="s">
        <v>309</v>
      </c>
      <c r="E5069" s="68" t="s">
        <v>294</v>
      </c>
      <c r="F5069" s="68" t="s">
        <v>40</v>
      </c>
      <c r="G5069" s="68"/>
      <c r="H5069" s="68"/>
      <c r="I5069" s="69">
        <v>296298.31818101788</v>
      </c>
    </row>
    <row r="5070" spans="1:9" hidden="1">
      <c r="A5070" s="64" t="s">
        <v>295</v>
      </c>
      <c r="B5070" s="65">
        <v>2048</v>
      </c>
      <c r="C5070" s="65">
        <v>2023</v>
      </c>
      <c r="D5070" s="65" t="s">
        <v>309</v>
      </c>
      <c r="E5070" s="65" t="s">
        <v>301</v>
      </c>
      <c r="F5070" s="65" t="s">
        <v>297</v>
      </c>
      <c r="G5070" s="65"/>
      <c r="H5070" s="65"/>
      <c r="I5070" s="66">
        <v>39448.494093026187</v>
      </c>
    </row>
    <row r="5071" spans="1:9" hidden="1">
      <c r="A5071" s="67" t="s">
        <v>295</v>
      </c>
      <c r="B5071" s="68">
        <v>2048</v>
      </c>
      <c r="C5071" s="68">
        <v>2023</v>
      </c>
      <c r="D5071" s="68" t="s">
        <v>309</v>
      </c>
      <c r="E5071" s="68" t="s">
        <v>301</v>
      </c>
      <c r="F5071" s="68" t="s">
        <v>298</v>
      </c>
      <c r="G5071" s="68"/>
      <c r="H5071" s="68"/>
      <c r="I5071" s="69">
        <v>305305.38006897812</v>
      </c>
    </row>
    <row r="5072" spans="1:9" hidden="1">
      <c r="A5072" s="64" t="s">
        <v>295</v>
      </c>
      <c r="B5072" s="65">
        <v>2048</v>
      </c>
      <c r="C5072" s="65">
        <v>2023</v>
      </c>
      <c r="D5072" s="65" t="s">
        <v>309</v>
      </c>
      <c r="E5072" s="65" t="s">
        <v>301</v>
      </c>
      <c r="F5072" s="65" t="s">
        <v>40</v>
      </c>
      <c r="G5072" s="65"/>
      <c r="H5072" s="65"/>
      <c r="I5072" s="66">
        <v>344290.78555319092</v>
      </c>
    </row>
    <row r="5073" spans="1:9" hidden="1">
      <c r="A5073" s="67" t="s">
        <v>295</v>
      </c>
      <c r="B5073" s="68">
        <v>2048</v>
      </c>
      <c r="C5073" s="68">
        <v>2023</v>
      </c>
      <c r="D5073" s="68" t="s">
        <v>309</v>
      </c>
      <c r="E5073" s="68" t="s">
        <v>305</v>
      </c>
      <c r="F5073" s="68" t="s">
        <v>297</v>
      </c>
      <c r="G5073" s="68"/>
      <c r="H5073" s="68"/>
      <c r="I5073" s="69">
        <v>37.262569999999997</v>
      </c>
    </row>
    <row r="5074" spans="1:9" hidden="1">
      <c r="A5074" s="64" t="s">
        <v>295</v>
      </c>
      <c r="B5074" s="65">
        <v>2048</v>
      </c>
      <c r="C5074" s="65">
        <v>2023</v>
      </c>
      <c r="D5074" s="65" t="s">
        <v>309</v>
      </c>
      <c r="E5074" s="65" t="s">
        <v>305</v>
      </c>
      <c r="F5074" s="65" t="s">
        <v>298</v>
      </c>
      <c r="G5074" s="65"/>
      <c r="H5074" s="65"/>
      <c r="I5074" s="66">
        <v>7280.0512900000003</v>
      </c>
    </row>
    <row r="5075" spans="1:9" hidden="1">
      <c r="A5075" s="67" t="s">
        <v>295</v>
      </c>
      <c r="B5075" s="68">
        <v>2048</v>
      </c>
      <c r="C5075" s="68">
        <v>2023</v>
      </c>
      <c r="D5075" s="68" t="s">
        <v>309</v>
      </c>
      <c r="E5075" s="68" t="s">
        <v>305</v>
      </c>
      <c r="F5075" s="68" t="s">
        <v>40</v>
      </c>
      <c r="G5075" s="68"/>
      <c r="H5075" s="68"/>
      <c r="I5075" s="69">
        <v>48290.813860000002</v>
      </c>
    </row>
    <row r="5076" spans="1:9" hidden="1">
      <c r="A5076" s="64" t="s">
        <v>295</v>
      </c>
      <c r="B5076" s="65">
        <v>2048</v>
      </c>
      <c r="C5076" s="65">
        <v>2023</v>
      </c>
      <c r="D5076" s="65" t="s">
        <v>315</v>
      </c>
      <c r="E5076" s="65" t="s">
        <v>294</v>
      </c>
      <c r="F5076" s="65" t="s">
        <v>297</v>
      </c>
      <c r="G5076" s="65"/>
      <c r="H5076" s="65"/>
      <c r="I5076" s="66">
        <v>93754.697411503003</v>
      </c>
    </row>
    <row r="5077" spans="1:9" hidden="1">
      <c r="A5077" s="67" t="s">
        <v>295</v>
      </c>
      <c r="B5077" s="68">
        <v>2048</v>
      </c>
      <c r="C5077" s="68">
        <v>2023</v>
      </c>
      <c r="D5077" s="68" t="s">
        <v>315</v>
      </c>
      <c r="E5077" s="68" t="s">
        <v>294</v>
      </c>
      <c r="F5077" s="68" t="s">
        <v>298</v>
      </c>
      <c r="G5077" s="68"/>
      <c r="H5077" s="68"/>
      <c r="I5077" s="69">
        <v>157316.40866979229</v>
      </c>
    </row>
    <row r="5078" spans="1:9" hidden="1">
      <c r="A5078" s="64" t="s">
        <v>295</v>
      </c>
      <c r="B5078" s="65">
        <v>2048</v>
      </c>
      <c r="C5078" s="65">
        <v>2023</v>
      </c>
      <c r="D5078" s="65" t="s">
        <v>315</v>
      </c>
      <c r="E5078" s="65" t="s">
        <v>294</v>
      </c>
      <c r="F5078" s="65" t="s">
        <v>40</v>
      </c>
      <c r="G5078" s="65"/>
      <c r="H5078" s="65"/>
      <c r="I5078" s="66">
        <v>250496.59758950109</v>
      </c>
    </row>
    <row r="5079" spans="1:9" hidden="1">
      <c r="A5079" s="67" t="s">
        <v>295</v>
      </c>
      <c r="B5079" s="68">
        <v>2048</v>
      </c>
      <c r="C5079" s="68">
        <v>2023</v>
      </c>
      <c r="D5079" s="68" t="s">
        <v>315</v>
      </c>
      <c r="E5079" s="68" t="s">
        <v>301</v>
      </c>
      <c r="F5079" s="68" t="s">
        <v>297</v>
      </c>
      <c r="G5079" s="68"/>
      <c r="H5079" s="68"/>
      <c r="I5079" s="69">
        <v>101485.9652667631</v>
      </c>
    </row>
    <row r="5080" spans="1:9" hidden="1">
      <c r="A5080" s="64" t="s">
        <v>295</v>
      </c>
      <c r="B5080" s="65">
        <v>2048</v>
      </c>
      <c r="C5080" s="65">
        <v>2023</v>
      </c>
      <c r="D5080" s="65" t="s">
        <v>315</v>
      </c>
      <c r="E5080" s="65" t="s">
        <v>301</v>
      </c>
      <c r="F5080" s="65" t="s">
        <v>298</v>
      </c>
      <c r="G5080" s="65"/>
      <c r="H5080" s="65"/>
      <c r="I5080" s="66">
        <v>185857.21971234921</v>
      </c>
    </row>
    <row r="5081" spans="1:9" hidden="1">
      <c r="A5081" s="67" t="s">
        <v>295</v>
      </c>
      <c r="B5081" s="68">
        <v>2048</v>
      </c>
      <c r="C5081" s="68">
        <v>2023</v>
      </c>
      <c r="D5081" s="68" t="s">
        <v>315</v>
      </c>
      <c r="E5081" s="68" t="s">
        <v>301</v>
      </c>
      <c r="F5081" s="68" t="s">
        <v>40</v>
      </c>
      <c r="G5081" s="68"/>
      <c r="H5081" s="68"/>
      <c r="I5081" s="69">
        <v>286778.91786531277</v>
      </c>
    </row>
    <row r="5082" spans="1:9" hidden="1">
      <c r="A5082" s="64" t="s">
        <v>295</v>
      </c>
      <c r="B5082" s="65">
        <v>2048</v>
      </c>
      <c r="C5082" s="65">
        <v>2023</v>
      </c>
      <c r="D5082" s="65" t="s">
        <v>315</v>
      </c>
      <c r="E5082" s="65" t="s">
        <v>305</v>
      </c>
      <c r="F5082" s="65" t="s">
        <v>297</v>
      </c>
      <c r="G5082" s="65"/>
      <c r="H5082" s="65"/>
      <c r="I5082" s="66">
        <v>1171.24944</v>
      </c>
    </row>
    <row r="5083" spans="1:9" hidden="1">
      <c r="A5083" s="67" t="s">
        <v>295</v>
      </c>
      <c r="B5083" s="68">
        <v>2048</v>
      </c>
      <c r="C5083" s="68">
        <v>2023</v>
      </c>
      <c r="D5083" s="68" t="s">
        <v>315</v>
      </c>
      <c r="E5083" s="68" t="s">
        <v>305</v>
      </c>
      <c r="F5083" s="68" t="s">
        <v>298</v>
      </c>
      <c r="G5083" s="68"/>
      <c r="H5083" s="68"/>
      <c r="I5083" s="69">
        <v>1521.04</v>
      </c>
    </row>
    <row r="5084" spans="1:9" hidden="1">
      <c r="A5084" s="64" t="s">
        <v>295</v>
      </c>
      <c r="B5084" s="65">
        <v>2048</v>
      </c>
      <c r="C5084" s="65">
        <v>2023</v>
      </c>
      <c r="D5084" s="65" t="s">
        <v>315</v>
      </c>
      <c r="E5084" s="65" t="s">
        <v>305</v>
      </c>
      <c r="F5084" s="65" t="s">
        <v>40</v>
      </c>
      <c r="G5084" s="65"/>
      <c r="H5084" s="65"/>
      <c r="I5084" s="66">
        <v>23362.26944</v>
      </c>
    </row>
    <row r="5085" spans="1:9" hidden="1">
      <c r="A5085" s="67" t="s">
        <v>295</v>
      </c>
      <c r="B5085" s="68">
        <v>2048</v>
      </c>
      <c r="C5085" s="68">
        <v>2023</v>
      </c>
      <c r="D5085" s="68" t="s">
        <v>316</v>
      </c>
      <c r="E5085" s="68" t="s">
        <v>294</v>
      </c>
      <c r="F5085" s="68" t="s">
        <v>297</v>
      </c>
      <c r="G5085" s="68"/>
      <c r="H5085" s="68"/>
      <c r="I5085" s="69">
        <v>370987.72030841652</v>
      </c>
    </row>
    <row r="5086" spans="1:9" hidden="1">
      <c r="A5086" s="64" t="s">
        <v>295</v>
      </c>
      <c r="B5086" s="65">
        <v>2048</v>
      </c>
      <c r="C5086" s="65">
        <v>2023</v>
      </c>
      <c r="D5086" s="65" t="s">
        <v>316</v>
      </c>
      <c r="E5086" s="65" t="s">
        <v>294</v>
      </c>
      <c r="F5086" s="65" t="s">
        <v>298</v>
      </c>
      <c r="G5086" s="65"/>
      <c r="H5086" s="65"/>
      <c r="I5086" s="66">
        <v>3238.0188657150279</v>
      </c>
    </row>
    <row r="5087" spans="1:9" hidden="1">
      <c r="A5087" s="67" t="s">
        <v>295</v>
      </c>
      <c r="B5087" s="68">
        <v>2048</v>
      </c>
      <c r="C5087" s="68">
        <v>2023</v>
      </c>
      <c r="D5087" s="68" t="s">
        <v>316</v>
      </c>
      <c r="E5087" s="68" t="s">
        <v>294</v>
      </c>
      <c r="F5087" s="68" t="s">
        <v>40</v>
      </c>
      <c r="G5087" s="68"/>
      <c r="H5087" s="68"/>
      <c r="I5087" s="69">
        <v>392018.28461871791</v>
      </c>
    </row>
    <row r="5088" spans="1:9" hidden="1">
      <c r="A5088" s="64" t="s">
        <v>295</v>
      </c>
      <c r="B5088" s="65">
        <v>2048</v>
      </c>
      <c r="C5088" s="65">
        <v>2023</v>
      </c>
      <c r="D5088" s="65" t="s">
        <v>316</v>
      </c>
      <c r="E5088" s="65" t="s">
        <v>301</v>
      </c>
      <c r="F5088" s="65" t="s">
        <v>297</v>
      </c>
      <c r="G5088" s="65"/>
      <c r="H5088" s="65"/>
      <c r="I5088" s="66">
        <v>475417.43009545287</v>
      </c>
    </row>
    <row r="5089" spans="1:9" hidden="1">
      <c r="A5089" s="67" t="s">
        <v>295</v>
      </c>
      <c r="B5089" s="68">
        <v>2048</v>
      </c>
      <c r="C5089" s="68">
        <v>2023</v>
      </c>
      <c r="D5089" s="68" t="s">
        <v>316</v>
      </c>
      <c r="E5089" s="68" t="s">
        <v>301</v>
      </c>
      <c r="F5089" s="68" t="s">
        <v>298</v>
      </c>
      <c r="G5089" s="68"/>
      <c r="H5089" s="68"/>
      <c r="I5089" s="69">
        <v>3562.92912366071</v>
      </c>
    </row>
    <row r="5090" spans="1:9" hidden="1">
      <c r="A5090" s="64" t="s">
        <v>295</v>
      </c>
      <c r="B5090" s="65">
        <v>2048</v>
      </c>
      <c r="C5090" s="65">
        <v>2023</v>
      </c>
      <c r="D5090" s="65" t="s">
        <v>316</v>
      </c>
      <c r="E5090" s="65" t="s">
        <v>301</v>
      </c>
      <c r="F5090" s="65" t="s">
        <v>40</v>
      </c>
      <c r="G5090" s="65"/>
      <c r="H5090" s="65"/>
      <c r="I5090" s="66">
        <v>498559.99406961608</v>
      </c>
    </row>
    <row r="5091" spans="1:9" hidden="1">
      <c r="A5091" s="67" t="s">
        <v>295</v>
      </c>
      <c r="B5091" s="68">
        <v>2048</v>
      </c>
      <c r="C5091" s="68">
        <v>2023</v>
      </c>
      <c r="D5091" s="68" t="s">
        <v>316</v>
      </c>
      <c r="E5091" s="68" t="s">
        <v>305</v>
      </c>
      <c r="F5091" s="68" t="s">
        <v>297</v>
      </c>
      <c r="G5091" s="68"/>
      <c r="H5091" s="68"/>
      <c r="I5091" s="69">
        <v>9350.5568300000014</v>
      </c>
    </row>
    <row r="5092" spans="1:9" hidden="1">
      <c r="A5092" s="64" t="s">
        <v>295</v>
      </c>
      <c r="B5092" s="65">
        <v>2048</v>
      </c>
      <c r="C5092" s="65">
        <v>2023</v>
      </c>
      <c r="D5092" s="65" t="s">
        <v>316</v>
      </c>
      <c r="E5092" s="65" t="s">
        <v>305</v>
      </c>
      <c r="F5092" s="65" t="s">
        <v>298</v>
      </c>
      <c r="G5092" s="65"/>
      <c r="H5092" s="65"/>
      <c r="I5092" s="66">
        <v>0</v>
      </c>
    </row>
    <row r="5093" spans="1:9" hidden="1">
      <c r="A5093" s="67" t="s">
        <v>295</v>
      </c>
      <c r="B5093" s="68">
        <v>2048</v>
      </c>
      <c r="C5093" s="68">
        <v>2023</v>
      </c>
      <c r="D5093" s="68" t="s">
        <v>316</v>
      </c>
      <c r="E5093" s="68" t="s">
        <v>305</v>
      </c>
      <c r="F5093" s="68" t="s">
        <v>40</v>
      </c>
      <c r="G5093" s="68"/>
      <c r="H5093" s="68"/>
      <c r="I5093" s="69">
        <v>45744.419720000013</v>
      </c>
    </row>
    <row r="5094" spans="1:9" hidden="1">
      <c r="A5094" s="64" t="s">
        <v>295</v>
      </c>
      <c r="B5094" s="65">
        <v>2048</v>
      </c>
      <c r="C5094" s="65">
        <v>2023</v>
      </c>
      <c r="D5094" s="65" t="s">
        <v>317</v>
      </c>
      <c r="E5094" s="65" t="s">
        <v>294</v>
      </c>
      <c r="F5094" s="65" t="s">
        <v>297</v>
      </c>
      <c r="G5094" s="65"/>
      <c r="H5094" s="65"/>
      <c r="I5094" s="66">
        <v>244.82614324113899</v>
      </c>
    </row>
    <row r="5095" spans="1:9" hidden="1">
      <c r="A5095" s="67" t="s">
        <v>295</v>
      </c>
      <c r="B5095" s="68">
        <v>2048</v>
      </c>
      <c r="C5095" s="68">
        <v>2023</v>
      </c>
      <c r="D5095" s="68" t="s">
        <v>317</v>
      </c>
      <c r="E5095" s="68" t="s">
        <v>294</v>
      </c>
      <c r="F5095" s="68" t="s">
        <v>298</v>
      </c>
      <c r="G5095" s="68"/>
      <c r="H5095" s="68"/>
      <c r="I5095" s="69">
        <v>0</v>
      </c>
    </row>
    <row r="5096" spans="1:9" hidden="1">
      <c r="A5096" s="64" t="s">
        <v>295</v>
      </c>
      <c r="B5096" s="65">
        <v>2048</v>
      </c>
      <c r="C5096" s="65">
        <v>2023</v>
      </c>
      <c r="D5096" s="65" t="s">
        <v>317</v>
      </c>
      <c r="E5096" s="65" t="s">
        <v>294</v>
      </c>
      <c r="F5096" s="65" t="s">
        <v>40</v>
      </c>
      <c r="G5096" s="65"/>
      <c r="H5096" s="65"/>
      <c r="I5096" s="66">
        <v>17588.41965934234</v>
      </c>
    </row>
    <row r="5097" spans="1:9" hidden="1">
      <c r="A5097" s="67" t="s">
        <v>295</v>
      </c>
      <c r="B5097" s="68">
        <v>2048</v>
      </c>
      <c r="C5097" s="68">
        <v>2023</v>
      </c>
      <c r="D5097" s="68" t="s">
        <v>317</v>
      </c>
      <c r="E5097" s="68" t="s">
        <v>301</v>
      </c>
      <c r="F5097" s="68" t="s">
        <v>297</v>
      </c>
      <c r="G5097" s="68"/>
      <c r="H5097" s="68"/>
      <c r="I5097" s="69">
        <v>257.99817196937522</v>
      </c>
    </row>
    <row r="5098" spans="1:9" hidden="1">
      <c r="A5098" s="64" t="s">
        <v>295</v>
      </c>
      <c r="B5098" s="65">
        <v>2048</v>
      </c>
      <c r="C5098" s="65">
        <v>2023</v>
      </c>
      <c r="D5098" s="65" t="s">
        <v>317</v>
      </c>
      <c r="E5098" s="65" t="s">
        <v>301</v>
      </c>
      <c r="F5098" s="65" t="s">
        <v>298</v>
      </c>
      <c r="G5098" s="65"/>
      <c r="H5098" s="65"/>
      <c r="I5098" s="66">
        <v>0</v>
      </c>
    </row>
    <row r="5099" spans="1:9" hidden="1">
      <c r="A5099" s="67" t="s">
        <v>295</v>
      </c>
      <c r="B5099" s="68">
        <v>2048</v>
      </c>
      <c r="C5099" s="68">
        <v>2023</v>
      </c>
      <c r="D5099" s="68" t="s">
        <v>317</v>
      </c>
      <c r="E5099" s="68" t="s">
        <v>301</v>
      </c>
      <c r="F5099" s="68" t="s">
        <v>40</v>
      </c>
      <c r="G5099" s="68"/>
      <c r="H5099" s="68"/>
      <c r="I5099" s="69">
        <v>19325.120197751599</v>
      </c>
    </row>
    <row r="5100" spans="1:9" hidden="1">
      <c r="A5100" s="64" t="s">
        <v>295</v>
      </c>
      <c r="B5100" s="65">
        <v>2048</v>
      </c>
      <c r="C5100" s="65">
        <v>2023</v>
      </c>
      <c r="D5100" s="65" t="s">
        <v>317</v>
      </c>
      <c r="E5100" s="65" t="s">
        <v>305</v>
      </c>
      <c r="F5100" s="65" t="s">
        <v>297</v>
      </c>
      <c r="G5100" s="65"/>
      <c r="H5100" s="65"/>
      <c r="I5100" s="66">
        <v>1.3820000000000001E-2</v>
      </c>
    </row>
    <row r="5101" spans="1:9" hidden="1">
      <c r="A5101" s="67" t="s">
        <v>295</v>
      </c>
      <c r="B5101" s="68">
        <v>2048</v>
      </c>
      <c r="C5101" s="68">
        <v>2023</v>
      </c>
      <c r="D5101" s="68" t="s">
        <v>317</v>
      </c>
      <c r="E5101" s="68" t="s">
        <v>305</v>
      </c>
      <c r="F5101" s="68" t="s">
        <v>40</v>
      </c>
      <c r="G5101" s="68"/>
      <c r="H5101" s="68"/>
      <c r="I5101" s="69">
        <v>538.23671000000002</v>
      </c>
    </row>
    <row r="5102" spans="1:9" hidden="1">
      <c r="A5102" s="64" t="s">
        <v>295</v>
      </c>
      <c r="B5102" s="65">
        <v>2048</v>
      </c>
      <c r="C5102" s="65">
        <v>2023</v>
      </c>
      <c r="D5102" s="65" t="s">
        <v>318</v>
      </c>
      <c r="E5102" s="65" t="s">
        <v>294</v>
      </c>
      <c r="F5102" s="65" t="s">
        <v>297</v>
      </c>
      <c r="G5102" s="65"/>
      <c r="H5102" s="65"/>
      <c r="I5102" s="66">
        <v>349608.9918065269</v>
      </c>
    </row>
    <row r="5103" spans="1:9" hidden="1">
      <c r="A5103" s="67" t="s">
        <v>295</v>
      </c>
      <c r="B5103" s="68">
        <v>2048</v>
      </c>
      <c r="C5103" s="68">
        <v>2023</v>
      </c>
      <c r="D5103" s="68" t="s">
        <v>318</v>
      </c>
      <c r="E5103" s="68" t="s">
        <v>294</v>
      </c>
      <c r="F5103" s="68" t="s">
        <v>298</v>
      </c>
      <c r="G5103" s="68"/>
      <c r="H5103" s="68"/>
      <c r="I5103" s="69">
        <v>0</v>
      </c>
    </row>
    <row r="5104" spans="1:9" hidden="1">
      <c r="A5104" s="64" t="s">
        <v>295</v>
      </c>
      <c r="B5104" s="65">
        <v>2048</v>
      </c>
      <c r="C5104" s="65">
        <v>2023</v>
      </c>
      <c r="D5104" s="65" t="s">
        <v>318</v>
      </c>
      <c r="E5104" s="65" t="s">
        <v>294</v>
      </c>
      <c r="F5104" s="65" t="s">
        <v>40</v>
      </c>
      <c r="G5104" s="65"/>
      <c r="H5104" s="65"/>
      <c r="I5104" s="66">
        <v>349973.65829581051</v>
      </c>
    </row>
    <row r="5105" spans="1:9" hidden="1">
      <c r="A5105" s="67" t="s">
        <v>295</v>
      </c>
      <c r="B5105" s="68">
        <v>2048</v>
      </c>
      <c r="C5105" s="68">
        <v>2023</v>
      </c>
      <c r="D5105" s="68" t="s">
        <v>318</v>
      </c>
      <c r="E5105" s="68" t="s">
        <v>301</v>
      </c>
      <c r="F5105" s="68" t="s">
        <v>297</v>
      </c>
      <c r="G5105" s="68"/>
      <c r="H5105" s="68"/>
      <c r="I5105" s="69">
        <v>451758.72574696533</v>
      </c>
    </row>
    <row r="5106" spans="1:9" hidden="1">
      <c r="A5106" s="64" t="s">
        <v>295</v>
      </c>
      <c r="B5106" s="65">
        <v>2048</v>
      </c>
      <c r="C5106" s="65">
        <v>2023</v>
      </c>
      <c r="D5106" s="65" t="s">
        <v>318</v>
      </c>
      <c r="E5106" s="65" t="s">
        <v>301</v>
      </c>
      <c r="F5106" s="65" t="s">
        <v>298</v>
      </c>
      <c r="G5106" s="65"/>
      <c r="H5106" s="65"/>
      <c r="I5106" s="66">
        <v>0</v>
      </c>
    </row>
    <row r="5107" spans="1:9" hidden="1">
      <c r="A5107" s="67" t="s">
        <v>295</v>
      </c>
      <c r="B5107" s="68">
        <v>2048</v>
      </c>
      <c r="C5107" s="68">
        <v>2023</v>
      </c>
      <c r="D5107" s="68" t="s">
        <v>318</v>
      </c>
      <c r="E5107" s="68" t="s">
        <v>301</v>
      </c>
      <c r="F5107" s="68" t="s">
        <v>40</v>
      </c>
      <c r="G5107" s="68"/>
      <c r="H5107" s="68"/>
      <c r="I5107" s="69">
        <v>452234.26780504943</v>
      </c>
    </row>
    <row r="5108" spans="1:9" hidden="1">
      <c r="A5108" s="64" t="s">
        <v>295</v>
      </c>
      <c r="B5108" s="65">
        <v>2048</v>
      </c>
      <c r="C5108" s="65">
        <v>2023</v>
      </c>
      <c r="D5108" s="65" t="s">
        <v>318</v>
      </c>
      <c r="E5108" s="65" t="s">
        <v>305</v>
      </c>
      <c r="F5108" s="65" t="s">
        <v>297</v>
      </c>
      <c r="G5108" s="65"/>
      <c r="H5108" s="65"/>
      <c r="I5108" s="66">
        <v>9244.3584499999997</v>
      </c>
    </row>
    <row r="5109" spans="1:9" hidden="1">
      <c r="A5109" s="67" t="s">
        <v>295</v>
      </c>
      <c r="B5109" s="68">
        <v>2048</v>
      </c>
      <c r="C5109" s="68">
        <v>2023</v>
      </c>
      <c r="D5109" s="68" t="s">
        <v>318</v>
      </c>
      <c r="E5109" s="68" t="s">
        <v>305</v>
      </c>
      <c r="F5109" s="68" t="s">
        <v>40</v>
      </c>
      <c r="G5109" s="68"/>
      <c r="H5109" s="68"/>
      <c r="I5109" s="69">
        <v>42743.958449999998</v>
      </c>
    </row>
    <row r="5110" spans="1:9" hidden="1">
      <c r="A5110" s="64" t="s">
        <v>295</v>
      </c>
      <c r="B5110" s="65">
        <v>2048</v>
      </c>
      <c r="C5110" s="65">
        <v>2023</v>
      </c>
      <c r="D5110" s="65" t="s">
        <v>320</v>
      </c>
      <c r="E5110" s="65" t="s">
        <v>294</v>
      </c>
      <c r="F5110" s="65" t="s">
        <v>297</v>
      </c>
      <c r="G5110" s="65"/>
      <c r="H5110" s="65"/>
      <c r="I5110" s="66">
        <v>3094.437768384008</v>
      </c>
    </row>
    <row r="5111" spans="1:9" hidden="1">
      <c r="A5111" s="67" t="s">
        <v>295</v>
      </c>
      <c r="B5111" s="68">
        <v>2048</v>
      </c>
      <c r="C5111" s="68">
        <v>2023</v>
      </c>
      <c r="D5111" s="68" t="s">
        <v>320</v>
      </c>
      <c r="E5111" s="68" t="s">
        <v>294</v>
      </c>
      <c r="F5111" s="68" t="s">
        <v>298</v>
      </c>
      <c r="G5111" s="68"/>
      <c r="H5111" s="68"/>
      <c r="I5111" s="69">
        <v>0</v>
      </c>
    </row>
    <row r="5112" spans="1:9" hidden="1">
      <c r="A5112" s="64" t="s">
        <v>295</v>
      </c>
      <c r="B5112" s="65">
        <v>2048</v>
      </c>
      <c r="C5112" s="65">
        <v>2023</v>
      </c>
      <c r="D5112" s="65" t="s">
        <v>320</v>
      </c>
      <c r="E5112" s="65" t="s">
        <v>294</v>
      </c>
      <c r="F5112" s="65" t="s">
        <v>40</v>
      </c>
      <c r="G5112" s="65"/>
      <c r="H5112" s="65"/>
      <c r="I5112" s="66">
        <v>3095.99506323886</v>
      </c>
    </row>
    <row r="5113" spans="1:9" hidden="1">
      <c r="A5113" s="67" t="s">
        <v>295</v>
      </c>
      <c r="B5113" s="68">
        <v>2048</v>
      </c>
      <c r="C5113" s="68">
        <v>2023</v>
      </c>
      <c r="D5113" s="68" t="s">
        <v>320</v>
      </c>
      <c r="E5113" s="68" t="s">
        <v>301</v>
      </c>
      <c r="F5113" s="68" t="s">
        <v>297</v>
      </c>
      <c r="G5113" s="68"/>
      <c r="H5113" s="68"/>
      <c r="I5113" s="69">
        <v>4515.0863470923596</v>
      </c>
    </row>
    <row r="5114" spans="1:9" hidden="1">
      <c r="A5114" s="64" t="s">
        <v>295</v>
      </c>
      <c r="B5114" s="65">
        <v>2048</v>
      </c>
      <c r="C5114" s="65">
        <v>2023</v>
      </c>
      <c r="D5114" s="65" t="s">
        <v>320</v>
      </c>
      <c r="E5114" s="65" t="s">
        <v>301</v>
      </c>
      <c r="F5114" s="65" t="s">
        <v>298</v>
      </c>
      <c r="G5114" s="65"/>
      <c r="H5114" s="65"/>
      <c r="I5114" s="66">
        <v>0</v>
      </c>
    </row>
    <row r="5115" spans="1:9" hidden="1">
      <c r="A5115" s="67" t="s">
        <v>295</v>
      </c>
      <c r="B5115" s="68">
        <v>2048</v>
      </c>
      <c r="C5115" s="68">
        <v>2023</v>
      </c>
      <c r="D5115" s="68" t="s">
        <v>320</v>
      </c>
      <c r="E5115" s="68" t="s">
        <v>301</v>
      </c>
      <c r="F5115" s="68" t="s">
        <v>40</v>
      </c>
      <c r="G5115" s="68"/>
      <c r="H5115" s="68"/>
      <c r="I5115" s="69">
        <v>4516.6392439860629</v>
      </c>
    </row>
    <row r="5116" spans="1:9" hidden="1">
      <c r="A5116" s="64" t="s">
        <v>295</v>
      </c>
      <c r="B5116" s="65">
        <v>2048</v>
      </c>
      <c r="C5116" s="65">
        <v>2023</v>
      </c>
      <c r="D5116" s="65" t="s">
        <v>320</v>
      </c>
      <c r="E5116" s="65" t="s">
        <v>305</v>
      </c>
      <c r="F5116" s="65" t="s">
        <v>297</v>
      </c>
      <c r="G5116" s="65"/>
      <c r="H5116" s="65"/>
      <c r="I5116" s="66">
        <v>44.42</v>
      </c>
    </row>
    <row r="5117" spans="1:9" hidden="1">
      <c r="A5117" s="67" t="s">
        <v>295</v>
      </c>
      <c r="B5117" s="68">
        <v>2048</v>
      </c>
      <c r="C5117" s="68">
        <v>2023</v>
      </c>
      <c r="D5117" s="68" t="s">
        <v>320</v>
      </c>
      <c r="E5117" s="68" t="s">
        <v>305</v>
      </c>
      <c r="F5117" s="68" t="s">
        <v>40</v>
      </c>
      <c r="G5117" s="68"/>
      <c r="H5117" s="68"/>
      <c r="I5117" s="69">
        <v>1653.98</v>
      </c>
    </row>
    <row r="5118" spans="1:9" hidden="1">
      <c r="A5118" s="64" t="s">
        <v>295</v>
      </c>
      <c r="B5118" s="65">
        <v>2048</v>
      </c>
      <c r="C5118" s="65">
        <v>2023</v>
      </c>
      <c r="D5118" s="65" t="s">
        <v>321</v>
      </c>
      <c r="E5118" s="65" t="s">
        <v>294</v>
      </c>
      <c r="F5118" s="65" t="s">
        <v>297</v>
      </c>
      <c r="G5118" s="65"/>
      <c r="H5118" s="65"/>
      <c r="I5118" s="66">
        <v>16881.010804229951</v>
      </c>
    </row>
    <row r="5119" spans="1:9" hidden="1">
      <c r="A5119" s="67" t="s">
        <v>295</v>
      </c>
      <c r="B5119" s="68">
        <v>2048</v>
      </c>
      <c r="C5119" s="68">
        <v>2023</v>
      </c>
      <c r="D5119" s="68" t="s">
        <v>321</v>
      </c>
      <c r="E5119" s="68" t="s">
        <v>294</v>
      </c>
      <c r="F5119" s="68" t="s">
        <v>298</v>
      </c>
      <c r="G5119" s="68"/>
      <c r="H5119" s="68"/>
      <c r="I5119" s="69">
        <v>0</v>
      </c>
    </row>
    <row r="5120" spans="1:9" hidden="1">
      <c r="A5120" s="64" t="s">
        <v>295</v>
      </c>
      <c r="B5120" s="65">
        <v>2048</v>
      </c>
      <c r="C5120" s="65">
        <v>2023</v>
      </c>
      <c r="D5120" s="65" t="s">
        <v>321</v>
      </c>
      <c r="E5120" s="65" t="s">
        <v>294</v>
      </c>
      <c r="F5120" s="65" t="s">
        <v>40</v>
      </c>
      <c r="G5120" s="65"/>
      <c r="H5120" s="65"/>
      <c r="I5120" s="66">
        <v>16904.54097797901</v>
      </c>
    </row>
    <row r="5121" spans="1:9" hidden="1">
      <c r="A5121" s="67" t="s">
        <v>295</v>
      </c>
      <c r="B5121" s="68">
        <v>2048</v>
      </c>
      <c r="C5121" s="68">
        <v>2023</v>
      </c>
      <c r="D5121" s="68" t="s">
        <v>321</v>
      </c>
      <c r="E5121" s="68" t="s">
        <v>301</v>
      </c>
      <c r="F5121" s="68" t="s">
        <v>297</v>
      </c>
      <c r="G5121" s="68"/>
      <c r="H5121" s="68"/>
      <c r="I5121" s="69">
        <v>17362.596364433979</v>
      </c>
    </row>
    <row r="5122" spans="1:9" hidden="1">
      <c r="A5122" s="64" t="s">
        <v>295</v>
      </c>
      <c r="B5122" s="65">
        <v>2048</v>
      </c>
      <c r="C5122" s="65">
        <v>2023</v>
      </c>
      <c r="D5122" s="65" t="s">
        <v>321</v>
      </c>
      <c r="E5122" s="65" t="s">
        <v>301</v>
      </c>
      <c r="F5122" s="65" t="s">
        <v>298</v>
      </c>
      <c r="G5122" s="65"/>
      <c r="H5122" s="65"/>
      <c r="I5122" s="66">
        <v>0</v>
      </c>
    </row>
    <row r="5123" spans="1:9" hidden="1">
      <c r="A5123" s="67" t="s">
        <v>295</v>
      </c>
      <c r="B5123" s="68">
        <v>2048</v>
      </c>
      <c r="C5123" s="68">
        <v>2023</v>
      </c>
      <c r="D5123" s="68" t="s">
        <v>321</v>
      </c>
      <c r="E5123" s="68" t="s">
        <v>301</v>
      </c>
      <c r="F5123" s="68" t="s">
        <v>40</v>
      </c>
      <c r="G5123" s="68"/>
      <c r="H5123" s="68"/>
      <c r="I5123" s="69">
        <v>17385.83073666945</v>
      </c>
    </row>
    <row r="5124" spans="1:9" hidden="1">
      <c r="A5124" s="64" t="s">
        <v>295</v>
      </c>
      <c r="B5124" s="65">
        <v>2048</v>
      </c>
      <c r="C5124" s="65">
        <v>2023</v>
      </c>
      <c r="D5124" s="65" t="s">
        <v>321</v>
      </c>
      <c r="E5124" s="65" t="s">
        <v>305</v>
      </c>
      <c r="F5124" s="65" t="s">
        <v>297</v>
      </c>
      <c r="G5124" s="65"/>
      <c r="H5124" s="65"/>
      <c r="I5124" s="66">
        <v>54.464559999999999</v>
      </c>
    </row>
    <row r="5125" spans="1:9" hidden="1">
      <c r="A5125" s="67" t="s">
        <v>295</v>
      </c>
      <c r="B5125" s="68">
        <v>2048</v>
      </c>
      <c r="C5125" s="68">
        <v>2023</v>
      </c>
      <c r="D5125" s="68" t="s">
        <v>321</v>
      </c>
      <c r="E5125" s="68" t="s">
        <v>305</v>
      </c>
      <c r="F5125" s="68" t="s">
        <v>40</v>
      </c>
      <c r="G5125" s="68"/>
      <c r="H5125" s="68"/>
      <c r="I5125" s="69">
        <v>479.48455999999999</v>
      </c>
    </row>
    <row r="5126" spans="1:9" hidden="1">
      <c r="A5126" s="64" t="s">
        <v>295</v>
      </c>
      <c r="B5126" s="65">
        <v>2048</v>
      </c>
      <c r="C5126" s="65">
        <v>2023</v>
      </c>
      <c r="D5126" s="65" t="s">
        <v>322</v>
      </c>
      <c r="E5126" s="65" t="s">
        <v>294</v>
      </c>
      <c r="F5126" s="65" t="s">
        <v>297</v>
      </c>
      <c r="G5126" s="65"/>
      <c r="H5126" s="65"/>
      <c r="I5126" s="66">
        <v>1176.610756034511</v>
      </c>
    </row>
    <row r="5127" spans="1:9" hidden="1">
      <c r="A5127" s="67" t="s">
        <v>295</v>
      </c>
      <c r="B5127" s="68">
        <v>2048</v>
      </c>
      <c r="C5127" s="68">
        <v>2023</v>
      </c>
      <c r="D5127" s="68" t="s">
        <v>322</v>
      </c>
      <c r="E5127" s="68" t="s">
        <v>294</v>
      </c>
      <c r="F5127" s="68" t="s">
        <v>298</v>
      </c>
      <c r="G5127" s="68"/>
      <c r="H5127" s="68"/>
      <c r="I5127" s="69">
        <v>3297.4811263126899</v>
      </c>
    </row>
    <row r="5128" spans="1:9" hidden="1">
      <c r="A5128" s="64" t="s">
        <v>295</v>
      </c>
      <c r="B5128" s="65">
        <v>2048</v>
      </c>
      <c r="C5128" s="65">
        <v>2023</v>
      </c>
      <c r="D5128" s="65" t="s">
        <v>322</v>
      </c>
      <c r="E5128" s="65" t="s">
        <v>294</v>
      </c>
      <c r="F5128" s="65" t="s">
        <v>40</v>
      </c>
      <c r="G5128" s="65"/>
      <c r="H5128" s="65"/>
      <c r="I5128" s="66">
        <v>4473.9518823472008</v>
      </c>
    </row>
    <row r="5129" spans="1:9" hidden="1">
      <c r="A5129" s="67" t="s">
        <v>295</v>
      </c>
      <c r="B5129" s="68">
        <v>2048</v>
      </c>
      <c r="C5129" s="68">
        <v>2023</v>
      </c>
      <c r="D5129" s="68" t="s">
        <v>322</v>
      </c>
      <c r="E5129" s="68" t="s">
        <v>301</v>
      </c>
      <c r="F5129" s="68" t="s">
        <v>297</v>
      </c>
      <c r="G5129" s="68"/>
      <c r="H5129" s="68"/>
      <c r="I5129" s="69">
        <v>1541.322162991936</v>
      </c>
    </row>
    <row r="5130" spans="1:9" hidden="1">
      <c r="A5130" s="64" t="s">
        <v>295</v>
      </c>
      <c r="B5130" s="65">
        <v>2048</v>
      </c>
      <c r="C5130" s="65">
        <v>2023</v>
      </c>
      <c r="D5130" s="65" t="s">
        <v>322</v>
      </c>
      <c r="E5130" s="65" t="s">
        <v>301</v>
      </c>
      <c r="F5130" s="65" t="s">
        <v>298</v>
      </c>
      <c r="G5130" s="65"/>
      <c r="H5130" s="65"/>
      <c r="I5130" s="66">
        <v>3575.29520316769</v>
      </c>
    </row>
    <row r="5131" spans="1:9" hidden="1">
      <c r="A5131" s="67" t="s">
        <v>295</v>
      </c>
      <c r="B5131" s="68">
        <v>2048</v>
      </c>
      <c r="C5131" s="68">
        <v>2023</v>
      </c>
      <c r="D5131" s="68" t="s">
        <v>322</v>
      </c>
      <c r="E5131" s="68" t="s">
        <v>301</v>
      </c>
      <c r="F5131" s="68" t="s">
        <v>40</v>
      </c>
      <c r="G5131" s="68"/>
      <c r="H5131" s="68"/>
      <c r="I5131" s="69">
        <v>5116.4773661596246</v>
      </c>
    </row>
    <row r="5132" spans="1:9" hidden="1">
      <c r="A5132" s="64" t="s">
        <v>295</v>
      </c>
      <c r="B5132" s="65">
        <v>2048</v>
      </c>
      <c r="C5132" s="65">
        <v>2023</v>
      </c>
      <c r="D5132" s="65" t="s">
        <v>322</v>
      </c>
      <c r="E5132" s="65" t="s">
        <v>305</v>
      </c>
      <c r="F5132" s="65" t="s">
        <v>297</v>
      </c>
      <c r="G5132" s="65"/>
      <c r="H5132" s="65"/>
      <c r="I5132" s="66">
        <v>7.2</v>
      </c>
    </row>
    <row r="5133" spans="1:9" hidden="1">
      <c r="A5133" s="67" t="s">
        <v>295</v>
      </c>
      <c r="B5133" s="68">
        <v>2048</v>
      </c>
      <c r="C5133" s="68">
        <v>2023</v>
      </c>
      <c r="D5133" s="68" t="s">
        <v>322</v>
      </c>
      <c r="E5133" s="68" t="s">
        <v>305</v>
      </c>
      <c r="F5133" s="68" t="s">
        <v>40</v>
      </c>
      <c r="G5133" s="68"/>
      <c r="H5133" s="68"/>
      <c r="I5133" s="69">
        <v>328.66</v>
      </c>
    </row>
    <row r="5134" spans="1:9" hidden="1">
      <c r="A5134" s="64" t="s">
        <v>295</v>
      </c>
      <c r="B5134" s="65">
        <v>2048</v>
      </c>
      <c r="C5134" s="65">
        <v>2023</v>
      </c>
      <c r="D5134" s="65" t="s">
        <v>323</v>
      </c>
      <c r="E5134" s="65" t="s">
        <v>294</v>
      </c>
      <c r="F5134" s="65" t="s">
        <v>297</v>
      </c>
      <c r="G5134" s="65"/>
      <c r="H5134" s="65"/>
      <c r="I5134" s="66">
        <v>243430.10405335351</v>
      </c>
    </row>
    <row r="5135" spans="1:9" hidden="1">
      <c r="A5135" s="67" t="s">
        <v>295</v>
      </c>
      <c r="B5135" s="68">
        <v>2048</v>
      </c>
      <c r="C5135" s="68">
        <v>2023</v>
      </c>
      <c r="D5135" s="68" t="s">
        <v>323</v>
      </c>
      <c r="E5135" s="68" t="s">
        <v>294</v>
      </c>
      <c r="F5135" s="68" t="s">
        <v>298</v>
      </c>
      <c r="G5135" s="68"/>
      <c r="H5135" s="68"/>
      <c r="I5135" s="69">
        <v>906.38832705897426</v>
      </c>
    </row>
    <row r="5136" spans="1:9" hidden="1">
      <c r="A5136" s="64" t="s">
        <v>295</v>
      </c>
      <c r="B5136" s="65">
        <v>2048</v>
      </c>
      <c r="C5136" s="65">
        <v>2023</v>
      </c>
      <c r="D5136" s="65" t="s">
        <v>323</v>
      </c>
      <c r="E5136" s="65" t="s">
        <v>294</v>
      </c>
      <c r="F5136" s="65" t="s">
        <v>40</v>
      </c>
      <c r="G5136" s="65"/>
      <c r="H5136" s="65"/>
      <c r="I5136" s="66">
        <v>244835.2885529779</v>
      </c>
    </row>
    <row r="5137" spans="1:9" hidden="1">
      <c r="A5137" s="67" t="s">
        <v>295</v>
      </c>
      <c r="B5137" s="68">
        <v>2048</v>
      </c>
      <c r="C5137" s="68">
        <v>2023</v>
      </c>
      <c r="D5137" s="68" t="s">
        <v>323</v>
      </c>
      <c r="E5137" s="68" t="s">
        <v>301</v>
      </c>
      <c r="F5137" s="68" t="s">
        <v>297</v>
      </c>
      <c r="G5137" s="68"/>
      <c r="H5137" s="68"/>
      <c r="I5137" s="69">
        <v>313298.63145118317</v>
      </c>
    </row>
    <row r="5138" spans="1:9" hidden="1">
      <c r="A5138" s="64" t="s">
        <v>295</v>
      </c>
      <c r="B5138" s="65">
        <v>2048</v>
      </c>
      <c r="C5138" s="65">
        <v>2023</v>
      </c>
      <c r="D5138" s="65" t="s">
        <v>323</v>
      </c>
      <c r="E5138" s="65" t="s">
        <v>301</v>
      </c>
      <c r="F5138" s="65" t="s">
        <v>298</v>
      </c>
      <c r="G5138" s="65"/>
      <c r="H5138" s="65"/>
      <c r="I5138" s="66">
        <v>1060.9398609420809</v>
      </c>
    </row>
    <row r="5139" spans="1:9" hidden="1">
      <c r="A5139" s="67" t="s">
        <v>295</v>
      </c>
      <c r="B5139" s="68">
        <v>2048</v>
      </c>
      <c r="C5139" s="68">
        <v>2023</v>
      </c>
      <c r="D5139" s="68" t="s">
        <v>323</v>
      </c>
      <c r="E5139" s="68" t="s">
        <v>301</v>
      </c>
      <c r="F5139" s="68" t="s">
        <v>40</v>
      </c>
      <c r="G5139" s="68"/>
      <c r="H5139" s="68"/>
      <c r="I5139" s="69">
        <v>314857.67305885023</v>
      </c>
    </row>
    <row r="5140" spans="1:9" hidden="1">
      <c r="A5140" s="64" t="s">
        <v>295</v>
      </c>
      <c r="B5140" s="65">
        <v>2048</v>
      </c>
      <c r="C5140" s="65">
        <v>2023</v>
      </c>
      <c r="D5140" s="65" t="s">
        <v>323</v>
      </c>
      <c r="E5140" s="65" t="s">
        <v>305</v>
      </c>
      <c r="F5140" s="65" t="s">
        <v>297</v>
      </c>
      <c r="G5140" s="65"/>
      <c r="H5140" s="65"/>
      <c r="I5140" s="66">
        <v>1446.3074099999999</v>
      </c>
    </row>
    <row r="5141" spans="1:9" hidden="1">
      <c r="A5141" s="67" t="s">
        <v>295</v>
      </c>
      <c r="B5141" s="68">
        <v>2048</v>
      </c>
      <c r="C5141" s="68">
        <v>2023</v>
      </c>
      <c r="D5141" s="68" t="s">
        <v>323</v>
      </c>
      <c r="E5141" s="68" t="s">
        <v>305</v>
      </c>
      <c r="F5141" s="68" t="s">
        <v>40</v>
      </c>
      <c r="G5141" s="68"/>
      <c r="H5141" s="68"/>
      <c r="I5141" s="69">
        <v>21705.467410000001</v>
      </c>
    </row>
    <row r="5142" spans="1:9" hidden="1">
      <c r="A5142" s="64" t="s">
        <v>295</v>
      </c>
      <c r="B5142" s="65">
        <v>2048</v>
      </c>
      <c r="C5142" s="65">
        <v>2023</v>
      </c>
      <c r="D5142" s="65" t="s">
        <v>324</v>
      </c>
      <c r="E5142" s="65" t="s">
        <v>294</v>
      </c>
      <c r="F5142" s="65" t="s">
        <v>297</v>
      </c>
      <c r="G5142" s="65"/>
      <c r="H5142" s="65"/>
      <c r="I5142" s="66">
        <v>3500.826049406131</v>
      </c>
    </row>
    <row r="5143" spans="1:9" hidden="1">
      <c r="A5143" s="67" t="s">
        <v>295</v>
      </c>
      <c r="B5143" s="68">
        <v>2048</v>
      </c>
      <c r="C5143" s="68">
        <v>2023</v>
      </c>
      <c r="D5143" s="68" t="s">
        <v>324</v>
      </c>
      <c r="E5143" s="68" t="s">
        <v>294</v>
      </c>
      <c r="F5143" s="68" t="s">
        <v>298</v>
      </c>
      <c r="G5143" s="68"/>
      <c r="H5143" s="68"/>
      <c r="I5143" s="69">
        <v>0</v>
      </c>
    </row>
    <row r="5144" spans="1:9" hidden="1">
      <c r="A5144" s="64" t="s">
        <v>295</v>
      </c>
      <c r="B5144" s="65">
        <v>2048</v>
      </c>
      <c r="C5144" s="65">
        <v>2023</v>
      </c>
      <c r="D5144" s="65" t="s">
        <v>324</v>
      </c>
      <c r="E5144" s="65" t="s">
        <v>294</v>
      </c>
      <c r="F5144" s="65" t="s">
        <v>40</v>
      </c>
      <c r="G5144" s="65"/>
      <c r="H5144" s="65"/>
      <c r="I5144" s="66">
        <v>3504.6739532572742</v>
      </c>
    </row>
    <row r="5145" spans="1:9" hidden="1">
      <c r="A5145" s="67" t="s">
        <v>295</v>
      </c>
      <c r="B5145" s="68">
        <v>2048</v>
      </c>
      <c r="C5145" s="68">
        <v>2023</v>
      </c>
      <c r="D5145" s="68" t="s">
        <v>324</v>
      </c>
      <c r="E5145" s="68" t="s">
        <v>301</v>
      </c>
      <c r="F5145" s="68" t="s">
        <v>297</v>
      </c>
      <c r="G5145" s="68"/>
      <c r="H5145" s="68"/>
      <c r="I5145" s="69">
        <v>3501.88552940613</v>
      </c>
    </row>
    <row r="5146" spans="1:9" hidden="1">
      <c r="A5146" s="64" t="s">
        <v>295</v>
      </c>
      <c r="B5146" s="65">
        <v>2048</v>
      </c>
      <c r="C5146" s="65">
        <v>2023</v>
      </c>
      <c r="D5146" s="65" t="s">
        <v>324</v>
      </c>
      <c r="E5146" s="65" t="s">
        <v>301</v>
      </c>
      <c r="F5146" s="65" t="s">
        <v>298</v>
      </c>
      <c r="G5146" s="65"/>
      <c r="H5146" s="65"/>
      <c r="I5146" s="66">
        <v>0</v>
      </c>
    </row>
    <row r="5147" spans="1:9" hidden="1">
      <c r="A5147" s="67" t="s">
        <v>295</v>
      </c>
      <c r="B5147" s="68">
        <v>2048</v>
      </c>
      <c r="C5147" s="68">
        <v>2023</v>
      </c>
      <c r="D5147" s="68" t="s">
        <v>324</v>
      </c>
      <c r="E5147" s="68" t="s">
        <v>301</v>
      </c>
      <c r="F5147" s="68" t="s">
        <v>40</v>
      </c>
      <c r="G5147" s="68"/>
      <c r="H5147" s="68"/>
      <c r="I5147" s="69">
        <v>3505.7334332572741</v>
      </c>
    </row>
    <row r="5148" spans="1:9" hidden="1">
      <c r="A5148" s="64" t="s">
        <v>295</v>
      </c>
      <c r="B5148" s="65">
        <v>2048</v>
      </c>
      <c r="C5148" s="65">
        <v>2023</v>
      </c>
      <c r="D5148" s="65" t="s">
        <v>324</v>
      </c>
      <c r="E5148" s="65" t="s">
        <v>305</v>
      </c>
      <c r="F5148" s="65" t="s">
        <v>297</v>
      </c>
      <c r="G5148" s="65"/>
      <c r="H5148" s="65"/>
      <c r="I5148" s="66">
        <v>4.0999999999999996</v>
      </c>
    </row>
    <row r="5149" spans="1:9" hidden="1">
      <c r="A5149" s="67" t="s">
        <v>295</v>
      </c>
      <c r="B5149" s="68">
        <v>2048</v>
      </c>
      <c r="C5149" s="68">
        <v>2023</v>
      </c>
      <c r="D5149" s="68" t="s">
        <v>324</v>
      </c>
      <c r="E5149" s="68" t="s">
        <v>305</v>
      </c>
      <c r="F5149" s="68" t="s">
        <v>40</v>
      </c>
      <c r="G5149" s="68"/>
      <c r="H5149" s="68"/>
      <c r="I5149" s="69">
        <v>1246.2</v>
      </c>
    </row>
    <row r="5150" spans="1:9" hidden="1">
      <c r="A5150" s="64" t="s">
        <v>295</v>
      </c>
      <c r="B5150" s="65">
        <v>2048</v>
      </c>
      <c r="C5150" s="65">
        <v>2023</v>
      </c>
      <c r="D5150" s="65" t="s">
        <v>325</v>
      </c>
      <c r="E5150" s="65" t="s">
        <v>294</v>
      </c>
      <c r="F5150" s="65" t="s">
        <v>297</v>
      </c>
      <c r="G5150" s="65"/>
      <c r="H5150" s="65"/>
      <c r="I5150" s="66">
        <v>40354.500662596067</v>
      </c>
    </row>
    <row r="5151" spans="1:9" hidden="1">
      <c r="A5151" s="67" t="s">
        <v>295</v>
      </c>
      <c r="B5151" s="68">
        <v>2048</v>
      </c>
      <c r="C5151" s="68">
        <v>2023</v>
      </c>
      <c r="D5151" s="68" t="s">
        <v>325</v>
      </c>
      <c r="E5151" s="68" t="s">
        <v>294</v>
      </c>
      <c r="F5151" s="68" t="s">
        <v>298</v>
      </c>
      <c r="G5151" s="68"/>
      <c r="H5151" s="68"/>
      <c r="I5151" s="69">
        <v>10140.133909578601</v>
      </c>
    </row>
    <row r="5152" spans="1:9" hidden="1">
      <c r="A5152" s="64" t="s">
        <v>295</v>
      </c>
      <c r="B5152" s="65">
        <v>2048</v>
      </c>
      <c r="C5152" s="65">
        <v>2023</v>
      </c>
      <c r="D5152" s="65" t="s">
        <v>325</v>
      </c>
      <c r="E5152" s="65" t="s">
        <v>294</v>
      </c>
      <c r="F5152" s="65" t="s">
        <v>40</v>
      </c>
      <c r="G5152" s="65"/>
      <c r="H5152" s="65"/>
      <c r="I5152" s="66">
        <v>50483.175622783332</v>
      </c>
    </row>
    <row r="5153" spans="1:9" hidden="1">
      <c r="A5153" s="67" t="s">
        <v>295</v>
      </c>
      <c r="B5153" s="68">
        <v>2048</v>
      </c>
      <c r="C5153" s="68">
        <v>2023</v>
      </c>
      <c r="D5153" s="68" t="s">
        <v>325</v>
      </c>
      <c r="E5153" s="68" t="s">
        <v>301</v>
      </c>
      <c r="F5153" s="68" t="s">
        <v>297</v>
      </c>
      <c r="G5153" s="68"/>
      <c r="H5153" s="68"/>
      <c r="I5153" s="69">
        <v>42678.343031835029</v>
      </c>
    </row>
    <row r="5154" spans="1:9" hidden="1">
      <c r="A5154" s="64" t="s">
        <v>295</v>
      </c>
      <c r="B5154" s="65">
        <v>2048</v>
      </c>
      <c r="C5154" s="65">
        <v>2023</v>
      </c>
      <c r="D5154" s="65" t="s">
        <v>325</v>
      </c>
      <c r="E5154" s="65" t="s">
        <v>301</v>
      </c>
      <c r="F5154" s="65" t="s">
        <v>298</v>
      </c>
      <c r="G5154" s="65"/>
      <c r="H5154" s="65"/>
      <c r="I5154" s="66">
        <v>11793.00635816497</v>
      </c>
    </row>
    <row r="5155" spans="1:9" hidden="1">
      <c r="A5155" s="67" t="s">
        <v>295</v>
      </c>
      <c r="B5155" s="68">
        <v>2048</v>
      </c>
      <c r="C5155" s="68">
        <v>2023</v>
      </c>
      <c r="D5155" s="68" t="s">
        <v>325</v>
      </c>
      <c r="E5155" s="68" t="s">
        <v>301</v>
      </c>
      <c r="F5155" s="68" t="s">
        <v>40</v>
      </c>
      <c r="G5155" s="68"/>
      <c r="H5155" s="68"/>
      <c r="I5155" s="69">
        <v>54471.411399999997</v>
      </c>
    </row>
    <row r="5156" spans="1:9" hidden="1">
      <c r="A5156" s="64" t="s">
        <v>295</v>
      </c>
      <c r="B5156" s="65">
        <v>2048</v>
      </c>
      <c r="C5156" s="65">
        <v>2023</v>
      </c>
      <c r="D5156" s="65" t="s">
        <v>325</v>
      </c>
      <c r="E5156" s="65" t="s">
        <v>305</v>
      </c>
      <c r="F5156" s="65" t="s">
        <v>297</v>
      </c>
      <c r="G5156" s="65"/>
      <c r="H5156" s="65"/>
      <c r="I5156" s="66">
        <v>432.36</v>
      </c>
    </row>
    <row r="5157" spans="1:9" hidden="1">
      <c r="A5157" s="67" t="s">
        <v>295</v>
      </c>
      <c r="B5157" s="68">
        <v>2048</v>
      </c>
      <c r="C5157" s="68">
        <v>2023</v>
      </c>
      <c r="D5157" s="68" t="s">
        <v>325</v>
      </c>
      <c r="E5157" s="68" t="s">
        <v>305</v>
      </c>
      <c r="F5157" s="68" t="s">
        <v>298</v>
      </c>
      <c r="G5157" s="68"/>
      <c r="H5157" s="68"/>
      <c r="I5157" s="69">
        <v>69.900000000000006</v>
      </c>
    </row>
    <row r="5158" spans="1:9" hidden="1">
      <c r="A5158" s="64" t="s">
        <v>295</v>
      </c>
      <c r="B5158" s="65">
        <v>2048</v>
      </c>
      <c r="C5158" s="65">
        <v>2023</v>
      </c>
      <c r="D5158" s="65" t="s">
        <v>325</v>
      </c>
      <c r="E5158" s="65" t="s">
        <v>305</v>
      </c>
      <c r="F5158" s="65" t="s">
        <v>40</v>
      </c>
      <c r="G5158" s="65"/>
      <c r="H5158" s="65"/>
      <c r="I5158" s="66">
        <v>18678</v>
      </c>
    </row>
    <row r="5159" spans="1:9" hidden="1">
      <c r="A5159" s="67" t="s">
        <v>295</v>
      </c>
      <c r="B5159" s="68">
        <v>2048</v>
      </c>
      <c r="C5159" s="68">
        <v>2023</v>
      </c>
      <c r="D5159" s="68" t="s">
        <v>326</v>
      </c>
      <c r="E5159" s="68" t="s">
        <v>294</v>
      </c>
      <c r="F5159" s="68" t="s">
        <v>297</v>
      </c>
      <c r="G5159" s="68"/>
      <c r="H5159" s="68"/>
      <c r="I5159" s="69">
        <v>0</v>
      </c>
    </row>
    <row r="5160" spans="1:9" hidden="1">
      <c r="A5160" s="64" t="s">
        <v>295</v>
      </c>
      <c r="B5160" s="65">
        <v>2048</v>
      </c>
      <c r="C5160" s="65">
        <v>2023</v>
      </c>
      <c r="D5160" s="65" t="s">
        <v>326</v>
      </c>
      <c r="E5160" s="65" t="s">
        <v>294</v>
      </c>
      <c r="F5160" s="65" t="s">
        <v>298</v>
      </c>
      <c r="G5160" s="65"/>
      <c r="H5160" s="65"/>
      <c r="I5160" s="66">
        <v>0</v>
      </c>
    </row>
    <row r="5161" spans="1:9" hidden="1">
      <c r="A5161" s="67" t="s">
        <v>295</v>
      </c>
      <c r="B5161" s="68">
        <v>2048</v>
      </c>
      <c r="C5161" s="68">
        <v>2023</v>
      </c>
      <c r="D5161" s="68" t="s">
        <v>326</v>
      </c>
      <c r="E5161" s="68" t="s">
        <v>294</v>
      </c>
      <c r="F5161" s="68" t="s">
        <v>40</v>
      </c>
      <c r="G5161" s="68"/>
      <c r="H5161" s="68"/>
      <c r="I5161" s="69">
        <v>0</v>
      </c>
    </row>
    <row r="5162" spans="1:9" hidden="1">
      <c r="A5162" s="64" t="s">
        <v>295</v>
      </c>
      <c r="B5162" s="65">
        <v>2048</v>
      </c>
      <c r="C5162" s="65">
        <v>2023</v>
      </c>
      <c r="D5162" s="65" t="s">
        <v>326</v>
      </c>
      <c r="E5162" s="65" t="s">
        <v>301</v>
      </c>
      <c r="F5162" s="65" t="s">
        <v>297</v>
      </c>
      <c r="G5162" s="65"/>
      <c r="H5162" s="65"/>
      <c r="I5162" s="66">
        <v>0</v>
      </c>
    </row>
    <row r="5163" spans="1:9" hidden="1">
      <c r="A5163" s="67" t="s">
        <v>295</v>
      </c>
      <c r="B5163" s="68">
        <v>2048</v>
      </c>
      <c r="C5163" s="68">
        <v>2023</v>
      </c>
      <c r="D5163" s="68" t="s">
        <v>326</v>
      </c>
      <c r="E5163" s="68" t="s">
        <v>301</v>
      </c>
      <c r="F5163" s="68" t="s">
        <v>298</v>
      </c>
      <c r="G5163" s="68"/>
      <c r="H5163" s="68"/>
      <c r="I5163" s="69">
        <v>0</v>
      </c>
    </row>
    <row r="5164" spans="1:9" hidden="1">
      <c r="A5164" s="64" t="s">
        <v>295</v>
      </c>
      <c r="B5164" s="65">
        <v>2048</v>
      </c>
      <c r="C5164" s="65">
        <v>2023</v>
      </c>
      <c r="D5164" s="65" t="s">
        <v>326</v>
      </c>
      <c r="E5164" s="65" t="s">
        <v>301</v>
      </c>
      <c r="F5164" s="65" t="s">
        <v>40</v>
      </c>
      <c r="G5164" s="65"/>
      <c r="H5164" s="65"/>
      <c r="I5164" s="66">
        <v>0</v>
      </c>
    </row>
    <row r="5165" spans="1:9" hidden="1">
      <c r="A5165" s="67" t="s">
        <v>295</v>
      </c>
      <c r="B5165" s="68">
        <v>2048</v>
      </c>
      <c r="C5165" s="68">
        <v>2023</v>
      </c>
      <c r="D5165" s="68" t="s">
        <v>304</v>
      </c>
      <c r="E5165" s="68" t="s">
        <v>294</v>
      </c>
      <c r="F5165" s="68" t="s">
        <v>297</v>
      </c>
      <c r="G5165" s="68"/>
      <c r="H5165" s="68"/>
      <c r="I5165" s="69">
        <v>42820.64331016285</v>
      </c>
    </row>
    <row r="5166" spans="1:9" hidden="1">
      <c r="A5166" s="64" t="s">
        <v>295</v>
      </c>
      <c r="B5166" s="65">
        <v>2048</v>
      </c>
      <c r="C5166" s="65">
        <v>2023</v>
      </c>
      <c r="D5166" s="65" t="s">
        <v>304</v>
      </c>
      <c r="E5166" s="65" t="s">
        <v>294</v>
      </c>
      <c r="F5166" s="65" t="s">
        <v>298</v>
      </c>
      <c r="G5166" s="65"/>
      <c r="H5166" s="65"/>
      <c r="I5166" s="66">
        <v>169997.9819921958</v>
      </c>
    </row>
    <row r="5167" spans="1:9" hidden="1">
      <c r="A5167" s="67" t="s">
        <v>295</v>
      </c>
      <c r="B5167" s="68">
        <v>2048</v>
      </c>
      <c r="C5167" s="68">
        <v>2023</v>
      </c>
      <c r="D5167" s="68" t="s">
        <v>304</v>
      </c>
      <c r="E5167" s="68" t="s">
        <v>294</v>
      </c>
      <c r="F5167" s="68" t="s">
        <v>40</v>
      </c>
      <c r="G5167" s="68"/>
      <c r="H5167" s="68"/>
      <c r="I5167" s="69">
        <v>212581.78555020539</v>
      </c>
    </row>
    <row r="5168" spans="1:9" hidden="1">
      <c r="A5168" s="64" t="s">
        <v>295</v>
      </c>
      <c r="B5168" s="65">
        <v>2048</v>
      </c>
      <c r="C5168" s="65">
        <v>2023</v>
      </c>
      <c r="D5168" s="65" t="s">
        <v>304</v>
      </c>
      <c r="E5168" s="65" t="s">
        <v>301</v>
      </c>
      <c r="F5168" s="65" t="s">
        <v>297</v>
      </c>
      <c r="G5168" s="65"/>
      <c r="H5168" s="65"/>
      <c r="I5168" s="66">
        <v>46100.973359744217</v>
      </c>
    </row>
    <row r="5169" spans="1:9" hidden="1">
      <c r="A5169" s="67" t="s">
        <v>295</v>
      </c>
      <c r="B5169" s="68">
        <v>2048</v>
      </c>
      <c r="C5169" s="68">
        <v>2023</v>
      </c>
      <c r="D5169" s="68" t="s">
        <v>304</v>
      </c>
      <c r="E5169" s="68" t="s">
        <v>301</v>
      </c>
      <c r="F5169" s="68" t="s">
        <v>298</v>
      </c>
      <c r="G5169" s="68"/>
      <c r="H5169" s="68"/>
      <c r="I5169" s="69">
        <v>180537.18217896071</v>
      </c>
    </row>
    <row r="5170" spans="1:9" hidden="1">
      <c r="A5170" s="64" t="s">
        <v>295</v>
      </c>
      <c r="B5170" s="65">
        <v>2048</v>
      </c>
      <c r="C5170" s="65">
        <v>2023</v>
      </c>
      <c r="D5170" s="65" t="s">
        <v>304</v>
      </c>
      <c r="E5170" s="65" t="s">
        <v>301</v>
      </c>
      <c r="F5170" s="65" t="s">
        <v>40</v>
      </c>
      <c r="G5170" s="65"/>
      <c r="H5170" s="65"/>
      <c r="I5170" s="66">
        <v>226378.83507813909</v>
      </c>
    </row>
    <row r="5171" spans="1:9" hidden="1">
      <c r="A5171" s="67" t="s">
        <v>295</v>
      </c>
      <c r="B5171" s="68">
        <v>2048</v>
      </c>
      <c r="C5171" s="68">
        <v>2023</v>
      </c>
      <c r="D5171" s="68" t="s">
        <v>304</v>
      </c>
      <c r="E5171" s="68" t="s">
        <v>305</v>
      </c>
      <c r="F5171" s="68" t="s">
        <v>297</v>
      </c>
      <c r="G5171" s="68"/>
      <c r="H5171" s="68"/>
      <c r="I5171" s="69">
        <v>1235.5525399999999</v>
      </c>
    </row>
    <row r="5172" spans="1:9" hidden="1">
      <c r="A5172" s="64" t="s">
        <v>295</v>
      </c>
      <c r="B5172" s="65">
        <v>2048</v>
      </c>
      <c r="C5172" s="65">
        <v>2023</v>
      </c>
      <c r="D5172" s="65" t="s">
        <v>304</v>
      </c>
      <c r="E5172" s="65" t="s">
        <v>305</v>
      </c>
      <c r="F5172" s="65" t="s">
        <v>298</v>
      </c>
      <c r="G5172" s="65"/>
      <c r="H5172" s="65"/>
      <c r="I5172" s="66">
        <v>771.72</v>
      </c>
    </row>
    <row r="5173" spans="1:9" hidden="1">
      <c r="A5173" s="67" t="s">
        <v>295</v>
      </c>
      <c r="B5173" s="68">
        <v>2048</v>
      </c>
      <c r="C5173" s="68">
        <v>2023</v>
      </c>
      <c r="D5173" s="68" t="s">
        <v>304</v>
      </c>
      <c r="E5173" s="68" t="s">
        <v>305</v>
      </c>
      <c r="F5173" s="68" t="s">
        <v>40</v>
      </c>
      <c r="G5173" s="68"/>
      <c r="H5173" s="68"/>
      <c r="I5173" s="69">
        <v>17846.67254</v>
      </c>
    </row>
    <row r="5174" spans="1:9" hidden="1">
      <c r="A5174" s="64" t="s">
        <v>295</v>
      </c>
      <c r="B5174" s="65">
        <v>2048</v>
      </c>
      <c r="C5174" s="65">
        <v>2023</v>
      </c>
      <c r="D5174" s="65" t="s">
        <v>306</v>
      </c>
      <c r="E5174" s="65" t="s">
        <v>294</v>
      </c>
      <c r="F5174" s="65" t="s">
        <v>297</v>
      </c>
      <c r="G5174" s="65"/>
      <c r="H5174" s="65"/>
      <c r="I5174" s="66">
        <v>344654.91207215551</v>
      </c>
    </row>
    <row r="5175" spans="1:9" hidden="1">
      <c r="A5175" s="67" t="s">
        <v>295</v>
      </c>
      <c r="B5175" s="68">
        <v>2048</v>
      </c>
      <c r="C5175" s="68">
        <v>2023</v>
      </c>
      <c r="D5175" s="68" t="s">
        <v>306</v>
      </c>
      <c r="E5175" s="68" t="s">
        <v>294</v>
      </c>
      <c r="F5175" s="68" t="s">
        <v>40</v>
      </c>
      <c r="G5175" s="68"/>
      <c r="H5175" s="68"/>
      <c r="I5175" s="69">
        <v>344487.88938587141</v>
      </c>
    </row>
    <row r="5176" spans="1:9" hidden="1">
      <c r="A5176" s="64" t="s">
        <v>295</v>
      </c>
      <c r="B5176" s="65">
        <v>2048</v>
      </c>
      <c r="C5176" s="65">
        <v>2023</v>
      </c>
      <c r="D5176" s="65" t="s">
        <v>306</v>
      </c>
      <c r="E5176" s="65" t="s">
        <v>301</v>
      </c>
      <c r="F5176" s="65" t="s">
        <v>297</v>
      </c>
      <c r="G5176" s="65"/>
      <c r="H5176" s="65"/>
      <c r="I5176" s="66">
        <v>363698.31999474863</v>
      </c>
    </row>
    <row r="5177" spans="1:9" hidden="1">
      <c r="A5177" s="67" t="s">
        <v>295</v>
      </c>
      <c r="B5177" s="68">
        <v>2048</v>
      </c>
      <c r="C5177" s="68">
        <v>2023</v>
      </c>
      <c r="D5177" s="68" t="s">
        <v>306</v>
      </c>
      <c r="E5177" s="68" t="s">
        <v>301</v>
      </c>
      <c r="F5177" s="68" t="s">
        <v>40</v>
      </c>
      <c r="G5177" s="68"/>
      <c r="H5177" s="68"/>
      <c r="I5177" s="69">
        <v>363698.31999474863</v>
      </c>
    </row>
    <row r="5178" spans="1:9" hidden="1">
      <c r="A5178" s="64" t="s">
        <v>295</v>
      </c>
      <c r="B5178" s="65">
        <v>2048</v>
      </c>
      <c r="C5178" s="65">
        <v>2023</v>
      </c>
      <c r="D5178" s="65" t="s">
        <v>306</v>
      </c>
      <c r="E5178" s="65" t="s">
        <v>305</v>
      </c>
      <c r="F5178" s="65" t="s">
        <v>297</v>
      </c>
      <c r="G5178" s="65"/>
      <c r="H5178" s="65"/>
      <c r="I5178" s="66">
        <v>2090.6452399999998</v>
      </c>
    </row>
    <row r="5179" spans="1:9" hidden="1">
      <c r="A5179" s="67" t="s">
        <v>295</v>
      </c>
      <c r="B5179" s="68">
        <v>2048</v>
      </c>
      <c r="C5179" s="68">
        <v>2023</v>
      </c>
      <c r="D5179" s="68" t="s">
        <v>306</v>
      </c>
      <c r="E5179" s="68" t="s">
        <v>305</v>
      </c>
      <c r="F5179" s="68" t="s">
        <v>40</v>
      </c>
      <c r="G5179" s="68"/>
      <c r="H5179" s="68"/>
      <c r="I5179" s="69">
        <v>40590.425239999997</v>
      </c>
    </row>
    <row r="5180" spans="1:9" hidden="1">
      <c r="A5180" s="64" t="s">
        <v>295</v>
      </c>
      <c r="B5180" s="65">
        <v>2048</v>
      </c>
      <c r="C5180" s="65">
        <v>2023</v>
      </c>
      <c r="D5180" s="65" t="s">
        <v>307</v>
      </c>
      <c r="E5180" s="65" t="s">
        <v>294</v>
      </c>
      <c r="F5180" s="65" t="s">
        <v>40</v>
      </c>
      <c r="G5180" s="65"/>
      <c r="H5180" s="65"/>
      <c r="I5180" s="66">
        <v>-244398.34416341741</v>
      </c>
    </row>
    <row r="5181" spans="1:9" hidden="1">
      <c r="A5181" s="67" t="s">
        <v>295</v>
      </c>
      <c r="B5181" s="68">
        <v>2048</v>
      </c>
      <c r="C5181" s="68">
        <v>2023</v>
      </c>
      <c r="D5181" s="68" t="s">
        <v>307</v>
      </c>
      <c r="E5181" s="68" t="s">
        <v>301</v>
      </c>
      <c r="F5181" s="68" t="s">
        <v>40</v>
      </c>
      <c r="G5181" s="68"/>
      <c r="H5181" s="68"/>
      <c r="I5181" s="69">
        <v>-210285.7380457664</v>
      </c>
    </row>
    <row r="5182" spans="1:9" hidden="1">
      <c r="A5182" s="64" t="s">
        <v>295</v>
      </c>
      <c r="B5182" s="65">
        <v>2048</v>
      </c>
      <c r="C5182" s="65">
        <v>2023</v>
      </c>
      <c r="D5182" s="65" t="s">
        <v>307</v>
      </c>
      <c r="E5182" s="65" t="s">
        <v>305</v>
      </c>
      <c r="F5182" s="65" t="s">
        <v>40</v>
      </c>
      <c r="G5182" s="65"/>
      <c r="H5182" s="65"/>
      <c r="I5182" s="66">
        <v>-7965.53244</v>
      </c>
    </row>
    <row r="5183" spans="1:9" hidden="1">
      <c r="A5183" s="67" t="s">
        <v>295</v>
      </c>
      <c r="B5183" s="68">
        <v>2048</v>
      </c>
      <c r="C5183" s="68">
        <v>2023</v>
      </c>
      <c r="D5183" s="68" t="s">
        <v>327</v>
      </c>
      <c r="E5183" s="68" t="s">
        <v>294</v>
      </c>
      <c r="F5183" s="68" t="s">
        <v>40</v>
      </c>
      <c r="G5183" s="68"/>
      <c r="H5183" s="68"/>
      <c r="I5183" s="69">
        <v>-283426.15033829189</v>
      </c>
    </row>
    <row r="5184" spans="1:9" hidden="1">
      <c r="A5184" s="64" t="s">
        <v>295</v>
      </c>
      <c r="B5184" s="65">
        <v>2048</v>
      </c>
      <c r="C5184" s="65">
        <v>2023</v>
      </c>
      <c r="D5184" s="65" t="s">
        <v>327</v>
      </c>
      <c r="E5184" s="65" t="s">
        <v>301</v>
      </c>
      <c r="F5184" s="65" t="s">
        <v>40</v>
      </c>
      <c r="G5184" s="65"/>
      <c r="H5184" s="65"/>
      <c r="I5184" s="66">
        <v>-261408.452392273</v>
      </c>
    </row>
    <row r="5185" spans="1:9" hidden="1">
      <c r="A5185" s="67" t="s">
        <v>295</v>
      </c>
      <c r="B5185" s="68">
        <v>2048</v>
      </c>
      <c r="C5185" s="68">
        <v>2023</v>
      </c>
      <c r="D5185" s="68" t="s">
        <v>327</v>
      </c>
      <c r="E5185" s="68" t="s">
        <v>305</v>
      </c>
      <c r="F5185" s="68" t="s">
        <v>40</v>
      </c>
      <c r="G5185" s="68"/>
      <c r="H5185" s="68"/>
      <c r="I5185" s="69">
        <v>-15262.44162</v>
      </c>
    </row>
    <row r="5186" spans="1:9" hidden="1">
      <c r="A5186" s="64" t="s">
        <v>295</v>
      </c>
      <c r="B5186" s="65">
        <v>2048</v>
      </c>
      <c r="C5186" s="65">
        <v>2023</v>
      </c>
      <c r="D5186" s="65" t="s">
        <v>328</v>
      </c>
      <c r="E5186" s="65" t="s">
        <v>294</v>
      </c>
      <c r="F5186" s="65" t="s">
        <v>40</v>
      </c>
      <c r="G5186" s="65"/>
      <c r="H5186" s="65"/>
      <c r="I5186" s="66">
        <v>21138.03480283825</v>
      </c>
    </row>
    <row r="5187" spans="1:9" hidden="1">
      <c r="A5187" s="67" t="s">
        <v>295</v>
      </c>
      <c r="B5187" s="68">
        <v>2048</v>
      </c>
      <c r="C5187" s="68">
        <v>2023</v>
      </c>
      <c r="D5187" s="68" t="s">
        <v>328</v>
      </c>
      <c r="E5187" s="68" t="s">
        <v>301</v>
      </c>
      <c r="F5187" s="68" t="s">
        <v>40</v>
      </c>
      <c r="G5187" s="68"/>
      <c r="H5187" s="68"/>
      <c r="I5187" s="69">
        <v>30274.72608572516</v>
      </c>
    </row>
    <row r="5188" spans="1:9" hidden="1">
      <c r="A5188" s="64" t="s">
        <v>295</v>
      </c>
      <c r="B5188" s="65">
        <v>2048</v>
      </c>
      <c r="C5188" s="65">
        <v>2023</v>
      </c>
      <c r="D5188" s="65" t="s">
        <v>328</v>
      </c>
      <c r="E5188" s="65" t="s">
        <v>305</v>
      </c>
      <c r="F5188" s="65" t="s">
        <v>40</v>
      </c>
      <c r="G5188" s="65"/>
      <c r="H5188" s="65"/>
      <c r="I5188" s="66">
        <v>-2131.23605</v>
      </c>
    </row>
    <row r="5189" spans="1:9" hidden="1">
      <c r="A5189" s="67" t="s">
        <v>295</v>
      </c>
      <c r="B5189" s="68">
        <v>2048</v>
      </c>
      <c r="C5189" s="68">
        <v>2023</v>
      </c>
      <c r="D5189" s="68" t="s">
        <v>329</v>
      </c>
      <c r="E5189" s="68" t="s">
        <v>294</v>
      </c>
      <c r="F5189" s="68" t="s">
        <v>40</v>
      </c>
      <c r="G5189" s="68"/>
      <c r="H5189" s="68"/>
      <c r="I5189" s="69">
        <v>11961.394543255679</v>
      </c>
    </row>
    <row r="5190" spans="1:9" hidden="1">
      <c r="A5190" s="64" t="s">
        <v>295</v>
      </c>
      <c r="B5190" s="65">
        <v>2048</v>
      </c>
      <c r="C5190" s="65">
        <v>2023</v>
      </c>
      <c r="D5190" s="65" t="s">
        <v>329</v>
      </c>
      <c r="E5190" s="65" t="s">
        <v>301</v>
      </c>
      <c r="F5190" s="65" t="s">
        <v>40</v>
      </c>
      <c r="G5190" s="65"/>
      <c r="H5190" s="65"/>
      <c r="I5190" s="66">
        <v>11431.548896930321</v>
      </c>
    </row>
    <row r="5191" spans="1:9" hidden="1">
      <c r="A5191" s="67" t="s">
        <v>295</v>
      </c>
      <c r="B5191" s="68">
        <v>2048</v>
      </c>
      <c r="C5191" s="68">
        <v>2023</v>
      </c>
      <c r="D5191" s="68" t="s">
        <v>329</v>
      </c>
      <c r="E5191" s="68" t="s">
        <v>305</v>
      </c>
      <c r="F5191" s="68" t="s">
        <v>40</v>
      </c>
      <c r="G5191" s="68"/>
      <c r="H5191" s="68"/>
      <c r="I5191" s="69">
        <v>6403.63303</v>
      </c>
    </row>
    <row r="5192" spans="1:9" hidden="1">
      <c r="A5192" s="64" t="s">
        <v>295</v>
      </c>
      <c r="B5192" s="65">
        <v>2048</v>
      </c>
      <c r="C5192" s="65">
        <v>2023</v>
      </c>
      <c r="D5192" s="65" t="s">
        <v>330</v>
      </c>
      <c r="E5192" s="65" t="s">
        <v>294</v>
      </c>
      <c r="F5192" s="65" t="s">
        <v>40</v>
      </c>
      <c r="G5192" s="65"/>
      <c r="H5192" s="65"/>
      <c r="I5192" s="66">
        <v>11699.079809548841</v>
      </c>
    </row>
    <row r="5193" spans="1:9" hidden="1">
      <c r="A5193" s="67" t="s">
        <v>295</v>
      </c>
      <c r="B5193" s="68">
        <v>2048</v>
      </c>
      <c r="C5193" s="68">
        <v>2023</v>
      </c>
      <c r="D5193" s="68" t="s">
        <v>330</v>
      </c>
      <c r="E5193" s="68" t="s">
        <v>301</v>
      </c>
      <c r="F5193" s="68" t="s">
        <v>40</v>
      </c>
      <c r="G5193" s="68"/>
      <c r="H5193" s="68"/>
      <c r="I5193" s="69">
        <v>12967.07567425156</v>
      </c>
    </row>
    <row r="5194" spans="1:9" hidden="1">
      <c r="A5194" s="64" t="s">
        <v>295</v>
      </c>
      <c r="B5194" s="65">
        <v>2048</v>
      </c>
      <c r="C5194" s="65">
        <v>2023</v>
      </c>
      <c r="D5194" s="65" t="s">
        <v>330</v>
      </c>
      <c r="E5194" s="65" t="s">
        <v>305</v>
      </c>
      <c r="F5194" s="65" t="s">
        <v>40</v>
      </c>
      <c r="G5194" s="65"/>
      <c r="H5194" s="65"/>
      <c r="I5194" s="66">
        <v>763.62648000000002</v>
      </c>
    </row>
    <row r="5195" spans="1:9" hidden="1">
      <c r="A5195" s="67" t="s">
        <v>295</v>
      </c>
      <c r="B5195" s="68">
        <v>2048</v>
      </c>
      <c r="C5195" s="68">
        <v>2023</v>
      </c>
      <c r="D5195" s="68" t="s">
        <v>331</v>
      </c>
      <c r="E5195" s="68" t="s">
        <v>294</v>
      </c>
      <c r="F5195" s="68" t="s">
        <v>40</v>
      </c>
      <c r="G5195" s="68"/>
      <c r="H5195" s="68"/>
      <c r="I5195" s="69">
        <v>28281.77532335338</v>
      </c>
    </row>
    <row r="5196" spans="1:9" hidden="1">
      <c r="A5196" s="64" t="s">
        <v>295</v>
      </c>
      <c r="B5196" s="65">
        <v>2048</v>
      </c>
      <c r="C5196" s="65">
        <v>2023</v>
      </c>
      <c r="D5196" s="65" t="s">
        <v>331</v>
      </c>
      <c r="E5196" s="65" t="s">
        <v>301</v>
      </c>
      <c r="F5196" s="65" t="s">
        <v>40</v>
      </c>
      <c r="G5196" s="65"/>
      <c r="H5196" s="65"/>
      <c r="I5196" s="66">
        <v>28662.126730543128</v>
      </c>
    </row>
    <row r="5197" spans="1:9" hidden="1">
      <c r="A5197" s="67" t="s">
        <v>295</v>
      </c>
      <c r="B5197" s="68">
        <v>2048</v>
      </c>
      <c r="C5197" s="68">
        <v>2023</v>
      </c>
      <c r="D5197" s="68" t="s">
        <v>331</v>
      </c>
      <c r="E5197" s="68" t="s">
        <v>305</v>
      </c>
      <c r="F5197" s="68" t="s">
        <v>40</v>
      </c>
      <c r="G5197" s="68"/>
      <c r="H5197" s="68"/>
      <c r="I5197" s="69">
        <v>3334.4286699999998</v>
      </c>
    </row>
    <row r="5198" spans="1:9" hidden="1">
      <c r="A5198" s="64" t="s">
        <v>295</v>
      </c>
      <c r="B5198" s="65">
        <v>2048</v>
      </c>
      <c r="C5198" s="65">
        <v>2023</v>
      </c>
      <c r="D5198" s="65" t="s">
        <v>332</v>
      </c>
      <c r="E5198" s="65" t="s">
        <v>294</v>
      </c>
      <c r="F5198" s="65" t="s">
        <v>40</v>
      </c>
      <c r="G5198" s="65"/>
      <c r="H5198" s="65"/>
      <c r="I5198" s="66">
        <v>525.72722999999996</v>
      </c>
    </row>
    <row r="5199" spans="1:9" hidden="1">
      <c r="A5199" s="67" t="s">
        <v>295</v>
      </c>
      <c r="B5199" s="68">
        <v>2048</v>
      </c>
      <c r="C5199" s="68">
        <v>2023</v>
      </c>
      <c r="D5199" s="68" t="s">
        <v>332</v>
      </c>
      <c r="E5199" s="68" t="s">
        <v>301</v>
      </c>
      <c r="F5199" s="68" t="s">
        <v>40</v>
      </c>
      <c r="G5199" s="68"/>
      <c r="H5199" s="68"/>
      <c r="I5199" s="69">
        <v>335.14722999999992</v>
      </c>
    </row>
    <row r="5200" spans="1:9" hidden="1">
      <c r="A5200" s="64" t="s">
        <v>295</v>
      </c>
      <c r="B5200" s="65">
        <v>2048</v>
      </c>
      <c r="C5200" s="65">
        <v>2023</v>
      </c>
      <c r="D5200" s="65" t="s">
        <v>332</v>
      </c>
      <c r="E5200" s="65" t="s">
        <v>305</v>
      </c>
      <c r="F5200" s="65" t="s">
        <v>40</v>
      </c>
      <c r="G5200" s="65"/>
      <c r="H5200" s="65"/>
      <c r="I5200" s="66">
        <v>344.33704</v>
      </c>
    </row>
    <row r="5201" spans="1:9" hidden="1">
      <c r="A5201" s="67" t="s">
        <v>295</v>
      </c>
      <c r="B5201" s="68">
        <v>2048</v>
      </c>
      <c r="C5201" s="68">
        <v>2023</v>
      </c>
      <c r="D5201" s="68" t="s">
        <v>333</v>
      </c>
      <c r="E5201" s="68" t="s">
        <v>294</v>
      </c>
      <c r="F5201" s="68" t="s">
        <v>40</v>
      </c>
      <c r="G5201" s="68"/>
      <c r="H5201" s="68"/>
      <c r="I5201" s="69">
        <v>-34139.154078715648</v>
      </c>
    </row>
    <row r="5202" spans="1:9" hidden="1">
      <c r="A5202" s="64" t="s">
        <v>295</v>
      </c>
      <c r="B5202" s="65">
        <v>2048</v>
      </c>
      <c r="C5202" s="65">
        <v>2023</v>
      </c>
      <c r="D5202" s="65" t="s">
        <v>333</v>
      </c>
      <c r="E5202" s="65" t="s">
        <v>301</v>
      </c>
      <c r="F5202" s="65" t="s">
        <v>40</v>
      </c>
      <c r="G5202" s="65"/>
      <c r="H5202" s="65"/>
      <c r="I5202" s="66">
        <v>-32953.539068715647</v>
      </c>
    </row>
    <row r="5203" spans="1:9" hidden="1">
      <c r="A5203" s="67" t="s">
        <v>295</v>
      </c>
      <c r="B5203" s="68">
        <v>2048</v>
      </c>
      <c r="C5203" s="68">
        <v>2023</v>
      </c>
      <c r="D5203" s="68" t="s">
        <v>333</v>
      </c>
      <c r="E5203" s="68" t="s">
        <v>305</v>
      </c>
      <c r="F5203" s="68" t="s">
        <v>40</v>
      </c>
      <c r="G5203" s="68"/>
      <c r="H5203" s="68"/>
      <c r="I5203" s="69">
        <v>-1417.86</v>
      </c>
    </row>
    <row r="5204" spans="1:9" hidden="1">
      <c r="A5204" s="64" t="s">
        <v>295</v>
      </c>
      <c r="B5204" s="65">
        <v>2048</v>
      </c>
      <c r="C5204" s="65">
        <v>2023</v>
      </c>
      <c r="D5204" s="65" t="s">
        <v>334</v>
      </c>
      <c r="E5204" s="65" t="s">
        <v>294</v>
      </c>
      <c r="F5204" s="65" t="s">
        <v>40</v>
      </c>
      <c r="G5204" s="65"/>
      <c r="H5204" s="65"/>
      <c r="I5204" s="66">
        <v>253.85033000000001</v>
      </c>
    </row>
    <row r="5205" spans="1:9" hidden="1">
      <c r="A5205" s="67" t="s">
        <v>295</v>
      </c>
      <c r="B5205" s="68">
        <v>2048</v>
      </c>
      <c r="C5205" s="68">
        <v>2023</v>
      </c>
      <c r="D5205" s="68" t="s">
        <v>334</v>
      </c>
      <c r="E5205" s="68" t="s">
        <v>301</v>
      </c>
      <c r="F5205" s="68" t="s">
        <v>40</v>
      </c>
      <c r="G5205" s="68"/>
      <c r="H5205" s="68"/>
      <c r="I5205" s="69">
        <v>253.85033000000001</v>
      </c>
    </row>
    <row r="5206" spans="1:9" hidden="1">
      <c r="A5206" s="64" t="s">
        <v>295</v>
      </c>
      <c r="B5206" s="65">
        <v>2048</v>
      </c>
      <c r="C5206" s="65">
        <v>2023</v>
      </c>
      <c r="D5206" s="65" t="s">
        <v>308</v>
      </c>
      <c r="E5206" s="65" t="s">
        <v>294</v>
      </c>
      <c r="F5206" s="65" t="s">
        <v>297</v>
      </c>
      <c r="G5206" s="65"/>
      <c r="H5206" s="65"/>
      <c r="I5206" s="66">
        <v>59360.528559264698</v>
      </c>
    </row>
    <row r="5207" spans="1:9" hidden="1">
      <c r="A5207" s="67" t="s">
        <v>295</v>
      </c>
      <c r="B5207" s="68">
        <v>2048</v>
      </c>
      <c r="C5207" s="68">
        <v>2023</v>
      </c>
      <c r="D5207" s="68" t="s">
        <v>308</v>
      </c>
      <c r="E5207" s="68" t="s">
        <v>294</v>
      </c>
      <c r="F5207" s="68" t="s">
        <v>298</v>
      </c>
      <c r="G5207" s="68"/>
      <c r="H5207" s="68"/>
      <c r="I5207" s="69">
        <v>218.13558766116969</v>
      </c>
    </row>
    <row r="5208" spans="1:9" hidden="1">
      <c r="A5208" s="64" t="s">
        <v>295</v>
      </c>
      <c r="B5208" s="65">
        <v>2048</v>
      </c>
      <c r="C5208" s="65">
        <v>2023</v>
      </c>
      <c r="D5208" s="65" t="s">
        <v>308</v>
      </c>
      <c r="E5208" s="65" t="s">
        <v>294</v>
      </c>
      <c r="F5208" s="65" t="s">
        <v>40</v>
      </c>
      <c r="G5208" s="65"/>
      <c r="H5208" s="65"/>
      <c r="I5208" s="66">
        <v>59869.60631692587</v>
      </c>
    </row>
    <row r="5209" spans="1:9" hidden="1">
      <c r="A5209" s="67" t="s">
        <v>295</v>
      </c>
      <c r="B5209" s="68">
        <v>2048</v>
      </c>
      <c r="C5209" s="68">
        <v>2023</v>
      </c>
      <c r="D5209" s="68" t="s">
        <v>308</v>
      </c>
      <c r="E5209" s="68" t="s">
        <v>301</v>
      </c>
      <c r="F5209" s="68" t="s">
        <v>297</v>
      </c>
      <c r="G5209" s="68"/>
      <c r="H5209" s="68"/>
      <c r="I5209" s="69">
        <v>60448.653019216399</v>
      </c>
    </row>
    <row r="5210" spans="1:9" hidden="1">
      <c r="A5210" s="64" t="s">
        <v>295</v>
      </c>
      <c r="B5210" s="65">
        <v>2048</v>
      </c>
      <c r="C5210" s="65">
        <v>2023</v>
      </c>
      <c r="D5210" s="65" t="s">
        <v>308</v>
      </c>
      <c r="E5210" s="65" t="s">
        <v>301</v>
      </c>
      <c r="F5210" s="65" t="s">
        <v>298</v>
      </c>
      <c r="G5210" s="65"/>
      <c r="H5210" s="65"/>
      <c r="I5210" s="66">
        <v>218.13558764090411</v>
      </c>
    </row>
    <row r="5211" spans="1:9" hidden="1">
      <c r="A5211" s="67" t="s">
        <v>295</v>
      </c>
      <c r="B5211" s="68">
        <v>2048</v>
      </c>
      <c r="C5211" s="68">
        <v>2023</v>
      </c>
      <c r="D5211" s="68" t="s">
        <v>308</v>
      </c>
      <c r="E5211" s="68" t="s">
        <v>301</v>
      </c>
      <c r="F5211" s="68" t="s">
        <v>40</v>
      </c>
      <c r="G5211" s="68"/>
      <c r="H5211" s="68"/>
      <c r="I5211" s="69">
        <v>60568.279960484848</v>
      </c>
    </row>
    <row r="5212" spans="1:9" hidden="1">
      <c r="A5212" s="64" t="s">
        <v>295</v>
      </c>
      <c r="B5212" s="65">
        <v>2048</v>
      </c>
      <c r="C5212" s="65">
        <v>2023</v>
      </c>
      <c r="D5212" s="65" t="s">
        <v>308</v>
      </c>
      <c r="E5212" s="65" t="s">
        <v>305</v>
      </c>
      <c r="F5212" s="65" t="s">
        <v>297</v>
      </c>
      <c r="G5212" s="65"/>
      <c r="H5212" s="65"/>
      <c r="I5212" s="66">
        <v>1725.7270900000001</v>
      </c>
    </row>
    <row r="5213" spans="1:9" hidden="1">
      <c r="A5213" s="67" t="s">
        <v>295</v>
      </c>
      <c r="B5213" s="68">
        <v>2048</v>
      </c>
      <c r="C5213" s="68">
        <v>2023</v>
      </c>
      <c r="D5213" s="68" t="s">
        <v>308</v>
      </c>
      <c r="E5213" s="68" t="s">
        <v>305</v>
      </c>
      <c r="F5213" s="68" t="s">
        <v>40</v>
      </c>
      <c r="G5213" s="68"/>
      <c r="H5213" s="68"/>
      <c r="I5213" s="69">
        <v>10086.44709</v>
      </c>
    </row>
    <row r="5214" spans="1:9" hidden="1">
      <c r="A5214" s="64" t="s">
        <v>295</v>
      </c>
      <c r="B5214" s="65">
        <v>2048</v>
      </c>
      <c r="C5214" s="65">
        <v>2023</v>
      </c>
      <c r="D5214" s="65" t="s">
        <v>310</v>
      </c>
      <c r="E5214" s="65" t="s">
        <v>294</v>
      </c>
      <c r="F5214" s="65" t="s">
        <v>297</v>
      </c>
      <c r="G5214" s="65"/>
      <c r="H5214" s="65"/>
      <c r="I5214" s="66">
        <v>188.86</v>
      </c>
    </row>
    <row r="5215" spans="1:9" hidden="1">
      <c r="A5215" s="67" t="s">
        <v>295</v>
      </c>
      <c r="B5215" s="68">
        <v>2048</v>
      </c>
      <c r="C5215" s="68">
        <v>2023</v>
      </c>
      <c r="D5215" s="68" t="s">
        <v>310</v>
      </c>
      <c r="E5215" s="68" t="s">
        <v>294</v>
      </c>
      <c r="F5215" s="68" t="s">
        <v>40</v>
      </c>
      <c r="G5215" s="68"/>
      <c r="H5215" s="68"/>
      <c r="I5215" s="69">
        <v>127282.11285516911</v>
      </c>
    </row>
    <row r="5216" spans="1:9" hidden="1">
      <c r="A5216" s="64" t="s">
        <v>295</v>
      </c>
      <c r="B5216" s="65">
        <v>2048</v>
      </c>
      <c r="C5216" s="65">
        <v>2023</v>
      </c>
      <c r="D5216" s="65" t="s">
        <v>310</v>
      </c>
      <c r="E5216" s="65" t="s">
        <v>301</v>
      </c>
      <c r="F5216" s="65" t="s">
        <v>297</v>
      </c>
      <c r="G5216" s="65"/>
      <c r="H5216" s="65"/>
      <c r="I5216" s="66">
        <v>188.86</v>
      </c>
    </row>
    <row r="5217" spans="1:9" hidden="1">
      <c r="A5217" s="67" t="s">
        <v>295</v>
      </c>
      <c r="B5217" s="68">
        <v>2048</v>
      </c>
      <c r="C5217" s="68">
        <v>2023</v>
      </c>
      <c r="D5217" s="68" t="s">
        <v>310</v>
      </c>
      <c r="E5217" s="68" t="s">
        <v>301</v>
      </c>
      <c r="F5217" s="68" t="s">
        <v>40</v>
      </c>
      <c r="G5217" s="68"/>
      <c r="H5217" s="68"/>
      <c r="I5217" s="69">
        <v>136214.35035843271</v>
      </c>
    </row>
    <row r="5218" spans="1:9" hidden="1">
      <c r="A5218" s="64" t="s">
        <v>295</v>
      </c>
      <c r="B5218" s="65">
        <v>2048</v>
      </c>
      <c r="C5218" s="65">
        <v>2023</v>
      </c>
      <c r="D5218" s="65" t="s">
        <v>310</v>
      </c>
      <c r="E5218" s="65" t="s">
        <v>305</v>
      </c>
      <c r="F5218" s="65" t="s">
        <v>40</v>
      </c>
      <c r="G5218" s="65"/>
      <c r="H5218" s="65"/>
      <c r="I5218" s="66">
        <v>1355.4448</v>
      </c>
    </row>
    <row r="5219" spans="1:9" hidden="1">
      <c r="A5219" s="67" t="s">
        <v>295</v>
      </c>
      <c r="B5219" s="68">
        <v>2048</v>
      </c>
      <c r="C5219" s="68">
        <v>2023</v>
      </c>
      <c r="D5219" s="68" t="s">
        <v>311</v>
      </c>
      <c r="E5219" s="68" t="s">
        <v>294</v>
      </c>
      <c r="F5219" s="68" t="s">
        <v>297</v>
      </c>
      <c r="G5219" s="68"/>
      <c r="H5219" s="68"/>
      <c r="I5219" s="69">
        <v>863.76</v>
      </c>
    </row>
    <row r="5220" spans="1:9" hidden="1">
      <c r="A5220" s="64" t="s">
        <v>295</v>
      </c>
      <c r="B5220" s="65">
        <v>2048</v>
      </c>
      <c r="C5220" s="65">
        <v>2023</v>
      </c>
      <c r="D5220" s="65" t="s">
        <v>311</v>
      </c>
      <c r="E5220" s="65" t="s">
        <v>294</v>
      </c>
      <c r="F5220" s="65" t="s">
        <v>40</v>
      </c>
      <c r="G5220" s="65"/>
      <c r="H5220" s="65"/>
      <c r="I5220" s="66">
        <v>144761.39735171091</v>
      </c>
    </row>
    <row r="5221" spans="1:9" hidden="1">
      <c r="A5221" s="67" t="s">
        <v>295</v>
      </c>
      <c r="B5221" s="68">
        <v>2048</v>
      </c>
      <c r="C5221" s="68">
        <v>2023</v>
      </c>
      <c r="D5221" s="68" t="s">
        <v>311</v>
      </c>
      <c r="E5221" s="68" t="s">
        <v>301</v>
      </c>
      <c r="F5221" s="68" t="s">
        <v>297</v>
      </c>
      <c r="G5221" s="68"/>
      <c r="H5221" s="68"/>
      <c r="I5221" s="69">
        <v>863.76</v>
      </c>
    </row>
    <row r="5222" spans="1:9" hidden="1">
      <c r="A5222" s="64" t="s">
        <v>295</v>
      </c>
      <c r="B5222" s="65">
        <v>2048</v>
      </c>
      <c r="C5222" s="65">
        <v>2023</v>
      </c>
      <c r="D5222" s="65" t="s">
        <v>311</v>
      </c>
      <c r="E5222" s="65" t="s">
        <v>301</v>
      </c>
      <c r="F5222" s="65" t="s">
        <v>40</v>
      </c>
      <c r="G5222" s="65"/>
      <c r="H5222" s="65"/>
      <c r="I5222" s="66">
        <v>147341.11046353489</v>
      </c>
    </row>
    <row r="5223" spans="1:9" hidden="1">
      <c r="A5223" s="67" t="s">
        <v>295</v>
      </c>
      <c r="B5223" s="68">
        <v>2048</v>
      </c>
      <c r="C5223" s="68">
        <v>2023</v>
      </c>
      <c r="D5223" s="68" t="s">
        <v>311</v>
      </c>
      <c r="E5223" s="68" t="s">
        <v>305</v>
      </c>
      <c r="F5223" s="68" t="s">
        <v>40</v>
      </c>
      <c r="G5223" s="68"/>
      <c r="H5223" s="68"/>
      <c r="I5223" s="69">
        <v>1014.06</v>
      </c>
    </row>
    <row r="5224" spans="1:9" hidden="1">
      <c r="A5224" s="64" t="s">
        <v>295</v>
      </c>
      <c r="B5224" s="65">
        <v>2048</v>
      </c>
      <c r="C5224" s="65">
        <v>2023</v>
      </c>
      <c r="D5224" s="65" t="s">
        <v>312</v>
      </c>
      <c r="E5224" s="65" t="s">
        <v>294</v>
      </c>
      <c r="F5224" s="65" t="s">
        <v>297</v>
      </c>
      <c r="G5224" s="65"/>
      <c r="H5224" s="65"/>
      <c r="I5224" s="66">
        <v>713.16980000000001</v>
      </c>
    </row>
    <row r="5225" spans="1:9" hidden="1">
      <c r="A5225" s="67" t="s">
        <v>295</v>
      </c>
      <c r="B5225" s="68">
        <v>2048</v>
      </c>
      <c r="C5225" s="68">
        <v>2023</v>
      </c>
      <c r="D5225" s="68" t="s">
        <v>312</v>
      </c>
      <c r="E5225" s="68" t="s">
        <v>294</v>
      </c>
      <c r="F5225" s="68" t="s">
        <v>40</v>
      </c>
      <c r="G5225" s="68"/>
      <c r="H5225" s="68"/>
      <c r="I5225" s="69">
        <v>857.06207979906014</v>
      </c>
    </row>
    <row r="5226" spans="1:9" hidden="1">
      <c r="A5226" s="64" t="s">
        <v>295</v>
      </c>
      <c r="B5226" s="65">
        <v>2048</v>
      </c>
      <c r="C5226" s="65">
        <v>2023</v>
      </c>
      <c r="D5226" s="65" t="s">
        <v>312</v>
      </c>
      <c r="E5226" s="65" t="s">
        <v>301</v>
      </c>
      <c r="F5226" s="65" t="s">
        <v>297</v>
      </c>
      <c r="G5226" s="65"/>
      <c r="H5226" s="65"/>
      <c r="I5226" s="66">
        <v>716.76980000000003</v>
      </c>
    </row>
    <row r="5227" spans="1:9" hidden="1">
      <c r="A5227" s="67" t="s">
        <v>295</v>
      </c>
      <c r="B5227" s="68">
        <v>2048</v>
      </c>
      <c r="C5227" s="68">
        <v>2023</v>
      </c>
      <c r="D5227" s="68" t="s">
        <v>312</v>
      </c>
      <c r="E5227" s="68" t="s">
        <v>301</v>
      </c>
      <c r="F5227" s="68" t="s">
        <v>40</v>
      </c>
      <c r="G5227" s="68"/>
      <c r="H5227" s="68"/>
      <c r="I5227" s="69">
        <v>860.66980000000001</v>
      </c>
    </row>
    <row r="5228" spans="1:9" hidden="1">
      <c r="A5228" s="64" t="s">
        <v>295</v>
      </c>
      <c r="B5228" s="65">
        <v>2048</v>
      </c>
      <c r="C5228" s="65">
        <v>2023</v>
      </c>
      <c r="D5228" s="65" t="s">
        <v>313</v>
      </c>
      <c r="E5228" s="65" t="s">
        <v>294</v>
      </c>
      <c r="F5228" s="65" t="s">
        <v>297</v>
      </c>
      <c r="G5228" s="65"/>
      <c r="H5228" s="65"/>
      <c r="I5228" s="66">
        <v>1240196.8099821031</v>
      </c>
    </row>
    <row r="5229" spans="1:9" hidden="1">
      <c r="A5229" s="67" t="s">
        <v>295</v>
      </c>
      <c r="B5229" s="68">
        <v>2048</v>
      </c>
      <c r="C5229" s="68">
        <v>2023</v>
      </c>
      <c r="D5229" s="68" t="s">
        <v>313</v>
      </c>
      <c r="E5229" s="68" t="s">
        <v>294</v>
      </c>
      <c r="F5229" s="68" t="s">
        <v>298</v>
      </c>
      <c r="G5229" s="68"/>
      <c r="H5229" s="68"/>
      <c r="I5229" s="69">
        <v>597654.52876467793</v>
      </c>
    </row>
    <row r="5230" spans="1:9" hidden="1">
      <c r="A5230" s="64" t="s">
        <v>295</v>
      </c>
      <c r="B5230" s="65">
        <v>2048</v>
      </c>
      <c r="C5230" s="65">
        <v>2023</v>
      </c>
      <c r="D5230" s="65" t="s">
        <v>313</v>
      </c>
      <c r="E5230" s="65" t="s">
        <v>294</v>
      </c>
      <c r="F5230" s="65" t="s">
        <v>40</v>
      </c>
      <c r="G5230" s="65"/>
      <c r="H5230" s="65"/>
      <c r="I5230" s="66">
        <v>1854926.702001258</v>
      </c>
    </row>
    <row r="5231" spans="1:9" hidden="1">
      <c r="A5231" s="67" t="s">
        <v>295</v>
      </c>
      <c r="B5231" s="68">
        <v>2048</v>
      </c>
      <c r="C5231" s="68">
        <v>2023</v>
      </c>
      <c r="D5231" s="68" t="s">
        <v>313</v>
      </c>
      <c r="E5231" s="68" t="s">
        <v>301</v>
      </c>
      <c r="F5231" s="68" t="s">
        <v>297</v>
      </c>
      <c r="G5231" s="68"/>
      <c r="H5231" s="68"/>
      <c r="I5231" s="69">
        <v>1446734.485651376</v>
      </c>
    </row>
    <row r="5232" spans="1:9" hidden="1">
      <c r="A5232" s="64" t="s">
        <v>295</v>
      </c>
      <c r="B5232" s="65">
        <v>2048</v>
      </c>
      <c r="C5232" s="65">
        <v>2023</v>
      </c>
      <c r="D5232" s="65" t="s">
        <v>313</v>
      </c>
      <c r="E5232" s="65" t="s">
        <v>301</v>
      </c>
      <c r="F5232" s="65" t="s">
        <v>298</v>
      </c>
      <c r="G5232" s="65"/>
      <c r="H5232" s="65"/>
      <c r="I5232" s="66">
        <v>688334.53288918105</v>
      </c>
    </row>
    <row r="5233" spans="1:9" hidden="1">
      <c r="A5233" s="67" t="s">
        <v>295</v>
      </c>
      <c r="B5233" s="68">
        <v>2048</v>
      </c>
      <c r="C5233" s="68">
        <v>2023</v>
      </c>
      <c r="D5233" s="68" t="s">
        <v>313</v>
      </c>
      <c r="E5233" s="68" t="s">
        <v>301</v>
      </c>
      <c r="F5233" s="68" t="s">
        <v>40</v>
      </c>
      <c r="G5233" s="68"/>
      <c r="H5233" s="68"/>
      <c r="I5233" s="69">
        <v>2153765.3914636001</v>
      </c>
    </row>
    <row r="5234" spans="1:9" hidden="1">
      <c r="A5234" s="64" t="s">
        <v>295</v>
      </c>
      <c r="B5234" s="65">
        <v>2048</v>
      </c>
      <c r="C5234" s="65">
        <v>2023</v>
      </c>
      <c r="D5234" s="65" t="s">
        <v>313</v>
      </c>
      <c r="E5234" s="65" t="s">
        <v>305</v>
      </c>
      <c r="F5234" s="65" t="s">
        <v>297</v>
      </c>
      <c r="G5234" s="65"/>
      <c r="H5234" s="65"/>
      <c r="I5234" s="66">
        <v>17493.801100000001</v>
      </c>
    </row>
    <row r="5235" spans="1:9" hidden="1">
      <c r="A5235" s="67" t="s">
        <v>295</v>
      </c>
      <c r="B5235" s="68">
        <v>2048</v>
      </c>
      <c r="C5235" s="68">
        <v>2023</v>
      </c>
      <c r="D5235" s="68" t="s">
        <v>313</v>
      </c>
      <c r="E5235" s="68" t="s">
        <v>305</v>
      </c>
      <c r="F5235" s="68" t="s">
        <v>298</v>
      </c>
      <c r="G5235" s="68"/>
      <c r="H5235" s="68"/>
      <c r="I5235" s="69">
        <v>9642.7512900000002</v>
      </c>
    </row>
    <row r="5236" spans="1:9" hidden="1">
      <c r="A5236" s="64" t="s">
        <v>295</v>
      </c>
      <c r="B5236" s="65">
        <v>2048</v>
      </c>
      <c r="C5236" s="65">
        <v>2023</v>
      </c>
      <c r="D5236" s="65" t="s">
        <v>313</v>
      </c>
      <c r="E5236" s="65" t="s">
        <v>305</v>
      </c>
      <c r="F5236" s="65" t="s">
        <v>40</v>
      </c>
      <c r="G5236" s="65"/>
      <c r="H5236" s="65"/>
      <c r="I5236" s="66">
        <v>227550.81529</v>
      </c>
    </row>
    <row r="5237" spans="1:9" hidden="1">
      <c r="A5237" s="67" t="s">
        <v>295</v>
      </c>
      <c r="B5237" s="68">
        <v>2048</v>
      </c>
      <c r="C5237" s="68">
        <v>2023</v>
      </c>
      <c r="D5237" s="68" t="s">
        <v>314</v>
      </c>
      <c r="E5237" s="68" t="s">
        <v>294</v>
      </c>
      <c r="F5237" s="68" t="s">
        <v>297</v>
      </c>
      <c r="G5237" s="68"/>
      <c r="H5237" s="68"/>
      <c r="I5237" s="69">
        <v>1240196.709982103</v>
      </c>
    </row>
    <row r="5238" spans="1:9" hidden="1">
      <c r="A5238" s="64" t="s">
        <v>295</v>
      </c>
      <c r="B5238" s="65">
        <v>2048</v>
      </c>
      <c r="C5238" s="65">
        <v>2023</v>
      </c>
      <c r="D5238" s="65" t="s">
        <v>314</v>
      </c>
      <c r="E5238" s="65" t="s">
        <v>294</v>
      </c>
      <c r="F5238" s="65" t="s">
        <v>298</v>
      </c>
      <c r="G5238" s="65"/>
      <c r="H5238" s="65"/>
      <c r="I5238" s="66">
        <v>597654.42876467796</v>
      </c>
    </row>
    <row r="5239" spans="1:9" hidden="1">
      <c r="A5239" s="67" t="s">
        <v>295</v>
      </c>
      <c r="B5239" s="68">
        <v>2048</v>
      </c>
      <c r="C5239" s="68">
        <v>2023</v>
      </c>
      <c r="D5239" s="68" t="s">
        <v>314</v>
      </c>
      <c r="E5239" s="68" t="s">
        <v>294</v>
      </c>
      <c r="F5239" s="68" t="s">
        <v>40</v>
      </c>
      <c r="G5239" s="68"/>
      <c r="H5239" s="68"/>
      <c r="I5239" s="69">
        <v>1607317.2577478411</v>
      </c>
    </row>
    <row r="5240" spans="1:9" hidden="1">
      <c r="A5240" s="64" t="s">
        <v>295</v>
      </c>
      <c r="B5240" s="65">
        <v>2048</v>
      </c>
      <c r="C5240" s="65">
        <v>2023</v>
      </c>
      <c r="D5240" s="65" t="s">
        <v>314</v>
      </c>
      <c r="E5240" s="65" t="s">
        <v>301</v>
      </c>
      <c r="F5240" s="65" t="s">
        <v>297</v>
      </c>
      <c r="G5240" s="65"/>
      <c r="H5240" s="65"/>
      <c r="I5240" s="66">
        <v>1446734.3856513761</v>
      </c>
    </row>
    <row r="5241" spans="1:9" hidden="1">
      <c r="A5241" s="67" t="s">
        <v>295</v>
      </c>
      <c r="B5241" s="68">
        <v>2048</v>
      </c>
      <c r="C5241" s="68">
        <v>2023</v>
      </c>
      <c r="D5241" s="68" t="s">
        <v>314</v>
      </c>
      <c r="E5241" s="68" t="s">
        <v>301</v>
      </c>
      <c r="F5241" s="68" t="s">
        <v>298</v>
      </c>
      <c r="G5241" s="68"/>
      <c r="H5241" s="68"/>
      <c r="I5241" s="69">
        <v>688334.43288918107</v>
      </c>
    </row>
    <row r="5242" spans="1:9" hidden="1">
      <c r="A5242" s="64" t="s">
        <v>295</v>
      </c>
      <c r="B5242" s="65">
        <v>2048</v>
      </c>
      <c r="C5242" s="65">
        <v>2023</v>
      </c>
      <c r="D5242" s="65" t="s">
        <v>314</v>
      </c>
      <c r="E5242" s="65" t="s">
        <v>301</v>
      </c>
      <c r="F5242" s="65" t="s">
        <v>40</v>
      </c>
      <c r="G5242" s="65"/>
      <c r="H5242" s="65"/>
      <c r="I5242" s="66">
        <v>1943479.8621978329</v>
      </c>
    </row>
    <row r="5243" spans="1:9" hidden="1">
      <c r="A5243" s="67" t="s">
        <v>295</v>
      </c>
      <c r="B5243" s="68">
        <v>2048</v>
      </c>
      <c r="C5243" s="68">
        <v>2023</v>
      </c>
      <c r="D5243" s="68" t="s">
        <v>314</v>
      </c>
      <c r="E5243" s="68" t="s">
        <v>305</v>
      </c>
      <c r="F5243" s="68" t="s">
        <v>297</v>
      </c>
      <c r="G5243" s="68"/>
      <c r="H5243" s="68"/>
      <c r="I5243" s="69">
        <v>17493.801100000001</v>
      </c>
    </row>
    <row r="5244" spans="1:9" hidden="1">
      <c r="A5244" s="64" t="s">
        <v>295</v>
      </c>
      <c r="B5244" s="65">
        <v>2048</v>
      </c>
      <c r="C5244" s="65">
        <v>2023</v>
      </c>
      <c r="D5244" s="65" t="s">
        <v>314</v>
      </c>
      <c r="E5244" s="65" t="s">
        <v>305</v>
      </c>
      <c r="F5244" s="65" t="s">
        <v>298</v>
      </c>
      <c r="G5244" s="65"/>
      <c r="H5244" s="65"/>
      <c r="I5244" s="66">
        <v>9642.7512900000002</v>
      </c>
    </row>
    <row r="5245" spans="1:9" hidden="1">
      <c r="A5245" s="67" t="s">
        <v>295</v>
      </c>
      <c r="B5245" s="68">
        <v>2048</v>
      </c>
      <c r="C5245" s="68">
        <v>2023</v>
      </c>
      <c r="D5245" s="68" t="s">
        <v>314</v>
      </c>
      <c r="E5245" s="68" t="s">
        <v>305</v>
      </c>
      <c r="F5245" s="68" t="s">
        <v>40</v>
      </c>
      <c r="G5245" s="68"/>
      <c r="H5245" s="68"/>
      <c r="I5245" s="69">
        <v>219899.62285000001</v>
      </c>
    </row>
    <row r="5246" spans="1:9" hidden="1">
      <c r="A5246" s="64" t="s">
        <v>295</v>
      </c>
      <c r="B5246" s="65">
        <v>2049</v>
      </c>
      <c r="C5246" s="65">
        <v>2023</v>
      </c>
      <c r="D5246" s="65" t="s">
        <v>296</v>
      </c>
      <c r="E5246" s="65" t="s">
        <v>294</v>
      </c>
      <c r="F5246" s="65" t="s">
        <v>297</v>
      </c>
      <c r="G5246" s="65"/>
      <c r="H5246" s="65"/>
      <c r="I5246" s="66">
        <v>784885.83696595335</v>
      </c>
    </row>
    <row r="5247" spans="1:9" hidden="1">
      <c r="A5247" s="67" t="s">
        <v>295</v>
      </c>
      <c r="B5247" s="68">
        <v>2049</v>
      </c>
      <c r="C5247" s="68">
        <v>2023</v>
      </c>
      <c r="D5247" s="68" t="s">
        <v>296</v>
      </c>
      <c r="E5247" s="68" t="s">
        <v>294</v>
      </c>
      <c r="F5247" s="68" t="s">
        <v>298</v>
      </c>
      <c r="G5247" s="68"/>
      <c r="H5247" s="68"/>
      <c r="I5247" s="69">
        <v>426527.69174238213</v>
      </c>
    </row>
    <row r="5248" spans="1:9" hidden="1">
      <c r="A5248" s="64" t="s">
        <v>295</v>
      </c>
      <c r="B5248" s="65">
        <v>2049</v>
      </c>
      <c r="C5248" s="65">
        <v>2023</v>
      </c>
      <c r="D5248" s="65" t="s">
        <v>296</v>
      </c>
      <c r="E5248" s="65" t="s">
        <v>294</v>
      </c>
      <c r="F5248" s="65" t="s">
        <v>40</v>
      </c>
      <c r="G5248" s="65"/>
      <c r="H5248" s="65"/>
      <c r="I5248" s="66">
        <v>1228707.242811003</v>
      </c>
    </row>
    <row r="5249" spans="1:9" hidden="1">
      <c r="A5249" s="67" t="s">
        <v>295</v>
      </c>
      <c r="B5249" s="68">
        <v>2049</v>
      </c>
      <c r="C5249" s="68">
        <v>2023</v>
      </c>
      <c r="D5249" s="68" t="s">
        <v>296</v>
      </c>
      <c r="E5249" s="68" t="s">
        <v>301</v>
      </c>
      <c r="F5249" s="68" t="s">
        <v>297</v>
      </c>
      <c r="G5249" s="68"/>
      <c r="H5249" s="68"/>
      <c r="I5249" s="69">
        <v>966526.41998796712</v>
      </c>
    </row>
    <row r="5250" spans="1:9" hidden="1">
      <c r="A5250" s="64" t="s">
        <v>295</v>
      </c>
      <c r="B5250" s="65">
        <v>2049</v>
      </c>
      <c r="C5250" s="65">
        <v>2023</v>
      </c>
      <c r="D5250" s="65" t="s">
        <v>296</v>
      </c>
      <c r="E5250" s="65" t="s">
        <v>301</v>
      </c>
      <c r="F5250" s="65" t="s">
        <v>298</v>
      </c>
      <c r="G5250" s="65"/>
      <c r="H5250" s="65"/>
      <c r="I5250" s="66">
        <v>506895.77962135489</v>
      </c>
    </row>
    <row r="5251" spans="1:9" hidden="1">
      <c r="A5251" s="67" t="s">
        <v>295</v>
      </c>
      <c r="B5251" s="68">
        <v>2049</v>
      </c>
      <c r="C5251" s="68">
        <v>2023</v>
      </c>
      <c r="D5251" s="68" t="s">
        <v>296</v>
      </c>
      <c r="E5251" s="68" t="s">
        <v>301</v>
      </c>
      <c r="F5251" s="68" t="s">
        <v>40</v>
      </c>
      <c r="G5251" s="68"/>
      <c r="H5251" s="68"/>
      <c r="I5251" s="69">
        <v>1492598.7035480679</v>
      </c>
    </row>
    <row r="5252" spans="1:9" hidden="1">
      <c r="A5252" s="64" t="s">
        <v>295</v>
      </c>
      <c r="B5252" s="65">
        <v>2049</v>
      </c>
      <c r="C5252" s="65">
        <v>2023</v>
      </c>
      <c r="D5252" s="65" t="s">
        <v>296</v>
      </c>
      <c r="E5252" s="65" t="s">
        <v>305</v>
      </c>
      <c r="F5252" s="65" t="s">
        <v>297</v>
      </c>
      <c r="G5252" s="65"/>
      <c r="H5252" s="65"/>
      <c r="I5252" s="66">
        <v>12444.22955</v>
      </c>
    </row>
    <row r="5253" spans="1:9" hidden="1">
      <c r="A5253" s="67" t="s">
        <v>295</v>
      </c>
      <c r="B5253" s="68">
        <v>2049</v>
      </c>
      <c r="C5253" s="68">
        <v>2023</v>
      </c>
      <c r="D5253" s="68" t="s">
        <v>296</v>
      </c>
      <c r="E5253" s="68" t="s">
        <v>305</v>
      </c>
      <c r="F5253" s="68" t="s">
        <v>298</v>
      </c>
      <c r="G5253" s="68"/>
      <c r="H5253" s="68"/>
      <c r="I5253" s="69">
        <v>8892.1098500000007</v>
      </c>
    </row>
    <row r="5254" spans="1:9" hidden="1">
      <c r="A5254" s="64" t="s">
        <v>295</v>
      </c>
      <c r="B5254" s="65">
        <v>2049</v>
      </c>
      <c r="C5254" s="65">
        <v>2023</v>
      </c>
      <c r="D5254" s="65" t="s">
        <v>296</v>
      </c>
      <c r="E5254" s="65" t="s">
        <v>305</v>
      </c>
      <c r="F5254" s="65" t="s">
        <v>40</v>
      </c>
      <c r="G5254" s="65"/>
      <c r="H5254" s="65"/>
      <c r="I5254" s="66">
        <v>159432.65328</v>
      </c>
    </row>
    <row r="5255" spans="1:9" hidden="1">
      <c r="A5255" s="67" t="s">
        <v>295</v>
      </c>
      <c r="B5255" s="68">
        <v>2049</v>
      </c>
      <c r="C5255" s="68">
        <v>2023</v>
      </c>
      <c r="D5255" s="68" t="s">
        <v>309</v>
      </c>
      <c r="E5255" s="68" t="s">
        <v>294</v>
      </c>
      <c r="F5255" s="68" t="s">
        <v>297</v>
      </c>
      <c r="G5255" s="68"/>
      <c r="H5255" s="68"/>
      <c r="I5255" s="69">
        <v>41400.267472820116</v>
      </c>
    </row>
    <row r="5256" spans="1:9" hidden="1">
      <c r="A5256" s="64" t="s">
        <v>295</v>
      </c>
      <c r="B5256" s="65">
        <v>2049</v>
      </c>
      <c r="C5256" s="65">
        <v>2023</v>
      </c>
      <c r="D5256" s="65" t="s">
        <v>309</v>
      </c>
      <c r="E5256" s="65" t="s">
        <v>294</v>
      </c>
      <c r="F5256" s="65" t="s">
        <v>298</v>
      </c>
      <c r="G5256" s="65"/>
      <c r="H5256" s="65"/>
      <c r="I5256" s="66">
        <v>256336.14627967289</v>
      </c>
    </row>
    <row r="5257" spans="1:9" hidden="1">
      <c r="A5257" s="67" t="s">
        <v>295</v>
      </c>
      <c r="B5257" s="68">
        <v>2049</v>
      </c>
      <c r="C5257" s="68">
        <v>2023</v>
      </c>
      <c r="D5257" s="68" t="s">
        <v>309</v>
      </c>
      <c r="E5257" s="68" t="s">
        <v>294</v>
      </c>
      <c r="F5257" s="68" t="s">
        <v>40</v>
      </c>
      <c r="G5257" s="68"/>
      <c r="H5257" s="68"/>
      <c r="I5257" s="69">
        <v>297221.24635989871</v>
      </c>
    </row>
    <row r="5258" spans="1:9" hidden="1">
      <c r="A5258" s="64" t="s">
        <v>295</v>
      </c>
      <c r="B5258" s="65">
        <v>2049</v>
      </c>
      <c r="C5258" s="65">
        <v>2023</v>
      </c>
      <c r="D5258" s="65" t="s">
        <v>309</v>
      </c>
      <c r="E5258" s="65" t="s">
        <v>301</v>
      </c>
      <c r="F5258" s="65" t="s">
        <v>297</v>
      </c>
      <c r="G5258" s="65"/>
      <c r="H5258" s="65"/>
      <c r="I5258" s="66">
        <v>38960.493444188163</v>
      </c>
    </row>
    <row r="5259" spans="1:9" hidden="1">
      <c r="A5259" s="67" t="s">
        <v>295</v>
      </c>
      <c r="B5259" s="68">
        <v>2049</v>
      </c>
      <c r="C5259" s="68">
        <v>2023</v>
      </c>
      <c r="D5259" s="68" t="s">
        <v>309</v>
      </c>
      <c r="E5259" s="68" t="s">
        <v>301</v>
      </c>
      <c r="F5259" s="68" t="s">
        <v>298</v>
      </c>
      <c r="G5259" s="68"/>
      <c r="H5259" s="68"/>
      <c r="I5259" s="69">
        <v>305661.22377084277</v>
      </c>
    </row>
    <row r="5260" spans="1:9" hidden="1">
      <c r="A5260" s="64" t="s">
        <v>295</v>
      </c>
      <c r="B5260" s="65">
        <v>2049</v>
      </c>
      <c r="C5260" s="65">
        <v>2023</v>
      </c>
      <c r="D5260" s="65" t="s">
        <v>309</v>
      </c>
      <c r="E5260" s="65" t="s">
        <v>301</v>
      </c>
      <c r="F5260" s="65" t="s">
        <v>40</v>
      </c>
      <c r="G5260" s="65"/>
      <c r="H5260" s="65"/>
      <c r="I5260" s="66">
        <v>344173.74725861818</v>
      </c>
    </row>
    <row r="5261" spans="1:9" hidden="1">
      <c r="A5261" s="67" t="s">
        <v>295</v>
      </c>
      <c r="B5261" s="68">
        <v>2049</v>
      </c>
      <c r="C5261" s="68">
        <v>2023</v>
      </c>
      <c r="D5261" s="68" t="s">
        <v>309</v>
      </c>
      <c r="E5261" s="68" t="s">
        <v>305</v>
      </c>
      <c r="F5261" s="68" t="s">
        <v>297</v>
      </c>
      <c r="G5261" s="68"/>
      <c r="H5261" s="68"/>
      <c r="I5261" s="69">
        <v>34.879620000000003</v>
      </c>
    </row>
    <row r="5262" spans="1:9" hidden="1">
      <c r="A5262" s="64" t="s">
        <v>295</v>
      </c>
      <c r="B5262" s="65">
        <v>2049</v>
      </c>
      <c r="C5262" s="65">
        <v>2023</v>
      </c>
      <c r="D5262" s="65" t="s">
        <v>309</v>
      </c>
      <c r="E5262" s="65" t="s">
        <v>305</v>
      </c>
      <c r="F5262" s="65" t="s">
        <v>298</v>
      </c>
      <c r="G5262" s="65"/>
      <c r="H5262" s="65"/>
      <c r="I5262" s="66">
        <v>7293.5898500000003</v>
      </c>
    </row>
    <row r="5263" spans="1:9" hidden="1">
      <c r="A5263" s="67" t="s">
        <v>295</v>
      </c>
      <c r="B5263" s="68">
        <v>2049</v>
      </c>
      <c r="C5263" s="68">
        <v>2023</v>
      </c>
      <c r="D5263" s="68" t="s">
        <v>309</v>
      </c>
      <c r="E5263" s="68" t="s">
        <v>305</v>
      </c>
      <c r="F5263" s="68" t="s">
        <v>40</v>
      </c>
      <c r="G5263" s="68"/>
      <c r="H5263" s="68"/>
      <c r="I5263" s="69">
        <v>48301.969469999996</v>
      </c>
    </row>
    <row r="5264" spans="1:9" hidden="1">
      <c r="A5264" s="64" t="s">
        <v>295</v>
      </c>
      <c r="B5264" s="65">
        <v>2049</v>
      </c>
      <c r="C5264" s="65">
        <v>2023</v>
      </c>
      <c r="D5264" s="65" t="s">
        <v>315</v>
      </c>
      <c r="E5264" s="65" t="s">
        <v>294</v>
      </c>
      <c r="F5264" s="65" t="s">
        <v>297</v>
      </c>
      <c r="G5264" s="65"/>
      <c r="H5264" s="65"/>
      <c r="I5264" s="66">
        <v>93607.018468085895</v>
      </c>
    </row>
    <row r="5265" spans="1:9" hidden="1">
      <c r="A5265" s="67" t="s">
        <v>295</v>
      </c>
      <c r="B5265" s="68">
        <v>2049</v>
      </c>
      <c r="C5265" s="68">
        <v>2023</v>
      </c>
      <c r="D5265" s="68" t="s">
        <v>315</v>
      </c>
      <c r="E5265" s="68" t="s">
        <v>294</v>
      </c>
      <c r="F5265" s="68" t="s">
        <v>298</v>
      </c>
      <c r="G5265" s="68"/>
      <c r="H5265" s="68"/>
      <c r="I5265" s="69">
        <v>156016.22492888439</v>
      </c>
    </row>
    <row r="5266" spans="1:9" hidden="1">
      <c r="A5266" s="64" t="s">
        <v>295</v>
      </c>
      <c r="B5266" s="65">
        <v>2049</v>
      </c>
      <c r="C5266" s="65">
        <v>2023</v>
      </c>
      <c r="D5266" s="65" t="s">
        <v>315</v>
      </c>
      <c r="E5266" s="65" t="s">
        <v>294</v>
      </c>
      <c r="F5266" s="65" t="s">
        <v>40</v>
      </c>
      <c r="G5266" s="65"/>
      <c r="H5266" s="65"/>
      <c r="I5266" s="66">
        <v>249067.12901745751</v>
      </c>
    </row>
    <row r="5267" spans="1:9" hidden="1">
      <c r="A5267" s="67" t="s">
        <v>295</v>
      </c>
      <c r="B5267" s="68">
        <v>2049</v>
      </c>
      <c r="C5267" s="68">
        <v>2023</v>
      </c>
      <c r="D5267" s="68" t="s">
        <v>315</v>
      </c>
      <c r="E5267" s="68" t="s">
        <v>301</v>
      </c>
      <c r="F5267" s="68" t="s">
        <v>297</v>
      </c>
      <c r="G5267" s="68"/>
      <c r="H5267" s="68"/>
      <c r="I5267" s="69">
        <v>101500.3411029252</v>
      </c>
    </row>
    <row r="5268" spans="1:9" hidden="1">
      <c r="A5268" s="64" t="s">
        <v>295</v>
      </c>
      <c r="B5268" s="65">
        <v>2049</v>
      </c>
      <c r="C5268" s="65">
        <v>2023</v>
      </c>
      <c r="D5268" s="65" t="s">
        <v>315</v>
      </c>
      <c r="E5268" s="65" t="s">
        <v>301</v>
      </c>
      <c r="F5268" s="65" t="s">
        <v>298</v>
      </c>
      <c r="G5268" s="65"/>
      <c r="H5268" s="65"/>
      <c r="I5268" s="66">
        <v>184897.88956232331</v>
      </c>
    </row>
    <row r="5269" spans="1:9" hidden="1">
      <c r="A5269" s="67" t="s">
        <v>295</v>
      </c>
      <c r="B5269" s="68">
        <v>2049</v>
      </c>
      <c r="C5269" s="68">
        <v>2023</v>
      </c>
      <c r="D5269" s="68" t="s">
        <v>315</v>
      </c>
      <c r="E5269" s="68" t="s">
        <v>301</v>
      </c>
      <c r="F5269" s="68" t="s">
        <v>40</v>
      </c>
      <c r="G5269" s="68"/>
      <c r="H5269" s="68"/>
      <c r="I5269" s="69">
        <v>285852.11188085022</v>
      </c>
    </row>
    <row r="5270" spans="1:9" hidden="1">
      <c r="A5270" s="64" t="s">
        <v>295</v>
      </c>
      <c r="B5270" s="65">
        <v>2049</v>
      </c>
      <c r="C5270" s="65">
        <v>2023</v>
      </c>
      <c r="D5270" s="65" t="s">
        <v>315</v>
      </c>
      <c r="E5270" s="65" t="s">
        <v>305</v>
      </c>
      <c r="F5270" s="65" t="s">
        <v>297</v>
      </c>
      <c r="G5270" s="65"/>
      <c r="H5270" s="65"/>
      <c r="I5270" s="66">
        <v>1179.64525</v>
      </c>
    </row>
    <row r="5271" spans="1:9" hidden="1">
      <c r="A5271" s="67" t="s">
        <v>295</v>
      </c>
      <c r="B5271" s="68">
        <v>2049</v>
      </c>
      <c r="C5271" s="68">
        <v>2023</v>
      </c>
      <c r="D5271" s="68" t="s">
        <v>315</v>
      </c>
      <c r="E5271" s="68" t="s">
        <v>305</v>
      </c>
      <c r="F5271" s="68" t="s">
        <v>298</v>
      </c>
      <c r="G5271" s="68"/>
      <c r="H5271" s="68"/>
      <c r="I5271" s="69">
        <v>1528.62</v>
      </c>
    </row>
    <row r="5272" spans="1:9" hidden="1">
      <c r="A5272" s="64" t="s">
        <v>295</v>
      </c>
      <c r="B5272" s="65">
        <v>2049</v>
      </c>
      <c r="C5272" s="65">
        <v>2023</v>
      </c>
      <c r="D5272" s="65" t="s">
        <v>315</v>
      </c>
      <c r="E5272" s="65" t="s">
        <v>305</v>
      </c>
      <c r="F5272" s="65" t="s">
        <v>40</v>
      </c>
      <c r="G5272" s="65"/>
      <c r="H5272" s="65"/>
      <c r="I5272" s="66">
        <v>23482.805250000001</v>
      </c>
    </row>
    <row r="5273" spans="1:9" hidden="1">
      <c r="A5273" s="67" t="s">
        <v>295</v>
      </c>
      <c r="B5273" s="68">
        <v>2049</v>
      </c>
      <c r="C5273" s="68">
        <v>2023</v>
      </c>
      <c r="D5273" s="68" t="s">
        <v>316</v>
      </c>
      <c r="E5273" s="68" t="s">
        <v>294</v>
      </c>
      <c r="F5273" s="68" t="s">
        <v>297</v>
      </c>
      <c r="G5273" s="68"/>
      <c r="H5273" s="68"/>
      <c r="I5273" s="69">
        <v>365855.14250856551</v>
      </c>
    </row>
    <row r="5274" spans="1:9" hidden="1">
      <c r="A5274" s="64" t="s">
        <v>295</v>
      </c>
      <c r="B5274" s="65">
        <v>2049</v>
      </c>
      <c r="C5274" s="65">
        <v>2023</v>
      </c>
      <c r="D5274" s="65" t="s">
        <v>316</v>
      </c>
      <c r="E5274" s="65" t="s">
        <v>294</v>
      </c>
      <c r="F5274" s="65" t="s">
        <v>298</v>
      </c>
      <c r="G5274" s="65"/>
      <c r="H5274" s="65"/>
      <c r="I5274" s="66">
        <v>3232.5565610919289</v>
      </c>
    </row>
    <row r="5275" spans="1:9" hidden="1">
      <c r="A5275" s="67" t="s">
        <v>295</v>
      </c>
      <c r="B5275" s="68">
        <v>2049</v>
      </c>
      <c r="C5275" s="68">
        <v>2023</v>
      </c>
      <c r="D5275" s="68" t="s">
        <v>316</v>
      </c>
      <c r="E5275" s="68" t="s">
        <v>294</v>
      </c>
      <c r="F5275" s="68" t="s">
        <v>40</v>
      </c>
      <c r="G5275" s="68"/>
      <c r="H5275" s="68"/>
      <c r="I5275" s="69">
        <v>386966.78370388818</v>
      </c>
    </row>
    <row r="5276" spans="1:9" hidden="1">
      <c r="A5276" s="64" t="s">
        <v>295</v>
      </c>
      <c r="B5276" s="65">
        <v>2049</v>
      </c>
      <c r="C5276" s="65">
        <v>2023</v>
      </c>
      <c r="D5276" s="65" t="s">
        <v>316</v>
      </c>
      <c r="E5276" s="65" t="s">
        <v>301</v>
      </c>
      <c r="F5276" s="65" t="s">
        <v>297</v>
      </c>
      <c r="G5276" s="65"/>
      <c r="H5276" s="65"/>
      <c r="I5276" s="66">
        <v>469841.52463926369</v>
      </c>
    </row>
    <row r="5277" spans="1:9" hidden="1">
      <c r="A5277" s="67" t="s">
        <v>295</v>
      </c>
      <c r="B5277" s="68">
        <v>2049</v>
      </c>
      <c r="C5277" s="68">
        <v>2023</v>
      </c>
      <c r="D5277" s="68" t="s">
        <v>316</v>
      </c>
      <c r="E5277" s="68" t="s">
        <v>301</v>
      </c>
      <c r="F5277" s="68" t="s">
        <v>298</v>
      </c>
      <c r="G5277" s="68"/>
      <c r="H5277" s="68"/>
      <c r="I5277" s="69">
        <v>3557.1830294959741</v>
      </c>
    </row>
    <row r="5278" spans="1:9" hidden="1">
      <c r="A5278" s="64" t="s">
        <v>295</v>
      </c>
      <c r="B5278" s="65">
        <v>2049</v>
      </c>
      <c r="C5278" s="65">
        <v>2023</v>
      </c>
      <c r="D5278" s="65" t="s">
        <v>316</v>
      </c>
      <c r="E5278" s="65" t="s">
        <v>301</v>
      </c>
      <c r="F5278" s="65" t="s">
        <v>40</v>
      </c>
      <c r="G5278" s="65"/>
      <c r="H5278" s="65"/>
      <c r="I5278" s="66">
        <v>493083.94457753352</v>
      </c>
    </row>
    <row r="5279" spans="1:9" hidden="1">
      <c r="A5279" s="67" t="s">
        <v>295</v>
      </c>
      <c r="B5279" s="68">
        <v>2049</v>
      </c>
      <c r="C5279" s="68">
        <v>2023</v>
      </c>
      <c r="D5279" s="68" t="s">
        <v>316</v>
      </c>
      <c r="E5279" s="68" t="s">
        <v>305</v>
      </c>
      <c r="F5279" s="68" t="s">
        <v>297</v>
      </c>
      <c r="G5279" s="68"/>
      <c r="H5279" s="68"/>
      <c r="I5279" s="69">
        <v>9350.1802500000013</v>
      </c>
    </row>
    <row r="5280" spans="1:9" hidden="1">
      <c r="A5280" s="64" t="s">
        <v>295</v>
      </c>
      <c r="B5280" s="65">
        <v>2049</v>
      </c>
      <c r="C5280" s="65">
        <v>2023</v>
      </c>
      <c r="D5280" s="65" t="s">
        <v>316</v>
      </c>
      <c r="E5280" s="65" t="s">
        <v>305</v>
      </c>
      <c r="F5280" s="65" t="s">
        <v>298</v>
      </c>
      <c r="G5280" s="65"/>
      <c r="H5280" s="65"/>
      <c r="I5280" s="66">
        <v>0</v>
      </c>
    </row>
    <row r="5281" spans="1:9" hidden="1">
      <c r="A5281" s="67" t="s">
        <v>295</v>
      </c>
      <c r="B5281" s="68">
        <v>2049</v>
      </c>
      <c r="C5281" s="68">
        <v>2023</v>
      </c>
      <c r="D5281" s="68" t="s">
        <v>316</v>
      </c>
      <c r="E5281" s="68" t="s">
        <v>305</v>
      </c>
      <c r="F5281" s="68" t="s">
        <v>40</v>
      </c>
      <c r="G5281" s="68"/>
      <c r="H5281" s="68"/>
      <c r="I5281" s="69">
        <v>45805.794130000002</v>
      </c>
    </row>
    <row r="5282" spans="1:9" hidden="1">
      <c r="A5282" s="64" t="s">
        <v>295</v>
      </c>
      <c r="B5282" s="65">
        <v>2049</v>
      </c>
      <c r="C5282" s="65">
        <v>2023</v>
      </c>
      <c r="D5282" s="65" t="s">
        <v>317</v>
      </c>
      <c r="E5282" s="65" t="s">
        <v>294</v>
      </c>
      <c r="F5282" s="65" t="s">
        <v>297</v>
      </c>
      <c r="G5282" s="65"/>
      <c r="H5282" s="65"/>
      <c r="I5282" s="66">
        <v>277.657196841597</v>
      </c>
    </row>
    <row r="5283" spans="1:9" hidden="1">
      <c r="A5283" s="67" t="s">
        <v>295</v>
      </c>
      <c r="B5283" s="68">
        <v>2049</v>
      </c>
      <c r="C5283" s="68">
        <v>2023</v>
      </c>
      <c r="D5283" s="68" t="s">
        <v>317</v>
      </c>
      <c r="E5283" s="68" t="s">
        <v>294</v>
      </c>
      <c r="F5283" s="68" t="s">
        <v>298</v>
      </c>
      <c r="G5283" s="68"/>
      <c r="H5283" s="68"/>
      <c r="I5283" s="69">
        <v>0</v>
      </c>
    </row>
    <row r="5284" spans="1:9" hidden="1">
      <c r="A5284" s="64" t="s">
        <v>295</v>
      </c>
      <c r="B5284" s="65">
        <v>2049</v>
      </c>
      <c r="C5284" s="65">
        <v>2023</v>
      </c>
      <c r="D5284" s="65" t="s">
        <v>317</v>
      </c>
      <c r="E5284" s="65" t="s">
        <v>294</v>
      </c>
      <c r="F5284" s="65" t="s">
        <v>40</v>
      </c>
      <c r="G5284" s="65"/>
      <c r="H5284" s="65"/>
      <c r="I5284" s="66">
        <v>17717.5311536011</v>
      </c>
    </row>
    <row r="5285" spans="1:9" hidden="1">
      <c r="A5285" s="67" t="s">
        <v>295</v>
      </c>
      <c r="B5285" s="68">
        <v>2049</v>
      </c>
      <c r="C5285" s="68">
        <v>2023</v>
      </c>
      <c r="D5285" s="68" t="s">
        <v>317</v>
      </c>
      <c r="E5285" s="68" t="s">
        <v>301</v>
      </c>
      <c r="F5285" s="68" t="s">
        <v>297</v>
      </c>
      <c r="G5285" s="68"/>
      <c r="H5285" s="68"/>
      <c r="I5285" s="69">
        <v>290.99267085533961</v>
      </c>
    </row>
    <row r="5286" spans="1:9" hidden="1">
      <c r="A5286" s="64" t="s">
        <v>295</v>
      </c>
      <c r="B5286" s="65">
        <v>2049</v>
      </c>
      <c r="C5286" s="65">
        <v>2023</v>
      </c>
      <c r="D5286" s="65" t="s">
        <v>317</v>
      </c>
      <c r="E5286" s="65" t="s">
        <v>301</v>
      </c>
      <c r="F5286" s="65" t="s">
        <v>298</v>
      </c>
      <c r="G5286" s="65"/>
      <c r="H5286" s="65"/>
      <c r="I5286" s="66">
        <v>0</v>
      </c>
    </row>
    <row r="5287" spans="1:9" hidden="1">
      <c r="A5287" s="67" t="s">
        <v>295</v>
      </c>
      <c r="B5287" s="68">
        <v>2049</v>
      </c>
      <c r="C5287" s="68">
        <v>2023</v>
      </c>
      <c r="D5287" s="68" t="s">
        <v>317</v>
      </c>
      <c r="E5287" s="68" t="s">
        <v>301</v>
      </c>
      <c r="F5287" s="68" t="s">
        <v>40</v>
      </c>
      <c r="G5287" s="68"/>
      <c r="H5287" s="68"/>
      <c r="I5287" s="69">
        <v>19479.421393943659</v>
      </c>
    </row>
    <row r="5288" spans="1:9" hidden="1">
      <c r="A5288" s="64" t="s">
        <v>295</v>
      </c>
      <c r="B5288" s="65">
        <v>2049</v>
      </c>
      <c r="C5288" s="65">
        <v>2023</v>
      </c>
      <c r="D5288" s="65" t="s">
        <v>317</v>
      </c>
      <c r="E5288" s="65" t="s">
        <v>305</v>
      </c>
      <c r="F5288" s="65" t="s">
        <v>297</v>
      </c>
      <c r="G5288" s="65"/>
      <c r="H5288" s="65"/>
      <c r="I5288" s="66">
        <v>1.388E-2</v>
      </c>
    </row>
    <row r="5289" spans="1:9" hidden="1">
      <c r="A5289" s="67" t="s">
        <v>295</v>
      </c>
      <c r="B5289" s="68">
        <v>2049</v>
      </c>
      <c r="C5289" s="68">
        <v>2023</v>
      </c>
      <c r="D5289" s="68" t="s">
        <v>317</v>
      </c>
      <c r="E5289" s="68" t="s">
        <v>305</v>
      </c>
      <c r="F5289" s="68" t="s">
        <v>40</v>
      </c>
      <c r="G5289" s="68"/>
      <c r="H5289" s="68"/>
      <c r="I5289" s="69">
        <v>538.30775999999992</v>
      </c>
    </row>
    <row r="5290" spans="1:9" hidden="1">
      <c r="A5290" s="64" t="s">
        <v>295</v>
      </c>
      <c r="B5290" s="65">
        <v>2049</v>
      </c>
      <c r="C5290" s="65">
        <v>2023</v>
      </c>
      <c r="D5290" s="65" t="s">
        <v>318</v>
      </c>
      <c r="E5290" s="65" t="s">
        <v>294</v>
      </c>
      <c r="F5290" s="65" t="s">
        <v>297</v>
      </c>
      <c r="G5290" s="65"/>
      <c r="H5290" s="65"/>
      <c r="I5290" s="66">
        <v>344575.51214319869</v>
      </c>
    </row>
    <row r="5291" spans="1:9" hidden="1">
      <c r="A5291" s="67" t="s">
        <v>295</v>
      </c>
      <c r="B5291" s="68">
        <v>2049</v>
      </c>
      <c r="C5291" s="68">
        <v>2023</v>
      </c>
      <c r="D5291" s="68" t="s">
        <v>318</v>
      </c>
      <c r="E5291" s="68" t="s">
        <v>294</v>
      </c>
      <c r="F5291" s="68" t="s">
        <v>298</v>
      </c>
      <c r="G5291" s="68"/>
      <c r="H5291" s="68"/>
      <c r="I5291" s="69">
        <v>0</v>
      </c>
    </row>
    <row r="5292" spans="1:9" hidden="1">
      <c r="A5292" s="64" t="s">
        <v>295</v>
      </c>
      <c r="B5292" s="65">
        <v>2049</v>
      </c>
      <c r="C5292" s="65">
        <v>2023</v>
      </c>
      <c r="D5292" s="65" t="s">
        <v>318</v>
      </c>
      <c r="E5292" s="65" t="s">
        <v>294</v>
      </c>
      <c r="F5292" s="65" t="s">
        <v>40</v>
      </c>
      <c r="G5292" s="65"/>
      <c r="H5292" s="65"/>
      <c r="I5292" s="66">
        <v>344928.10350083688</v>
      </c>
    </row>
    <row r="5293" spans="1:9" hidden="1">
      <c r="A5293" s="67" t="s">
        <v>295</v>
      </c>
      <c r="B5293" s="68">
        <v>2049</v>
      </c>
      <c r="C5293" s="68">
        <v>2023</v>
      </c>
      <c r="D5293" s="68" t="s">
        <v>318</v>
      </c>
      <c r="E5293" s="68" t="s">
        <v>301</v>
      </c>
      <c r="F5293" s="68" t="s">
        <v>297</v>
      </c>
      <c r="G5293" s="68"/>
      <c r="H5293" s="68"/>
      <c r="I5293" s="69">
        <v>446191.26874681161</v>
      </c>
    </row>
    <row r="5294" spans="1:9" hidden="1">
      <c r="A5294" s="64" t="s">
        <v>295</v>
      </c>
      <c r="B5294" s="65">
        <v>2049</v>
      </c>
      <c r="C5294" s="65">
        <v>2023</v>
      </c>
      <c r="D5294" s="65" t="s">
        <v>318</v>
      </c>
      <c r="E5294" s="65" t="s">
        <v>301</v>
      </c>
      <c r="F5294" s="65" t="s">
        <v>298</v>
      </c>
      <c r="G5294" s="65"/>
      <c r="H5294" s="65"/>
      <c r="I5294" s="66">
        <v>0</v>
      </c>
    </row>
    <row r="5295" spans="1:9" hidden="1">
      <c r="A5295" s="67" t="s">
        <v>295</v>
      </c>
      <c r="B5295" s="68">
        <v>2049</v>
      </c>
      <c r="C5295" s="68">
        <v>2023</v>
      </c>
      <c r="D5295" s="68" t="s">
        <v>318</v>
      </c>
      <c r="E5295" s="68" t="s">
        <v>301</v>
      </c>
      <c r="F5295" s="68" t="s">
        <v>40</v>
      </c>
      <c r="G5295" s="68"/>
      <c r="H5295" s="68"/>
      <c r="I5295" s="69">
        <v>446651.06427176751</v>
      </c>
    </row>
    <row r="5296" spans="1:9" hidden="1">
      <c r="A5296" s="64" t="s">
        <v>295</v>
      </c>
      <c r="B5296" s="65">
        <v>2049</v>
      </c>
      <c r="C5296" s="65">
        <v>2023</v>
      </c>
      <c r="D5296" s="65" t="s">
        <v>318</v>
      </c>
      <c r="E5296" s="65" t="s">
        <v>305</v>
      </c>
      <c r="F5296" s="65" t="s">
        <v>297</v>
      </c>
      <c r="G5296" s="65"/>
      <c r="H5296" s="65"/>
      <c r="I5296" s="66">
        <v>9243.0299899999991</v>
      </c>
    </row>
    <row r="5297" spans="1:9" hidden="1">
      <c r="A5297" s="67" t="s">
        <v>295</v>
      </c>
      <c r="B5297" s="68">
        <v>2049</v>
      </c>
      <c r="C5297" s="68">
        <v>2023</v>
      </c>
      <c r="D5297" s="68" t="s">
        <v>318</v>
      </c>
      <c r="E5297" s="68" t="s">
        <v>305</v>
      </c>
      <c r="F5297" s="68" t="s">
        <v>40</v>
      </c>
      <c r="G5297" s="68"/>
      <c r="H5297" s="68"/>
      <c r="I5297" s="69">
        <v>42747.329989999998</v>
      </c>
    </row>
    <row r="5298" spans="1:9" hidden="1">
      <c r="A5298" s="64" t="s">
        <v>295</v>
      </c>
      <c r="B5298" s="65">
        <v>2049</v>
      </c>
      <c r="C5298" s="65">
        <v>2023</v>
      </c>
      <c r="D5298" s="65" t="s">
        <v>320</v>
      </c>
      <c r="E5298" s="65" t="s">
        <v>294</v>
      </c>
      <c r="F5298" s="65" t="s">
        <v>297</v>
      </c>
      <c r="G5298" s="65"/>
      <c r="H5298" s="65"/>
      <c r="I5298" s="66">
        <v>3054.111980154707</v>
      </c>
    </row>
    <row r="5299" spans="1:9" hidden="1">
      <c r="A5299" s="67" t="s">
        <v>295</v>
      </c>
      <c r="B5299" s="68">
        <v>2049</v>
      </c>
      <c r="C5299" s="68">
        <v>2023</v>
      </c>
      <c r="D5299" s="68" t="s">
        <v>320</v>
      </c>
      <c r="E5299" s="68" t="s">
        <v>294</v>
      </c>
      <c r="F5299" s="68" t="s">
        <v>298</v>
      </c>
      <c r="G5299" s="68"/>
      <c r="H5299" s="68"/>
      <c r="I5299" s="69">
        <v>0</v>
      </c>
    </row>
    <row r="5300" spans="1:9" hidden="1">
      <c r="A5300" s="64" t="s">
        <v>295</v>
      </c>
      <c r="B5300" s="65">
        <v>2049</v>
      </c>
      <c r="C5300" s="65">
        <v>2023</v>
      </c>
      <c r="D5300" s="65" t="s">
        <v>320</v>
      </c>
      <c r="E5300" s="65" t="s">
        <v>294</v>
      </c>
      <c r="F5300" s="65" t="s">
        <v>40</v>
      </c>
      <c r="G5300" s="65"/>
      <c r="H5300" s="65"/>
      <c r="I5300" s="66">
        <v>3055.6177086031712</v>
      </c>
    </row>
    <row r="5301" spans="1:9" hidden="1">
      <c r="A5301" s="67" t="s">
        <v>295</v>
      </c>
      <c r="B5301" s="68">
        <v>2049</v>
      </c>
      <c r="C5301" s="68">
        <v>2023</v>
      </c>
      <c r="D5301" s="68" t="s">
        <v>320</v>
      </c>
      <c r="E5301" s="68" t="s">
        <v>301</v>
      </c>
      <c r="F5301" s="68" t="s">
        <v>297</v>
      </c>
      <c r="G5301" s="68"/>
      <c r="H5301" s="68"/>
      <c r="I5301" s="69">
        <v>4543.8256599080742</v>
      </c>
    </row>
    <row r="5302" spans="1:9" hidden="1">
      <c r="A5302" s="64" t="s">
        <v>295</v>
      </c>
      <c r="B5302" s="65">
        <v>2049</v>
      </c>
      <c r="C5302" s="65">
        <v>2023</v>
      </c>
      <c r="D5302" s="65" t="s">
        <v>320</v>
      </c>
      <c r="E5302" s="65" t="s">
        <v>301</v>
      </c>
      <c r="F5302" s="65" t="s">
        <v>298</v>
      </c>
      <c r="G5302" s="65"/>
      <c r="H5302" s="65"/>
      <c r="I5302" s="66">
        <v>0</v>
      </c>
    </row>
    <row r="5303" spans="1:9" hidden="1">
      <c r="A5303" s="67" t="s">
        <v>295</v>
      </c>
      <c r="B5303" s="68">
        <v>2049</v>
      </c>
      <c r="C5303" s="68">
        <v>2023</v>
      </c>
      <c r="D5303" s="68" t="s">
        <v>320</v>
      </c>
      <c r="E5303" s="68" t="s">
        <v>301</v>
      </c>
      <c r="F5303" s="68" t="s">
        <v>40</v>
      </c>
      <c r="G5303" s="68"/>
      <c r="H5303" s="68"/>
      <c r="I5303" s="69">
        <v>4545.3271360242343</v>
      </c>
    </row>
    <row r="5304" spans="1:9" hidden="1">
      <c r="A5304" s="64" t="s">
        <v>295</v>
      </c>
      <c r="B5304" s="65">
        <v>2049</v>
      </c>
      <c r="C5304" s="65">
        <v>2023</v>
      </c>
      <c r="D5304" s="65" t="s">
        <v>320</v>
      </c>
      <c r="E5304" s="65" t="s">
        <v>305</v>
      </c>
      <c r="F5304" s="65" t="s">
        <v>297</v>
      </c>
      <c r="G5304" s="65"/>
      <c r="H5304" s="65"/>
      <c r="I5304" s="66">
        <v>45.06</v>
      </c>
    </row>
    <row r="5305" spans="1:9" hidden="1">
      <c r="A5305" s="67" t="s">
        <v>295</v>
      </c>
      <c r="B5305" s="68">
        <v>2049</v>
      </c>
      <c r="C5305" s="68">
        <v>2023</v>
      </c>
      <c r="D5305" s="68" t="s">
        <v>320</v>
      </c>
      <c r="E5305" s="68" t="s">
        <v>305</v>
      </c>
      <c r="F5305" s="68" t="s">
        <v>40</v>
      </c>
      <c r="G5305" s="68"/>
      <c r="H5305" s="68"/>
      <c r="I5305" s="69">
        <v>1691.54</v>
      </c>
    </row>
    <row r="5306" spans="1:9" hidden="1">
      <c r="A5306" s="64" t="s">
        <v>295</v>
      </c>
      <c r="B5306" s="65">
        <v>2049</v>
      </c>
      <c r="C5306" s="65">
        <v>2023</v>
      </c>
      <c r="D5306" s="65" t="s">
        <v>321</v>
      </c>
      <c r="E5306" s="65" t="s">
        <v>294</v>
      </c>
      <c r="F5306" s="65" t="s">
        <v>297</v>
      </c>
      <c r="G5306" s="65"/>
      <c r="H5306" s="65"/>
      <c r="I5306" s="66">
        <v>16790.207850323179</v>
      </c>
    </row>
    <row r="5307" spans="1:9" hidden="1">
      <c r="A5307" s="67" t="s">
        <v>295</v>
      </c>
      <c r="B5307" s="68">
        <v>2049</v>
      </c>
      <c r="C5307" s="68">
        <v>2023</v>
      </c>
      <c r="D5307" s="68" t="s">
        <v>321</v>
      </c>
      <c r="E5307" s="68" t="s">
        <v>294</v>
      </c>
      <c r="F5307" s="68" t="s">
        <v>298</v>
      </c>
      <c r="G5307" s="68"/>
      <c r="H5307" s="68"/>
      <c r="I5307" s="69">
        <v>0</v>
      </c>
    </row>
    <row r="5308" spans="1:9" hidden="1">
      <c r="A5308" s="64" t="s">
        <v>295</v>
      </c>
      <c r="B5308" s="65">
        <v>2049</v>
      </c>
      <c r="C5308" s="65">
        <v>2023</v>
      </c>
      <c r="D5308" s="65" t="s">
        <v>321</v>
      </c>
      <c r="E5308" s="65" t="s">
        <v>294</v>
      </c>
      <c r="F5308" s="65" t="s">
        <v>40</v>
      </c>
      <c r="G5308" s="65"/>
      <c r="H5308" s="65"/>
      <c r="I5308" s="66">
        <v>16812.958868635611</v>
      </c>
    </row>
    <row r="5309" spans="1:9" hidden="1">
      <c r="A5309" s="67" t="s">
        <v>295</v>
      </c>
      <c r="B5309" s="68">
        <v>2049</v>
      </c>
      <c r="C5309" s="68">
        <v>2023</v>
      </c>
      <c r="D5309" s="68" t="s">
        <v>321</v>
      </c>
      <c r="E5309" s="68" t="s">
        <v>301</v>
      </c>
      <c r="F5309" s="68" t="s">
        <v>297</v>
      </c>
      <c r="G5309" s="68"/>
      <c r="H5309" s="68"/>
      <c r="I5309" s="69">
        <v>17285.278638941021</v>
      </c>
    </row>
    <row r="5310" spans="1:9" hidden="1">
      <c r="A5310" s="64" t="s">
        <v>295</v>
      </c>
      <c r="B5310" s="65">
        <v>2049</v>
      </c>
      <c r="C5310" s="65">
        <v>2023</v>
      </c>
      <c r="D5310" s="65" t="s">
        <v>321</v>
      </c>
      <c r="E5310" s="65" t="s">
        <v>301</v>
      </c>
      <c r="F5310" s="65" t="s">
        <v>298</v>
      </c>
      <c r="G5310" s="65"/>
      <c r="H5310" s="65"/>
      <c r="I5310" s="66">
        <v>0</v>
      </c>
    </row>
    <row r="5311" spans="1:9" hidden="1">
      <c r="A5311" s="67" t="s">
        <v>295</v>
      </c>
      <c r="B5311" s="68">
        <v>2049</v>
      </c>
      <c r="C5311" s="68">
        <v>2023</v>
      </c>
      <c r="D5311" s="68" t="s">
        <v>321</v>
      </c>
      <c r="E5311" s="68" t="s">
        <v>301</v>
      </c>
      <c r="F5311" s="68" t="s">
        <v>40</v>
      </c>
      <c r="G5311" s="68"/>
      <c r="H5311" s="68"/>
      <c r="I5311" s="69">
        <v>17307.743650558768</v>
      </c>
    </row>
    <row r="5312" spans="1:9" hidden="1">
      <c r="A5312" s="64" t="s">
        <v>295</v>
      </c>
      <c r="B5312" s="65">
        <v>2049</v>
      </c>
      <c r="C5312" s="65">
        <v>2023</v>
      </c>
      <c r="D5312" s="65" t="s">
        <v>321</v>
      </c>
      <c r="E5312" s="65" t="s">
        <v>305</v>
      </c>
      <c r="F5312" s="65" t="s">
        <v>297</v>
      </c>
      <c r="G5312" s="65"/>
      <c r="H5312" s="65"/>
      <c r="I5312" s="66">
        <v>54.776380000000003</v>
      </c>
    </row>
    <row r="5313" spans="1:9" hidden="1">
      <c r="A5313" s="67" t="s">
        <v>295</v>
      </c>
      <c r="B5313" s="68">
        <v>2049</v>
      </c>
      <c r="C5313" s="68">
        <v>2023</v>
      </c>
      <c r="D5313" s="68" t="s">
        <v>321</v>
      </c>
      <c r="E5313" s="68" t="s">
        <v>305</v>
      </c>
      <c r="F5313" s="68" t="s">
        <v>40</v>
      </c>
      <c r="G5313" s="68"/>
      <c r="H5313" s="68"/>
      <c r="I5313" s="69">
        <v>499.83638000000002</v>
      </c>
    </row>
    <row r="5314" spans="1:9" hidden="1">
      <c r="A5314" s="64" t="s">
        <v>295</v>
      </c>
      <c r="B5314" s="65">
        <v>2049</v>
      </c>
      <c r="C5314" s="65">
        <v>2023</v>
      </c>
      <c r="D5314" s="65" t="s">
        <v>322</v>
      </c>
      <c r="E5314" s="65" t="s">
        <v>294</v>
      </c>
      <c r="F5314" s="65" t="s">
        <v>297</v>
      </c>
      <c r="G5314" s="65"/>
      <c r="H5314" s="65"/>
      <c r="I5314" s="66">
        <v>1176.0103080473179</v>
      </c>
    </row>
    <row r="5315" spans="1:9" hidden="1">
      <c r="A5315" s="67" t="s">
        <v>295</v>
      </c>
      <c r="B5315" s="68">
        <v>2049</v>
      </c>
      <c r="C5315" s="68">
        <v>2023</v>
      </c>
      <c r="D5315" s="68" t="s">
        <v>322</v>
      </c>
      <c r="E5315" s="68" t="s">
        <v>294</v>
      </c>
      <c r="F5315" s="68" t="s">
        <v>298</v>
      </c>
      <c r="G5315" s="68"/>
      <c r="H5315" s="68"/>
      <c r="I5315" s="69">
        <v>3295.1034341640739</v>
      </c>
    </row>
    <row r="5316" spans="1:9" hidden="1">
      <c r="A5316" s="64" t="s">
        <v>295</v>
      </c>
      <c r="B5316" s="65">
        <v>2049</v>
      </c>
      <c r="C5316" s="65">
        <v>2023</v>
      </c>
      <c r="D5316" s="65" t="s">
        <v>322</v>
      </c>
      <c r="E5316" s="65" t="s">
        <v>294</v>
      </c>
      <c r="F5316" s="65" t="s">
        <v>40</v>
      </c>
      <c r="G5316" s="65"/>
      <c r="H5316" s="65"/>
      <c r="I5316" s="66">
        <v>4471.0937322113932</v>
      </c>
    </row>
    <row r="5317" spans="1:9" hidden="1">
      <c r="A5317" s="67" t="s">
        <v>295</v>
      </c>
      <c r="B5317" s="68">
        <v>2049</v>
      </c>
      <c r="C5317" s="68">
        <v>2023</v>
      </c>
      <c r="D5317" s="68" t="s">
        <v>322</v>
      </c>
      <c r="E5317" s="68" t="s">
        <v>301</v>
      </c>
      <c r="F5317" s="68" t="s">
        <v>297</v>
      </c>
      <c r="G5317" s="68"/>
      <c r="H5317" s="68"/>
      <c r="I5317" s="69">
        <v>1548.556836747636</v>
      </c>
    </row>
    <row r="5318" spans="1:9" hidden="1">
      <c r="A5318" s="64" t="s">
        <v>295</v>
      </c>
      <c r="B5318" s="65">
        <v>2049</v>
      </c>
      <c r="C5318" s="65">
        <v>2023</v>
      </c>
      <c r="D5318" s="65" t="s">
        <v>322</v>
      </c>
      <c r="E5318" s="65" t="s">
        <v>301</v>
      </c>
      <c r="F5318" s="65" t="s">
        <v>298</v>
      </c>
      <c r="G5318" s="65"/>
      <c r="H5318" s="65"/>
      <c r="I5318" s="66">
        <v>3570.252548491685</v>
      </c>
    </row>
    <row r="5319" spans="1:9" hidden="1">
      <c r="A5319" s="67" t="s">
        <v>295</v>
      </c>
      <c r="B5319" s="68">
        <v>2049</v>
      </c>
      <c r="C5319" s="68">
        <v>2023</v>
      </c>
      <c r="D5319" s="68" t="s">
        <v>322</v>
      </c>
      <c r="E5319" s="68" t="s">
        <v>301</v>
      </c>
      <c r="F5319" s="68" t="s">
        <v>40</v>
      </c>
      <c r="G5319" s="68"/>
      <c r="H5319" s="68"/>
      <c r="I5319" s="69">
        <v>5118.7893852393199</v>
      </c>
    </row>
    <row r="5320" spans="1:9" hidden="1">
      <c r="A5320" s="64" t="s">
        <v>295</v>
      </c>
      <c r="B5320" s="65">
        <v>2049</v>
      </c>
      <c r="C5320" s="65">
        <v>2023</v>
      </c>
      <c r="D5320" s="65" t="s">
        <v>322</v>
      </c>
      <c r="E5320" s="65" t="s">
        <v>305</v>
      </c>
      <c r="F5320" s="65" t="s">
        <v>297</v>
      </c>
      <c r="G5320" s="65"/>
      <c r="H5320" s="65"/>
      <c r="I5320" s="66">
        <v>7.2</v>
      </c>
    </row>
    <row r="5321" spans="1:9" hidden="1">
      <c r="A5321" s="67" t="s">
        <v>295</v>
      </c>
      <c r="B5321" s="68">
        <v>2049</v>
      </c>
      <c r="C5321" s="68">
        <v>2023</v>
      </c>
      <c r="D5321" s="68" t="s">
        <v>322</v>
      </c>
      <c r="E5321" s="68" t="s">
        <v>305</v>
      </c>
      <c r="F5321" s="68" t="s">
        <v>40</v>
      </c>
      <c r="G5321" s="68"/>
      <c r="H5321" s="68"/>
      <c r="I5321" s="69">
        <v>328.68</v>
      </c>
    </row>
    <row r="5322" spans="1:9" hidden="1">
      <c r="A5322" s="64" t="s">
        <v>295</v>
      </c>
      <c r="B5322" s="65">
        <v>2049</v>
      </c>
      <c r="C5322" s="65">
        <v>2023</v>
      </c>
      <c r="D5322" s="65" t="s">
        <v>323</v>
      </c>
      <c r="E5322" s="65" t="s">
        <v>294</v>
      </c>
      <c r="F5322" s="65" t="s">
        <v>297</v>
      </c>
      <c r="G5322" s="65"/>
      <c r="H5322" s="65"/>
      <c r="I5322" s="66">
        <v>240262.6416896295</v>
      </c>
    </row>
    <row r="5323" spans="1:9" hidden="1">
      <c r="A5323" s="67" t="s">
        <v>295</v>
      </c>
      <c r="B5323" s="68">
        <v>2049</v>
      </c>
      <c r="C5323" s="68">
        <v>2023</v>
      </c>
      <c r="D5323" s="68" t="s">
        <v>323</v>
      </c>
      <c r="E5323" s="68" t="s">
        <v>294</v>
      </c>
      <c r="F5323" s="68" t="s">
        <v>298</v>
      </c>
      <c r="G5323" s="68"/>
      <c r="H5323" s="68"/>
      <c r="I5323" s="69">
        <v>900.30518726621892</v>
      </c>
    </row>
    <row r="5324" spans="1:9" hidden="1">
      <c r="A5324" s="64" t="s">
        <v>295</v>
      </c>
      <c r="B5324" s="65">
        <v>2049</v>
      </c>
      <c r="C5324" s="65">
        <v>2023</v>
      </c>
      <c r="D5324" s="65" t="s">
        <v>323</v>
      </c>
      <c r="E5324" s="65" t="s">
        <v>294</v>
      </c>
      <c r="F5324" s="65" t="s">
        <v>40</v>
      </c>
      <c r="G5324" s="65"/>
      <c r="H5324" s="65"/>
      <c r="I5324" s="66">
        <v>241645.120815734</v>
      </c>
    </row>
    <row r="5325" spans="1:9" hidden="1">
      <c r="A5325" s="67" t="s">
        <v>295</v>
      </c>
      <c r="B5325" s="68">
        <v>2049</v>
      </c>
      <c r="C5325" s="68">
        <v>2023</v>
      </c>
      <c r="D5325" s="68" t="s">
        <v>323</v>
      </c>
      <c r="E5325" s="68" t="s">
        <v>301</v>
      </c>
      <c r="F5325" s="68" t="s">
        <v>297</v>
      </c>
      <c r="G5325" s="68"/>
      <c r="H5325" s="68"/>
      <c r="I5325" s="69">
        <v>310122.83537205221</v>
      </c>
    </row>
    <row r="5326" spans="1:9" hidden="1">
      <c r="A5326" s="64" t="s">
        <v>295</v>
      </c>
      <c r="B5326" s="65">
        <v>2049</v>
      </c>
      <c r="C5326" s="65">
        <v>2023</v>
      </c>
      <c r="D5326" s="65" t="s">
        <v>323</v>
      </c>
      <c r="E5326" s="65" t="s">
        <v>301</v>
      </c>
      <c r="F5326" s="65" t="s">
        <v>298</v>
      </c>
      <c r="G5326" s="65"/>
      <c r="H5326" s="65"/>
      <c r="I5326" s="66">
        <v>1052.983112124597</v>
      </c>
    </row>
    <row r="5327" spans="1:9" hidden="1">
      <c r="A5327" s="67" t="s">
        <v>295</v>
      </c>
      <c r="B5327" s="68">
        <v>2049</v>
      </c>
      <c r="C5327" s="68">
        <v>2023</v>
      </c>
      <c r="D5327" s="68" t="s">
        <v>323</v>
      </c>
      <c r="E5327" s="68" t="s">
        <v>301</v>
      </c>
      <c r="F5327" s="68" t="s">
        <v>40</v>
      </c>
      <c r="G5327" s="68"/>
      <c r="H5327" s="68"/>
      <c r="I5327" s="69">
        <v>311657.5177444155</v>
      </c>
    </row>
    <row r="5328" spans="1:9" hidden="1">
      <c r="A5328" s="64" t="s">
        <v>295</v>
      </c>
      <c r="B5328" s="65">
        <v>2049</v>
      </c>
      <c r="C5328" s="65">
        <v>2023</v>
      </c>
      <c r="D5328" s="65" t="s">
        <v>323</v>
      </c>
      <c r="E5328" s="65" t="s">
        <v>305</v>
      </c>
      <c r="F5328" s="65" t="s">
        <v>297</v>
      </c>
      <c r="G5328" s="65"/>
      <c r="H5328" s="65"/>
      <c r="I5328" s="66">
        <v>1442.74443</v>
      </c>
    </row>
    <row r="5329" spans="1:9" hidden="1">
      <c r="A5329" s="67" t="s">
        <v>295</v>
      </c>
      <c r="B5329" s="68">
        <v>2049</v>
      </c>
      <c r="C5329" s="68">
        <v>2023</v>
      </c>
      <c r="D5329" s="68" t="s">
        <v>323</v>
      </c>
      <c r="E5329" s="68" t="s">
        <v>305</v>
      </c>
      <c r="F5329" s="68" t="s">
        <v>40</v>
      </c>
      <c r="G5329" s="68"/>
      <c r="H5329" s="68"/>
      <c r="I5329" s="69">
        <v>21917.524430000001</v>
      </c>
    </row>
    <row r="5330" spans="1:9" hidden="1">
      <c r="A5330" s="64" t="s">
        <v>295</v>
      </c>
      <c r="B5330" s="65">
        <v>2049</v>
      </c>
      <c r="C5330" s="65">
        <v>2023</v>
      </c>
      <c r="D5330" s="65" t="s">
        <v>324</v>
      </c>
      <c r="E5330" s="65" t="s">
        <v>294</v>
      </c>
      <c r="F5330" s="65" t="s">
        <v>297</v>
      </c>
      <c r="G5330" s="65"/>
      <c r="H5330" s="65"/>
      <c r="I5330" s="66">
        <v>3512.959517702895</v>
      </c>
    </row>
    <row r="5331" spans="1:9" hidden="1">
      <c r="A5331" s="67" t="s">
        <v>295</v>
      </c>
      <c r="B5331" s="68">
        <v>2049</v>
      </c>
      <c r="C5331" s="68">
        <v>2023</v>
      </c>
      <c r="D5331" s="68" t="s">
        <v>324</v>
      </c>
      <c r="E5331" s="68" t="s">
        <v>294</v>
      </c>
      <c r="F5331" s="68" t="s">
        <v>298</v>
      </c>
      <c r="G5331" s="68"/>
      <c r="H5331" s="68"/>
      <c r="I5331" s="69">
        <v>0</v>
      </c>
    </row>
    <row r="5332" spans="1:9" hidden="1">
      <c r="A5332" s="64" t="s">
        <v>295</v>
      </c>
      <c r="B5332" s="65">
        <v>2049</v>
      </c>
      <c r="C5332" s="65">
        <v>2023</v>
      </c>
      <c r="D5332" s="65" t="s">
        <v>324</v>
      </c>
      <c r="E5332" s="65" t="s">
        <v>294</v>
      </c>
      <c r="F5332" s="65" t="s">
        <v>40</v>
      </c>
      <c r="G5332" s="65"/>
      <c r="H5332" s="65"/>
      <c r="I5332" s="66">
        <v>3516.6800066504852</v>
      </c>
    </row>
    <row r="5333" spans="1:9" hidden="1">
      <c r="A5333" s="67" t="s">
        <v>295</v>
      </c>
      <c r="B5333" s="68">
        <v>2049</v>
      </c>
      <c r="C5333" s="68">
        <v>2023</v>
      </c>
      <c r="D5333" s="68" t="s">
        <v>324</v>
      </c>
      <c r="E5333" s="68" t="s">
        <v>301</v>
      </c>
      <c r="F5333" s="68" t="s">
        <v>297</v>
      </c>
      <c r="G5333" s="68"/>
      <c r="H5333" s="68"/>
      <c r="I5333" s="69">
        <v>3514.0539477028951</v>
      </c>
    </row>
    <row r="5334" spans="1:9" hidden="1">
      <c r="A5334" s="64" t="s">
        <v>295</v>
      </c>
      <c r="B5334" s="65">
        <v>2049</v>
      </c>
      <c r="C5334" s="65">
        <v>2023</v>
      </c>
      <c r="D5334" s="65" t="s">
        <v>324</v>
      </c>
      <c r="E5334" s="65" t="s">
        <v>301</v>
      </c>
      <c r="F5334" s="65" t="s">
        <v>298</v>
      </c>
      <c r="G5334" s="65"/>
      <c r="H5334" s="65"/>
      <c r="I5334" s="66">
        <v>0</v>
      </c>
    </row>
    <row r="5335" spans="1:9" hidden="1">
      <c r="A5335" s="67" t="s">
        <v>295</v>
      </c>
      <c r="B5335" s="68">
        <v>2049</v>
      </c>
      <c r="C5335" s="68">
        <v>2023</v>
      </c>
      <c r="D5335" s="68" t="s">
        <v>324</v>
      </c>
      <c r="E5335" s="68" t="s">
        <v>301</v>
      </c>
      <c r="F5335" s="68" t="s">
        <v>40</v>
      </c>
      <c r="G5335" s="68"/>
      <c r="H5335" s="68"/>
      <c r="I5335" s="69">
        <v>3517.7744366504849</v>
      </c>
    </row>
    <row r="5336" spans="1:9" hidden="1">
      <c r="A5336" s="64" t="s">
        <v>295</v>
      </c>
      <c r="B5336" s="65">
        <v>2049</v>
      </c>
      <c r="C5336" s="65">
        <v>2023</v>
      </c>
      <c r="D5336" s="65" t="s">
        <v>324</v>
      </c>
      <c r="E5336" s="65" t="s">
        <v>305</v>
      </c>
      <c r="F5336" s="65" t="s">
        <v>297</v>
      </c>
      <c r="G5336" s="65"/>
      <c r="H5336" s="65"/>
      <c r="I5336" s="66">
        <v>4.0999999999999996</v>
      </c>
    </row>
    <row r="5337" spans="1:9" hidden="1">
      <c r="A5337" s="67" t="s">
        <v>295</v>
      </c>
      <c r="B5337" s="68">
        <v>2049</v>
      </c>
      <c r="C5337" s="68">
        <v>2023</v>
      </c>
      <c r="D5337" s="68" t="s">
        <v>324</v>
      </c>
      <c r="E5337" s="68" t="s">
        <v>305</v>
      </c>
      <c r="F5337" s="68" t="s">
        <v>40</v>
      </c>
      <c r="G5337" s="68"/>
      <c r="H5337" s="68"/>
      <c r="I5337" s="69">
        <v>1246.2</v>
      </c>
    </row>
    <row r="5338" spans="1:9" hidden="1">
      <c r="A5338" s="64" t="s">
        <v>295</v>
      </c>
      <c r="B5338" s="65">
        <v>2049</v>
      </c>
      <c r="C5338" s="65">
        <v>2023</v>
      </c>
      <c r="D5338" s="65" t="s">
        <v>325</v>
      </c>
      <c r="E5338" s="65" t="s">
        <v>294</v>
      </c>
      <c r="F5338" s="65" t="s">
        <v>297</v>
      </c>
      <c r="G5338" s="65"/>
      <c r="H5338" s="65"/>
      <c r="I5338" s="66">
        <v>40309.467329149447</v>
      </c>
    </row>
    <row r="5339" spans="1:9" hidden="1">
      <c r="A5339" s="67" t="s">
        <v>295</v>
      </c>
      <c r="B5339" s="68">
        <v>2049</v>
      </c>
      <c r="C5339" s="68">
        <v>2023</v>
      </c>
      <c r="D5339" s="68" t="s">
        <v>325</v>
      </c>
      <c r="E5339" s="68" t="s">
        <v>294</v>
      </c>
      <c r="F5339" s="68" t="s">
        <v>298</v>
      </c>
      <c r="G5339" s="68"/>
      <c r="H5339" s="68"/>
      <c r="I5339" s="69">
        <v>10057.698775466721</v>
      </c>
    </row>
    <row r="5340" spans="1:9" hidden="1">
      <c r="A5340" s="64" t="s">
        <v>295</v>
      </c>
      <c r="B5340" s="65">
        <v>2049</v>
      </c>
      <c r="C5340" s="65">
        <v>2023</v>
      </c>
      <c r="D5340" s="65" t="s">
        <v>325</v>
      </c>
      <c r="E5340" s="65" t="s">
        <v>294</v>
      </c>
      <c r="F5340" s="65" t="s">
        <v>40</v>
      </c>
      <c r="G5340" s="65"/>
      <c r="H5340" s="65"/>
      <c r="I5340" s="66">
        <v>50351.882917374212</v>
      </c>
    </row>
    <row r="5341" spans="1:9" hidden="1">
      <c r="A5341" s="67" t="s">
        <v>295</v>
      </c>
      <c r="B5341" s="68">
        <v>2049</v>
      </c>
      <c r="C5341" s="68">
        <v>2023</v>
      </c>
      <c r="D5341" s="68" t="s">
        <v>325</v>
      </c>
      <c r="E5341" s="68" t="s">
        <v>301</v>
      </c>
      <c r="F5341" s="68" t="s">
        <v>297</v>
      </c>
      <c r="G5341" s="68"/>
      <c r="H5341" s="68"/>
      <c r="I5341" s="69">
        <v>42648.451511835032</v>
      </c>
    </row>
    <row r="5342" spans="1:9" hidden="1">
      <c r="A5342" s="64" t="s">
        <v>295</v>
      </c>
      <c r="B5342" s="65">
        <v>2049</v>
      </c>
      <c r="C5342" s="65">
        <v>2023</v>
      </c>
      <c r="D5342" s="65" t="s">
        <v>325</v>
      </c>
      <c r="E5342" s="65" t="s">
        <v>301</v>
      </c>
      <c r="F5342" s="65" t="s">
        <v>298</v>
      </c>
      <c r="G5342" s="65"/>
      <c r="H5342" s="65"/>
      <c r="I5342" s="66">
        <v>11726.50015816497</v>
      </c>
    </row>
    <row r="5343" spans="1:9" hidden="1">
      <c r="A5343" s="67" t="s">
        <v>295</v>
      </c>
      <c r="B5343" s="68">
        <v>2049</v>
      </c>
      <c r="C5343" s="68">
        <v>2023</v>
      </c>
      <c r="D5343" s="68" t="s">
        <v>325</v>
      </c>
      <c r="E5343" s="68" t="s">
        <v>301</v>
      </c>
      <c r="F5343" s="68" t="s">
        <v>40</v>
      </c>
      <c r="G5343" s="68"/>
      <c r="H5343" s="68"/>
      <c r="I5343" s="69">
        <v>54375.127669999987</v>
      </c>
    </row>
    <row r="5344" spans="1:9" hidden="1">
      <c r="A5344" s="64" t="s">
        <v>295</v>
      </c>
      <c r="B5344" s="65">
        <v>2049</v>
      </c>
      <c r="C5344" s="65">
        <v>2023</v>
      </c>
      <c r="D5344" s="65" t="s">
        <v>325</v>
      </c>
      <c r="E5344" s="65" t="s">
        <v>305</v>
      </c>
      <c r="F5344" s="65" t="s">
        <v>297</v>
      </c>
      <c r="G5344" s="65"/>
      <c r="H5344" s="65"/>
      <c r="I5344" s="66">
        <v>432.58</v>
      </c>
    </row>
    <row r="5345" spans="1:9" hidden="1">
      <c r="A5345" s="67" t="s">
        <v>295</v>
      </c>
      <c r="B5345" s="68">
        <v>2049</v>
      </c>
      <c r="C5345" s="68">
        <v>2023</v>
      </c>
      <c r="D5345" s="68" t="s">
        <v>325</v>
      </c>
      <c r="E5345" s="68" t="s">
        <v>305</v>
      </c>
      <c r="F5345" s="68" t="s">
        <v>298</v>
      </c>
      <c r="G5345" s="68"/>
      <c r="H5345" s="68"/>
      <c r="I5345" s="69">
        <v>69.900000000000006</v>
      </c>
    </row>
    <row r="5346" spans="1:9" hidden="1">
      <c r="A5346" s="64" t="s">
        <v>295</v>
      </c>
      <c r="B5346" s="65">
        <v>2049</v>
      </c>
      <c r="C5346" s="65">
        <v>2023</v>
      </c>
      <c r="D5346" s="65" t="s">
        <v>325</v>
      </c>
      <c r="E5346" s="65" t="s">
        <v>305</v>
      </c>
      <c r="F5346" s="65" t="s">
        <v>40</v>
      </c>
      <c r="G5346" s="65"/>
      <c r="H5346" s="65"/>
      <c r="I5346" s="66">
        <v>18678.2</v>
      </c>
    </row>
    <row r="5347" spans="1:9" hidden="1">
      <c r="A5347" s="67" t="s">
        <v>295</v>
      </c>
      <c r="B5347" s="68">
        <v>2049</v>
      </c>
      <c r="C5347" s="68">
        <v>2023</v>
      </c>
      <c r="D5347" s="68" t="s">
        <v>326</v>
      </c>
      <c r="E5347" s="68" t="s">
        <v>294</v>
      </c>
      <c r="F5347" s="68" t="s">
        <v>297</v>
      </c>
      <c r="G5347" s="68"/>
      <c r="H5347" s="68"/>
      <c r="I5347" s="69">
        <v>0</v>
      </c>
    </row>
    <row r="5348" spans="1:9" hidden="1">
      <c r="A5348" s="64" t="s">
        <v>295</v>
      </c>
      <c r="B5348" s="65">
        <v>2049</v>
      </c>
      <c r="C5348" s="65">
        <v>2023</v>
      </c>
      <c r="D5348" s="65" t="s">
        <v>326</v>
      </c>
      <c r="E5348" s="65" t="s">
        <v>294</v>
      </c>
      <c r="F5348" s="65" t="s">
        <v>298</v>
      </c>
      <c r="G5348" s="65"/>
      <c r="H5348" s="65"/>
      <c r="I5348" s="66">
        <v>0</v>
      </c>
    </row>
    <row r="5349" spans="1:9" hidden="1">
      <c r="A5349" s="67" t="s">
        <v>295</v>
      </c>
      <c r="B5349" s="68">
        <v>2049</v>
      </c>
      <c r="C5349" s="68">
        <v>2023</v>
      </c>
      <c r="D5349" s="68" t="s">
        <v>326</v>
      </c>
      <c r="E5349" s="68" t="s">
        <v>294</v>
      </c>
      <c r="F5349" s="68" t="s">
        <v>40</v>
      </c>
      <c r="G5349" s="68"/>
      <c r="H5349" s="68"/>
      <c r="I5349" s="69">
        <v>0</v>
      </c>
    </row>
    <row r="5350" spans="1:9" hidden="1">
      <c r="A5350" s="64" t="s">
        <v>295</v>
      </c>
      <c r="B5350" s="65">
        <v>2049</v>
      </c>
      <c r="C5350" s="65">
        <v>2023</v>
      </c>
      <c r="D5350" s="65" t="s">
        <v>326</v>
      </c>
      <c r="E5350" s="65" t="s">
        <v>301</v>
      </c>
      <c r="F5350" s="65" t="s">
        <v>297</v>
      </c>
      <c r="G5350" s="65"/>
      <c r="H5350" s="65"/>
      <c r="I5350" s="66">
        <v>0</v>
      </c>
    </row>
    <row r="5351" spans="1:9" hidden="1">
      <c r="A5351" s="67" t="s">
        <v>295</v>
      </c>
      <c r="B5351" s="68">
        <v>2049</v>
      </c>
      <c r="C5351" s="68">
        <v>2023</v>
      </c>
      <c r="D5351" s="68" t="s">
        <v>326</v>
      </c>
      <c r="E5351" s="68" t="s">
        <v>301</v>
      </c>
      <c r="F5351" s="68" t="s">
        <v>298</v>
      </c>
      <c r="G5351" s="68"/>
      <c r="H5351" s="68"/>
      <c r="I5351" s="69">
        <v>0</v>
      </c>
    </row>
    <row r="5352" spans="1:9" hidden="1">
      <c r="A5352" s="64" t="s">
        <v>295</v>
      </c>
      <c r="B5352" s="65">
        <v>2049</v>
      </c>
      <c r="C5352" s="65">
        <v>2023</v>
      </c>
      <c r="D5352" s="65" t="s">
        <v>326</v>
      </c>
      <c r="E5352" s="65" t="s">
        <v>301</v>
      </c>
      <c r="F5352" s="65" t="s">
        <v>40</v>
      </c>
      <c r="G5352" s="65"/>
      <c r="H5352" s="65"/>
      <c r="I5352" s="66">
        <v>0</v>
      </c>
    </row>
    <row r="5353" spans="1:9" hidden="1">
      <c r="A5353" s="67" t="s">
        <v>295</v>
      </c>
      <c r="B5353" s="68">
        <v>2049</v>
      </c>
      <c r="C5353" s="68">
        <v>2023</v>
      </c>
      <c r="D5353" s="68" t="s">
        <v>304</v>
      </c>
      <c r="E5353" s="68" t="s">
        <v>294</v>
      </c>
      <c r="F5353" s="68" t="s">
        <v>297</v>
      </c>
      <c r="G5353" s="68"/>
      <c r="H5353" s="68"/>
      <c r="I5353" s="69">
        <v>42486.68753203081</v>
      </c>
    </row>
    <row r="5354" spans="1:9" hidden="1">
      <c r="A5354" s="64" t="s">
        <v>295</v>
      </c>
      <c r="B5354" s="65">
        <v>2049</v>
      </c>
      <c r="C5354" s="65">
        <v>2023</v>
      </c>
      <c r="D5354" s="65" t="s">
        <v>304</v>
      </c>
      <c r="E5354" s="65" t="s">
        <v>294</v>
      </c>
      <c r="F5354" s="65" t="s">
        <v>298</v>
      </c>
      <c r="G5354" s="65"/>
      <c r="H5354" s="65"/>
      <c r="I5354" s="66">
        <v>170244.5385217517</v>
      </c>
    </row>
    <row r="5355" spans="1:9" hidden="1">
      <c r="A5355" s="67" t="s">
        <v>295</v>
      </c>
      <c r="B5355" s="68">
        <v>2049</v>
      </c>
      <c r="C5355" s="68">
        <v>2023</v>
      </c>
      <c r="D5355" s="68" t="s">
        <v>304</v>
      </c>
      <c r="E5355" s="68" t="s">
        <v>294</v>
      </c>
      <c r="F5355" s="68" t="s">
        <v>40</v>
      </c>
      <c r="G5355" s="68"/>
      <c r="H5355" s="68"/>
      <c r="I5355" s="69">
        <v>212494.5040906207</v>
      </c>
    </row>
    <row r="5356" spans="1:9" hidden="1">
      <c r="A5356" s="64" t="s">
        <v>295</v>
      </c>
      <c r="B5356" s="65">
        <v>2049</v>
      </c>
      <c r="C5356" s="65">
        <v>2023</v>
      </c>
      <c r="D5356" s="65" t="s">
        <v>304</v>
      </c>
      <c r="E5356" s="65" t="s">
        <v>301</v>
      </c>
      <c r="F5356" s="65" t="s">
        <v>297</v>
      </c>
      <c r="G5356" s="65"/>
      <c r="H5356" s="65"/>
      <c r="I5356" s="66">
        <v>45768.280760603047</v>
      </c>
    </row>
    <row r="5357" spans="1:9" hidden="1">
      <c r="A5357" s="67" t="s">
        <v>295</v>
      </c>
      <c r="B5357" s="68">
        <v>2049</v>
      </c>
      <c r="C5357" s="68">
        <v>2023</v>
      </c>
      <c r="D5357" s="68" t="s">
        <v>304</v>
      </c>
      <c r="E5357" s="68" t="s">
        <v>301</v>
      </c>
      <c r="F5357" s="68" t="s">
        <v>298</v>
      </c>
      <c r="G5357" s="68"/>
      <c r="H5357" s="68"/>
      <c r="I5357" s="69">
        <v>180990.77074396281</v>
      </c>
    </row>
    <row r="5358" spans="1:9" hidden="1">
      <c r="A5358" s="64" t="s">
        <v>295</v>
      </c>
      <c r="B5358" s="65">
        <v>2049</v>
      </c>
      <c r="C5358" s="65">
        <v>2023</v>
      </c>
      <c r="D5358" s="65" t="s">
        <v>304</v>
      </c>
      <c r="E5358" s="65" t="s">
        <v>301</v>
      </c>
      <c r="F5358" s="65" t="s">
        <v>40</v>
      </c>
      <c r="G5358" s="65"/>
      <c r="H5358" s="65"/>
      <c r="I5358" s="66">
        <v>226499.4276915183</v>
      </c>
    </row>
    <row r="5359" spans="1:9" hidden="1">
      <c r="A5359" s="67" t="s">
        <v>295</v>
      </c>
      <c r="B5359" s="68">
        <v>2049</v>
      </c>
      <c r="C5359" s="68">
        <v>2023</v>
      </c>
      <c r="D5359" s="68" t="s">
        <v>304</v>
      </c>
      <c r="E5359" s="68" t="s">
        <v>305</v>
      </c>
      <c r="F5359" s="68" t="s">
        <v>297</v>
      </c>
      <c r="G5359" s="68"/>
      <c r="H5359" s="68"/>
      <c r="I5359" s="69">
        <v>1241.56078</v>
      </c>
    </row>
    <row r="5360" spans="1:9" hidden="1">
      <c r="A5360" s="64" t="s">
        <v>295</v>
      </c>
      <c r="B5360" s="65">
        <v>2049</v>
      </c>
      <c r="C5360" s="65">
        <v>2023</v>
      </c>
      <c r="D5360" s="65" t="s">
        <v>304</v>
      </c>
      <c r="E5360" s="65" t="s">
        <v>305</v>
      </c>
      <c r="F5360" s="65" t="s">
        <v>298</v>
      </c>
      <c r="G5360" s="65"/>
      <c r="H5360" s="65"/>
      <c r="I5360" s="66">
        <v>773.16</v>
      </c>
    </row>
    <row r="5361" spans="1:9" hidden="1">
      <c r="A5361" s="67" t="s">
        <v>295</v>
      </c>
      <c r="B5361" s="68">
        <v>2049</v>
      </c>
      <c r="C5361" s="68">
        <v>2023</v>
      </c>
      <c r="D5361" s="68" t="s">
        <v>304</v>
      </c>
      <c r="E5361" s="68" t="s">
        <v>305</v>
      </c>
      <c r="F5361" s="68" t="s">
        <v>40</v>
      </c>
      <c r="G5361" s="68"/>
      <c r="H5361" s="68"/>
      <c r="I5361" s="69">
        <v>17928.320779999998</v>
      </c>
    </row>
    <row r="5362" spans="1:9" hidden="1">
      <c r="A5362" s="64" t="s">
        <v>295</v>
      </c>
      <c r="B5362" s="65">
        <v>2049</v>
      </c>
      <c r="C5362" s="65">
        <v>2023</v>
      </c>
      <c r="D5362" s="65" t="s">
        <v>306</v>
      </c>
      <c r="E5362" s="65" t="s">
        <v>294</v>
      </c>
      <c r="F5362" s="65" t="s">
        <v>297</v>
      </c>
      <c r="G5362" s="65"/>
      <c r="H5362" s="65"/>
      <c r="I5362" s="66">
        <v>344045.86634434981</v>
      </c>
    </row>
    <row r="5363" spans="1:9" hidden="1">
      <c r="A5363" s="67" t="s">
        <v>295</v>
      </c>
      <c r="B5363" s="68">
        <v>2049</v>
      </c>
      <c r="C5363" s="68">
        <v>2023</v>
      </c>
      <c r="D5363" s="68" t="s">
        <v>306</v>
      </c>
      <c r="E5363" s="68" t="s">
        <v>294</v>
      </c>
      <c r="F5363" s="68" t="s">
        <v>40</v>
      </c>
      <c r="G5363" s="68"/>
      <c r="H5363" s="68"/>
      <c r="I5363" s="69">
        <v>343879.11647229188</v>
      </c>
    </row>
    <row r="5364" spans="1:9" hidden="1">
      <c r="A5364" s="64" t="s">
        <v>295</v>
      </c>
      <c r="B5364" s="65">
        <v>2049</v>
      </c>
      <c r="C5364" s="65">
        <v>2023</v>
      </c>
      <c r="D5364" s="65" t="s">
        <v>306</v>
      </c>
      <c r="E5364" s="65" t="s">
        <v>301</v>
      </c>
      <c r="F5364" s="65" t="s">
        <v>297</v>
      </c>
      <c r="G5364" s="65"/>
      <c r="H5364" s="65"/>
      <c r="I5364" s="66">
        <v>363317.213662675</v>
      </c>
    </row>
    <row r="5365" spans="1:9" hidden="1">
      <c r="A5365" s="67" t="s">
        <v>295</v>
      </c>
      <c r="B5365" s="68">
        <v>2049</v>
      </c>
      <c r="C5365" s="68">
        <v>2023</v>
      </c>
      <c r="D5365" s="68" t="s">
        <v>306</v>
      </c>
      <c r="E5365" s="68" t="s">
        <v>301</v>
      </c>
      <c r="F5365" s="68" t="s">
        <v>40</v>
      </c>
      <c r="G5365" s="68"/>
      <c r="H5365" s="68"/>
      <c r="I5365" s="69">
        <v>363317.213662675</v>
      </c>
    </row>
    <row r="5366" spans="1:9" hidden="1">
      <c r="A5366" s="64" t="s">
        <v>295</v>
      </c>
      <c r="B5366" s="65">
        <v>2049</v>
      </c>
      <c r="C5366" s="65">
        <v>2023</v>
      </c>
      <c r="D5366" s="65" t="s">
        <v>306</v>
      </c>
      <c r="E5366" s="65" t="s">
        <v>305</v>
      </c>
      <c r="F5366" s="65" t="s">
        <v>297</v>
      </c>
      <c r="G5366" s="65"/>
      <c r="H5366" s="65"/>
      <c r="I5366" s="66">
        <v>2093.3640599999999</v>
      </c>
    </row>
    <row r="5367" spans="1:9" hidden="1">
      <c r="A5367" s="67" t="s">
        <v>295</v>
      </c>
      <c r="B5367" s="68">
        <v>2049</v>
      </c>
      <c r="C5367" s="68">
        <v>2023</v>
      </c>
      <c r="D5367" s="68" t="s">
        <v>306</v>
      </c>
      <c r="E5367" s="68" t="s">
        <v>305</v>
      </c>
      <c r="F5367" s="68" t="s">
        <v>40</v>
      </c>
      <c r="G5367" s="68"/>
      <c r="H5367" s="68"/>
      <c r="I5367" s="69">
        <v>41222.304060000002</v>
      </c>
    </row>
    <row r="5368" spans="1:9" hidden="1">
      <c r="A5368" s="64" t="s">
        <v>295</v>
      </c>
      <c r="B5368" s="65">
        <v>2049</v>
      </c>
      <c r="C5368" s="65">
        <v>2023</v>
      </c>
      <c r="D5368" s="65" t="s">
        <v>307</v>
      </c>
      <c r="E5368" s="65" t="s">
        <v>294</v>
      </c>
      <c r="F5368" s="65" t="s">
        <v>40</v>
      </c>
      <c r="G5368" s="65"/>
      <c r="H5368" s="65"/>
      <c r="I5368" s="66">
        <v>-243920.62397035109</v>
      </c>
    </row>
    <row r="5369" spans="1:9" hidden="1">
      <c r="A5369" s="67" t="s">
        <v>295</v>
      </c>
      <c r="B5369" s="68">
        <v>2049</v>
      </c>
      <c r="C5369" s="68">
        <v>2023</v>
      </c>
      <c r="D5369" s="68" t="s">
        <v>307</v>
      </c>
      <c r="E5369" s="68" t="s">
        <v>301</v>
      </c>
      <c r="F5369" s="68" t="s">
        <v>40</v>
      </c>
      <c r="G5369" s="68"/>
      <c r="H5369" s="68"/>
      <c r="I5369" s="69">
        <v>-209044.0320619453</v>
      </c>
    </row>
    <row r="5370" spans="1:9" hidden="1">
      <c r="A5370" s="64" t="s">
        <v>295</v>
      </c>
      <c r="B5370" s="65">
        <v>2049</v>
      </c>
      <c r="C5370" s="65">
        <v>2023</v>
      </c>
      <c r="D5370" s="65" t="s">
        <v>307</v>
      </c>
      <c r="E5370" s="65" t="s">
        <v>305</v>
      </c>
      <c r="F5370" s="65" t="s">
        <v>40</v>
      </c>
      <c r="G5370" s="65"/>
      <c r="H5370" s="65"/>
      <c r="I5370" s="66">
        <v>-7313.0125099999996</v>
      </c>
    </row>
    <row r="5371" spans="1:9" hidden="1">
      <c r="A5371" s="67" t="s">
        <v>295</v>
      </c>
      <c r="B5371" s="68">
        <v>2049</v>
      </c>
      <c r="C5371" s="68">
        <v>2023</v>
      </c>
      <c r="D5371" s="68" t="s">
        <v>327</v>
      </c>
      <c r="E5371" s="68" t="s">
        <v>294</v>
      </c>
      <c r="F5371" s="68" t="s">
        <v>40</v>
      </c>
      <c r="G5371" s="68"/>
      <c r="H5371" s="68"/>
      <c r="I5371" s="69">
        <v>-282716.9141184435</v>
      </c>
    </row>
    <row r="5372" spans="1:9" hidden="1">
      <c r="A5372" s="64" t="s">
        <v>295</v>
      </c>
      <c r="B5372" s="65">
        <v>2049</v>
      </c>
      <c r="C5372" s="65">
        <v>2023</v>
      </c>
      <c r="D5372" s="65" t="s">
        <v>327</v>
      </c>
      <c r="E5372" s="65" t="s">
        <v>301</v>
      </c>
      <c r="F5372" s="65" t="s">
        <v>40</v>
      </c>
      <c r="G5372" s="65"/>
      <c r="H5372" s="65"/>
      <c r="I5372" s="66">
        <v>-260716.13088406791</v>
      </c>
    </row>
    <row r="5373" spans="1:9" hidden="1">
      <c r="A5373" s="67" t="s">
        <v>295</v>
      </c>
      <c r="B5373" s="68">
        <v>2049</v>
      </c>
      <c r="C5373" s="68">
        <v>2023</v>
      </c>
      <c r="D5373" s="68" t="s">
        <v>327</v>
      </c>
      <c r="E5373" s="68" t="s">
        <v>305</v>
      </c>
      <c r="F5373" s="68" t="s">
        <v>40</v>
      </c>
      <c r="G5373" s="68"/>
      <c r="H5373" s="68"/>
      <c r="I5373" s="69">
        <v>-14986.28161</v>
      </c>
    </row>
    <row r="5374" spans="1:9" hidden="1">
      <c r="A5374" s="64" t="s">
        <v>295</v>
      </c>
      <c r="B5374" s="65">
        <v>2049</v>
      </c>
      <c r="C5374" s="65">
        <v>2023</v>
      </c>
      <c r="D5374" s="65" t="s">
        <v>328</v>
      </c>
      <c r="E5374" s="65" t="s">
        <v>294</v>
      </c>
      <c r="F5374" s="65" t="s">
        <v>40</v>
      </c>
      <c r="G5374" s="65"/>
      <c r="H5374" s="65"/>
      <c r="I5374" s="66">
        <v>20760.187335391529</v>
      </c>
    </row>
    <row r="5375" spans="1:9" hidden="1">
      <c r="A5375" s="67" t="s">
        <v>295</v>
      </c>
      <c r="B5375" s="68">
        <v>2049</v>
      </c>
      <c r="C5375" s="68">
        <v>2023</v>
      </c>
      <c r="D5375" s="68" t="s">
        <v>328</v>
      </c>
      <c r="E5375" s="68" t="s">
        <v>301</v>
      </c>
      <c r="F5375" s="68" t="s">
        <v>40</v>
      </c>
      <c r="G5375" s="68"/>
      <c r="H5375" s="68"/>
      <c r="I5375" s="69">
        <v>30210.363847742421</v>
      </c>
    </row>
    <row r="5376" spans="1:9" hidden="1">
      <c r="A5376" s="64" t="s">
        <v>295</v>
      </c>
      <c r="B5376" s="65">
        <v>2049</v>
      </c>
      <c r="C5376" s="65">
        <v>2023</v>
      </c>
      <c r="D5376" s="65" t="s">
        <v>328</v>
      </c>
      <c r="E5376" s="65" t="s">
        <v>305</v>
      </c>
      <c r="F5376" s="65" t="s">
        <v>40</v>
      </c>
      <c r="G5376" s="65"/>
      <c r="H5376" s="65"/>
      <c r="I5376" s="66">
        <v>-2119.8760499999999</v>
      </c>
    </row>
    <row r="5377" spans="1:9" hidden="1">
      <c r="A5377" s="67" t="s">
        <v>295</v>
      </c>
      <c r="B5377" s="68">
        <v>2049</v>
      </c>
      <c r="C5377" s="68">
        <v>2023</v>
      </c>
      <c r="D5377" s="68" t="s">
        <v>329</v>
      </c>
      <c r="E5377" s="68" t="s">
        <v>294</v>
      </c>
      <c r="F5377" s="68" t="s">
        <v>40</v>
      </c>
      <c r="G5377" s="68"/>
      <c r="H5377" s="68"/>
      <c r="I5377" s="69">
        <v>12161.9389587899</v>
      </c>
    </row>
    <row r="5378" spans="1:9" hidden="1">
      <c r="A5378" s="64" t="s">
        <v>295</v>
      </c>
      <c r="B5378" s="65">
        <v>2049</v>
      </c>
      <c r="C5378" s="65">
        <v>2023</v>
      </c>
      <c r="D5378" s="65" t="s">
        <v>329</v>
      </c>
      <c r="E5378" s="65" t="s">
        <v>301</v>
      </c>
      <c r="F5378" s="65" t="s">
        <v>40</v>
      </c>
      <c r="G5378" s="65"/>
      <c r="H5378" s="65"/>
      <c r="I5378" s="66">
        <v>12313.057882856159</v>
      </c>
    </row>
    <row r="5379" spans="1:9" hidden="1">
      <c r="A5379" s="67" t="s">
        <v>295</v>
      </c>
      <c r="B5379" s="68">
        <v>2049</v>
      </c>
      <c r="C5379" s="68">
        <v>2023</v>
      </c>
      <c r="D5379" s="68" t="s">
        <v>329</v>
      </c>
      <c r="E5379" s="68" t="s">
        <v>305</v>
      </c>
      <c r="F5379" s="68" t="s">
        <v>40</v>
      </c>
      <c r="G5379" s="68"/>
      <c r="H5379" s="68"/>
      <c r="I5379" s="69">
        <v>6690.2731100000001</v>
      </c>
    </row>
    <row r="5380" spans="1:9" hidden="1">
      <c r="A5380" s="64" t="s">
        <v>295</v>
      </c>
      <c r="B5380" s="65">
        <v>2049</v>
      </c>
      <c r="C5380" s="65">
        <v>2023</v>
      </c>
      <c r="D5380" s="65" t="s">
        <v>330</v>
      </c>
      <c r="E5380" s="65" t="s">
        <v>294</v>
      </c>
      <c r="F5380" s="65" t="s">
        <v>40</v>
      </c>
      <c r="G5380" s="65"/>
      <c r="H5380" s="65"/>
      <c r="I5380" s="66">
        <v>11702.45210333547</v>
      </c>
    </row>
    <row r="5381" spans="1:9" hidden="1">
      <c r="A5381" s="67" t="s">
        <v>295</v>
      </c>
      <c r="B5381" s="68">
        <v>2049</v>
      </c>
      <c r="C5381" s="68">
        <v>2023</v>
      </c>
      <c r="D5381" s="68" t="s">
        <v>330</v>
      </c>
      <c r="E5381" s="68" t="s">
        <v>301</v>
      </c>
      <c r="F5381" s="68" t="s">
        <v>40</v>
      </c>
      <c r="G5381" s="68"/>
      <c r="H5381" s="68"/>
      <c r="I5381" s="69">
        <v>12982.52950812465</v>
      </c>
    </row>
    <row r="5382" spans="1:9" hidden="1">
      <c r="A5382" s="64" t="s">
        <v>295</v>
      </c>
      <c r="B5382" s="65">
        <v>2049</v>
      </c>
      <c r="C5382" s="65">
        <v>2023</v>
      </c>
      <c r="D5382" s="65" t="s">
        <v>330</v>
      </c>
      <c r="E5382" s="65" t="s">
        <v>305</v>
      </c>
      <c r="F5382" s="65" t="s">
        <v>40</v>
      </c>
      <c r="G5382" s="65"/>
      <c r="H5382" s="65"/>
      <c r="I5382" s="66">
        <v>763.40647999999999</v>
      </c>
    </row>
    <row r="5383" spans="1:9" hidden="1">
      <c r="A5383" s="67" t="s">
        <v>295</v>
      </c>
      <c r="B5383" s="68">
        <v>2049</v>
      </c>
      <c r="C5383" s="68">
        <v>2023</v>
      </c>
      <c r="D5383" s="68" t="s">
        <v>331</v>
      </c>
      <c r="E5383" s="68" t="s">
        <v>294</v>
      </c>
      <c r="F5383" s="68" t="s">
        <v>40</v>
      </c>
      <c r="G5383" s="68"/>
      <c r="H5383" s="68"/>
      <c r="I5383" s="69">
        <v>28155.401105469082</v>
      </c>
    </row>
    <row r="5384" spans="1:9" hidden="1">
      <c r="A5384" s="64" t="s">
        <v>295</v>
      </c>
      <c r="B5384" s="65">
        <v>2049</v>
      </c>
      <c r="C5384" s="65">
        <v>2023</v>
      </c>
      <c r="D5384" s="65" t="s">
        <v>331</v>
      </c>
      <c r="E5384" s="65" t="s">
        <v>301</v>
      </c>
      <c r="F5384" s="65" t="s">
        <v>40</v>
      </c>
      <c r="G5384" s="65"/>
      <c r="H5384" s="65"/>
      <c r="I5384" s="66">
        <v>28585.466790928222</v>
      </c>
    </row>
    <row r="5385" spans="1:9" hidden="1">
      <c r="A5385" s="67" t="s">
        <v>295</v>
      </c>
      <c r="B5385" s="68">
        <v>2049</v>
      </c>
      <c r="C5385" s="68">
        <v>2023</v>
      </c>
      <c r="D5385" s="68" t="s">
        <v>331</v>
      </c>
      <c r="E5385" s="68" t="s">
        <v>305</v>
      </c>
      <c r="F5385" s="68" t="s">
        <v>40</v>
      </c>
      <c r="G5385" s="68"/>
      <c r="H5385" s="68"/>
      <c r="I5385" s="69">
        <v>3361.0485800000001</v>
      </c>
    </row>
    <row r="5386" spans="1:9" hidden="1">
      <c r="A5386" s="64" t="s">
        <v>295</v>
      </c>
      <c r="B5386" s="65">
        <v>2049</v>
      </c>
      <c r="C5386" s="65">
        <v>2023</v>
      </c>
      <c r="D5386" s="65" t="s">
        <v>332</v>
      </c>
      <c r="E5386" s="65" t="s">
        <v>294</v>
      </c>
      <c r="F5386" s="65" t="s">
        <v>40</v>
      </c>
      <c r="G5386" s="65"/>
      <c r="H5386" s="65"/>
      <c r="I5386" s="66">
        <v>533.01402999999993</v>
      </c>
    </row>
    <row r="5387" spans="1:9" hidden="1">
      <c r="A5387" s="67" t="s">
        <v>295</v>
      </c>
      <c r="B5387" s="68">
        <v>2049</v>
      </c>
      <c r="C5387" s="68">
        <v>2023</v>
      </c>
      <c r="D5387" s="68" t="s">
        <v>332</v>
      </c>
      <c r="E5387" s="68" t="s">
        <v>301</v>
      </c>
      <c r="F5387" s="68" t="s">
        <v>40</v>
      </c>
      <c r="G5387" s="68"/>
      <c r="H5387" s="68"/>
      <c r="I5387" s="69">
        <v>335.87402999999989</v>
      </c>
    </row>
    <row r="5388" spans="1:9" hidden="1">
      <c r="A5388" s="64" t="s">
        <v>295</v>
      </c>
      <c r="B5388" s="65">
        <v>2049</v>
      </c>
      <c r="C5388" s="65">
        <v>2023</v>
      </c>
      <c r="D5388" s="65" t="s">
        <v>332</v>
      </c>
      <c r="E5388" s="65" t="s">
        <v>305</v>
      </c>
      <c r="F5388" s="65" t="s">
        <v>40</v>
      </c>
      <c r="G5388" s="65"/>
      <c r="H5388" s="65"/>
      <c r="I5388" s="66">
        <v>350.55698999999998</v>
      </c>
    </row>
    <row r="5389" spans="1:9" hidden="1">
      <c r="A5389" s="67" t="s">
        <v>295</v>
      </c>
      <c r="B5389" s="68">
        <v>2049</v>
      </c>
      <c r="C5389" s="68">
        <v>2023</v>
      </c>
      <c r="D5389" s="68" t="s">
        <v>333</v>
      </c>
      <c r="E5389" s="68" t="s">
        <v>294</v>
      </c>
      <c r="F5389" s="68" t="s">
        <v>40</v>
      </c>
      <c r="G5389" s="68"/>
      <c r="H5389" s="68"/>
      <c r="I5389" s="69">
        <v>-34106.051102724923</v>
      </c>
    </row>
    <row r="5390" spans="1:9" hidden="1">
      <c r="A5390" s="64" t="s">
        <v>295</v>
      </c>
      <c r="B5390" s="65">
        <v>2049</v>
      </c>
      <c r="C5390" s="65">
        <v>2023</v>
      </c>
      <c r="D5390" s="65" t="s">
        <v>333</v>
      </c>
      <c r="E5390" s="65" t="s">
        <v>301</v>
      </c>
      <c r="F5390" s="65" t="s">
        <v>40</v>
      </c>
      <c r="G5390" s="65"/>
      <c r="H5390" s="65"/>
      <c r="I5390" s="66">
        <v>-33160.617352724919</v>
      </c>
    </row>
    <row r="5391" spans="1:9" hidden="1">
      <c r="A5391" s="67" t="s">
        <v>295</v>
      </c>
      <c r="B5391" s="68">
        <v>2049</v>
      </c>
      <c r="C5391" s="68">
        <v>2023</v>
      </c>
      <c r="D5391" s="68" t="s">
        <v>333</v>
      </c>
      <c r="E5391" s="68" t="s">
        <v>305</v>
      </c>
      <c r="F5391" s="68" t="s">
        <v>40</v>
      </c>
      <c r="G5391" s="68"/>
      <c r="H5391" s="68"/>
      <c r="I5391" s="69">
        <v>-1372.08</v>
      </c>
    </row>
    <row r="5392" spans="1:9" hidden="1">
      <c r="A5392" s="64" t="s">
        <v>295</v>
      </c>
      <c r="B5392" s="65">
        <v>2049</v>
      </c>
      <c r="C5392" s="65">
        <v>2023</v>
      </c>
      <c r="D5392" s="65" t="s">
        <v>334</v>
      </c>
      <c r="E5392" s="65" t="s">
        <v>294</v>
      </c>
      <c r="F5392" s="65" t="s">
        <v>40</v>
      </c>
      <c r="G5392" s="65"/>
      <c r="H5392" s="65"/>
      <c r="I5392" s="66">
        <v>253.85033000000001</v>
      </c>
    </row>
    <row r="5393" spans="1:9" hidden="1">
      <c r="A5393" s="67" t="s">
        <v>295</v>
      </c>
      <c r="B5393" s="68">
        <v>2049</v>
      </c>
      <c r="C5393" s="68">
        <v>2023</v>
      </c>
      <c r="D5393" s="68" t="s">
        <v>334</v>
      </c>
      <c r="E5393" s="68" t="s">
        <v>301</v>
      </c>
      <c r="F5393" s="68" t="s">
        <v>40</v>
      </c>
      <c r="G5393" s="68"/>
      <c r="H5393" s="68"/>
      <c r="I5393" s="69">
        <v>253.85033000000001</v>
      </c>
    </row>
    <row r="5394" spans="1:9" hidden="1">
      <c r="A5394" s="64" t="s">
        <v>295</v>
      </c>
      <c r="B5394" s="65">
        <v>2049</v>
      </c>
      <c r="C5394" s="65">
        <v>2023</v>
      </c>
      <c r="D5394" s="65" t="s">
        <v>308</v>
      </c>
      <c r="E5394" s="65" t="s">
        <v>294</v>
      </c>
      <c r="F5394" s="65" t="s">
        <v>297</v>
      </c>
      <c r="G5394" s="65"/>
      <c r="H5394" s="65"/>
      <c r="I5394" s="66">
        <v>58418.165292664147</v>
      </c>
    </row>
    <row r="5395" spans="1:9" hidden="1">
      <c r="A5395" s="67" t="s">
        <v>295</v>
      </c>
      <c r="B5395" s="68">
        <v>2049</v>
      </c>
      <c r="C5395" s="68">
        <v>2023</v>
      </c>
      <c r="D5395" s="68" t="s">
        <v>308</v>
      </c>
      <c r="E5395" s="68" t="s">
        <v>294</v>
      </c>
      <c r="F5395" s="68" t="s">
        <v>298</v>
      </c>
      <c r="G5395" s="68"/>
      <c r="H5395" s="68"/>
      <c r="I5395" s="69">
        <v>216.07120554307349</v>
      </c>
    </row>
    <row r="5396" spans="1:9" hidden="1">
      <c r="A5396" s="64" t="s">
        <v>295</v>
      </c>
      <c r="B5396" s="65">
        <v>2049</v>
      </c>
      <c r="C5396" s="65">
        <v>2023</v>
      </c>
      <c r="D5396" s="65" t="s">
        <v>308</v>
      </c>
      <c r="E5396" s="65" t="s">
        <v>294</v>
      </c>
      <c r="F5396" s="65" t="s">
        <v>40</v>
      </c>
      <c r="G5396" s="65"/>
      <c r="H5396" s="65"/>
      <c r="I5396" s="66">
        <v>58964.410668207231</v>
      </c>
    </row>
    <row r="5397" spans="1:9" hidden="1">
      <c r="A5397" s="67" t="s">
        <v>295</v>
      </c>
      <c r="B5397" s="68">
        <v>2049</v>
      </c>
      <c r="C5397" s="68">
        <v>2023</v>
      </c>
      <c r="D5397" s="68" t="s">
        <v>308</v>
      </c>
      <c r="E5397" s="68" t="s">
        <v>301</v>
      </c>
      <c r="F5397" s="68" t="s">
        <v>297</v>
      </c>
      <c r="G5397" s="68"/>
      <c r="H5397" s="68"/>
      <c r="I5397" s="69">
        <v>59518.67169261349</v>
      </c>
    </row>
    <row r="5398" spans="1:9" hidden="1">
      <c r="A5398" s="64" t="s">
        <v>295</v>
      </c>
      <c r="B5398" s="65">
        <v>2049</v>
      </c>
      <c r="C5398" s="65">
        <v>2023</v>
      </c>
      <c r="D5398" s="65" t="s">
        <v>308</v>
      </c>
      <c r="E5398" s="65" t="s">
        <v>301</v>
      </c>
      <c r="F5398" s="65" t="s">
        <v>298</v>
      </c>
      <c r="G5398" s="65"/>
      <c r="H5398" s="65"/>
      <c r="I5398" s="66">
        <v>216.07120552181749</v>
      </c>
    </row>
    <row r="5399" spans="1:9" hidden="1">
      <c r="A5399" s="67" t="s">
        <v>295</v>
      </c>
      <c r="B5399" s="68">
        <v>2049</v>
      </c>
      <c r="C5399" s="68">
        <v>2023</v>
      </c>
      <c r="D5399" s="68" t="s">
        <v>308</v>
      </c>
      <c r="E5399" s="68" t="s">
        <v>301</v>
      </c>
      <c r="F5399" s="68" t="s">
        <v>40</v>
      </c>
      <c r="G5399" s="68"/>
      <c r="H5399" s="68"/>
      <c r="I5399" s="69">
        <v>59637.166513620483</v>
      </c>
    </row>
    <row r="5400" spans="1:9" hidden="1">
      <c r="A5400" s="64" t="s">
        <v>295</v>
      </c>
      <c r="B5400" s="65">
        <v>2049</v>
      </c>
      <c r="C5400" s="65">
        <v>2023</v>
      </c>
      <c r="D5400" s="65" t="s">
        <v>308</v>
      </c>
      <c r="E5400" s="65" t="s">
        <v>305</v>
      </c>
      <c r="F5400" s="65" t="s">
        <v>297</v>
      </c>
      <c r="G5400" s="65"/>
      <c r="H5400" s="65"/>
      <c r="I5400" s="66">
        <v>1731.4232</v>
      </c>
    </row>
    <row r="5401" spans="1:9" hidden="1">
      <c r="A5401" s="67" t="s">
        <v>295</v>
      </c>
      <c r="B5401" s="68">
        <v>2049</v>
      </c>
      <c r="C5401" s="68">
        <v>2023</v>
      </c>
      <c r="D5401" s="68" t="s">
        <v>308</v>
      </c>
      <c r="E5401" s="68" t="s">
        <v>305</v>
      </c>
      <c r="F5401" s="68" t="s">
        <v>40</v>
      </c>
      <c r="G5401" s="68"/>
      <c r="H5401" s="68"/>
      <c r="I5401" s="69">
        <v>10065.683199999999</v>
      </c>
    </row>
    <row r="5402" spans="1:9" hidden="1">
      <c r="A5402" s="64" t="s">
        <v>295</v>
      </c>
      <c r="B5402" s="65">
        <v>2049</v>
      </c>
      <c r="C5402" s="65">
        <v>2023</v>
      </c>
      <c r="D5402" s="65" t="s">
        <v>310</v>
      </c>
      <c r="E5402" s="65" t="s">
        <v>294</v>
      </c>
      <c r="F5402" s="65" t="s">
        <v>297</v>
      </c>
      <c r="G5402" s="65"/>
      <c r="H5402" s="65"/>
      <c r="I5402" s="66">
        <v>192.08</v>
      </c>
    </row>
    <row r="5403" spans="1:9" hidden="1">
      <c r="A5403" s="67" t="s">
        <v>295</v>
      </c>
      <c r="B5403" s="68">
        <v>2049</v>
      </c>
      <c r="C5403" s="68">
        <v>2023</v>
      </c>
      <c r="D5403" s="68" t="s">
        <v>310</v>
      </c>
      <c r="E5403" s="68" t="s">
        <v>294</v>
      </c>
      <c r="F5403" s="68" t="s">
        <v>40</v>
      </c>
      <c r="G5403" s="68"/>
      <c r="H5403" s="68"/>
      <c r="I5403" s="69">
        <v>127773.7289378556</v>
      </c>
    </row>
    <row r="5404" spans="1:9" hidden="1">
      <c r="A5404" s="64" t="s">
        <v>295</v>
      </c>
      <c r="B5404" s="65">
        <v>2049</v>
      </c>
      <c r="C5404" s="65">
        <v>2023</v>
      </c>
      <c r="D5404" s="65" t="s">
        <v>310</v>
      </c>
      <c r="E5404" s="65" t="s">
        <v>301</v>
      </c>
      <c r="F5404" s="65" t="s">
        <v>297</v>
      </c>
      <c r="G5404" s="65"/>
      <c r="H5404" s="65"/>
      <c r="I5404" s="66">
        <v>192.08</v>
      </c>
    </row>
    <row r="5405" spans="1:9" hidden="1">
      <c r="A5405" s="67" t="s">
        <v>295</v>
      </c>
      <c r="B5405" s="68">
        <v>2049</v>
      </c>
      <c r="C5405" s="68">
        <v>2023</v>
      </c>
      <c r="D5405" s="68" t="s">
        <v>310</v>
      </c>
      <c r="E5405" s="68" t="s">
        <v>301</v>
      </c>
      <c r="F5405" s="68" t="s">
        <v>40</v>
      </c>
      <c r="G5405" s="68"/>
      <c r="H5405" s="68"/>
      <c r="I5405" s="69">
        <v>136765.75155962491</v>
      </c>
    </row>
    <row r="5406" spans="1:9" hidden="1">
      <c r="A5406" s="64" t="s">
        <v>295</v>
      </c>
      <c r="B5406" s="65">
        <v>2049</v>
      </c>
      <c r="C5406" s="65">
        <v>2023</v>
      </c>
      <c r="D5406" s="65" t="s">
        <v>310</v>
      </c>
      <c r="E5406" s="65" t="s">
        <v>305</v>
      </c>
      <c r="F5406" s="65" t="s">
        <v>40</v>
      </c>
      <c r="G5406" s="65"/>
      <c r="H5406" s="65"/>
      <c r="I5406" s="66">
        <v>1361.7807700000001</v>
      </c>
    </row>
    <row r="5407" spans="1:9" hidden="1">
      <c r="A5407" s="67" t="s">
        <v>295</v>
      </c>
      <c r="B5407" s="68">
        <v>2049</v>
      </c>
      <c r="C5407" s="68">
        <v>2023</v>
      </c>
      <c r="D5407" s="68" t="s">
        <v>311</v>
      </c>
      <c r="E5407" s="68" t="s">
        <v>294</v>
      </c>
      <c r="F5407" s="68" t="s">
        <v>297</v>
      </c>
      <c r="G5407" s="68"/>
      <c r="H5407" s="68"/>
      <c r="I5407" s="69">
        <v>866.18</v>
      </c>
    </row>
    <row r="5408" spans="1:9" hidden="1">
      <c r="A5408" s="64" t="s">
        <v>295</v>
      </c>
      <c r="B5408" s="65">
        <v>2049</v>
      </c>
      <c r="C5408" s="65">
        <v>2023</v>
      </c>
      <c r="D5408" s="65" t="s">
        <v>311</v>
      </c>
      <c r="E5408" s="65" t="s">
        <v>294</v>
      </c>
      <c r="F5408" s="65" t="s">
        <v>40</v>
      </c>
      <c r="G5408" s="65"/>
      <c r="H5408" s="65"/>
      <c r="I5408" s="66">
        <v>145430.47946503561</v>
      </c>
    </row>
    <row r="5409" spans="1:9" hidden="1">
      <c r="A5409" s="67" t="s">
        <v>295</v>
      </c>
      <c r="B5409" s="68">
        <v>2049</v>
      </c>
      <c r="C5409" s="68">
        <v>2023</v>
      </c>
      <c r="D5409" s="68" t="s">
        <v>311</v>
      </c>
      <c r="E5409" s="68" t="s">
        <v>301</v>
      </c>
      <c r="F5409" s="68" t="s">
        <v>297</v>
      </c>
      <c r="G5409" s="68"/>
      <c r="H5409" s="68"/>
      <c r="I5409" s="69">
        <v>866.18</v>
      </c>
    </row>
    <row r="5410" spans="1:9" hidden="1">
      <c r="A5410" s="64" t="s">
        <v>295</v>
      </c>
      <c r="B5410" s="65">
        <v>2049</v>
      </c>
      <c r="C5410" s="65">
        <v>2023</v>
      </c>
      <c r="D5410" s="65" t="s">
        <v>311</v>
      </c>
      <c r="E5410" s="65" t="s">
        <v>301</v>
      </c>
      <c r="F5410" s="65" t="s">
        <v>40</v>
      </c>
      <c r="G5410" s="65"/>
      <c r="H5410" s="65"/>
      <c r="I5410" s="66">
        <v>148050.0086828169</v>
      </c>
    </row>
    <row r="5411" spans="1:9" hidden="1">
      <c r="A5411" s="67" t="s">
        <v>295</v>
      </c>
      <c r="B5411" s="68">
        <v>2049</v>
      </c>
      <c r="C5411" s="68">
        <v>2023</v>
      </c>
      <c r="D5411" s="68" t="s">
        <v>311</v>
      </c>
      <c r="E5411" s="68" t="s">
        <v>305</v>
      </c>
      <c r="F5411" s="68" t="s">
        <v>40</v>
      </c>
      <c r="G5411" s="68"/>
      <c r="H5411" s="68"/>
      <c r="I5411" s="69">
        <v>1016.48</v>
      </c>
    </row>
    <row r="5412" spans="1:9" hidden="1">
      <c r="A5412" s="64" t="s">
        <v>295</v>
      </c>
      <c r="B5412" s="65">
        <v>2049</v>
      </c>
      <c r="C5412" s="65">
        <v>2023</v>
      </c>
      <c r="D5412" s="65" t="s">
        <v>312</v>
      </c>
      <c r="E5412" s="65" t="s">
        <v>294</v>
      </c>
      <c r="F5412" s="65" t="s">
        <v>297</v>
      </c>
      <c r="G5412" s="65"/>
      <c r="H5412" s="65"/>
      <c r="I5412" s="66">
        <v>717.16980000000001</v>
      </c>
    </row>
    <row r="5413" spans="1:9" hidden="1">
      <c r="A5413" s="67" t="s">
        <v>295</v>
      </c>
      <c r="B5413" s="68">
        <v>2049</v>
      </c>
      <c r="C5413" s="68">
        <v>2023</v>
      </c>
      <c r="D5413" s="68" t="s">
        <v>312</v>
      </c>
      <c r="E5413" s="68" t="s">
        <v>294</v>
      </c>
      <c r="F5413" s="68" t="s">
        <v>40</v>
      </c>
      <c r="G5413" s="68"/>
      <c r="H5413" s="68"/>
      <c r="I5413" s="69">
        <v>861.06201573100259</v>
      </c>
    </row>
    <row r="5414" spans="1:9" hidden="1">
      <c r="A5414" s="64" t="s">
        <v>295</v>
      </c>
      <c r="B5414" s="65">
        <v>2049</v>
      </c>
      <c r="C5414" s="65">
        <v>2023</v>
      </c>
      <c r="D5414" s="65" t="s">
        <v>312</v>
      </c>
      <c r="E5414" s="65" t="s">
        <v>301</v>
      </c>
      <c r="F5414" s="65" t="s">
        <v>297</v>
      </c>
      <c r="G5414" s="65"/>
      <c r="H5414" s="65"/>
      <c r="I5414" s="66">
        <v>720.56979999999999</v>
      </c>
    </row>
    <row r="5415" spans="1:9" hidden="1">
      <c r="A5415" s="67" t="s">
        <v>295</v>
      </c>
      <c r="B5415" s="68">
        <v>2049</v>
      </c>
      <c r="C5415" s="68">
        <v>2023</v>
      </c>
      <c r="D5415" s="68" t="s">
        <v>312</v>
      </c>
      <c r="E5415" s="68" t="s">
        <v>301</v>
      </c>
      <c r="F5415" s="68" t="s">
        <v>40</v>
      </c>
      <c r="G5415" s="68"/>
      <c r="H5415" s="68"/>
      <c r="I5415" s="69">
        <v>864.46979999999996</v>
      </c>
    </row>
    <row r="5416" spans="1:9" hidden="1">
      <c r="A5416" s="64" t="s">
        <v>295</v>
      </c>
      <c r="B5416" s="65">
        <v>2049</v>
      </c>
      <c r="C5416" s="65">
        <v>2023</v>
      </c>
      <c r="D5416" s="65" t="s">
        <v>313</v>
      </c>
      <c r="E5416" s="65" t="s">
        <v>294</v>
      </c>
      <c r="F5416" s="65" t="s">
        <v>297</v>
      </c>
      <c r="G5416" s="65"/>
      <c r="H5416" s="65"/>
      <c r="I5416" s="66">
        <v>1230247.3619149979</v>
      </c>
    </row>
    <row r="5417" spans="1:9" hidden="1">
      <c r="A5417" s="67" t="s">
        <v>295</v>
      </c>
      <c r="B5417" s="68">
        <v>2049</v>
      </c>
      <c r="C5417" s="68">
        <v>2023</v>
      </c>
      <c r="D5417" s="68" t="s">
        <v>313</v>
      </c>
      <c r="E5417" s="68" t="s">
        <v>294</v>
      </c>
      <c r="F5417" s="68" t="s">
        <v>298</v>
      </c>
      <c r="G5417" s="68"/>
      <c r="H5417" s="68"/>
      <c r="I5417" s="69">
        <v>596988.10144967691</v>
      </c>
    </row>
    <row r="5418" spans="1:9" hidden="1">
      <c r="A5418" s="64" t="s">
        <v>295</v>
      </c>
      <c r="B5418" s="65">
        <v>2049</v>
      </c>
      <c r="C5418" s="65">
        <v>2023</v>
      </c>
      <c r="D5418" s="65" t="s">
        <v>313</v>
      </c>
      <c r="E5418" s="65" t="s">
        <v>294</v>
      </c>
      <c r="F5418" s="65" t="s">
        <v>40</v>
      </c>
      <c r="G5418" s="65"/>
      <c r="H5418" s="65"/>
      <c r="I5418" s="66">
        <v>1844456.2797821229</v>
      </c>
    </row>
    <row r="5419" spans="1:9" hidden="1">
      <c r="A5419" s="67" t="s">
        <v>295</v>
      </c>
      <c r="B5419" s="68">
        <v>2049</v>
      </c>
      <c r="C5419" s="68">
        <v>2023</v>
      </c>
      <c r="D5419" s="68" t="s">
        <v>313</v>
      </c>
      <c r="E5419" s="68" t="s">
        <v>301</v>
      </c>
      <c r="F5419" s="68" t="s">
        <v>297</v>
      </c>
      <c r="G5419" s="68"/>
      <c r="H5419" s="68"/>
      <c r="I5419" s="69">
        <v>1435850.9959038589</v>
      </c>
    </row>
    <row r="5420" spans="1:9" hidden="1">
      <c r="A5420" s="64" t="s">
        <v>295</v>
      </c>
      <c r="B5420" s="65">
        <v>2049</v>
      </c>
      <c r="C5420" s="65">
        <v>2023</v>
      </c>
      <c r="D5420" s="65" t="s">
        <v>313</v>
      </c>
      <c r="E5420" s="65" t="s">
        <v>301</v>
      </c>
      <c r="F5420" s="65" t="s">
        <v>298</v>
      </c>
      <c r="G5420" s="65"/>
      <c r="H5420" s="65"/>
      <c r="I5420" s="66">
        <v>688102.44160083949</v>
      </c>
    </row>
    <row r="5421" spans="1:9" hidden="1">
      <c r="A5421" s="67" t="s">
        <v>295</v>
      </c>
      <c r="B5421" s="68">
        <v>2049</v>
      </c>
      <c r="C5421" s="68">
        <v>2023</v>
      </c>
      <c r="D5421" s="68" t="s">
        <v>313</v>
      </c>
      <c r="E5421" s="68" t="s">
        <v>301</v>
      </c>
      <c r="F5421" s="68" t="s">
        <v>40</v>
      </c>
      <c r="G5421" s="68"/>
      <c r="H5421" s="68"/>
      <c r="I5421" s="69">
        <v>2142773.1116958819</v>
      </c>
    </row>
    <row r="5422" spans="1:9" hidden="1">
      <c r="A5422" s="64" t="s">
        <v>295</v>
      </c>
      <c r="B5422" s="65">
        <v>2049</v>
      </c>
      <c r="C5422" s="65">
        <v>2023</v>
      </c>
      <c r="D5422" s="65" t="s">
        <v>313</v>
      </c>
      <c r="E5422" s="65" t="s">
        <v>305</v>
      </c>
      <c r="F5422" s="65" t="s">
        <v>297</v>
      </c>
      <c r="G5422" s="65"/>
      <c r="H5422" s="65"/>
      <c r="I5422" s="66">
        <v>17510.497589999999</v>
      </c>
    </row>
    <row r="5423" spans="1:9" hidden="1">
      <c r="A5423" s="67" t="s">
        <v>295</v>
      </c>
      <c r="B5423" s="68">
        <v>2049</v>
      </c>
      <c r="C5423" s="68">
        <v>2023</v>
      </c>
      <c r="D5423" s="68" t="s">
        <v>313</v>
      </c>
      <c r="E5423" s="68" t="s">
        <v>305</v>
      </c>
      <c r="F5423" s="68" t="s">
        <v>298</v>
      </c>
      <c r="G5423" s="68"/>
      <c r="H5423" s="68"/>
      <c r="I5423" s="69">
        <v>9665.289850000001</v>
      </c>
    </row>
    <row r="5424" spans="1:9" hidden="1">
      <c r="A5424" s="64" t="s">
        <v>295</v>
      </c>
      <c r="B5424" s="65">
        <v>2049</v>
      </c>
      <c r="C5424" s="65">
        <v>2023</v>
      </c>
      <c r="D5424" s="65" t="s">
        <v>313</v>
      </c>
      <c r="E5424" s="65" t="s">
        <v>305</v>
      </c>
      <c r="F5424" s="65" t="s">
        <v>40</v>
      </c>
      <c r="G5424" s="65"/>
      <c r="H5424" s="65"/>
      <c r="I5424" s="66">
        <v>228648.90132</v>
      </c>
    </row>
    <row r="5425" spans="1:9" hidden="1">
      <c r="A5425" s="67" t="s">
        <v>295</v>
      </c>
      <c r="B5425" s="68">
        <v>2049</v>
      </c>
      <c r="C5425" s="68">
        <v>2023</v>
      </c>
      <c r="D5425" s="68" t="s">
        <v>314</v>
      </c>
      <c r="E5425" s="68" t="s">
        <v>294</v>
      </c>
      <c r="F5425" s="68" t="s">
        <v>297</v>
      </c>
      <c r="G5425" s="68"/>
      <c r="H5425" s="68"/>
      <c r="I5425" s="69">
        <v>1230247.2619149981</v>
      </c>
    </row>
    <row r="5426" spans="1:9" hidden="1">
      <c r="A5426" s="64" t="s">
        <v>295</v>
      </c>
      <c r="B5426" s="65">
        <v>2049</v>
      </c>
      <c r="C5426" s="65">
        <v>2023</v>
      </c>
      <c r="D5426" s="65" t="s">
        <v>314</v>
      </c>
      <c r="E5426" s="65" t="s">
        <v>294</v>
      </c>
      <c r="F5426" s="65" t="s">
        <v>298</v>
      </c>
      <c r="G5426" s="65"/>
      <c r="H5426" s="65"/>
      <c r="I5426" s="66">
        <v>596988.00144967693</v>
      </c>
    </row>
    <row r="5427" spans="1:9" hidden="1">
      <c r="A5427" s="67" t="s">
        <v>295</v>
      </c>
      <c r="B5427" s="68">
        <v>2049</v>
      </c>
      <c r="C5427" s="68">
        <v>2023</v>
      </c>
      <c r="D5427" s="68" t="s">
        <v>314</v>
      </c>
      <c r="E5427" s="68" t="s">
        <v>294</v>
      </c>
      <c r="F5427" s="68" t="s">
        <v>40</v>
      </c>
      <c r="G5427" s="68"/>
      <c r="H5427" s="68"/>
      <c r="I5427" s="69">
        <v>1600535.535801772</v>
      </c>
    </row>
    <row r="5428" spans="1:9" hidden="1">
      <c r="A5428" s="64" t="s">
        <v>295</v>
      </c>
      <c r="B5428" s="65">
        <v>2049</v>
      </c>
      <c r="C5428" s="65">
        <v>2023</v>
      </c>
      <c r="D5428" s="65" t="s">
        <v>314</v>
      </c>
      <c r="E5428" s="65" t="s">
        <v>301</v>
      </c>
      <c r="F5428" s="65" t="s">
        <v>297</v>
      </c>
      <c r="G5428" s="65"/>
      <c r="H5428" s="65"/>
      <c r="I5428" s="66">
        <v>1435850.8959038591</v>
      </c>
    </row>
    <row r="5429" spans="1:9" hidden="1">
      <c r="A5429" s="67" t="s">
        <v>295</v>
      </c>
      <c r="B5429" s="68">
        <v>2049</v>
      </c>
      <c r="C5429" s="68">
        <v>2023</v>
      </c>
      <c r="D5429" s="68" t="s">
        <v>314</v>
      </c>
      <c r="E5429" s="68" t="s">
        <v>301</v>
      </c>
      <c r="F5429" s="68" t="s">
        <v>298</v>
      </c>
      <c r="G5429" s="68"/>
      <c r="H5429" s="68"/>
      <c r="I5429" s="69">
        <v>688102.34160083951</v>
      </c>
    </row>
    <row r="5430" spans="1:9" hidden="1">
      <c r="A5430" s="64" t="s">
        <v>295</v>
      </c>
      <c r="B5430" s="65">
        <v>2049</v>
      </c>
      <c r="C5430" s="65">
        <v>2023</v>
      </c>
      <c r="D5430" s="65" t="s">
        <v>314</v>
      </c>
      <c r="E5430" s="65" t="s">
        <v>301</v>
      </c>
      <c r="F5430" s="65" t="s">
        <v>40</v>
      </c>
      <c r="G5430" s="65"/>
      <c r="H5430" s="65"/>
      <c r="I5430" s="66">
        <v>1933729.4091439359</v>
      </c>
    </row>
    <row r="5431" spans="1:9" hidden="1">
      <c r="A5431" s="67" t="s">
        <v>295</v>
      </c>
      <c r="B5431" s="68">
        <v>2049</v>
      </c>
      <c r="C5431" s="68">
        <v>2023</v>
      </c>
      <c r="D5431" s="68" t="s">
        <v>314</v>
      </c>
      <c r="E5431" s="68" t="s">
        <v>305</v>
      </c>
      <c r="F5431" s="68" t="s">
        <v>297</v>
      </c>
      <c r="G5431" s="68"/>
      <c r="H5431" s="68"/>
      <c r="I5431" s="69">
        <v>17510.497589999999</v>
      </c>
    </row>
    <row r="5432" spans="1:9" hidden="1">
      <c r="A5432" s="64" t="s">
        <v>295</v>
      </c>
      <c r="B5432" s="65">
        <v>2049</v>
      </c>
      <c r="C5432" s="65">
        <v>2023</v>
      </c>
      <c r="D5432" s="65" t="s">
        <v>314</v>
      </c>
      <c r="E5432" s="65" t="s">
        <v>305</v>
      </c>
      <c r="F5432" s="65" t="s">
        <v>298</v>
      </c>
      <c r="G5432" s="65"/>
      <c r="H5432" s="65"/>
      <c r="I5432" s="66">
        <v>9665.289850000001</v>
      </c>
    </row>
    <row r="5433" spans="1:9" hidden="1">
      <c r="A5433" s="67" t="s">
        <v>295</v>
      </c>
      <c r="B5433" s="68">
        <v>2049</v>
      </c>
      <c r="C5433" s="68">
        <v>2023</v>
      </c>
      <c r="D5433" s="68" t="s">
        <v>314</v>
      </c>
      <c r="E5433" s="68" t="s">
        <v>305</v>
      </c>
      <c r="F5433" s="68" t="s">
        <v>40</v>
      </c>
      <c r="G5433" s="68"/>
      <c r="H5433" s="68"/>
      <c r="I5433" s="69">
        <v>221650.50881</v>
      </c>
    </row>
    <row r="5434" spans="1:9" hidden="1">
      <c r="A5434" s="64" t="s">
        <v>295</v>
      </c>
      <c r="B5434" s="65">
        <v>2050</v>
      </c>
      <c r="C5434" s="65">
        <v>2023</v>
      </c>
      <c r="D5434" s="65" t="s">
        <v>296</v>
      </c>
      <c r="E5434" s="65" t="s">
        <v>294</v>
      </c>
      <c r="F5434" s="65" t="s">
        <v>297</v>
      </c>
      <c r="G5434" s="65"/>
      <c r="H5434" s="65"/>
      <c r="I5434" s="66">
        <v>777288.37682931754</v>
      </c>
    </row>
    <row r="5435" spans="1:9" hidden="1">
      <c r="A5435" s="67" t="s">
        <v>295</v>
      </c>
      <c r="B5435" s="68">
        <v>2050</v>
      </c>
      <c r="C5435" s="68">
        <v>2023</v>
      </c>
      <c r="D5435" s="68" t="s">
        <v>296</v>
      </c>
      <c r="E5435" s="68" t="s">
        <v>294</v>
      </c>
      <c r="F5435" s="68" t="s">
        <v>298</v>
      </c>
      <c r="G5435" s="68"/>
      <c r="H5435" s="68"/>
      <c r="I5435" s="69">
        <v>424710.59795950481</v>
      </c>
    </row>
    <row r="5436" spans="1:9" hidden="1">
      <c r="A5436" s="64" t="s">
        <v>295</v>
      </c>
      <c r="B5436" s="65">
        <v>2050</v>
      </c>
      <c r="C5436" s="65">
        <v>2023</v>
      </c>
      <c r="D5436" s="65" t="s">
        <v>296</v>
      </c>
      <c r="E5436" s="65" t="s">
        <v>294</v>
      </c>
      <c r="F5436" s="65" t="s">
        <v>40</v>
      </c>
      <c r="G5436" s="65"/>
      <c r="H5436" s="65"/>
      <c r="I5436" s="66">
        <v>1219398.4901402099</v>
      </c>
    </row>
    <row r="5437" spans="1:9" hidden="1">
      <c r="A5437" s="67" t="s">
        <v>295</v>
      </c>
      <c r="B5437" s="68">
        <v>2050</v>
      </c>
      <c r="C5437" s="68">
        <v>2023</v>
      </c>
      <c r="D5437" s="68" t="s">
        <v>296</v>
      </c>
      <c r="E5437" s="68" t="s">
        <v>301</v>
      </c>
      <c r="F5437" s="68" t="s">
        <v>297</v>
      </c>
      <c r="G5437" s="68"/>
      <c r="H5437" s="68"/>
      <c r="I5437" s="69">
        <v>957622.71815826779</v>
      </c>
    </row>
    <row r="5438" spans="1:9" hidden="1">
      <c r="A5438" s="64" t="s">
        <v>295</v>
      </c>
      <c r="B5438" s="65">
        <v>2050</v>
      </c>
      <c r="C5438" s="65">
        <v>2023</v>
      </c>
      <c r="D5438" s="65" t="s">
        <v>296</v>
      </c>
      <c r="E5438" s="65" t="s">
        <v>301</v>
      </c>
      <c r="F5438" s="65" t="s">
        <v>298</v>
      </c>
      <c r="G5438" s="65"/>
      <c r="H5438" s="65"/>
      <c r="I5438" s="66">
        <v>505718.2616701303</v>
      </c>
    </row>
    <row r="5439" spans="1:9" hidden="1">
      <c r="A5439" s="67" t="s">
        <v>295</v>
      </c>
      <c r="B5439" s="68">
        <v>2050</v>
      </c>
      <c r="C5439" s="68">
        <v>2023</v>
      </c>
      <c r="D5439" s="68" t="s">
        <v>296</v>
      </c>
      <c r="E5439" s="68" t="s">
        <v>301</v>
      </c>
      <c r="F5439" s="68" t="s">
        <v>40</v>
      </c>
      <c r="G5439" s="68"/>
      <c r="H5439" s="68"/>
      <c r="I5439" s="69">
        <v>1482639.728295909</v>
      </c>
    </row>
    <row r="5440" spans="1:9" hidden="1">
      <c r="A5440" s="64" t="s">
        <v>295</v>
      </c>
      <c r="B5440" s="65">
        <v>2050</v>
      </c>
      <c r="C5440" s="65">
        <v>2023</v>
      </c>
      <c r="D5440" s="65" t="s">
        <v>296</v>
      </c>
      <c r="E5440" s="65" t="s">
        <v>305</v>
      </c>
      <c r="F5440" s="65" t="s">
        <v>297</v>
      </c>
      <c r="G5440" s="65"/>
      <c r="H5440" s="65"/>
      <c r="I5440" s="66">
        <v>12446.522870000001</v>
      </c>
    </row>
    <row r="5441" spans="1:9" hidden="1">
      <c r="A5441" s="67" t="s">
        <v>295</v>
      </c>
      <c r="B5441" s="68">
        <v>2050</v>
      </c>
      <c r="C5441" s="68">
        <v>2023</v>
      </c>
      <c r="D5441" s="68" t="s">
        <v>296</v>
      </c>
      <c r="E5441" s="68" t="s">
        <v>305</v>
      </c>
      <c r="F5441" s="68" t="s">
        <v>298</v>
      </c>
      <c r="G5441" s="68"/>
      <c r="H5441" s="68"/>
      <c r="I5441" s="69">
        <v>8913.2284099999997</v>
      </c>
    </row>
    <row r="5442" spans="1:9" hidden="1">
      <c r="A5442" s="64" t="s">
        <v>295</v>
      </c>
      <c r="B5442" s="65">
        <v>2050</v>
      </c>
      <c r="C5442" s="65">
        <v>2023</v>
      </c>
      <c r="D5442" s="65" t="s">
        <v>296</v>
      </c>
      <c r="E5442" s="65" t="s">
        <v>305</v>
      </c>
      <c r="F5442" s="65" t="s">
        <v>40</v>
      </c>
      <c r="G5442" s="65"/>
      <c r="H5442" s="65"/>
      <c r="I5442" s="66">
        <v>159838.01613</v>
      </c>
    </row>
    <row r="5443" spans="1:9" hidden="1">
      <c r="A5443" s="67" t="s">
        <v>295</v>
      </c>
      <c r="B5443" s="68">
        <v>2050</v>
      </c>
      <c r="C5443" s="68">
        <v>2023</v>
      </c>
      <c r="D5443" s="68" t="s">
        <v>309</v>
      </c>
      <c r="E5443" s="68" t="s">
        <v>294</v>
      </c>
      <c r="F5443" s="68" t="s">
        <v>297</v>
      </c>
      <c r="G5443" s="68"/>
      <c r="H5443" s="68"/>
      <c r="I5443" s="69">
        <v>41802.741465939529</v>
      </c>
    </row>
    <row r="5444" spans="1:9" hidden="1">
      <c r="A5444" s="64" t="s">
        <v>295</v>
      </c>
      <c r="B5444" s="65">
        <v>2050</v>
      </c>
      <c r="C5444" s="65">
        <v>2023</v>
      </c>
      <c r="D5444" s="65" t="s">
        <v>309</v>
      </c>
      <c r="E5444" s="65" t="s">
        <v>294</v>
      </c>
      <c r="F5444" s="65" t="s">
        <v>298</v>
      </c>
      <c r="G5444" s="65"/>
      <c r="H5444" s="65"/>
      <c r="I5444" s="66">
        <v>256704.9794468965</v>
      </c>
    </row>
    <row r="5445" spans="1:9" hidden="1">
      <c r="A5445" s="67" t="s">
        <v>295</v>
      </c>
      <c r="B5445" s="68">
        <v>2050</v>
      </c>
      <c r="C5445" s="68">
        <v>2023</v>
      </c>
      <c r="D5445" s="68" t="s">
        <v>309</v>
      </c>
      <c r="E5445" s="68" t="s">
        <v>294</v>
      </c>
      <c r="F5445" s="68" t="s">
        <v>40</v>
      </c>
      <c r="G5445" s="68"/>
      <c r="H5445" s="68"/>
      <c r="I5445" s="69">
        <v>298009.82464455022</v>
      </c>
    </row>
    <row r="5446" spans="1:9" hidden="1">
      <c r="A5446" s="64" t="s">
        <v>295</v>
      </c>
      <c r="B5446" s="65">
        <v>2050</v>
      </c>
      <c r="C5446" s="65">
        <v>2023</v>
      </c>
      <c r="D5446" s="65" t="s">
        <v>309</v>
      </c>
      <c r="E5446" s="65" t="s">
        <v>301</v>
      </c>
      <c r="F5446" s="65" t="s">
        <v>297</v>
      </c>
      <c r="G5446" s="65"/>
      <c r="H5446" s="65"/>
      <c r="I5446" s="66">
        <v>38478.347435350137</v>
      </c>
    </row>
    <row r="5447" spans="1:9" hidden="1">
      <c r="A5447" s="67" t="s">
        <v>295</v>
      </c>
      <c r="B5447" s="68">
        <v>2050</v>
      </c>
      <c r="C5447" s="68">
        <v>2023</v>
      </c>
      <c r="D5447" s="68" t="s">
        <v>309</v>
      </c>
      <c r="E5447" s="68" t="s">
        <v>301</v>
      </c>
      <c r="F5447" s="68" t="s">
        <v>298</v>
      </c>
      <c r="G5447" s="68"/>
      <c r="H5447" s="68"/>
      <c r="I5447" s="69">
        <v>306306.5599527075</v>
      </c>
    </row>
    <row r="5448" spans="1:9" hidden="1">
      <c r="A5448" s="64" t="s">
        <v>295</v>
      </c>
      <c r="B5448" s="65">
        <v>2050</v>
      </c>
      <c r="C5448" s="65">
        <v>2023</v>
      </c>
      <c r="D5448" s="65" t="s">
        <v>309</v>
      </c>
      <c r="E5448" s="65" t="s">
        <v>301</v>
      </c>
      <c r="F5448" s="65" t="s">
        <v>40</v>
      </c>
      <c r="G5448" s="65"/>
      <c r="H5448" s="65"/>
      <c r="I5448" s="66">
        <v>344352.25606404548</v>
      </c>
    </row>
    <row r="5449" spans="1:9" hidden="1">
      <c r="A5449" s="67" t="s">
        <v>295</v>
      </c>
      <c r="B5449" s="68">
        <v>2050</v>
      </c>
      <c r="C5449" s="68">
        <v>2023</v>
      </c>
      <c r="D5449" s="68" t="s">
        <v>309</v>
      </c>
      <c r="E5449" s="68" t="s">
        <v>305</v>
      </c>
      <c r="F5449" s="68" t="s">
        <v>297</v>
      </c>
      <c r="G5449" s="68"/>
      <c r="H5449" s="68"/>
      <c r="I5449" s="69">
        <v>32.496670000000002</v>
      </c>
    </row>
    <row r="5450" spans="1:9" hidden="1">
      <c r="A5450" s="64" t="s">
        <v>295</v>
      </c>
      <c r="B5450" s="65">
        <v>2050</v>
      </c>
      <c r="C5450" s="65">
        <v>2023</v>
      </c>
      <c r="D5450" s="65" t="s">
        <v>309</v>
      </c>
      <c r="E5450" s="65" t="s">
        <v>305</v>
      </c>
      <c r="F5450" s="65" t="s">
        <v>298</v>
      </c>
      <c r="G5450" s="65"/>
      <c r="H5450" s="65"/>
      <c r="I5450" s="66">
        <v>7307.1284100000003</v>
      </c>
    </row>
    <row r="5451" spans="1:9" hidden="1">
      <c r="A5451" s="67" t="s">
        <v>295</v>
      </c>
      <c r="B5451" s="68">
        <v>2050</v>
      </c>
      <c r="C5451" s="68">
        <v>2023</v>
      </c>
      <c r="D5451" s="68" t="s">
        <v>309</v>
      </c>
      <c r="E5451" s="68" t="s">
        <v>305</v>
      </c>
      <c r="F5451" s="68" t="s">
        <v>40</v>
      </c>
      <c r="G5451" s="68"/>
      <c r="H5451" s="68"/>
      <c r="I5451" s="69">
        <v>48313.125079999998</v>
      </c>
    </row>
    <row r="5452" spans="1:9" hidden="1">
      <c r="A5452" s="64" t="s">
        <v>295</v>
      </c>
      <c r="B5452" s="65">
        <v>2050</v>
      </c>
      <c r="C5452" s="65">
        <v>2023</v>
      </c>
      <c r="D5452" s="65" t="s">
        <v>315</v>
      </c>
      <c r="E5452" s="65" t="s">
        <v>294</v>
      </c>
      <c r="F5452" s="65" t="s">
        <v>297</v>
      </c>
      <c r="G5452" s="65"/>
      <c r="H5452" s="65"/>
      <c r="I5452" s="66">
        <v>93298.29734476305</v>
      </c>
    </row>
    <row r="5453" spans="1:9" hidden="1">
      <c r="A5453" s="67" t="s">
        <v>295</v>
      </c>
      <c r="B5453" s="68">
        <v>2050</v>
      </c>
      <c r="C5453" s="68">
        <v>2023</v>
      </c>
      <c r="D5453" s="68" t="s">
        <v>315</v>
      </c>
      <c r="E5453" s="68" t="s">
        <v>294</v>
      </c>
      <c r="F5453" s="68" t="s">
        <v>298</v>
      </c>
      <c r="G5453" s="68"/>
      <c r="H5453" s="68"/>
      <c r="I5453" s="69">
        <v>153928.1955499379</v>
      </c>
    </row>
    <row r="5454" spans="1:9" hidden="1">
      <c r="A5454" s="64" t="s">
        <v>295</v>
      </c>
      <c r="B5454" s="65">
        <v>2050</v>
      </c>
      <c r="C5454" s="65">
        <v>2023</v>
      </c>
      <c r="D5454" s="65" t="s">
        <v>315</v>
      </c>
      <c r="E5454" s="65" t="s">
        <v>294</v>
      </c>
      <c r="F5454" s="65" t="s">
        <v>40</v>
      </c>
      <c r="G5454" s="65"/>
      <c r="H5454" s="65"/>
      <c r="I5454" s="66">
        <v>246689.27261746969</v>
      </c>
    </row>
    <row r="5455" spans="1:9" hidden="1">
      <c r="A5455" s="67" t="s">
        <v>295</v>
      </c>
      <c r="B5455" s="68">
        <v>2050</v>
      </c>
      <c r="C5455" s="68">
        <v>2023</v>
      </c>
      <c r="D5455" s="68" t="s">
        <v>315</v>
      </c>
      <c r="E5455" s="68" t="s">
        <v>301</v>
      </c>
      <c r="F5455" s="68" t="s">
        <v>297</v>
      </c>
      <c r="G5455" s="68"/>
      <c r="H5455" s="68"/>
      <c r="I5455" s="69">
        <v>101284.99269908731</v>
      </c>
    </row>
    <row r="5456" spans="1:9" hidden="1">
      <c r="A5456" s="64" t="s">
        <v>295</v>
      </c>
      <c r="B5456" s="65">
        <v>2050</v>
      </c>
      <c r="C5456" s="65">
        <v>2023</v>
      </c>
      <c r="D5456" s="65" t="s">
        <v>315</v>
      </c>
      <c r="E5456" s="65" t="s">
        <v>301</v>
      </c>
      <c r="F5456" s="65" t="s">
        <v>298</v>
      </c>
      <c r="G5456" s="65"/>
      <c r="H5456" s="65"/>
      <c r="I5456" s="66">
        <v>183153.8777522973</v>
      </c>
    </row>
    <row r="5457" spans="1:9" hidden="1">
      <c r="A5457" s="67" t="s">
        <v>295</v>
      </c>
      <c r="B5457" s="68">
        <v>2050</v>
      </c>
      <c r="C5457" s="68">
        <v>2023</v>
      </c>
      <c r="D5457" s="68" t="s">
        <v>315</v>
      </c>
      <c r="E5457" s="68" t="s">
        <v>301</v>
      </c>
      <c r="F5457" s="68" t="s">
        <v>40</v>
      </c>
      <c r="G5457" s="68"/>
      <c r="H5457" s="68"/>
      <c r="I5457" s="69">
        <v>283911.09997638757</v>
      </c>
    </row>
    <row r="5458" spans="1:9" hidden="1">
      <c r="A5458" s="64" t="s">
        <v>295</v>
      </c>
      <c r="B5458" s="65">
        <v>2050</v>
      </c>
      <c r="C5458" s="65">
        <v>2023</v>
      </c>
      <c r="D5458" s="65" t="s">
        <v>315</v>
      </c>
      <c r="E5458" s="65" t="s">
        <v>305</v>
      </c>
      <c r="F5458" s="65" t="s">
        <v>297</v>
      </c>
      <c r="G5458" s="65"/>
      <c r="H5458" s="65"/>
      <c r="I5458" s="66">
        <v>1188.04107</v>
      </c>
    </row>
    <row r="5459" spans="1:9" hidden="1">
      <c r="A5459" s="67" t="s">
        <v>295</v>
      </c>
      <c r="B5459" s="68">
        <v>2050</v>
      </c>
      <c r="C5459" s="68">
        <v>2023</v>
      </c>
      <c r="D5459" s="68" t="s">
        <v>315</v>
      </c>
      <c r="E5459" s="68" t="s">
        <v>305</v>
      </c>
      <c r="F5459" s="68" t="s">
        <v>298</v>
      </c>
      <c r="G5459" s="68"/>
      <c r="H5459" s="68"/>
      <c r="I5459" s="69">
        <v>1536.2</v>
      </c>
    </row>
    <row r="5460" spans="1:9" hidden="1">
      <c r="A5460" s="64" t="s">
        <v>295</v>
      </c>
      <c r="B5460" s="65">
        <v>2050</v>
      </c>
      <c r="C5460" s="65">
        <v>2023</v>
      </c>
      <c r="D5460" s="65" t="s">
        <v>315</v>
      </c>
      <c r="E5460" s="65" t="s">
        <v>305</v>
      </c>
      <c r="F5460" s="65" t="s">
        <v>40</v>
      </c>
      <c r="G5460" s="65"/>
      <c r="H5460" s="65"/>
      <c r="I5460" s="66">
        <v>23603.341069999999</v>
      </c>
    </row>
    <row r="5461" spans="1:9" hidden="1">
      <c r="A5461" s="67" t="s">
        <v>295</v>
      </c>
      <c r="B5461" s="68">
        <v>2050</v>
      </c>
      <c r="C5461" s="68">
        <v>2023</v>
      </c>
      <c r="D5461" s="68" t="s">
        <v>316</v>
      </c>
      <c r="E5461" s="68" t="s">
        <v>294</v>
      </c>
      <c r="F5461" s="68" t="s">
        <v>297</v>
      </c>
      <c r="G5461" s="68"/>
      <c r="H5461" s="68"/>
      <c r="I5461" s="69">
        <v>361219.70286000823</v>
      </c>
    </row>
    <row r="5462" spans="1:9" hidden="1">
      <c r="A5462" s="64" t="s">
        <v>295</v>
      </c>
      <c r="B5462" s="65">
        <v>2050</v>
      </c>
      <c r="C5462" s="65">
        <v>2023</v>
      </c>
      <c r="D5462" s="65" t="s">
        <v>316</v>
      </c>
      <c r="E5462" s="65" t="s">
        <v>294</v>
      </c>
      <c r="F5462" s="65" t="s">
        <v>298</v>
      </c>
      <c r="G5462" s="65"/>
      <c r="H5462" s="65"/>
      <c r="I5462" s="66">
        <v>3229.9352764688292</v>
      </c>
    </row>
    <row r="5463" spans="1:9" hidden="1">
      <c r="A5463" s="67" t="s">
        <v>295</v>
      </c>
      <c r="B5463" s="68">
        <v>2050</v>
      </c>
      <c r="C5463" s="68">
        <v>2023</v>
      </c>
      <c r="D5463" s="68" t="s">
        <v>316</v>
      </c>
      <c r="E5463" s="68" t="s">
        <v>294</v>
      </c>
      <c r="F5463" s="68" t="s">
        <v>40</v>
      </c>
      <c r="G5463" s="68"/>
      <c r="H5463" s="68"/>
      <c r="I5463" s="69">
        <v>382415.13271931908</v>
      </c>
    </row>
    <row r="5464" spans="1:9" hidden="1">
      <c r="A5464" s="64" t="s">
        <v>295</v>
      </c>
      <c r="B5464" s="65">
        <v>2050</v>
      </c>
      <c r="C5464" s="65">
        <v>2023</v>
      </c>
      <c r="D5464" s="65" t="s">
        <v>316</v>
      </c>
      <c r="E5464" s="65" t="s">
        <v>301</v>
      </c>
      <c r="F5464" s="65" t="s">
        <v>297</v>
      </c>
      <c r="G5464" s="65"/>
      <c r="H5464" s="65"/>
      <c r="I5464" s="66">
        <v>464790.58871307463</v>
      </c>
    </row>
    <row r="5465" spans="1:9" hidden="1">
      <c r="A5465" s="67" t="s">
        <v>295</v>
      </c>
      <c r="B5465" s="68">
        <v>2050</v>
      </c>
      <c r="C5465" s="68">
        <v>2023</v>
      </c>
      <c r="D5465" s="68" t="s">
        <v>316</v>
      </c>
      <c r="E5465" s="68" t="s">
        <v>301</v>
      </c>
      <c r="F5465" s="68" t="s">
        <v>298</v>
      </c>
      <c r="G5465" s="68"/>
      <c r="H5465" s="68"/>
      <c r="I5465" s="69">
        <v>3553.9421353312368</v>
      </c>
    </row>
    <row r="5466" spans="1:9" hidden="1">
      <c r="A5466" s="64" t="s">
        <v>295</v>
      </c>
      <c r="B5466" s="65">
        <v>2050</v>
      </c>
      <c r="C5466" s="65">
        <v>2023</v>
      </c>
      <c r="D5466" s="65" t="s">
        <v>316</v>
      </c>
      <c r="E5466" s="65" t="s">
        <v>301</v>
      </c>
      <c r="F5466" s="65" t="s">
        <v>40</v>
      </c>
      <c r="G5466" s="65"/>
      <c r="H5466" s="65"/>
      <c r="I5466" s="66">
        <v>488135.32130545093</v>
      </c>
    </row>
    <row r="5467" spans="1:9" hidden="1">
      <c r="A5467" s="67" t="s">
        <v>295</v>
      </c>
      <c r="B5467" s="68">
        <v>2050</v>
      </c>
      <c r="C5467" s="68">
        <v>2023</v>
      </c>
      <c r="D5467" s="68" t="s">
        <v>316</v>
      </c>
      <c r="E5467" s="68" t="s">
        <v>305</v>
      </c>
      <c r="F5467" s="68" t="s">
        <v>297</v>
      </c>
      <c r="G5467" s="68"/>
      <c r="H5467" s="68"/>
      <c r="I5467" s="69">
        <v>9349.8036800000009</v>
      </c>
    </row>
    <row r="5468" spans="1:9" hidden="1">
      <c r="A5468" s="64" t="s">
        <v>295</v>
      </c>
      <c r="B5468" s="65">
        <v>2050</v>
      </c>
      <c r="C5468" s="65">
        <v>2023</v>
      </c>
      <c r="D5468" s="65" t="s">
        <v>316</v>
      </c>
      <c r="E5468" s="65" t="s">
        <v>305</v>
      </c>
      <c r="F5468" s="65" t="s">
        <v>298</v>
      </c>
      <c r="G5468" s="65"/>
      <c r="H5468" s="65"/>
      <c r="I5468" s="66">
        <v>0</v>
      </c>
    </row>
    <row r="5469" spans="1:9" hidden="1">
      <c r="A5469" s="67" t="s">
        <v>295</v>
      </c>
      <c r="B5469" s="68">
        <v>2050</v>
      </c>
      <c r="C5469" s="68">
        <v>2023</v>
      </c>
      <c r="D5469" s="68" t="s">
        <v>316</v>
      </c>
      <c r="E5469" s="68" t="s">
        <v>305</v>
      </c>
      <c r="F5469" s="68" t="s">
        <v>40</v>
      </c>
      <c r="G5469" s="68"/>
      <c r="H5469" s="68"/>
      <c r="I5469" s="69">
        <v>45867.168530000003</v>
      </c>
    </row>
    <row r="5470" spans="1:9" hidden="1">
      <c r="A5470" s="64" t="s">
        <v>295</v>
      </c>
      <c r="B5470" s="65">
        <v>2050</v>
      </c>
      <c r="C5470" s="65">
        <v>2023</v>
      </c>
      <c r="D5470" s="65" t="s">
        <v>317</v>
      </c>
      <c r="E5470" s="65" t="s">
        <v>294</v>
      </c>
      <c r="F5470" s="65" t="s">
        <v>297</v>
      </c>
      <c r="G5470" s="65"/>
      <c r="H5470" s="65"/>
      <c r="I5470" s="66">
        <v>310.48716849402803</v>
      </c>
    </row>
    <row r="5471" spans="1:9" hidden="1">
      <c r="A5471" s="67" t="s">
        <v>295</v>
      </c>
      <c r="B5471" s="68">
        <v>2050</v>
      </c>
      <c r="C5471" s="68">
        <v>2023</v>
      </c>
      <c r="D5471" s="68" t="s">
        <v>317</v>
      </c>
      <c r="E5471" s="68" t="s">
        <v>294</v>
      </c>
      <c r="F5471" s="68" t="s">
        <v>298</v>
      </c>
      <c r="G5471" s="68"/>
      <c r="H5471" s="68"/>
      <c r="I5471" s="69">
        <v>0</v>
      </c>
    </row>
    <row r="5472" spans="1:9" hidden="1">
      <c r="A5472" s="64" t="s">
        <v>295</v>
      </c>
      <c r="B5472" s="65">
        <v>2050</v>
      </c>
      <c r="C5472" s="65">
        <v>2023</v>
      </c>
      <c r="D5472" s="65" t="s">
        <v>317</v>
      </c>
      <c r="E5472" s="65" t="s">
        <v>294</v>
      </c>
      <c r="F5472" s="65" t="s">
        <v>40</v>
      </c>
      <c r="G5472" s="65"/>
      <c r="H5472" s="65"/>
      <c r="I5472" s="66">
        <v>17846.612274878698</v>
      </c>
    </row>
    <row r="5473" spans="1:9" hidden="1">
      <c r="A5473" s="67" t="s">
        <v>295</v>
      </c>
      <c r="B5473" s="68">
        <v>2050</v>
      </c>
      <c r="C5473" s="68">
        <v>2023</v>
      </c>
      <c r="D5473" s="68" t="s">
        <v>317</v>
      </c>
      <c r="E5473" s="68" t="s">
        <v>301</v>
      </c>
      <c r="F5473" s="68" t="s">
        <v>297</v>
      </c>
      <c r="G5473" s="68"/>
      <c r="H5473" s="68"/>
      <c r="I5473" s="69">
        <v>323.88672974130401</v>
      </c>
    </row>
    <row r="5474" spans="1:9" hidden="1">
      <c r="A5474" s="64" t="s">
        <v>295</v>
      </c>
      <c r="B5474" s="65">
        <v>2050</v>
      </c>
      <c r="C5474" s="65">
        <v>2023</v>
      </c>
      <c r="D5474" s="65" t="s">
        <v>317</v>
      </c>
      <c r="E5474" s="65" t="s">
        <v>301</v>
      </c>
      <c r="F5474" s="65" t="s">
        <v>298</v>
      </c>
      <c r="G5474" s="65"/>
      <c r="H5474" s="65"/>
      <c r="I5474" s="66">
        <v>0</v>
      </c>
    </row>
    <row r="5475" spans="1:9" hidden="1">
      <c r="A5475" s="67" t="s">
        <v>295</v>
      </c>
      <c r="B5475" s="68">
        <v>2050</v>
      </c>
      <c r="C5475" s="68">
        <v>2023</v>
      </c>
      <c r="D5475" s="68" t="s">
        <v>317</v>
      </c>
      <c r="E5475" s="68" t="s">
        <v>301</v>
      </c>
      <c r="F5475" s="68" t="s">
        <v>40</v>
      </c>
      <c r="G5475" s="68"/>
      <c r="H5475" s="68"/>
      <c r="I5475" s="69">
        <v>19633.87360013571</v>
      </c>
    </row>
    <row r="5476" spans="1:9" hidden="1">
      <c r="A5476" s="64" t="s">
        <v>295</v>
      </c>
      <c r="B5476" s="65">
        <v>2050</v>
      </c>
      <c r="C5476" s="65">
        <v>2023</v>
      </c>
      <c r="D5476" s="65" t="s">
        <v>317</v>
      </c>
      <c r="E5476" s="65" t="s">
        <v>305</v>
      </c>
      <c r="F5476" s="65" t="s">
        <v>297</v>
      </c>
      <c r="G5476" s="65"/>
      <c r="H5476" s="65"/>
      <c r="I5476" s="66">
        <v>1.3950000000000001E-2</v>
      </c>
    </row>
    <row r="5477" spans="1:9" hidden="1">
      <c r="A5477" s="67" t="s">
        <v>295</v>
      </c>
      <c r="B5477" s="68">
        <v>2050</v>
      </c>
      <c r="C5477" s="68">
        <v>2023</v>
      </c>
      <c r="D5477" s="68" t="s">
        <v>317</v>
      </c>
      <c r="E5477" s="68" t="s">
        <v>305</v>
      </c>
      <c r="F5477" s="68" t="s">
        <v>40</v>
      </c>
      <c r="G5477" s="68"/>
      <c r="H5477" s="68"/>
      <c r="I5477" s="69">
        <v>538.37880000000007</v>
      </c>
    </row>
    <row r="5478" spans="1:9" hidden="1">
      <c r="A5478" s="64" t="s">
        <v>295</v>
      </c>
      <c r="B5478" s="65">
        <v>2050</v>
      </c>
      <c r="C5478" s="65">
        <v>2023</v>
      </c>
      <c r="D5478" s="65" t="s">
        <v>318</v>
      </c>
      <c r="E5478" s="65" t="s">
        <v>294</v>
      </c>
      <c r="F5478" s="65" t="s">
        <v>297</v>
      </c>
      <c r="G5478" s="65"/>
      <c r="H5478" s="65"/>
      <c r="I5478" s="66">
        <v>340048.13538961671</v>
      </c>
    </row>
    <row r="5479" spans="1:9" hidden="1">
      <c r="A5479" s="67" t="s">
        <v>295</v>
      </c>
      <c r="B5479" s="68">
        <v>2050</v>
      </c>
      <c r="C5479" s="68">
        <v>2023</v>
      </c>
      <c r="D5479" s="68" t="s">
        <v>318</v>
      </c>
      <c r="E5479" s="68" t="s">
        <v>294</v>
      </c>
      <c r="F5479" s="68" t="s">
        <v>298</v>
      </c>
      <c r="G5479" s="68"/>
      <c r="H5479" s="68"/>
      <c r="I5479" s="69">
        <v>0</v>
      </c>
    </row>
    <row r="5480" spans="1:9" hidden="1">
      <c r="A5480" s="64" t="s">
        <v>295</v>
      </c>
      <c r="B5480" s="65">
        <v>2050</v>
      </c>
      <c r="C5480" s="65">
        <v>2023</v>
      </c>
      <c r="D5480" s="65" t="s">
        <v>318</v>
      </c>
      <c r="E5480" s="65" t="s">
        <v>294</v>
      </c>
      <c r="F5480" s="65" t="s">
        <v>40</v>
      </c>
      <c r="G5480" s="65"/>
      <c r="H5480" s="65"/>
      <c r="I5480" s="66">
        <v>340388.65161560959</v>
      </c>
    </row>
    <row r="5481" spans="1:9" hidden="1">
      <c r="A5481" s="67" t="s">
        <v>295</v>
      </c>
      <c r="B5481" s="68">
        <v>2050</v>
      </c>
      <c r="C5481" s="68">
        <v>2023</v>
      </c>
      <c r="D5481" s="68" t="s">
        <v>318</v>
      </c>
      <c r="E5481" s="68" t="s">
        <v>301</v>
      </c>
      <c r="F5481" s="68" t="s">
        <v>297</v>
      </c>
      <c r="G5481" s="68"/>
      <c r="H5481" s="68"/>
      <c r="I5481" s="69">
        <v>441152.11996665812</v>
      </c>
    </row>
    <row r="5482" spans="1:9" hidden="1">
      <c r="A5482" s="64" t="s">
        <v>295</v>
      </c>
      <c r="B5482" s="65">
        <v>2050</v>
      </c>
      <c r="C5482" s="65">
        <v>2023</v>
      </c>
      <c r="D5482" s="65" t="s">
        <v>318</v>
      </c>
      <c r="E5482" s="65" t="s">
        <v>301</v>
      </c>
      <c r="F5482" s="65" t="s">
        <v>298</v>
      </c>
      <c r="G5482" s="65"/>
      <c r="H5482" s="65"/>
      <c r="I5482" s="66">
        <v>0</v>
      </c>
    </row>
    <row r="5483" spans="1:9" hidden="1">
      <c r="A5483" s="67" t="s">
        <v>295</v>
      </c>
      <c r="B5483" s="68">
        <v>2050</v>
      </c>
      <c r="C5483" s="68">
        <v>2023</v>
      </c>
      <c r="D5483" s="68" t="s">
        <v>318</v>
      </c>
      <c r="E5483" s="68" t="s">
        <v>301</v>
      </c>
      <c r="F5483" s="68" t="s">
        <v>40</v>
      </c>
      <c r="G5483" s="68"/>
      <c r="H5483" s="68"/>
      <c r="I5483" s="69">
        <v>441596.16895848571</v>
      </c>
    </row>
    <row r="5484" spans="1:9" hidden="1">
      <c r="A5484" s="64" t="s">
        <v>295</v>
      </c>
      <c r="B5484" s="65">
        <v>2050</v>
      </c>
      <c r="C5484" s="65">
        <v>2023</v>
      </c>
      <c r="D5484" s="65" t="s">
        <v>318</v>
      </c>
      <c r="E5484" s="65" t="s">
        <v>305</v>
      </c>
      <c r="F5484" s="65" t="s">
        <v>297</v>
      </c>
      <c r="G5484" s="65"/>
      <c r="H5484" s="65"/>
      <c r="I5484" s="66">
        <v>9241.70154</v>
      </c>
    </row>
    <row r="5485" spans="1:9" hidden="1">
      <c r="A5485" s="67" t="s">
        <v>295</v>
      </c>
      <c r="B5485" s="68">
        <v>2050</v>
      </c>
      <c r="C5485" s="68">
        <v>2023</v>
      </c>
      <c r="D5485" s="68" t="s">
        <v>318</v>
      </c>
      <c r="E5485" s="68" t="s">
        <v>305</v>
      </c>
      <c r="F5485" s="68" t="s">
        <v>40</v>
      </c>
      <c r="G5485" s="68"/>
      <c r="H5485" s="68"/>
      <c r="I5485" s="69">
        <v>42750.701540000002</v>
      </c>
    </row>
    <row r="5486" spans="1:9" hidden="1">
      <c r="A5486" s="64" t="s">
        <v>295</v>
      </c>
      <c r="B5486" s="65">
        <v>2050</v>
      </c>
      <c r="C5486" s="65">
        <v>2023</v>
      </c>
      <c r="D5486" s="65" t="s">
        <v>320</v>
      </c>
      <c r="E5486" s="65" t="s">
        <v>294</v>
      </c>
      <c r="F5486" s="65" t="s">
        <v>297</v>
      </c>
      <c r="G5486" s="65"/>
      <c r="H5486" s="65"/>
      <c r="I5486" s="66">
        <v>3007.397502621925</v>
      </c>
    </row>
    <row r="5487" spans="1:9" hidden="1">
      <c r="A5487" s="67" t="s">
        <v>295</v>
      </c>
      <c r="B5487" s="68">
        <v>2050</v>
      </c>
      <c r="C5487" s="68">
        <v>2023</v>
      </c>
      <c r="D5487" s="68" t="s">
        <v>320</v>
      </c>
      <c r="E5487" s="68" t="s">
        <v>294</v>
      </c>
      <c r="F5487" s="68" t="s">
        <v>298</v>
      </c>
      <c r="G5487" s="68"/>
      <c r="H5487" s="68"/>
      <c r="I5487" s="69">
        <v>0</v>
      </c>
    </row>
    <row r="5488" spans="1:9" hidden="1">
      <c r="A5488" s="64" t="s">
        <v>295</v>
      </c>
      <c r="B5488" s="65">
        <v>2050</v>
      </c>
      <c r="C5488" s="65">
        <v>2023</v>
      </c>
      <c r="D5488" s="65" t="s">
        <v>320</v>
      </c>
      <c r="E5488" s="65" t="s">
        <v>294</v>
      </c>
      <c r="F5488" s="65" t="s">
        <v>40</v>
      </c>
      <c r="G5488" s="65"/>
      <c r="H5488" s="65"/>
      <c r="I5488" s="66">
        <v>3008.8516646639991</v>
      </c>
    </row>
    <row r="5489" spans="1:9" hidden="1">
      <c r="A5489" s="67" t="s">
        <v>295</v>
      </c>
      <c r="B5489" s="68">
        <v>2050</v>
      </c>
      <c r="C5489" s="68">
        <v>2023</v>
      </c>
      <c r="D5489" s="68" t="s">
        <v>320</v>
      </c>
      <c r="E5489" s="68" t="s">
        <v>301</v>
      </c>
      <c r="F5489" s="68" t="s">
        <v>297</v>
      </c>
      <c r="G5489" s="68"/>
      <c r="H5489" s="68"/>
      <c r="I5489" s="69">
        <v>4569.9997127237893</v>
      </c>
    </row>
    <row r="5490" spans="1:9" hidden="1">
      <c r="A5490" s="64" t="s">
        <v>295</v>
      </c>
      <c r="B5490" s="65">
        <v>2050</v>
      </c>
      <c r="C5490" s="65">
        <v>2023</v>
      </c>
      <c r="D5490" s="65" t="s">
        <v>320</v>
      </c>
      <c r="E5490" s="65" t="s">
        <v>301</v>
      </c>
      <c r="F5490" s="65" t="s">
        <v>298</v>
      </c>
      <c r="G5490" s="65"/>
      <c r="H5490" s="65"/>
      <c r="I5490" s="66">
        <v>0</v>
      </c>
    </row>
    <row r="5491" spans="1:9" hidden="1">
      <c r="A5491" s="67" t="s">
        <v>295</v>
      </c>
      <c r="B5491" s="68">
        <v>2050</v>
      </c>
      <c r="C5491" s="68">
        <v>2023</v>
      </c>
      <c r="D5491" s="68" t="s">
        <v>320</v>
      </c>
      <c r="E5491" s="68" t="s">
        <v>301</v>
      </c>
      <c r="F5491" s="68" t="s">
        <v>40</v>
      </c>
      <c r="G5491" s="68"/>
      <c r="H5491" s="68"/>
      <c r="I5491" s="69">
        <v>4571.4497680624054</v>
      </c>
    </row>
    <row r="5492" spans="1:9" hidden="1">
      <c r="A5492" s="64" t="s">
        <v>295</v>
      </c>
      <c r="B5492" s="65">
        <v>2050</v>
      </c>
      <c r="C5492" s="65">
        <v>2023</v>
      </c>
      <c r="D5492" s="65" t="s">
        <v>320</v>
      </c>
      <c r="E5492" s="65" t="s">
        <v>305</v>
      </c>
      <c r="F5492" s="65" t="s">
        <v>297</v>
      </c>
      <c r="G5492" s="65"/>
      <c r="H5492" s="65"/>
      <c r="I5492" s="66">
        <v>45.7</v>
      </c>
    </row>
    <row r="5493" spans="1:9" hidden="1">
      <c r="A5493" s="67" t="s">
        <v>295</v>
      </c>
      <c r="B5493" s="68">
        <v>2050</v>
      </c>
      <c r="C5493" s="68">
        <v>2023</v>
      </c>
      <c r="D5493" s="68" t="s">
        <v>320</v>
      </c>
      <c r="E5493" s="68" t="s">
        <v>305</v>
      </c>
      <c r="F5493" s="68" t="s">
        <v>40</v>
      </c>
      <c r="G5493" s="68"/>
      <c r="H5493" s="68"/>
      <c r="I5493" s="69">
        <v>1729.1</v>
      </c>
    </row>
    <row r="5494" spans="1:9" hidden="1">
      <c r="A5494" s="64" t="s">
        <v>295</v>
      </c>
      <c r="B5494" s="65">
        <v>2050</v>
      </c>
      <c r="C5494" s="65">
        <v>2023</v>
      </c>
      <c r="D5494" s="65" t="s">
        <v>321</v>
      </c>
      <c r="E5494" s="65" t="s">
        <v>294</v>
      </c>
      <c r="F5494" s="65" t="s">
        <v>297</v>
      </c>
      <c r="G5494" s="65"/>
      <c r="H5494" s="65"/>
      <c r="I5494" s="66">
        <v>16699.29493921539</v>
      </c>
    </row>
    <row r="5495" spans="1:9" hidden="1">
      <c r="A5495" s="67" t="s">
        <v>295</v>
      </c>
      <c r="B5495" s="68">
        <v>2050</v>
      </c>
      <c r="C5495" s="68">
        <v>2023</v>
      </c>
      <c r="D5495" s="68" t="s">
        <v>321</v>
      </c>
      <c r="E5495" s="68" t="s">
        <v>294</v>
      </c>
      <c r="F5495" s="68" t="s">
        <v>298</v>
      </c>
      <c r="G5495" s="68"/>
      <c r="H5495" s="68"/>
      <c r="I5495" s="69">
        <v>0</v>
      </c>
    </row>
    <row r="5496" spans="1:9" hidden="1">
      <c r="A5496" s="64" t="s">
        <v>295</v>
      </c>
      <c r="B5496" s="65">
        <v>2050</v>
      </c>
      <c r="C5496" s="65">
        <v>2023</v>
      </c>
      <c r="D5496" s="65" t="s">
        <v>321</v>
      </c>
      <c r="E5496" s="65" t="s">
        <v>294</v>
      </c>
      <c r="F5496" s="65" t="s">
        <v>40</v>
      </c>
      <c r="G5496" s="65"/>
      <c r="H5496" s="65"/>
      <c r="I5496" s="66">
        <v>16721.266962091198</v>
      </c>
    </row>
    <row r="5497" spans="1:9" hidden="1">
      <c r="A5497" s="67" t="s">
        <v>295</v>
      </c>
      <c r="B5497" s="68">
        <v>2050</v>
      </c>
      <c r="C5497" s="68">
        <v>2023</v>
      </c>
      <c r="D5497" s="68" t="s">
        <v>321</v>
      </c>
      <c r="E5497" s="68" t="s">
        <v>301</v>
      </c>
      <c r="F5497" s="68" t="s">
        <v>297</v>
      </c>
      <c r="G5497" s="68"/>
      <c r="H5497" s="68"/>
      <c r="I5497" s="69">
        <v>17207.857433448069</v>
      </c>
    </row>
    <row r="5498" spans="1:9" hidden="1">
      <c r="A5498" s="64" t="s">
        <v>295</v>
      </c>
      <c r="B5498" s="65">
        <v>2050</v>
      </c>
      <c r="C5498" s="65">
        <v>2023</v>
      </c>
      <c r="D5498" s="65" t="s">
        <v>321</v>
      </c>
      <c r="E5498" s="65" t="s">
        <v>301</v>
      </c>
      <c r="F5498" s="65" t="s">
        <v>298</v>
      </c>
      <c r="G5498" s="65"/>
      <c r="H5498" s="65"/>
      <c r="I5498" s="66">
        <v>0</v>
      </c>
    </row>
    <row r="5499" spans="1:9" hidden="1">
      <c r="A5499" s="67" t="s">
        <v>295</v>
      </c>
      <c r="B5499" s="68">
        <v>2050</v>
      </c>
      <c r="C5499" s="68">
        <v>2023</v>
      </c>
      <c r="D5499" s="68" t="s">
        <v>321</v>
      </c>
      <c r="E5499" s="68" t="s">
        <v>301</v>
      </c>
      <c r="F5499" s="68" t="s">
        <v>40</v>
      </c>
      <c r="G5499" s="68"/>
      <c r="H5499" s="68"/>
      <c r="I5499" s="69">
        <v>17229.553244448081</v>
      </c>
    </row>
    <row r="5500" spans="1:9" hidden="1">
      <c r="A5500" s="64" t="s">
        <v>295</v>
      </c>
      <c r="B5500" s="65">
        <v>2050</v>
      </c>
      <c r="C5500" s="65">
        <v>2023</v>
      </c>
      <c r="D5500" s="65" t="s">
        <v>321</v>
      </c>
      <c r="E5500" s="65" t="s">
        <v>305</v>
      </c>
      <c r="F5500" s="65" t="s">
        <v>297</v>
      </c>
      <c r="G5500" s="65"/>
      <c r="H5500" s="65"/>
      <c r="I5500" s="66">
        <v>55.088189999999997</v>
      </c>
    </row>
    <row r="5501" spans="1:9" hidden="1">
      <c r="A5501" s="67" t="s">
        <v>295</v>
      </c>
      <c r="B5501" s="68">
        <v>2050</v>
      </c>
      <c r="C5501" s="68">
        <v>2023</v>
      </c>
      <c r="D5501" s="68" t="s">
        <v>321</v>
      </c>
      <c r="E5501" s="68" t="s">
        <v>305</v>
      </c>
      <c r="F5501" s="68" t="s">
        <v>40</v>
      </c>
      <c r="G5501" s="68"/>
      <c r="H5501" s="68"/>
      <c r="I5501" s="69">
        <v>520.18819000000008</v>
      </c>
    </row>
    <row r="5502" spans="1:9" hidden="1">
      <c r="A5502" s="64" t="s">
        <v>295</v>
      </c>
      <c r="B5502" s="65">
        <v>2050</v>
      </c>
      <c r="C5502" s="65">
        <v>2023</v>
      </c>
      <c r="D5502" s="65" t="s">
        <v>322</v>
      </c>
      <c r="E5502" s="65" t="s">
        <v>294</v>
      </c>
      <c r="F5502" s="65" t="s">
        <v>297</v>
      </c>
      <c r="G5502" s="65"/>
      <c r="H5502" s="65"/>
      <c r="I5502" s="66">
        <v>1172.7448300601261</v>
      </c>
    </row>
    <row r="5503" spans="1:9" hidden="1">
      <c r="A5503" s="67" t="s">
        <v>295</v>
      </c>
      <c r="B5503" s="68">
        <v>2050</v>
      </c>
      <c r="C5503" s="68">
        <v>2023</v>
      </c>
      <c r="D5503" s="68" t="s">
        <v>322</v>
      </c>
      <c r="E5503" s="68" t="s">
        <v>294</v>
      </c>
      <c r="F5503" s="68" t="s">
        <v>298</v>
      </c>
      <c r="G5503" s="68"/>
      <c r="H5503" s="68"/>
      <c r="I5503" s="69">
        <v>3295.5667620154591</v>
      </c>
    </row>
    <row r="5504" spans="1:9" hidden="1">
      <c r="A5504" s="64" t="s">
        <v>295</v>
      </c>
      <c r="B5504" s="65">
        <v>2050</v>
      </c>
      <c r="C5504" s="65">
        <v>2023</v>
      </c>
      <c r="D5504" s="65" t="s">
        <v>322</v>
      </c>
      <c r="E5504" s="65" t="s">
        <v>294</v>
      </c>
      <c r="F5504" s="65" t="s">
        <v>40</v>
      </c>
      <c r="G5504" s="65"/>
      <c r="H5504" s="65"/>
      <c r="I5504" s="66">
        <v>4468.3116020755851</v>
      </c>
    </row>
    <row r="5505" spans="1:9" hidden="1">
      <c r="A5505" s="67" t="s">
        <v>295</v>
      </c>
      <c r="B5505" s="68">
        <v>2050</v>
      </c>
      <c r="C5505" s="68">
        <v>2023</v>
      </c>
      <c r="D5505" s="68" t="s">
        <v>322</v>
      </c>
      <c r="E5505" s="68" t="s">
        <v>301</v>
      </c>
      <c r="F5505" s="68" t="s">
        <v>297</v>
      </c>
      <c r="G5505" s="68"/>
      <c r="H5505" s="68"/>
      <c r="I5505" s="69">
        <v>1555.222070503336</v>
      </c>
    </row>
    <row r="5506" spans="1:9" hidden="1">
      <c r="A5506" s="64" t="s">
        <v>295</v>
      </c>
      <c r="B5506" s="65">
        <v>2050</v>
      </c>
      <c r="C5506" s="65">
        <v>2023</v>
      </c>
      <c r="D5506" s="65" t="s">
        <v>322</v>
      </c>
      <c r="E5506" s="65" t="s">
        <v>301</v>
      </c>
      <c r="F5506" s="65" t="s">
        <v>298</v>
      </c>
      <c r="G5506" s="65"/>
      <c r="H5506" s="65"/>
      <c r="I5506" s="66">
        <v>3567.7150938156801</v>
      </c>
    </row>
    <row r="5507" spans="1:9" hidden="1">
      <c r="A5507" s="67" t="s">
        <v>295</v>
      </c>
      <c r="B5507" s="68">
        <v>2050</v>
      </c>
      <c r="C5507" s="68">
        <v>2023</v>
      </c>
      <c r="D5507" s="68" t="s">
        <v>322</v>
      </c>
      <c r="E5507" s="68" t="s">
        <v>301</v>
      </c>
      <c r="F5507" s="68" t="s">
        <v>40</v>
      </c>
      <c r="G5507" s="68"/>
      <c r="H5507" s="68"/>
      <c r="I5507" s="69">
        <v>5122.9371543190146</v>
      </c>
    </row>
    <row r="5508" spans="1:9" hidden="1">
      <c r="A5508" s="64" t="s">
        <v>295</v>
      </c>
      <c r="B5508" s="65">
        <v>2050</v>
      </c>
      <c r="C5508" s="65">
        <v>2023</v>
      </c>
      <c r="D5508" s="65" t="s">
        <v>322</v>
      </c>
      <c r="E5508" s="65" t="s">
        <v>305</v>
      </c>
      <c r="F5508" s="65" t="s">
        <v>297</v>
      </c>
      <c r="G5508" s="65"/>
      <c r="H5508" s="65"/>
      <c r="I5508" s="66">
        <v>7.2</v>
      </c>
    </row>
    <row r="5509" spans="1:9" hidden="1">
      <c r="A5509" s="67" t="s">
        <v>295</v>
      </c>
      <c r="B5509" s="68">
        <v>2050</v>
      </c>
      <c r="C5509" s="68">
        <v>2023</v>
      </c>
      <c r="D5509" s="68" t="s">
        <v>322</v>
      </c>
      <c r="E5509" s="68" t="s">
        <v>305</v>
      </c>
      <c r="F5509" s="68" t="s">
        <v>40</v>
      </c>
      <c r="G5509" s="68"/>
      <c r="H5509" s="68"/>
      <c r="I5509" s="69">
        <v>328.7</v>
      </c>
    </row>
    <row r="5510" spans="1:9" hidden="1">
      <c r="A5510" s="64" t="s">
        <v>295</v>
      </c>
      <c r="B5510" s="65">
        <v>2050</v>
      </c>
      <c r="C5510" s="65">
        <v>2023</v>
      </c>
      <c r="D5510" s="65" t="s">
        <v>323</v>
      </c>
      <c r="E5510" s="65" t="s">
        <v>294</v>
      </c>
      <c r="F5510" s="65" t="s">
        <v>297</v>
      </c>
      <c r="G5510" s="65"/>
      <c r="H5510" s="65"/>
      <c r="I5510" s="66">
        <v>237249.6708669044</v>
      </c>
    </row>
    <row r="5511" spans="1:9" hidden="1">
      <c r="A5511" s="67" t="s">
        <v>295</v>
      </c>
      <c r="B5511" s="68">
        <v>2050</v>
      </c>
      <c r="C5511" s="68">
        <v>2023</v>
      </c>
      <c r="D5511" s="68" t="s">
        <v>323</v>
      </c>
      <c r="E5511" s="68" t="s">
        <v>294</v>
      </c>
      <c r="F5511" s="68" t="s">
        <v>298</v>
      </c>
      <c r="G5511" s="68"/>
      <c r="H5511" s="68"/>
      <c r="I5511" s="69">
        <v>892.75995484668647</v>
      </c>
    </row>
    <row r="5512" spans="1:9" hidden="1">
      <c r="A5512" s="64" t="s">
        <v>295</v>
      </c>
      <c r="B5512" s="65">
        <v>2050</v>
      </c>
      <c r="C5512" s="65">
        <v>2023</v>
      </c>
      <c r="D5512" s="65" t="s">
        <v>323</v>
      </c>
      <c r="E5512" s="65" t="s">
        <v>294</v>
      </c>
      <c r="F5512" s="65" t="s">
        <v>40</v>
      </c>
      <c r="G5512" s="65"/>
      <c r="H5512" s="65"/>
      <c r="I5512" s="66">
        <v>238608.18248686209</v>
      </c>
    </row>
    <row r="5513" spans="1:9" hidden="1">
      <c r="A5513" s="67" t="s">
        <v>295</v>
      </c>
      <c r="B5513" s="68">
        <v>2050</v>
      </c>
      <c r="C5513" s="68">
        <v>2023</v>
      </c>
      <c r="D5513" s="68" t="s">
        <v>323</v>
      </c>
      <c r="E5513" s="68" t="s">
        <v>301</v>
      </c>
      <c r="F5513" s="68" t="s">
        <v>297</v>
      </c>
      <c r="G5513" s="68"/>
      <c r="H5513" s="68"/>
      <c r="I5513" s="69">
        <v>306981.11231292109</v>
      </c>
    </row>
    <row r="5514" spans="1:9" hidden="1">
      <c r="A5514" s="64" t="s">
        <v>295</v>
      </c>
      <c r="B5514" s="65">
        <v>2050</v>
      </c>
      <c r="C5514" s="65">
        <v>2023</v>
      </c>
      <c r="D5514" s="65" t="s">
        <v>323</v>
      </c>
      <c r="E5514" s="65" t="s">
        <v>301</v>
      </c>
      <c r="F5514" s="65" t="s">
        <v>298</v>
      </c>
      <c r="G5514" s="65"/>
      <c r="H5514" s="65"/>
      <c r="I5514" s="66">
        <v>1045.374933307113</v>
      </c>
    </row>
    <row r="5515" spans="1:9" hidden="1">
      <c r="A5515" s="67" t="s">
        <v>295</v>
      </c>
      <c r="B5515" s="68">
        <v>2050</v>
      </c>
      <c r="C5515" s="68">
        <v>2023</v>
      </c>
      <c r="D5515" s="68" t="s">
        <v>323</v>
      </c>
      <c r="E5515" s="68" t="s">
        <v>301</v>
      </c>
      <c r="F5515" s="68" t="s">
        <v>40</v>
      </c>
      <c r="G5515" s="68"/>
      <c r="H5515" s="68"/>
      <c r="I5515" s="69">
        <v>308491.68400998082</v>
      </c>
    </row>
    <row r="5516" spans="1:9" hidden="1">
      <c r="A5516" s="64" t="s">
        <v>295</v>
      </c>
      <c r="B5516" s="65">
        <v>2050</v>
      </c>
      <c r="C5516" s="65">
        <v>2023</v>
      </c>
      <c r="D5516" s="65" t="s">
        <v>323</v>
      </c>
      <c r="E5516" s="65" t="s">
        <v>305</v>
      </c>
      <c r="F5516" s="65" t="s">
        <v>297</v>
      </c>
      <c r="G5516" s="65"/>
      <c r="H5516" s="65"/>
      <c r="I5516" s="66">
        <v>1439.18145</v>
      </c>
    </row>
    <row r="5517" spans="1:9" hidden="1">
      <c r="A5517" s="67" t="s">
        <v>295</v>
      </c>
      <c r="B5517" s="68">
        <v>2050</v>
      </c>
      <c r="C5517" s="68">
        <v>2023</v>
      </c>
      <c r="D5517" s="68" t="s">
        <v>323</v>
      </c>
      <c r="E5517" s="68" t="s">
        <v>305</v>
      </c>
      <c r="F5517" s="68" t="s">
        <v>40</v>
      </c>
      <c r="G5517" s="68"/>
      <c r="H5517" s="68"/>
      <c r="I5517" s="69">
        <v>22129.581450000001</v>
      </c>
    </row>
    <row r="5518" spans="1:9" hidden="1">
      <c r="A5518" s="64" t="s">
        <v>295</v>
      </c>
      <c r="B5518" s="65">
        <v>2050</v>
      </c>
      <c r="C5518" s="65">
        <v>2023</v>
      </c>
      <c r="D5518" s="65" t="s">
        <v>324</v>
      </c>
      <c r="E5518" s="65" t="s">
        <v>294</v>
      </c>
      <c r="F5518" s="65" t="s">
        <v>297</v>
      </c>
      <c r="G5518" s="65"/>
      <c r="H5518" s="65"/>
      <c r="I5518" s="66">
        <v>3525.4982759996601</v>
      </c>
    </row>
    <row r="5519" spans="1:9" hidden="1">
      <c r="A5519" s="67" t="s">
        <v>295</v>
      </c>
      <c r="B5519" s="68">
        <v>2050</v>
      </c>
      <c r="C5519" s="68">
        <v>2023</v>
      </c>
      <c r="D5519" s="68" t="s">
        <v>324</v>
      </c>
      <c r="E5519" s="68" t="s">
        <v>294</v>
      </c>
      <c r="F5519" s="68" t="s">
        <v>298</v>
      </c>
      <c r="G5519" s="68"/>
      <c r="H5519" s="68"/>
      <c r="I5519" s="69">
        <v>0</v>
      </c>
    </row>
    <row r="5520" spans="1:9" hidden="1">
      <c r="A5520" s="64" t="s">
        <v>295</v>
      </c>
      <c r="B5520" s="65">
        <v>2050</v>
      </c>
      <c r="C5520" s="65">
        <v>2023</v>
      </c>
      <c r="D5520" s="65" t="s">
        <v>324</v>
      </c>
      <c r="E5520" s="65" t="s">
        <v>294</v>
      </c>
      <c r="F5520" s="65" t="s">
        <v>40</v>
      </c>
      <c r="G5520" s="65"/>
      <c r="H5520" s="65"/>
      <c r="I5520" s="66">
        <v>3529.0913500436959</v>
      </c>
    </row>
    <row r="5521" spans="1:9" hidden="1">
      <c r="A5521" s="67" t="s">
        <v>295</v>
      </c>
      <c r="B5521" s="68">
        <v>2050</v>
      </c>
      <c r="C5521" s="68">
        <v>2023</v>
      </c>
      <c r="D5521" s="68" t="s">
        <v>324</v>
      </c>
      <c r="E5521" s="68" t="s">
        <v>301</v>
      </c>
      <c r="F5521" s="68" t="s">
        <v>297</v>
      </c>
      <c r="G5521" s="68"/>
      <c r="H5521" s="68"/>
      <c r="I5521" s="69">
        <v>3526.6223559996588</v>
      </c>
    </row>
    <row r="5522" spans="1:9" hidden="1">
      <c r="A5522" s="64" t="s">
        <v>295</v>
      </c>
      <c r="B5522" s="65">
        <v>2050</v>
      </c>
      <c r="C5522" s="65">
        <v>2023</v>
      </c>
      <c r="D5522" s="65" t="s">
        <v>324</v>
      </c>
      <c r="E5522" s="65" t="s">
        <v>301</v>
      </c>
      <c r="F5522" s="65" t="s">
        <v>298</v>
      </c>
      <c r="G5522" s="65"/>
      <c r="H5522" s="65"/>
      <c r="I5522" s="66">
        <v>0</v>
      </c>
    </row>
    <row r="5523" spans="1:9" hidden="1">
      <c r="A5523" s="67" t="s">
        <v>295</v>
      </c>
      <c r="B5523" s="68">
        <v>2050</v>
      </c>
      <c r="C5523" s="68">
        <v>2023</v>
      </c>
      <c r="D5523" s="68" t="s">
        <v>324</v>
      </c>
      <c r="E5523" s="68" t="s">
        <v>301</v>
      </c>
      <c r="F5523" s="68" t="s">
        <v>40</v>
      </c>
      <c r="G5523" s="68"/>
      <c r="H5523" s="68"/>
      <c r="I5523" s="69">
        <v>3530.215430043696</v>
      </c>
    </row>
    <row r="5524" spans="1:9" hidden="1">
      <c r="A5524" s="64" t="s">
        <v>295</v>
      </c>
      <c r="B5524" s="65">
        <v>2050</v>
      </c>
      <c r="C5524" s="65">
        <v>2023</v>
      </c>
      <c r="D5524" s="65" t="s">
        <v>324</v>
      </c>
      <c r="E5524" s="65" t="s">
        <v>305</v>
      </c>
      <c r="F5524" s="65" t="s">
        <v>297</v>
      </c>
      <c r="G5524" s="65"/>
      <c r="H5524" s="65"/>
      <c r="I5524" s="66">
        <v>4.0999999999999996</v>
      </c>
    </row>
    <row r="5525" spans="1:9" hidden="1">
      <c r="A5525" s="67" t="s">
        <v>295</v>
      </c>
      <c r="B5525" s="68">
        <v>2050</v>
      </c>
      <c r="C5525" s="68">
        <v>2023</v>
      </c>
      <c r="D5525" s="68" t="s">
        <v>324</v>
      </c>
      <c r="E5525" s="68" t="s">
        <v>305</v>
      </c>
      <c r="F5525" s="68" t="s">
        <v>40</v>
      </c>
      <c r="G5525" s="68"/>
      <c r="H5525" s="68"/>
      <c r="I5525" s="69">
        <v>1246.2</v>
      </c>
    </row>
    <row r="5526" spans="1:9" hidden="1">
      <c r="A5526" s="64" t="s">
        <v>295</v>
      </c>
      <c r="B5526" s="65">
        <v>2050</v>
      </c>
      <c r="C5526" s="65">
        <v>2023</v>
      </c>
      <c r="D5526" s="65" t="s">
        <v>325</v>
      </c>
      <c r="E5526" s="65" t="s">
        <v>294</v>
      </c>
      <c r="F5526" s="65" t="s">
        <v>297</v>
      </c>
      <c r="G5526" s="65"/>
      <c r="H5526" s="65"/>
      <c r="I5526" s="66">
        <v>40253.866015702821</v>
      </c>
    </row>
    <row r="5527" spans="1:9" hidden="1">
      <c r="A5527" s="67" t="s">
        <v>295</v>
      </c>
      <c r="B5527" s="68">
        <v>2050</v>
      </c>
      <c r="C5527" s="68">
        <v>2023</v>
      </c>
      <c r="D5527" s="68" t="s">
        <v>325</v>
      </c>
      <c r="E5527" s="68" t="s">
        <v>294</v>
      </c>
      <c r="F5527" s="68" t="s">
        <v>298</v>
      </c>
      <c r="G5527" s="68"/>
      <c r="H5527" s="68"/>
      <c r="I5527" s="69">
        <v>9973.5277413548356</v>
      </c>
    </row>
    <row r="5528" spans="1:9" hidden="1">
      <c r="A5528" s="64" t="s">
        <v>295</v>
      </c>
      <c r="B5528" s="65">
        <v>2050</v>
      </c>
      <c r="C5528" s="65">
        <v>2023</v>
      </c>
      <c r="D5528" s="65" t="s">
        <v>325</v>
      </c>
      <c r="E5528" s="65" t="s">
        <v>294</v>
      </c>
      <c r="F5528" s="65" t="s">
        <v>40</v>
      </c>
      <c r="G5528" s="65"/>
      <c r="H5528" s="65"/>
      <c r="I5528" s="66">
        <v>50208.286341965089</v>
      </c>
    </row>
    <row r="5529" spans="1:9" hidden="1">
      <c r="A5529" s="67" t="s">
        <v>295</v>
      </c>
      <c r="B5529" s="68">
        <v>2050</v>
      </c>
      <c r="C5529" s="68">
        <v>2023</v>
      </c>
      <c r="D5529" s="68" t="s">
        <v>325</v>
      </c>
      <c r="E5529" s="68" t="s">
        <v>301</v>
      </c>
      <c r="F5529" s="68" t="s">
        <v>297</v>
      </c>
      <c r="G5529" s="68"/>
      <c r="H5529" s="68"/>
      <c r="I5529" s="69">
        <v>42621.754621835033</v>
      </c>
    </row>
    <row r="5530" spans="1:9" hidden="1">
      <c r="A5530" s="64" t="s">
        <v>295</v>
      </c>
      <c r="B5530" s="65">
        <v>2050</v>
      </c>
      <c r="C5530" s="65">
        <v>2023</v>
      </c>
      <c r="D5530" s="65" t="s">
        <v>325</v>
      </c>
      <c r="E5530" s="65" t="s">
        <v>301</v>
      </c>
      <c r="F5530" s="65" t="s">
        <v>298</v>
      </c>
      <c r="G5530" s="65"/>
      <c r="H5530" s="65"/>
      <c r="I5530" s="66">
        <v>11658.30689816497</v>
      </c>
    </row>
    <row r="5531" spans="1:9" hidden="1">
      <c r="A5531" s="67" t="s">
        <v>295</v>
      </c>
      <c r="B5531" s="68">
        <v>2050</v>
      </c>
      <c r="C5531" s="68">
        <v>2023</v>
      </c>
      <c r="D5531" s="68" t="s">
        <v>325</v>
      </c>
      <c r="E5531" s="68" t="s">
        <v>301</v>
      </c>
      <c r="F5531" s="68" t="s">
        <v>40</v>
      </c>
      <c r="G5531" s="68"/>
      <c r="H5531" s="68"/>
      <c r="I5531" s="69">
        <v>54280.151519999999</v>
      </c>
    </row>
    <row r="5532" spans="1:9" hidden="1">
      <c r="A5532" s="64" t="s">
        <v>295</v>
      </c>
      <c r="B5532" s="65">
        <v>2050</v>
      </c>
      <c r="C5532" s="65">
        <v>2023</v>
      </c>
      <c r="D5532" s="65" t="s">
        <v>325</v>
      </c>
      <c r="E5532" s="65" t="s">
        <v>305</v>
      </c>
      <c r="F5532" s="65" t="s">
        <v>297</v>
      </c>
      <c r="G5532" s="65"/>
      <c r="H5532" s="65"/>
      <c r="I5532" s="66">
        <v>432.8</v>
      </c>
    </row>
    <row r="5533" spans="1:9" hidden="1">
      <c r="A5533" s="67" t="s">
        <v>295</v>
      </c>
      <c r="B5533" s="68">
        <v>2050</v>
      </c>
      <c r="C5533" s="68">
        <v>2023</v>
      </c>
      <c r="D5533" s="68" t="s">
        <v>325</v>
      </c>
      <c r="E5533" s="68" t="s">
        <v>305</v>
      </c>
      <c r="F5533" s="68" t="s">
        <v>298</v>
      </c>
      <c r="G5533" s="68"/>
      <c r="H5533" s="68"/>
      <c r="I5533" s="69">
        <v>69.900000000000006</v>
      </c>
    </row>
    <row r="5534" spans="1:9" hidden="1">
      <c r="A5534" s="64" t="s">
        <v>295</v>
      </c>
      <c r="B5534" s="65">
        <v>2050</v>
      </c>
      <c r="C5534" s="65">
        <v>2023</v>
      </c>
      <c r="D5534" s="65" t="s">
        <v>325</v>
      </c>
      <c r="E5534" s="65" t="s">
        <v>305</v>
      </c>
      <c r="F5534" s="65" t="s">
        <v>40</v>
      </c>
      <c r="G5534" s="65"/>
      <c r="H5534" s="65"/>
      <c r="I5534" s="66">
        <v>18678.400000000001</v>
      </c>
    </row>
    <row r="5535" spans="1:9" hidden="1">
      <c r="A5535" s="67" t="s">
        <v>295</v>
      </c>
      <c r="B5535" s="68">
        <v>2050</v>
      </c>
      <c r="C5535" s="68">
        <v>2023</v>
      </c>
      <c r="D5535" s="68" t="s">
        <v>326</v>
      </c>
      <c r="E5535" s="68" t="s">
        <v>294</v>
      </c>
      <c r="F5535" s="68" t="s">
        <v>297</v>
      </c>
      <c r="G5535" s="68"/>
      <c r="H5535" s="68"/>
      <c r="I5535" s="69">
        <v>0</v>
      </c>
    </row>
    <row r="5536" spans="1:9" hidden="1">
      <c r="A5536" s="64" t="s">
        <v>295</v>
      </c>
      <c r="B5536" s="65">
        <v>2050</v>
      </c>
      <c r="C5536" s="65">
        <v>2023</v>
      </c>
      <c r="D5536" s="65" t="s">
        <v>326</v>
      </c>
      <c r="E5536" s="65" t="s">
        <v>294</v>
      </c>
      <c r="F5536" s="65" t="s">
        <v>298</v>
      </c>
      <c r="G5536" s="65"/>
      <c r="H5536" s="65"/>
      <c r="I5536" s="66">
        <v>0</v>
      </c>
    </row>
    <row r="5537" spans="1:9" hidden="1">
      <c r="A5537" s="67" t="s">
        <v>295</v>
      </c>
      <c r="B5537" s="68">
        <v>2050</v>
      </c>
      <c r="C5537" s="68">
        <v>2023</v>
      </c>
      <c r="D5537" s="68" t="s">
        <v>326</v>
      </c>
      <c r="E5537" s="68" t="s">
        <v>294</v>
      </c>
      <c r="F5537" s="68" t="s">
        <v>40</v>
      </c>
      <c r="G5537" s="68"/>
      <c r="H5537" s="68"/>
      <c r="I5537" s="69">
        <v>0</v>
      </c>
    </row>
    <row r="5538" spans="1:9" hidden="1">
      <c r="A5538" s="64" t="s">
        <v>295</v>
      </c>
      <c r="B5538" s="65">
        <v>2050</v>
      </c>
      <c r="C5538" s="65">
        <v>2023</v>
      </c>
      <c r="D5538" s="65" t="s">
        <v>326</v>
      </c>
      <c r="E5538" s="65" t="s">
        <v>301</v>
      </c>
      <c r="F5538" s="65" t="s">
        <v>297</v>
      </c>
      <c r="G5538" s="65"/>
      <c r="H5538" s="65"/>
      <c r="I5538" s="66">
        <v>0</v>
      </c>
    </row>
    <row r="5539" spans="1:9" hidden="1">
      <c r="A5539" s="67" t="s">
        <v>295</v>
      </c>
      <c r="B5539" s="68">
        <v>2050</v>
      </c>
      <c r="C5539" s="68">
        <v>2023</v>
      </c>
      <c r="D5539" s="68" t="s">
        <v>326</v>
      </c>
      <c r="E5539" s="68" t="s">
        <v>301</v>
      </c>
      <c r="F5539" s="68" t="s">
        <v>298</v>
      </c>
      <c r="G5539" s="68"/>
      <c r="H5539" s="68"/>
      <c r="I5539" s="69">
        <v>0</v>
      </c>
    </row>
    <row r="5540" spans="1:9" hidden="1">
      <c r="A5540" s="64" t="s">
        <v>295</v>
      </c>
      <c r="B5540" s="65">
        <v>2050</v>
      </c>
      <c r="C5540" s="65">
        <v>2023</v>
      </c>
      <c r="D5540" s="65" t="s">
        <v>326</v>
      </c>
      <c r="E5540" s="65" t="s">
        <v>301</v>
      </c>
      <c r="F5540" s="65" t="s">
        <v>40</v>
      </c>
      <c r="G5540" s="65"/>
      <c r="H5540" s="65"/>
      <c r="I5540" s="66">
        <v>0</v>
      </c>
    </row>
    <row r="5541" spans="1:9" hidden="1">
      <c r="A5541" s="67" t="s">
        <v>295</v>
      </c>
      <c r="B5541" s="68">
        <v>2050</v>
      </c>
      <c r="C5541" s="68">
        <v>2023</v>
      </c>
      <c r="D5541" s="68" t="s">
        <v>304</v>
      </c>
      <c r="E5541" s="68" t="s">
        <v>294</v>
      </c>
      <c r="F5541" s="68" t="s">
        <v>297</v>
      </c>
      <c r="G5541" s="68"/>
      <c r="H5541" s="68"/>
      <c r="I5541" s="69">
        <v>41901.129863391507</v>
      </c>
    </row>
    <row r="5542" spans="1:9" hidden="1">
      <c r="A5542" s="64" t="s">
        <v>295</v>
      </c>
      <c r="B5542" s="65">
        <v>2050</v>
      </c>
      <c r="C5542" s="65">
        <v>2023</v>
      </c>
      <c r="D5542" s="65" t="s">
        <v>304</v>
      </c>
      <c r="E5542" s="65" t="s">
        <v>294</v>
      </c>
      <c r="F5542" s="65" t="s">
        <v>298</v>
      </c>
      <c r="G5542" s="65"/>
      <c r="H5542" s="65"/>
      <c r="I5542" s="66">
        <v>170508.50454439389</v>
      </c>
    </row>
    <row r="5543" spans="1:9" hidden="1">
      <c r="A5543" s="67" t="s">
        <v>295</v>
      </c>
      <c r="B5543" s="68">
        <v>2050</v>
      </c>
      <c r="C5543" s="68">
        <v>2023</v>
      </c>
      <c r="D5543" s="68" t="s">
        <v>304</v>
      </c>
      <c r="E5543" s="68" t="s">
        <v>294</v>
      </c>
      <c r="F5543" s="68" t="s">
        <v>40</v>
      </c>
      <c r="G5543" s="68"/>
      <c r="H5543" s="68"/>
      <c r="I5543" s="69">
        <v>212173.23018361491</v>
      </c>
    </row>
    <row r="5544" spans="1:9" hidden="1">
      <c r="A5544" s="64" t="s">
        <v>295</v>
      </c>
      <c r="B5544" s="65">
        <v>2050</v>
      </c>
      <c r="C5544" s="65">
        <v>2023</v>
      </c>
      <c r="D5544" s="65" t="s">
        <v>304</v>
      </c>
      <c r="E5544" s="65" t="s">
        <v>301</v>
      </c>
      <c r="F5544" s="65" t="s">
        <v>297</v>
      </c>
      <c r="G5544" s="65"/>
      <c r="H5544" s="65"/>
      <c r="I5544" s="66">
        <v>45247.749231461901</v>
      </c>
    </row>
    <row r="5545" spans="1:9" hidden="1">
      <c r="A5545" s="67" t="s">
        <v>295</v>
      </c>
      <c r="B5545" s="68">
        <v>2050</v>
      </c>
      <c r="C5545" s="68">
        <v>2023</v>
      </c>
      <c r="D5545" s="68" t="s">
        <v>304</v>
      </c>
      <c r="E5545" s="68" t="s">
        <v>301</v>
      </c>
      <c r="F5545" s="68" t="s">
        <v>298</v>
      </c>
      <c r="G5545" s="68"/>
      <c r="H5545" s="68"/>
      <c r="I5545" s="69">
        <v>181419.78591896489</v>
      </c>
    </row>
    <row r="5546" spans="1:9" hidden="1">
      <c r="A5546" s="64" t="s">
        <v>295</v>
      </c>
      <c r="B5546" s="65">
        <v>2050</v>
      </c>
      <c r="C5546" s="65">
        <v>2023</v>
      </c>
      <c r="D5546" s="65" t="s">
        <v>304</v>
      </c>
      <c r="E5546" s="65" t="s">
        <v>301</v>
      </c>
      <c r="F5546" s="65" t="s">
        <v>40</v>
      </c>
      <c r="G5546" s="65"/>
      <c r="H5546" s="65"/>
      <c r="I5546" s="66">
        <v>226407.80793489749</v>
      </c>
    </row>
    <row r="5547" spans="1:9" hidden="1">
      <c r="A5547" s="67" t="s">
        <v>295</v>
      </c>
      <c r="B5547" s="68">
        <v>2050</v>
      </c>
      <c r="C5547" s="68">
        <v>2023</v>
      </c>
      <c r="D5547" s="68" t="s">
        <v>304</v>
      </c>
      <c r="E5547" s="68" t="s">
        <v>305</v>
      </c>
      <c r="F5547" s="68" t="s">
        <v>297</v>
      </c>
      <c r="G5547" s="68"/>
      <c r="H5547" s="68"/>
      <c r="I5547" s="69">
        <v>1247.4186199999999</v>
      </c>
    </row>
    <row r="5548" spans="1:9" hidden="1">
      <c r="A5548" s="64" t="s">
        <v>295</v>
      </c>
      <c r="B5548" s="65">
        <v>2050</v>
      </c>
      <c r="C5548" s="65">
        <v>2023</v>
      </c>
      <c r="D5548" s="65" t="s">
        <v>304</v>
      </c>
      <c r="E5548" s="65" t="s">
        <v>305</v>
      </c>
      <c r="F5548" s="65" t="s">
        <v>298</v>
      </c>
      <c r="G5548" s="65"/>
      <c r="H5548" s="65"/>
      <c r="I5548" s="66">
        <v>774.6</v>
      </c>
    </row>
    <row r="5549" spans="1:9" hidden="1">
      <c r="A5549" s="67" t="s">
        <v>295</v>
      </c>
      <c r="B5549" s="68">
        <v>2050</v>
      </c>
      <c r="C5549" s="68">
        <v>2023</v>
      </c>
      <c r="D5549" s="68" t="s">
        <v>304</v>
      </c>
      <c r="E5549" s="68" t="s">
        <v>305</v>
      </c>
      <c r="F5549" s="68" t="s">
        <v>40</v>
      </c>
      <c r="G5549" s="68"/>
      <c r="H5549" s="68"/>
      <c r="I5549" s="69">
        <v>18009.818619999998</v>
      </c>
    </row>
    <row r="5550" spans="1:9" hidden="1">
      <c r="A5550" s="64" t="s">
        <v>295</v>
      </c>
      <c r="B5550" s="65">
        <v>2050</v>
      </c>
      <c r="C5550" s="65">
        <v>2023</v>
      </c>
      <c r="D5550" s="65" t="s">
        <v>306</v>
      </c>
      <c r="E5550" s="65" t="s">
        <v>294</v>
      </c>
      <c r="F5550" s="65" t="s">
        <v>297</v>
      </c>
      <c r="G5550" s="65"/>
      <c r="H5550" s="65"/>
      <c r="I5550" s="66">
        <v>343391.39607149758</v>
      </c>
    </row>
    <row r="5551" spans="1:9" hidden="1">
      <c r="A5551" s="67" t="s">
        <v>295</v>
      </c>
      <c r="B5551" s="68">
        <v>2050</v>
      </c>
      <c r="C5551" s="68">
        <v>2023</v>
      </c>
      <c r="D5551" s="68" t="s">
        <v>306</v>
      </c>
      <c r="E5551" s="68" t="s">
        <v>294</v>
      </c>
      <c r="F5551" s="68" t="s">
        <v>40</v>
      </c>
      <c r="G5551" s="68"/>
      <c r="H5551" s="68"/>
      <c r="I5551" s="69">
        <v>343224.91901366599</v>
      </c>
    </row>
    <row r="5552" spans="1:9" hidden="1">
      <c r="A5552" s="64" t="s">
        <v>295</v>
      </c>
      <c r="B5552" s="65">
        <v>2050</v>
      </c>
      <c r="C5552" s="65">
        <v>2023</v>
      </c>
      <c r="D5552" s="65" t="s">
        <v>306</v>
      </c>
      <c r="E5552" s="65" t="s">
        <v>301</v>
      </c>
      <c r="F5552" s="65" t="s">
        <v>297</v>
      </c>
      <c r="G5552" s="65"/>
      <c r="H5552" s="65"/>
      <c r="I5552" s="66">
        <v>362921.06127060141</v>
      </c>
    </row>
    <row r="5553" spans="1:9" hidden="1">
      <c r="A5553" s="67" t="s">
        <v>295</v>
      </c>
      <c r="B5553" s="68">
        <v>2050</v>
      </c>
      <c r="C5553" s="68">
        <v>2023</v>
      </c>
      <c r="D5553" s="68" t="s">
        <v>306</v>
      </c>
      <c r="E5553" s="68" t="s">
        <v>301</v>
      </c>
      <c r="F5553" s="68" t="s">
        <v>40</v>
      </c>
      <c r="G5553" s="68"/>
      <c r="H5553" s="68"/>
      <c r="I5553" s="69">
        <v>362921.06127060141</v>
      </c>
    </row>
    <row r="5554" spans="1:9" hidden="1">
      <c r="A5554" s="64" t="s">
        <v>295</v>
      </c>
      <c r="B5554" s="65">
        <v>2050</v>
      </c>
      <c r="C5554" s="65">
        <v>2023</v>
      </c>
      <c r="D5554" s="65" t="s">
        <v>306</v>
      </c>
      <c r="E5554" s="65" t="s">
        <v>305</v>
      </c>
      <c r="F5554" s="65" t="s">
        <v>297</v>
      </c>
      <c r="G5554" s="65"/>
      <c r="H5554" s="65"/>
      <c r="I5554" s="66">
        <v>2096.13744</v>
      </c>
    </row>
    <row r="5555" spans="1:9" hidden="1">
      <c r="A5555" s="67" t="s">
        <v>295</v>
      </c>
      <c r="B5555" s="68">
        <v>2050</v>
      </c>
      <c r="C5555" s="68">
        <v>2023</v>
      </c>
      <c r="D5555" s="68" t="s">
        <v>306</v>
      </c>
      <c r="E5555" s="68" t="s">
        <v>305</v>
      </c>
      <c r="F5555" s="68" t="s">
        <v>40</v>
      </c>
      <c r="G5555" s="68"/>
      <c r="H5555" s="68"/>
      <c r="I5555" s="69">
        <v>41854.237439999997</v>
      </c>
    </row>
    <row r="5556" spans="1:9" hidden="1">
      <c r="A5556" s="64" t="s">
        <v>295</v>
      </c>
      <c r="B5556" s="65">
        <v>2050</v>
      </c>
      <c r="C5556" s="65">
        <v>2023</v>
      </c>
      <c r="D5556" s="65" t="s">
        <v>307</v>
      </c>
      <c r="E5556" s="65" t="s">
        <v>294</v>
      </c>
      <c r="F5556" s="65" t="s">
        <v>40</v>
      </c>
      <c r="G5556" s="65"/>
      <c r="H5556" s="65"/>
      <c r="I5556" s="66">
        <v>-244475.98638542299</v>
      </c>
    </row>
    <row r="5557" spans="1:9" hidden="1">
      <c r="A5557" s="67" t="s">
        <v>295</v>
      </c>
      <c r="B5557" s="68">
        <v>2050</v>
      </c>
      <c r="C5557" s="68">
        <v>2023</v>
      </c>
      <c r="D5557" s="68" t="s">
        <v>307</v>
      </c>
      <c r="E5557" s="68" t="s">
        <v>301</v>
      </c>
      <c r="F5557" s="68" t="s">
        <v>40</v>
      </c>
      <c r="G5557" s="68"/>
      <c r="H5557" s="68"/>
      <c r="I5557" s="69">
        <v>-208698.25356812411</v>
      </c>
    </row>
    <row r="5558" spans="1:9" hidden="1">
      <c r="A5558" s="64" t="s">
        <v>295</v>
      </c>
      <c r="B5558" s="65">
        <v>2050</v>
      </c>
      <c r="C5558" s="65">
        <v>2023</v>
      </c>
      <c r="D5558" s="65" t="s">
        <v>307</v>
      </c>
      <c r="E5558" s="65" t="s">
        <v>305</v>
      </c>
      <c r="F5558" s="65" t="s">
        <v>40</v>
      </c>
      <c r="G5558" s="65"/>
      <c r="H5558" s="65"/>
      <c r="I5558" s="66">
        <v>-6660.4924700000001</v>
      </c>
    </row>
    <row r="5559" spans="1:9" hidden="1">
      <c r="A5559" s="67" t="s">
        <v>295</v>
      </c>
      <c r="B5559" s="68">
        <v>2050</v>
      </c>
      <c r="C5559" s="68">
        <v>2023</v>
      </c>
      <c r="D5559" s="68" t="s">
        <v>327</v>
      </c>
      <c r="E5559" s="68" t="s">
        <v>294</v>
      </c>
      <c r="F5559" s="68" t="s">
        <v>40</v>
      </c>
      <c r="G5559" s="68"/>
      <c r="H5559" s="68"/>
      <c r="I5559" s="69">
        <v>-283049.42513651139</v>
      </c>
    </row>
    <row r="5560" spans="1:9" hidden="1">
      <c r="A5560" s="64" t="s">
        <v>295</v>
      </c>
      <c r="B5560" s="65">
        <v>2050</v>
      </c>
      <c r="C5560" s="65">
        <v>2023</v>
      </c>
      <c r="D5560" s="65" t="s">
        <v>327</v>
      </c>
      <c r="E5560" s="65" t="s">
        <v>301</v>
      </c>
      <c r="F5560" s="65" t="s">
        <v>40</v>
      </c>
      <c r="G5560" s="65"/>
      <c r="H5560" s="65"/>
      <c r="I5560" s="66">
        <v>-260868.62871586269</v>
      </c>
    </row>
    <row r="5561" spans="1:9" hidden="1">
      <c r="A5561" s="67" t="s">
        <v>295</v>
      </c>
      <c r="B5561" s="68">
        <v>2050</v>
      </c>
      <c r="C5561" s="68">
        <v>2023</v>
      </c>
      <c r="D5561" s="68" t="s">
        <v>327</v>
      </c>
      <c r="E5561" s="68" t="s">
        <v>305</v>
      </c>
      <c r="F5561" s="68" t="s">
        <v>40</v>
      </c>
      <c r="G5561" s="68"/>
      <c r="H5561" s="68"/>
      <c r="I5561" s="69">
        <v>-14710.12161</v>
      </c>
    </row>
    <row r="5562" spans="1:9" hidden="1">
      <c r="A5562" s="64" t="s">
        <v>295</v>
      </c>
      <c r="B5562" s="65">
        <v>2050</v>
      </c>
      <c r="C5562" s="65">
        <v>2023</v>
      </c>
      <c r="D5562" s="65" t="s">
        <v>328</v>
      </c>
      <c r="E5562" s="65" t="s">
        <v>294</v>
      </c>
      <c r="F5562" s="65" t="s">
        <v>40</v>
      </c>
      <c r="G5562" s="65"/>
      <c r="H5562" s="65"/>
      <c r="I5562" s="66">
        <v>20390.841077722878</v>
      </c>
    </row>
    <row r="5563" spans="1:9" hidden="1">
      <c r="A5563" s="67" t="s">
        <v>295</v>
      </c>
      <c r="B5563" s="68">
        <v>2050</v>
      </c>
      <c r="C5563" s="68">
        <v>2023</v>
      </c>
      <c r="D5563" s="68" t="s">
        <v>328</v>
      </c>
      <c r="E5563" s="68" t="s">
        <v>301</v>
      </c>
      <c r="F5563" s="68" t="s">
        <v>40</v>
      </c>
      <c r="G5563" s="68"/>
      <c r="H5563" s="68"/>
      <c r="I5563" s="69">
        <v>30453.13866975969</v>
      </c>
    </row>
    <row r="5564" spans="1:9" hidden="1">
      <c r="A5564" s="64" t="s">
        <v>295</v>
      </c>
      <c r="B5564" s="65">
        <v>2050</v>
      </c>
      <c r="C5564" s="65">
        <v>2023</v>
      </c>
      <c r="D5564" s="65" t="s">
        <v>328</v>
      </c>
      <c r="E5564" s="65" t="s">
        <v>305</v>
      </c>
      <c r="F5564" s="65" t="s">
        <v>40</v>
      </c>
      <c r="G5564" s="65"/>
      <c r="H5564" s="65"/>
      <c r="I5564" s="66">
        <v>-2108.5160599999999</v>
      </c>
    </row>
    <row r="5565" spans="1:9" hidden="1">
      <c r="A5565" s="67" t="s">
        <v>295</v>
      </c>
      <c r="B5565" s="68">
        <v>2050</v>
      </c>
      <c r="C5565" s="68">
        <v>2023</v>
      </c>
      <c r="D5565" s="68" t="s">
        <v>329</v>
      </c>
      <c r="E5565" s="68" t="s">
        <v>294</v>
      </c>
      <c r="F5565" s="68" t="s">
        <v>40</v>
      </c>
      <c r="G5565" s="68"/>
      <c r="H5565" s="68"/>
      <c r="I5565" s="69">
        <v>12346.72893432411</v>
      </c>
    </row>
    <row r="5566" spans="1:9" hidden="1">
      <c r="A5566" s="64" t="s">
        <v>295</v>
      </c>
      <c r="B5566" s="65">
        <v>2050</v>
      </c>
      <c r="C5566" s="65">
        <v>2023</v>
      </c>
      <c r="D5566" s="65" t="s">
        <v>329</v>
      </c>
      <c r="E5566" s="65" t="s">
        <v>301</v>
      </c>
      <c r="F5566" s="65" t="s">
        <v>40</v>
      </c>
      <c r="G5566" s="65"/>
      <c r="H5566" s="65"/>
      <c r="I5566" s="66">
        <v>12592.048788782</v>
      </c>
    </row>
    <row r="5567" spans="1:9" hidden="1">
      <c r="A5567" s="67" t="s">
        <v>295</v>
      </c>
      <c r="B5567" s="68">
        <v>2050</v>
      </c>
      <c r="C5567" s="68">
        <v>2023</v>
      </c>
      <c r="D5567" s="68" t="s">
        <v>329</v>
      </c>
      <c r="E5567" s="68" t="s">
        <v>305</v>
      </c>
      <c r="F5567" s="68" t="s">
        <v>40</v>
      </c>
      <c r="G5567" s="68"/>
      <c r="H5567" s="68"/>
      <c r="I5567" s="69">
        <v>6976.9131199999993</v>
      </c>
    </row>
    <row r="5568" spans="1:9" hidden="1">
      <c r="A5568" s="64" t="s">
        <v>295</v>
      </c>
      <c r="B5568" s="65">
        <v>2050</v>
      </c>
      <c r="C5568" s="65">
        <v>2023</v>
      </c>
      <c r="D5568" s="65" t="s">
        <v>330</v>
      </c>
      <c r="E5568" s="65" t="s">
        <v>294</v>
      </c>
      <c r="F5568" s="65" t="s">
        <v>40</v>
      </c>
      <c r="G5568" s="65"/>
      <c r="H5568" s="65"/>
      <c r="I5568" s="66">
        <v>11712.725647122101</v>
      </c>
    </row>
    <row r="5569" spans="1:9" hidden="1">
      <c r="A5569" s="67" t="s">
        <v>295</v>
      </c>
      <c r="B5569" s="68">
        <v>2050</v>
      </c>
      <c r="C5569" s="68">
        <v>2023</v>
      </c>
      <c r="D5569" s="68" t="s">
        <v>330</v>
      </c>
      <c r="E5569" s="68" t="s">
        <v>301</v>
      </c>
      <c r="F5569" s="68" t="s">
        <v>40</v>
      </c>
      <c r="G5569" s="68"/>
      <c r="H5569" s="68"/>
      <c r="I5569" s="69">
        <v>12993.140681997729</v>
      </c>
    </row>
    <row r="5570" spans="1:9" hidden="1">
      <c r="A5570" s="64" t="s">
        <v>295</v>
      </c>
      <c r="B5570" s="65">
        <v>2050</v>
      </c>
      <c r="C5570" s="65">
        <v>2023</v>
      </c>
      <c r="D5570" s="65" t="s">
        <v>330</v>
      </c>
      <c r="E5570" s="65" t="s">
        <v>305</v>
      </c>
      <c r="F5570" s="65" t="s">
        <v>40</v>
      </c>
      <c r="G5570" s="65"/>
      <c r="H5570" s="65"/>
      <c r="I5570" s="66">
        <v>763.18648000000007</v>
      </c>
    </row>
    <row r="5571" spans="1:9" hidden="1">
      <c r="A5571" s="67" t="s">
        <v>295</v>
      </c>
      <c r="B5571" s="68">
        <v>2050</v>
      </c>
      <c r="C5571" s="68">
        <v>2023</v>
      </c>
      <c r="D5571" s="68" t="s">
        <v>331</v>
      </c>
      <c r="E5571" s="68" t="s">
        <v>294</v>
      </c>
      <c r="F5571" s="68" t="s">
        <v>40</v>
      </c>
      <c r="G5571" s="68"/>
      <c r="H5571" s="68"/>
      <c r="I5571" s="69">
        <v>28028.566087584779</v>
      </c>
    </row>
    <row r="5572" spans="1:9" hidden="1">
      <c r="A5572" s="64" t="s">
        <v>295</v>
      </c>
      <c r="B5572" s="65">
        <v>2050</v>
      </c>
      <c r="C5572" s="65">
        <v>2023</v>
      </c>
      <c r="D5572" s="65" t="s">
        <v>331</v>
      </c>
      <c r="E5572" s="65" t="s">
        <v>301</v>
      </c>
      <c r="F5572" s="65" t="s">
        <v>40</v>
      </c>
      <c r="G5572" s="65"/>
      <c r="H5572" s="65"/>
      <c r="I5572" s="66">
        <v>28656.659571313299</v>
      </c>
    </row>
    <row r="5573" spans="1:9" hidden="1">
      <c r="A5573" s="67" t="s">
        <v>295</v>
      </c>
      <c r="B5573" s="68">
        <v>2050</v>
      </c>
      <c r="C5573" s="68">
        <v>2023</v>
      </c>
      <c r="D5573" s="68" t="s">
        <v>331</v>
      </c>
      <c r="E5573" s="68" t="s">
        <v>305</v>
      </c>
      <c r="F5573" s="68" t="s">
        <v>40</v>
      </c>
      <c r="G5573" s="68"/>
      <c r="H5573" s="68"/>
      <c r="I5573" s="69">
        <v>3387.6686199999999</v>
      </c>
    </row>
    <row r="5574" spans="1:9" hidden="1">
      <c r="A5574" s="64" t="s">
        <v>295</v>
      </c>
      <c r="B5574" s="65">
        <v>2050</v>
      </c>
      <c r="C5574" s="65">
        <v>2023</v>
      </c>
      <c r="D5574" s="65" t="s">
        <v>332</v>
      </c>
      <c r="E5574" s="65" t="s">
        <v>294</v>
      </c>
      <c r="F5574" s="65" t="s">
        <v>40</v>
      </c>
      <c r="G5574" s="65"/>
      <c r="H5574" s="65"/>
      <c r="I5574" s="66">
        <v>540.45402999999999</v>
      </c>
    </row>
    <row r="5575" spans="1:9" hidden="1">
      <c r="A5575" s="67" t="s">
        <v>295</v>
      </c>
      <c r="B5575" s="68">
        <v>2050</v>
      </c>
      <c r="C5575" s="68">
        <v>2023</v>
      </c>
      <c r="D5575" s="68" t="s">
        <v>332</v>
      </c>
      <c r="E5575" s="68" t="s">
        <v>301</v>
      </c>
      <c r="F5575" s="68" t="s">
        <v>40</v>
      </c>
      <c r="G5575" s="68"/>
      <c r="H5575" s="68"/>
      <c r="I5575" s="69">
        <v>336.65402999999992</v>
      </c>
    </row>
    <row r="5576" spans="1:9" hidden="1">
      <c r="A5576" s="64" t="s">
        <v>295</v>
      </c>
      <c r="B5576" s="65">
        <v>2050</v>
      </c>
      <c r="C5576" s="65">
        <v>2023</v>
      </c>
      <c r="D5576" s="65" t="s">
        <v>332</v>
      </c>
      <c r="E5576" s="65" t="s">
        <v>305</v>
      </c>
      <c r="F5576" s="65" t="s">
        <v>40</v>
      </c>
      <c r="G5576" s="65"/>
      <c r="H5576" s="65"/>
      <c r="I5576" s="66">
        <v>356.77697999999998</v>
      </c>
    </row>
    <row r="5577" spans="1:9" hidden="1">
      <c r="A5577" s="67" t="s">
        <v>295</v>
      </c>
      <c r="B5577" s="68">
        <v>2050</v>
      </c>
      <c r="C5577" s="68">
        <v>2023</v>
      </c>
      <c r="D5577" s="68" t="s">
        <v>333</v>
      </c>
      <c r="E5577" s="68" t="s">
        <v>294</v>
      </c>
      <c r="F5577" s="68" t="s">
        <v>40</v>
      </c>
      <c r="G5577" s="68"/>
      <c r="H5577" s="68"/>
      <c r="I5577" s="69">
        <v>-34062.922566734203</v>
      </c>
    </row>
    <row r="5578" spans="1:9" hidden="1">
      <c r="A5578" s="64" t="s">
        <v>295</v>
      </c>
      <c r="B5578" s="65">
        <v>2050</v>
      </c>
      <c r="C5578" s="65">
        <v>2023</v>
      </c>
      <c r="D5578" s="65" t="s">
        <v>333</v>
      </c>
      <c r="E5578" s="65" t="s">
        <v>301</v>
      </c>
      <c r="F5578" s="65" t="s">
        <v>40</v>
      </c>
      <c r="G5578" s="65"/>
      <c r="H5578" s="65"/>
      <c r="I5578" s="66">
        <v>-33109.239686734203</v>
      </c>
    </row>
    <row r="5579" spans="1:9" hidden="1">
      <c r="A5579" s="67" t="s">
        <v>295</v>
      </c>
      <c r="B5579" s="68">
        <v>2050</v>
      </c>
      <c r="C5579" s="68">
        <v>2023</v>
      </c>
      <c r="D5579" s="68" t="s">
        <v>333</v>
      </c>
      <c r="E5579" s="68" t="s">
        <v>305</v>
      </c>
      <c r="F5579" s="68" t="s">
        <v>40</v>
      </c>
      <c r="G5579" s="68"/>
      <c r="H5579" s="68"/>
      <c r="I5579" s="69">
        <v>-1326.3</v>
      </c>
    </row>
    <row r="5580" spans="1:9" hidden="1">
      <c r="A5580" s="64" t="s">
        <v>295</v>
      </c>
      <c r="B5580" s="65">
        <v>2050</v>
      </c>
      <c r="C5580" s="65">
        <v>2023</v>
      </c>
      <c r="D5580" s="65" t="s">
        <v>334</v>
      </c>
      <c r="E5580" s="65" t="s">
        <v>294</v>
      </c>
      <c r="F5580" s="65" t="s">
        <v>40</v>
      </c>
      <c r="G5580" s="65"/>
      <c r="H5580" s="65"/>
      <c r="I5580" s="66">
        <v>253.85033000000001</v>
      </c>
    </row>
    <row r="5581" spans="1:9" hidden="1">
      <c r="A5581" s="67" t="s">
        <v>295</v>
      </c>
      <c r="B5581" s="68">
        <v>2050</v>
      </c>
      <c r="C5581" s="68">
        <v>2023</v>
      </c>
      <c r="D5581" s="68" t="s">
        <v>334</v>
      </c>
      <c r="E5581" s="68" t="s">
        <v>301</v>
      </c>
      <c r="F5581" s="68" t="s">
        <v>40</v>
      </c>
      <c r="G5581" s="68"/>
      <c r="H5581" s="68"/>
      <c r="I5581" s="69">
        <v>253.85033000000001</v>
      </c>
    </row>
    <row r="5582" spans="1:9" hidden="1">
      <c r="A5582" s="64" t="s">
        <v>295</v>
      </c>
      <c r="B5582" s="65">
        <v>2050</v>
      </c>
      <c r="C5582" s="65">
        <v>2023</v>
      </c>
      <c r="D5582" s="65" t="s">
        <v>308</v>
      </c>
      <c r="E5582" s="65" t="s">
        <v>294</v>
      </c>
      <c r="F5582" s="65" t="s">
        <v>297</v>
      </c>
      <c r="G5582" s="65"/>
      <c r="H5582" s="65"/>
      <c r="I5582" s="66">
        <v>57493.116236063608</v>
      </c>
    </row>
    <row r="5583" spans="1:9" hidden="1">
      <c r="A5583" s="67" t="s">
        <v>295</v>
      </c>
      <c r="B5583" s="68">
        <v>2050</v>
      </c>
      <c r="C5583" s="68">
        <v>2023</v>
      </c>
      <c r="D5583" s="68" t="s">
        <v>308</v>
      </c>
      <c r="E5583" s="68" t="s">
        <v>294</v>
      </c>
      <c r="F5583" s="68" t="s">
        <v>298</v>
      </c>
      <c r="G5583" s="68"/>
      <c r="H5583" s="68"/>
      <c r="I5583" s="69">
        <v>214.00682342497731</v>
      </c>
    </row>
    <row r="5584" spans="1:9" hidden="1">
      <c r="A5584" s="64" t="s">
        <v>295</v>
      </c>
      <c r="B5584" s="65">
        <v>2050</v>
      </c>
      <c r="C5584" s="65">
        <v>2023</v>
      </c>
      <c r="D5584" s="65" t="s">
        <v>308</v>
      </c>
      <c r="E5584" s="65" t="s">
        <v>294</v>
      </c>
      <c r="F5584" s="65" t="s">
        <v>40</v>
      </c>
      <c r="G5584" s="65"/>
      <c r="H5584" s="65"/>
      <c r="I5584" s="66">
        <v>58076.529229488588</v>
      </c>
    </row>
    <row r="5585" spans="1:9" hidden="1">
      <c r="A5585" s="67" t="s">
        <v>295</v>
      </c>
      <c r="B5585" s="68">
        <v>2050</v>
      </c>
      <c r="C5585" s="68">
        <v>2023</v>
      </c>
      <c r="D5585" s="68" t="s">
        <v>308</v>
      </c>
      <c r="E5585" s="68" t="s">
        <v>301</v>
      </c>
      <c r="F5585" s="68" t="s">
        <v>297</v>
      </c>
      <c r="G5585" s="68"/>
      <c r="H5585" s="68"/>
      <c r="I5585" s="69">
        <v>58599.33808601059</v>
      </c>
    </row>
    <row r="5586" spans="1:9" hidden="1">
      <c r="A5586" s="64" t="s">
        <v>295</v>
      </c>
      <c r="B5586" s="65">
        <v>2050</v>
      </c>
      <c r="C5586" s="65">
        <v>2023</v>
      </c>
      <c r="D5586" s="65" t="s">
        <v>308</v>
      </c>
      <c r="E5586" s="65" t="s">
        <v>301</v>
      </c>
      <c r="F5586" s="65" t="s">
        <v>298</v>
      </c>
      <c r="G5586" s="65"/>
      <c r="H5586" s="65"/>
      <c r="I5586" s="66">
        <v>214.0068234027315</v>
      </c>
    </row>
    <row r="5587" spans="1:9" hidden="1">
      <c r="A5587" s="67" t="s">
        <v>295</v>
      </c>
      <c r="B5587" s="68">
        <v>2050</v>
      </c>
      <c r="C5587" s="68">
        <v>2023</v>
      </c>
      <c r="D5587" s="68" t="s">
        <v>308</v>
      </c>
      <c r="E5587" s="68" t="s">
        <v>301</v>
      </c>
      <c r="F5587" s="68" t="s">
        <v>40</v>
      </c>
      <c r="G5587" s="68"/>
      <c r="H5587" s="68"/>
      <c r="I5587" s="69">
        <v>58716.700786756097</v>
      </c>
    </row>
    <row r="5588" spans="1:9" hidden="1">
      <c r="A5588" s="64" t="s">
        <v>295</v>
      </c>
      <c r="B5588" s="65">
        <v>2050</v>
      </c>
      <c r="C5588" s="65">
        <v>2023</v>
      </c>
      <c r="D5588" s="65" t="s">
        <v>308</v>
      </c>
      <c r="E5588" s="65" t="s">
        <v>305</v>
      </c>
      <c r="F5588" s="65" t="s">
        <v>297</v>
      </c>
      <c r="G5588" s="65"/>
      <c r="H5588" s="65"/>
      <c r="I5588" s="66">
        <v>1737.2189100000001</v>
      </c>
    </row>
    <row r="5589" spans="1:9" hidden="1">
      <c r="A5589" s="67" t="s">
        <v>295</v>
      </c>
      <c r="B5589" s="68">
        <v>2050</v>
      </c>
      <c r="C5589" s="68">
        <v>2023</v>
      </c>
      <c r="D5589" s="68" t="s">
        <v>308</v>
      </c>
      <c r="E5589" s="68" t="s">
        <v>305</v>
      </c>
      <c r="F5589" s="68" t="s">
        <v>40</v>
      </c>
      <c r="G5589" s="68"/>
      <c r="H5589" s="68"/>
      <c r="I5589" s="69">
        <v>10045.018910000001</v>
      </c>
    </row>
    <row r="5590" spans="1:9" hidden="1">
      <c r="A5590" s="64" t="s">
        <v>295</v>
      </c>
      <c r="B5590" s="65">
        <v>2050</v>
      </c>
      <c r="C5590" s="65">
        <v>2023</v>
      </c>
      <c r="D5590" s="65" t="s">
        <v>310</v>
      </c>
      <c r="E5590" s="65" t="s">
        <v>294</v>
      </c>
      <c r="F5590" s="65" t="s">
        <v>297</v>
      </c>
      <c r="G5590" s="65"/>
      <c r="H5590" s="65"/>
      <c r="I5590" s="66">
        <v>195.3</v>
      </c>
    </row>
    <row r="5591" spans="1:9" hidden="1">
      <c r="A5591" s="67" t="s">
        <v>295</v>
      </c>
      <c r="B5591" s="68">
        <v>2050</v>
      </c>
      <c r="C5591" s="68">
        <v>2023</v>
      </c>
      <c r="D5591" s="68" t="s">
        <v>310</v>
      </c>
      <c r="E5591" s="68" t="s">
        <v>294</v>
      </c>
      <c r="F5591" s="68" t="s">
        <v>40</v>
      </c>
      <c r="G5591" s="68"/>
      <c r="H5591" s="68"/>
      <c r="I5591" s="69">
        <v>127857.4773248875</v>
      </c>
    </row>
    <row r="5592" spans="1:9" hidden="1">
      <c r="A5592" s="64" t="s">
        <v>295</v>
      </c>
      <c r="B5592" s="65">
        <v>2050</v>
      </c>
      <c r="C5592" s="65">
        <v>2023</v>
      </c>
      <c r="D5592" s="65" t="s">
        <v>310</v>
      </c>
      <c r="E5592" s="65" t="s">
        <v>301</v>
      </c>
      <c r="F5592" s="65" t="s">
        <v>297</v>
      </c>
      <c r="G5592" s="65"/>
      <c r="H5592" s="65"/>
      <c r="I5592" s="66">
        <v>195.3</v>
      </c>
    </row>
    <row r="5593" spans="1:9" hidden="1">
      <c r="A5593" s="67" t="s">
        <v>295</v>
      </c>
      <c r="B5593" s="68">
        <v>2050</v>
      </c>
      <c r="C5593" s="68">
        <v>2023</v>
      </c>
      <c r="D5593" s="68" t="s">
        <v>310</v>
      </c>
      <c r="E5593" s="68" t="s">
        <v>301</v>
      </c>
      <c r="F5593" s="68" t="s">
        <v>40</v>
      </c>
      <c r="G5593" s="68"/>
      <c r="H5593" s="68"/>
      <c r="I5593" s="69">
        <v>137306.550510817</v>
      </c>
    </row>
    <row r="5594" spans="1:9" hidden="1">
      <c r="A5594" s="64" t="s">
        <v>295</v>
      </c>
      <c r="B5594" s="65">
        <v>2050</v>
      </c>
      <c r="C5594" s="65">
        <v>2023</v>
      </c>
      <c r="D5594" s="65" t="s">
        <v>310</v>
      </c>
      <c r="E5594" s="65" t="s">
        <v>305</v>
      </c>
      <c r="F5594" s="65" t="s">
        <v>40</v>
      </c>
      <c r="G5594" s="65"/>
      <c r="H5594" s="65"/>
      <c r="I5594" s="66">
        <v>1368.1167499999999</v>
      </c>
    </row>
    <row r="5595" spans="1:9" hidden="1">
      <c r="A5595" s="67" t="s">
        <v>295</v>
      </c>
      <c r="B5595" s="68">
        <v>2050</v>
      </c>
      <c r="C5595" s="68">
        <v>2023</v>
      </c>
      <c r="D5595" s="68" t="s">
        <v>311</v>
      </c>
      <c r="E5595" s="68" t="s">
        <v>294</v>
      </c>
      <c r="F5595" s="68" t="s">
        <v>297</v>
      </c>
      <c r="G5595" s="68"/>
      <c r="H5595" s="68"/>
      <c r="I5595" s="69">
        <v>868.6</v>
      </c>
    </row>
    <row r="5596" spans="1:9" hidden="1">
      <c r="A5596" s="64" t="s">
        <v>295</v>
      </c>
      <c r="B5596" s="65">
        <v>2050</v>
      </c>
      <c r="C5596" s="65">
        <v>2023</v>
      </c>
      <c r="D5596" s="65" t="s">
        <v>311</v>
      </c>
      <c r="E5596" s="65" t="s">
        <v>294</v>
      </c>
      <c r="F5596" s="65" t="s">
        <v>40</v>
      </c>
      <c r="G5596" s="65"/>
      <c r="H5596" s="65"/>
      <c r="I5596" s="66">
        <v>146099.6068483603</v>
      </c>
    </row>
    <row r="5597" spans="1:9" hidden="1">
      <c r="A5597" s="67" t="s">
        <v>295</v>
      </c>
      <c r="B5597" s="68">
        <v>2050</v>
      </c>
      <c r="C5597" s="68">
        <v>2023</v>
      </c>
      <c r="D5597" s="68" t="s">
        <v>311</v>
      </c>
      <c r="E5597" s="68" t="s">
        <v>301</v>
      </c>
      <c r="F5597" s="68" t="s">
        <v>297</v>
      </c>
      <c r="G5597" s="68"/>
      <c r="H5597" s="68"/>
      <c r="I5597" s="69">
        <v>868.6</v>
      </c>
    </row>
    <row r="5598" spans="1:9" hidden="1">
      <c r="A5598" s="64" t="s">
        <v>295</v>
      </c>
      <c r="B5598" s="65">
        <v>2050</v>
      </c>
      <c r="C5598" s="65">
        <v>2023</v>
      </c>
      <c r="D5598" s="65" t="s">
        <v>311</v>
      </c>
      <c r="E5598" s="65" t="s">
        <v>301</v>
      </c>
      <c r="F5598" s="65" t="s">
        <v>40</v>
      </c>
      <c r="G5598" s="65"/>
      <c r="H5598" s="65"/>
      <c r="I5598" s="66">
        <v>148758.95217209891</v>
      </c>
    </row>
    <row r="5599" spans="1:9" hidden="1">
      <c r="A5599" s="67" t="s">
        <v>295</v>
      </c>
      <c r="B5599" s="68">
        <v>2050</v>
      </c>
      <c r="C5599" s="68">
        <v>2023</v>
      </c>
      <c r="D5599" s="68" t="s">
        <v>311</v>
      </c>
      <c r="E5599" s="68" t="s">
        <v>305</v>
      </c>
      <c r="F5599" s="68" t="s">
        <v>40</v>
      </c>
      <c r="G5599" s="68"/>
      <c r="H5599" s="68"/>
      <c r="I5599" s="69">
        <v>1018.9</v>
      </c>
    </row>
    <row r="5600" spans="1:9" hidden="1">
      <c r="A5600" s="64" t="s">
        <v>295</v>
      </c>
      <c r="B5600" s="65">
        <v>2050</v>
      </c>
      <c r="C5600" s="65">
        <v>2023</v>
      </c>
      <c r="D5600" s="65" t="s">
        <v>312</v>
      </c>
      <c r="E5600" s="65" t="s">
        <v>294</v>
      </c>
      <c r="F5600" s="65" t="s">
        <v>297</v>
      </c>
      <c r="G5600" s="65"/>
      <c r="H5600" s="65"/>
      <c r="I5600" s="66">
        <v>721.26980000000003</v>
      </c>
    </row>
    <row r="5601" spans="1:9" hidden="1">
      <c r="A5601" s="67" t="s">
        <v>295</v>
      </c>
      <c r="B5601" s="68">
        <v>2050</v>
      </c>
      <c r="C5601" s="68">
        <v>2023</v>
      </c>
      <c r="D5601" s="68" t="s">
        <v>312</v>
      </c>
      <c r="E5601" s="68" t="s">
        <v>294</v>
      </c>
      <c r="F5601" s="68" t="s">
        <v>40</v>
      </c>
      <c r="G5601" s="68"/>
      <c r="H5601" s="68"/>
      <c r="I5601" s="69">
        <v>865.16195166294494</v>
      </c>
    </row>
    <row r="5602" spans="1:9" hidden="1">
      <c r="A5602" s="64" t="s">
        <v>295</v>
      </c>
      <c r="B5602" s="65">
        <v>2050</v>
      </c>
      <c r="C5602" s="65">
        <v>2023</v>
      </c>
      <c r="D5602" s="65" t="s">
        <v>312</v>
      </c>
      <c r="E5602" s="65" t="s">
        <v>301</v>
      </c>
      <c r="F5602" s="65" t="s">
        <v>297</v>
      </c>
      <c r="G5602" s="65"/>
      <c r="H5602" s="65"/>
      <c r="I5602" s="66">
        <v>724.36980000000005</v>
      </c>
    </row>
    <row r="5603" spans="1:9" hidden="1">
      <c r="A5603" s="67" t="s">
        <v>295</v>
      </c>
      <c r="B5603" s="68">
        <v>2050</v>
      </c>
      <c r="C5603" s="68">
        <v>2023</v>
      </c>
      <c r="D5603" s="68" t="s">
        <v>312</v>
      </c>
      <c r="E5603" s="68" t="s">
        <v>301</v>
      </c>
      <c r="F5603" s="68" t="s">
        <v>40</v>
      </c>
      <c r="G5603" s="68"/>
      <c r="H5603" s="68"/>
      <c r="I5603" s="69">
        <v>868.26980000000003</v>
      </c>
    </row>
    <row r="5604" spans="1:9" hidden="1">
      <c r="A5604" s="64" t="s">
        <v>295</v>
      </c>
      <c r="B5604" s="65">
        <v>2050</v>
      </c>
      <c r="C5604" s="65">
        <v>2023</v>
      </c>
      <c r="D5604" s="65" t="s">
        <v>313</v>
      </c>
      <c r="E5604" s="65" t="s">
        <v>294</v>
      </c>
      <c r="F5604" s="65" t="s">
        <v>297</v>
      </c>
      <c r="G5604" s="65"/>
      <c r="H5604" s="65"/>
      <c r="I5604" s="66">
        <v>1220483.94581027</v>
      </c>
    </row>
    <row r="5605" spans="1:9" hidden="1">
      <c r="A5605" s="67" t="s">
        <v>295</v>
      </c>
      <c r="B5605" s="68">
        <v>2050</v>
      </c>
      <c r="C5605" s="68">
        <v>2023</v>
      </c>
      <c r="D5605" s="68" t="s">
        <v>313</v>
      </c>
      <c r="E5605" s="68" t="s">
        <v>294</v>
      </c>
      <c r="F5605" s="68" t="s">
        <v>298</v>
      </c>
      <c r="G5605" s="68"/>
      <c r="H5605" s="68"/>
      <c r="I5605" s="69">
        <v>595432.90929732367</v>
      </c>
    </row>
    <row r="5606" spans="1:9" hidden="1">
      <c r="A5606" s="64" t="s">
        <v>295</v>
      </c>
      <c r="B5606" s="65">
        <v>2050</v>
      </c>
      <c r="C5606" s="65">
        <v>2023</v>
      </c>
      <c r="D5606" s="65" t="s">
        <v>313</v>
      </c>
      <c r="E5606" s="65" t="s">
        <v>294</v>
      </c>
      <c r="F5606" s="65" t="s">
        <v>40</v>
      </c>
      <c r="G5606" s="65"/>
      <c r="H5606" s="65"/>
      <c r="I5606" s="66">
        <v>1833283.3953769789</v>
      </c>
    </row>
    <row r="5607" spans="1:9" hidden="1">
      <c r="A5607" s="67" t="s">
        <v>295</v>
      </c>
      <c r="B5607" s="68">
        <v>2050</v>
      </c>
      <c r="C5607" s="68">
        <v>2023</v>
      </c>
      <c r="D5607" s="68" t="s">
        <v>313</v>
      </c>
      <c r="E5607" s="68" t="s">
        <v>301</v>
      </c>
      <c r="F5607" s="68" t="s">
        <v>297</v>
      </c>
      <c r="G5607" s="68"/>
      <c r="H5607" s="68"/>
      <c r="I5607" s="69">
        <v>1425114.7365263421</v>
      </c>
    </row>
    <row r="5608" spans="1:9" hidden="1">
      <c r="A5608" s="64" t="s">
        <v>295</v>
      </c>
      <c r="B5608" s="65">
        <v>2050</v>
      </c>
      <c r="C5608" s="65">
        <v>2023</v>
      </c>
      <c r="D5608" s="65" t="s">
        <v>313</v>
      </c>
      <c r="E5608" s="65" t="s">
        <v>301</v>
      </c>
      <c r="F5608" s="65" t="s">
        <v>298</v>
      </c>
      <c r="G5608" s="65"/>
      <c r="H5608" s="65"/>
      <c r="I5608" s="66">
        <v>687352.05440249795</v>
      </c>
    </row>
    <row r="5609" spans="1:9" hidden="1">
      <c r="A5609" s="67" t="s">
        <v>295</v>
      </c>
      <c r="B5609" s="68">
        <v>2050</v>
      </c>
      <c r="C5609" s="68">
        <v>2023</v>
      </c>
      <c r="D5609" s="68" t="s">
        <v>313</v>
      </c>
      <c r="E5609" s="68" t="s">
        <v>301</v>
      </c>
      <c r="F5609" s="68" t="s">
        <v>40</v>
      </c>
      <c r="G5609" s="68"/>
      <c r="H5609" s="68"/>
      <c r="I5609" s="69">
        <v>2131409.886268164</v>
      </c>
    </row>
    <row r="5610" spans="1:9" hidden="1">
      <c r="A5610" s="64" t="s">
        <v>295</v>
      </c>
      <c r="B5610" s="65">
        <v>2050</v>
      </c>
      <c r="C5610" s="65">
        <v>2023</v>
      </c>
      <c r="D5610" s="65" t="s">
        <v>313</v>
      </c>
      <c r="E5610" s="65" t="s">
        <v>305</v>
      </c>
      <c r="F5610" s="65" t="s">
        <v>297</v>
      </c>
      <c r="G5610" s="65"/>
      <c r="H5610" s="65"/>
      <c r="I5610" s="66">
        <v>17527.19785</v>
      </c>
    </row>
    <row r="5611" spans="1:9" hidden="1">
      <c r="A5611" s="67" t="s">
        <v>295</v>
      </c>
      <c r="B5611" s="68">
        <v>2050</v>
      </c>
      <c r="C5611" s="68">
        <v>2023</v>
      </c>
      <c r="D5611" s="68" t="s">
        <v>313</v>
      </c>
      <c r="E5611" s="68" t="s">
        <v>305</v>
      </c>
      <c r="F5611" s="68" t="s">
        <v>298</v>
      </c>
      <c r="G5611" s="68"/>
      <c r="H5611" s="68"/>
      <c r="I5611" s="69">
        <v>9687.8284100000001</v>
      </c>
    </row>
    <row r="5612" spans="1:9" hidden="1">
      <c r="A5612" s="64" t="s">
        <v>295</v>
      </c>
      <c r="B5612" s="65">
        <v>2050</v>
      </c>
      <c r="C5612" s="65">
        <v>2023</v>
      </c>
      <c r="D5612" s="65" t="s">
        <v>313</v>
      </c>
      <c r="E5612" s="65" t="s">
        <v>305</v>
      </c>
      <c r="F5612" s="65" t="s">
        <v>40</v>
      </c>
      <c r="G5612" s="65"/>
      <c r="H5612" s="65"/>
      <c r="I5612" s="66">
        <v>229746.99111</v>
      </c>
    </row>
    <row r="5613" spans="1:9" hidden="1">
      <c r="A5613" s="67" t="s">
        <v>295</v>
      </c>
      <c r="B5613" s="68">
        <v>2050</v>
      </c>
      <c r="C5613" s="68">
        <v>2023</v>
      </c>
      <c r="D5613" s="68" t="s">
        <v>314</v>
      </c>
      <c r="E5613" s="68" t="s">
        <v>294</v>
      </c>
      <c r="F5613" s="68" t="s">
        <v>297</v>
      </c>
      <c r="G5613" s="68"/>
      <c r="H5613" s="68"/>
      <c r="I5613" s="69">
        <v>1220483.94581027</v>
      </c>
    </row>
    <row r="5614" spans="1:9" hidden="1">
      <c r="A5614" s="64" t="s">
        <v>295</v>
      </c>
      <c r="B5614" s="65">
        <v>2050</v>
      </c>
      <c r="C5614" s="65">
        <v>2023</v>
      </c>
      <c r="D5614" s="65" t="s">
        <v>314</v>
      </c>
      <c r="E5614" s="65" t="s">
        <v>294</v>
      </c>
      <c r="F5614" s="65" t="s">
        <v>298</v>
      </c>
      <c r="G5614" s="65"/>
      <c r="H5614" s="65"/>
      <c r="I5614" s="66">
        <v>595432.90929732367</v>
      </c>
    </row>
    <row r="5615" spans="1:9" hidden="1">
      <c r="A5615" s="67" t="s">
        <v>295</v>
      </c>
      <c r="B5615" s="68">
        <v>2050</v>
      </c>
      <c r="C5615" s="68">
        <v>2023</v>
      </c>
      <c r="D5615" s="68" t="s">
        <v>314</v>
      </c>
      <c r="E5615" s="68" t="s">
        <v>294</v>
      </c>
      <c r="F5615" s="68" t="s">
        <v>40</v>
      </c>
      <c r="G5615" s="68"/>
      <c r="H5615" s="68"/>
      <c r="I5615" s="69">
        <v>1588807.2089815559</v>
      </c>
    </row>
    <row r="5616" spans="1:9" hidden="1">
      <c r="A5616" s="64" t="s">
        <v>295</v>
      </c>
      <c r="B5616" s="65">
        <v>2050</v>
      </c>
      <c r="C5616" s="65">
        <v>2023</v>
      </c>
      <c r="D5616" s="65" t="s">
        <v>314</v>
      </c>
      <c r="E5616" s="65" t="s">
        <v>301</v>
      </c>
      <c r="F5616" s="65" t="s">
        <v>297</v>
      </c>
      <c r="G5616" s="65"/>
      <c r="H5616" s="65"/>
      <c r="I5616" s="66">
        <v>1425114.7365263421</v>
      </c>
    </row>
    <row r="5617" spans="1:9" hidden="1">
      <c r="A5617" s="67" t="s">
        <v>295</v>
      </c>
      <c r="B5617" s="68">
        <v>2050</v>
      </c>
      <c r="C5617" s="68">
        <v>2023</v>
      </c>
      <c r="D5617" s="68" t="s">
        <v>314</v>
      </c>
      <c r="E5617" s="68" t="s">
        <v>301</v>
      </c>
      <c r="F5617" s="68" t="s">
        <v>298</v>
      </c>
      <c r="G5617" s="68"/>
      <c r="H5617" s="68"/>
      <c r="I5617" s="69">
        <v>687352.05440249795</v>
      </c>
    </row>
    <row r="5618" spans="1:9" hidden="1">
      <c r="A5618" s="64" t="s">
        <v>295</v>
      </c>
      <c r="B5618" s="65">
        <v>2050</v>
      </c>
      <c r="C5618" s="65">
        <v>2023</v>
      </c>
      <c r="D5618" s="65" t="s">
        <v>314</v>
      </c>
      <c r="E5618" s="65" t="s">
        <v>301</v>
      </c>
      <c r="F5618" s="65" t="s">
        <v>40</v>
      </c>
      <c r="G5618" s="65"/>
      <c r="H5618" s="65"/>
      <c r="I5618" s="66">
        <v>1922711.314530039</v>
      </c>
    </row>
    <row r="5619" spans="1:9" hidden="1">
      <c r="A5619" s="67" t="s">
        <v>295</v>
      </c>
      <c r="B5619" s="68">
        <v>2050</v>
      </c>
      <c r="C5619" s="68">
        <v>2023</v>
      </c>
      <c r="D5619" s="68" t="s">
        <v>314</v>
      </c>
      <c r="E5619" s="68" t="s">
        <v>305</v>
      </c>
      <c r="F5619" s="68" t="s">
        <v>297</v>
      </c>
      <c r="G5619" s="68"/>
      <c r="H5619" s="68"/>
      <c r="I5619" s="69">
        <v>17527.19785</v>
      </c>
    </row>
    <row r="5620" spans="1:9" hidden="1">
      <c r="A5620" s="64" t="s">
        <v>295</v>
      </c>
      <c r="B5620" s="65">
        <v>2050</v>
      </c>
      <c r="C5620" s="65">
        <v>2023</v>
      </c>
      <c r="D5620" s="65" t="s">
        <v>314</v>
      </c>
      <c r="E5620" s="65" t="s">
        <v>305</v>
      </c>
      <c r="F5620" s="65" t="s">
        <v>298</v>
      </c>
      <c r="G5620" s="65"/>
      <c r="H5620" s="65"/>
      <c r="I5620" s="66">
        <v>9687.8284100000001</v>
      </c>
    </row>
    <row r="5621" spans="1:9" hidden="1">
      <c r="A5621" s="67" t="s">
        <v>295</v>
      </c>
      <c r="B5621" s="68">
        <v>2050</v>
      </c>
      <c r="C5621" s="68">
        <v>2023</v>
      </c>
      <c r="D5621" s="68" t="s">
        <v>314</v>
      </c>
      <c r="E5621" s="68" t="s">
        <v>305</v>
      </c>
      <c r="F5621" s="68" t="s">
        <v>40</v>
      </c>
      <c r="G5621" s="68"/>
      <c r="H5621" s="68"/>
      <c r="I5621" s="69">
        <v>223401.39864999999</v>
      </c>
    </row>
  </sheetData>
  <autoFilter ref="A1:I5621" xr:uid="{FBB801B0-7CEB-46B3-A6B9-7B8692324FBA}">
    <filterColumn colId="1">
      <filters>
        <filter val="2021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F0E6C-B132-48DC-94B3-731AA9774C5B}">
  <dimension ref="A1:O27"/>
  <sheetViews>
    <sheetView showGridLines="0" zoomScale="55" zoomScaleNormal="55" workbookViewId="0">
      <selection activeCell="N46" sqref="N46"/>
    </sheetView>
  </sheetViews>
  <sheetFormatPr defaultRowHeight="15"/>
  <cols>
    <col min="1" max="1" width="39.5703125" bestFit="1" customWidth="1"/>
  </cols>
  <sheetData>
    <row r="1" spans="1:15">
      <c r="B1" s="46" t="s">
        <v>46</v>
      </c>
      <c r="C1" s="46" t="s">
        <v>335</v>
      </c>
      <c r="D1" s="46" t="s">
        <v>336</v>
      </c>
      <c r="E1" s="46" t="s">
        <v>337</v>
      </c>
      <c r="F1" s="46" t="s">
        <v>338</v>
      </c>
      <c r="G1" s="46" t="s">
        <v>51</v>
      </c>
      <c r="M1" t="s">
        <v>69</v>
      </c>
      <c r="N1" t="s">
        <v>339</v>
      </c>
      <c r="O1" t="s">
        <v>340</v>
      </c>
    </row>
    <row r="2" spans="1:15">
      <c r="A2" s="85" t="s">
        <v>341</v>
      </c>
      <c r="B2" s="85"/>
      <c r="C2" s="85"/>
      <c r="D2" s="85"/>
      <c r="E2" s="85"/>
      <c r="F2" s="85"/>
      <c r="G2" s="85"/>
      <c r="L2" t="s">
        <v>46</v>
      </c>
      <c r="M2" s="5">
        <f>B3</f>
        <v>-33.229218008661348</v>
      </c>
      <c r="N2" s="5">
        <f>B8</f>
        <v>-54.373290260856976</v>
      </c>
      <c r="O2" s="5">
        <f>B9</f>
        <v>-23.602544648478965</v>
      </c>
    </row>
    <row r="3" spans="1:15">
      <c r="A3" s="1" t="s">
        <v>69</v>
      </c>
      <c r="B3" s="47">
        <v>-33.229218008661348</v>
      </c>
      <c r="C3" s="47">
        <v>-17.055584912219842</v>
      </c>
      <c r="D3" s="47">
        <v>-2.170380186997042</v>
      </c>
      <c r="E3" s="47">
        <v>-10.776892394566794</v>
      </c>
      <c r="F3" s="47">
        <v>-1.1285142231164835</v>
      </c>
      <c r="G3" s="47">
        <v>5.7848345153700604</v>
      </c>
      <c r="L3" t="s">
        <v>47</v>
      </c>
      <c r="M3" s="5">
        <f>C3</f>
        <v>-17.055584912219842</v>
      </c>
      <c r="N3" s="5">
        <f>C8</f>
        <v>-24.364113884733953</v>
      </c>
      <c r="O3" s="5">
        <f>C9</f>
        <v>-18.944651000444992</v>
      </c>
    </row>
    <row r="4" spans="1:15">
      <c r="A4" s="1" t="s">
        <v>342</v>
      </c>
      <c r="B4" s="47">
        <v>-65.128302473267524</v>
      </c>
      <c r="C4" s="47">
        <v>-8.3905014615606603</v>
      </c>
      <c r="D4" s="47">
        <v>-24.321974636220403</v>
      </c>
      <c r="E4" s="47">
        <v>-3.2986055958456291</v>
      </c>
      <c r="F4" s="47">
        <v>-2.3861141539907749</v>
      </c>
      <c r="G4" s="47">
        <v>4.952806190767653</v>
      </c>
      <c r="L4" t="s">
        <v>343</v>
      </c>
      <c r="M4" s="5">
        <f>E3</f>
        <v>-10.776892394566794</v>
      </c>
      <c r="N4" s="5">
        <f>E8</f>
        <v>-28.935548192598603</v>
      </c>
      <c r="O4" s="5">
        <f>E9</f>
        <v>-11.196687799858694</v>
      </c>
    </row>
    <row r="5" spans="1:15">
      <c r="A5" s="1" t="s">
        <v>344</v>
      </c>
      <c r="B5" s="47">
        <v>-43.612004110616027</v>
      </c>
      <c r="C5" s="47">
        <v>-23.486948647092078</v>
      </c>
      <c r="D5" s="47">
        <v>-12.564587415676527</v>
      </c>
      <c r="E5" s="47">
        <v>-12.775056356043635</v>
      </c>
      <c r="F5" s="47">
        <v>-3.5294258162158059</v>
      </c>
      <c r="G5" s="47">
        <v>3.5054378377689375</v>
      </c>
      <c r="L5" t="s">
        <v>48</v>
      </c>
      <c r="M5" s="5">
        <f>D3</f>
        <v>-2.170380186997042</v>
      </c>
      <c r="N5" s="5">
        <f>D8</f>
        <v>-26.160372333750047</v>
      </c>
      <c r="O5" s="5">
        <f>D9</f>
        <v>-31.229046645539871</v>
      </c>
    </row>
    <row r="6" spans="1:15">
      <c r="A6" s="85" t="s">
        <v>345</v>
      </c>
      <c r="B6" s="85"/>
      <c r="C6" s="85"/>
      <c r="D6" s="85"/>
      <c r="E6" s="85"/>
      <c r="F6" s="85"/>
      <c r="G6" s="85"/>
      <c r="L6" t="s">
        <v>346</v>
      </c>
      <c r="M6" s="5">
        <f>F3</f>
        <v>-1.1285142231164835</v>
      </c>
      <c r="N6" s="5">
        <f>F8</f>
        <v>-3.4585959610948009</v>
      </c>
      <c r="O6" s="5">
        <f>F9</f>
        <v>-4.6891154725630599</v>
      </c>
    </row>
    <row r="7" spans="1:15">
      <c r="A7" s="1" t="s">
        <v>347</v>
      </c>
      <c r="B7" s="47">
        <v>-45.808542119829845</v>
      </c>
      <c r="C7" s="47">
        <v>-29.006465735990169</v>
      </c>
      <c r="D7" s="47">
        <v>-17.17278062212641</v>
      </c>
      <c r="E7" s="47">
        <v>-31.354022482607498</v>
      </c>
      <c r="F7" s="47">
        <v>-3.9343598889914801</v>
      </c>
      <c r="G7" s="47">
        <v>-8.8905926203030887</v>
      </c>
      <c r="L7" t="s">
        <v>51</v>
      </c>
      <c r="M7" s="5">
        <f>G3</f>
        <v>5.7848345153700604</v>
      </c>
      <c r="N7" s="5">
        <f>G8</f>
        <v>-8.2790888287499982</v>
      </c>
      <c r="O7" s="5">
        <f>G9</f>
        <v>-4.5</v>
      </c>
    </row>
    <row r="8" spans="1:15">
      <c r="A8" s="1" t="s">
        <v>348</v>
      </c>
      <c r="B8" s="47">
        <v>-54.373290260856976</v>
      </c>
      <c r="C8" s="47">
        <v>-24.364113884733953</v>
      </c>
      <c r="D8" s="47">
        <v>-26.160372333750047</v>
      </c>
      <c r="E8" s="47">
        <v>-28.935548192598603</v>
      </c>
      <c r="F8" s="47">
        <v>-3.4585959610948009</v>
      </c>
      <c r="G8" s="47">
        <v>-8.2790888287499982</v>
      </c>
    </row>
    <row r="9" spans="1:15">
      <c r="A9" s="1" t="s">
        <v>349</v>
      </c>
      <c r="B9" s="47">
        <v>-23.602544648478965</v>
      </c>
      <c r="C9" s="47">
        <v>-18.944651000444992</v>
      </c>
      <c r="D9" s="47">
        <v>-31.229046645539871</v>
      </c>
      <c r="E9" s="47">
        <v>-11.196687799858694</v>
      </c>
      <c r="F9" s="47">
        <v>-4.6891154725630599</v>
      </c>
      <c r="G9" s="47">
        <v>-4.5</v>
      </c>
    </row>
    <row r="10" spans="1:15">
      <c r="A10" s="85" t="s">
        <v>350</v>
      </c>
      <c r="B10" s="85"/>
      <c r="C10" s="85"/>
      <c r="D10" s="85"/>
      <c r="E10" s="85"/>
      <c r="F10" s="85"/>
      <c r="G10" s="85"/>
    </row>
    <row r="11" spans="1:15">
      <c r="A11" s="1" t="s">
        <v>351</v>
      </c>
      <c r="B11" s="48">
        <f>B8/B3</f>
        <v>1.6363096551560234</v>
      </c>
      <c r="C11" s="49">
        <f t="shared" ref="C11:G11" si="0">C8/C3</f>
        <v>1.4285123617940396</v>
      </c>
      <c r="D11" s="50">
        <f t="shared" si="0"/>
        <v>12.053359356337369</v>
      </c>
      <c r="E11" s="50">
        <f t="shared" si="0"/>
        <v>2.6849621517225648</v>
      </c>
      <c r="F11" s="50">
        <f t="shared" si="0"/>
        <v>3.0647340461014374</v>
      </c>
      <c r="G11" s="51">
        <f t="shared" si="0"/>
        <v>-1.4311712472937315</v>
      </c>
    </row>
    <row r="12" spans="1:15" hidden="1">
      <c r="A12" s="1" t="s">
        <v>352</v>
      </c>
      <c r="B12" s="52">
        <f>B7/B4</f>
        <v>0.7033584537019425</v>
      </c>
      <c r="C12" s="50">
        <f t="shared" ref="C12:G13" si="1">C7/C4</f>
        <v>3.4570598514138</v>
      </c>
      <c r="D12" s="52">
        <f t="shared" si="1"/>
        <v>0.70606029645934343</v>
      </c>
      <c r="E12" s="50">
        <f t="shared" si="1"/>
        <v>9.5052353400769611</v>
      </c>
      <c r="F12" s="48">
        <f t="shared" si="1"/>
        <v>1.6488565236542707</v>
      </c>
      <c r="G12" s="51">
        <f t="shared" si="1"/>
        <v>-1.7950616837936686</v>
      </c>
    </row>
    <row r="13" spans="1:15" hidden="1">
      <c r="A13" s="1" t="s">
        <v>353</v>
      </c>
      <c r="B13" s="49">
        <f>B8/B5</f>
        <v>1.2467505534243826</v>
      </c>
      <c r="C13" s="52">
        <f t="shared" si="1"/>
        <v>1.0373469219361739</v>
      </c>
      <c r="D13" s="50">
        <f t="shared" si="1"/>
        <v>2.0820717360850538</v>
      </c>
      <c r="E13" s="50">
        <f t="shared" si="1"/>
        <v>2.2650035652413969</v>
      </c>
      <c r="F13" s="52">
        <f t="shared" si="1"/>
        <v>0.97993162094650632</v>
      </c>
      <c r="G13" s="51">
        <f t="shared" si="1"/>
        <v>-2.3617845221923224</v>
      </c>
    </row>
    <row r="14" spans="1:15">
      <c r="A14" s="85" t="s">
        <v>354</v>
      </c>
      <c r="B14" s="85"/>
      <c r="C14" s="85"/>
      <c r="D14" s="85"/>
      <c r="E14" s="85"/>
      <c r="F14" s="85"/>
      <c r="G14" s="85"/>
    </row>
    <row r="15" spans="1:15">
      <c r="A15" s="1" t="s">
        <v>355</v>
      </c>
      <c r="B15" s="52">
        <f>B$9/B3</f>
        <v>0.71029491703135639</v>
      </c>
      <c r="C15" s="49">
        <f t="shared" ref="C15:G15" si="2">C$9/C3</f>
        <v>1.1107593845621611</v>
      </c>
      <c r="D15" s="50">
        <f t="shared" si="2"/>
        <v>14.388744807308928</v>
      </c>
      <c r="E15" s="52">
        <f t="shared" si="2"/>
        <v>1.0389532891228961</v>
      </c>
      <c r="F15" s="50">
        <f t="shared" si="2"/>
        <v>4.1551230604907108</v>
      </c>
      <c r="G15" s="51">
        <f t="shared" si="2"/>
        <v>-0.77789606393124822</v>
      </c>
    </row>
    <row r="16" spans="1:15" hidden="1">
      <c r="A16" s="1" t="s">
        <v>356</v>
      </c>
      <c r="B16" s="52">
        <f t="shared" ref="B16:G17" si="3">B$9/B4</f>
        <v>0.36240073442981002</v>
      </c>
      <c r="C16" s="50">
        <f t="shared" si="3"/>
        <v>2.2578687444649139</v>
      </c>
      <c r="D16" s="49">
        <f t="shared" si="3"/>
        <v>1.2839848372768805</v>
      </c>
      <c r="E16" s="50">
        <f t="shared" si="3"/>
        <v>3.3943699768047946</v>
      </c>
      <c r="F16" s="50">
        <f t="shared" si="3"/>
        <v>1.9651681227071707</v>
      </c>
      <c r="G16" s="51">
        <f t="shared" si="3"/>
        <v>-0.9085758308872024</v>
      </c>
    </row>
    <row r="17" spans="1:15" hidden="1">
      <c r="A17" s="1" t="s">
        <v>357</v>
      </c>
      <c r="B17" s="52">
        <f t="shared" si="3"/>
        <v>0.54119376373106498</v>
      </c>
      <c r="C17" s="52">
        <f t="shared" si="3"/>
        <v>0.80660333043264565</v>
      </c>
      <c r="D17" s="50">
        <f t="shared" si="3"/>
        <v>2.4854812667048787</v>
      </c>
      <c r="E17" s="50">
        <f t="shared" si="3"/>
        <v>0.87644919034441326</v>
      </c>
      <c r="F17" s="49">
        <f t="shared" si="3"/>
        <v>1.3285774278125089</v>
      </c>
      <c r="G17" s="51">
        <f t="shared" si="3"/>
        <v>-1.2837198114070849</v>
      </c>
    </row>
    <row r="18" spans="1:15">
      <c r="B18" s="1"/>
      <c r="C18" s="1"/>
      <c r="D18" s="1"/>
      <c r="E18" s="1"/>
      <c r="F18" s="1"/>
      <c r="G18" s="1"/>
    </row>
    <row r="19" spans="1:15">
      <c r="B19" s="1"/>
      <c r="C19" s="1"/>
      <c r="D19" s="1"/>
      <c r="E19" s="1"/>
      <c r="F19" s="1"/>
      <c r="G19" s="1"/>
    </row>
    <row r="20" spans="1:15">
      <c r="B20" s="1"/>
      <c r="C20" s="1"/>
      <c r="D20" s="1"/>
      <c r="E20" s="1"/>
      <c r="F20" s="1"/>
      <c r="G20" s="1"/>
    </row>
    <row r="21" spans="1:15">
      <c r="A21" s="40" t="s">
        <v>358</v>
      </c>
      <c r="B21" s="1" t="s">
        <v>359</v>
      </c>
      <c r="C21" s="1"/>
      <c r="D21" s="1"/>
      <c r="E21" s="1"/>
      <c r="F21" s="1"/>
      <c r="G21" s="1"/>
      <c r="M21" t="s">
        <v>69</v>
      </c>
      <c r="N21" t="s">
        <v>360</v>
      </c>
      <c r="O21" t="s">
        <v>361</v>
      </c>
    </row>
    <row r="22" spans="1:15">
      <c r="A22" s="53" t="s">
        <v>362</v>
      </c>
      <c r="B22" s="1" t="s">
        <v>363</v>
      </c>
      <c r="C22" s="1"/>
      <c r="D22" s="1"/>
      <c r="E22" s="1"/>
      <c r="F22" s="1"/>
      <c r="G22" s="1"/>
      <c r="L22" t="s">
        <v>46</v>
      </c>
      <c r="M22" s="39">
        <f>M2/'O1 &amp; Fig 2. GHG emissions'!S7</f>
        <v>-2.2313006546692101E-2</v>
      </c>
      <c r="N22" s="39">
        <f>N2/'O1 &amp; Fig 2. GHG emissions'!S7</f>
        <v>-3.6510988047911842E-2</v>
      </c>
      <c r="O22" s="39">
        <f>O2/'O1 &amp; Fig 2. GHG emissions'!S7</f>
        <v>-1.5848815133802777E-2</v>
      </c>
    </row>
    <row r="23" spans="1:15">
      <c r="A23" s="37" t="s">
        <v>364</v>
      </c>
      <c r="B23" s="1" t="s">
        <v>365</v>
      </c>
      <c r="C23" s="1"/>
      <c r="D23" s="1"/>
      <c r="E23" s="1"/>
      <c r="F23" s="1"/>
      <c r="G23" s="1"/>
      <c r="L23" t="s">
        <v>47</v>
      </c>
      <c r="M23" s="39">
        <f>M3/'O1 &amp; Fig 2. GHG emissions'!S8</f>
        <v>-1.738106700068472E-2</v>
      </c>
      <c r="N23" s="39">
        <f>N3/'O1 &amp; Fig 2. GHG emissions'!S8</f>
        <v>-2.4829069071648575E-2</v>
      </c>
      <c r="O23" s="39">
        <f>O3/'O1 &amp; Fig 2. GHG emissions'!S8</f>
        <v>-1.9306183284714246E-2</v>
      </c>
    </row>
    <row r="24" spans="1:15">
      <c r="A24" s="54" t="s">
        <v>366</v>
      </c>
      <c r="B24" s="1" t="s">
        <v>367</v>
      </c>
      <c r="C24" s="1"/>
      <c r="D24" s="1"/>
      <c r="E24" s="1"/>
      <c r="F24" s="1"/>
      <c r="G24" s="1"/>
      <c r="L24" t="s">
        <v>343</v>
      </c>
      <c r="M24" s="39">
        <f>M4/'O1 &amp; Fig 2. GHG emissions'!S9</f>
        <v>-1.2717809509651826E-2</v>
      </c>
      <c r="N24" s="39">
        <f>N4/'O1 &amp; Fig 2. GHG emissions'!S9</f>
        <v>-3.4146837186232466E-2</v>
      </c>
      <c r="O24" s="39">
        <f>O4/'O1 &amp; Fig 2. GHG emissions'!S9</f>
        <v>-1.3213210020491211E-2</v>
      </c>
    </row>
    <row r="25" spans="1:15">
      <c r="A25" s="55" t="s">
        <v>368</v>
      </c>
      <c r="B25" s="1" t="s">
        <v>369</v>
      </c>
      <c r="C25" s="1"/>
      <c r="D25" s="1"/>
      <c r="E25" s="1"/>
      <c r="F25" s="1"/>
      <c r="G25" s="1"/>
      <c r="L25" t="s">
        <v>48</v>
      </c>
      <c r="M25" s="39">
        <f>M5/'O1 &amp; Fig 2. GHG emissions'!S10</f>
        <v>-3.2635370263884309E-3</v>
      </c>
      <c r="N25" s="39">
        <f>N5/'O1 &amp; Fig 2. GHG emissions'!S10</f>
        <v>-3.9336584551772434E-2</v>
      </c>
      <c r="O25" s="39">
        <f>O5/'O1 &amp; Fig 2. GHG emissions'!S10</f>
        <v>-4.695820144190696E-2</v>
      </c>
    </row>
    <row r="26" spans="1:15">
      <c r="A26" s="56" t="s">
        <v>370</v>
      </c>
      <c r="B26" s="1" t="s">
        <v>371</v>
      </c>
      <c r="C26" s="1"/>
      <c r="D26" s="1"/>
      <c r="E26" s="1"/>
      <c r="F26" s="1"/>
      <c r="G26" s="1"/>
      <c r="L26" t="s">
        <v>346</v>
      </c>
      <c r="M26" s="39">
        <f>M6/'O1 &amp; Fig 2. GHG emissions'!S11</f>
        <v>-2.8993957272754004E-3</v>
      </c>
      <c r="N26" s="39">
        <f>N6/'O1 &amp; Fig 2. GHG emissions'!S11</f>
        <v>-8.8858767985019581E-3</v>
      </c>
      <c r="O26" s="39">
        <f>O6/'O1 &amp; Fig 2. GHG emissions'!S11</f>
        <v>-1.2047346047890253E-2</v>
      </c>
    </row>
    <row r="27" spans="1:15">
      <c r="L27" t="s">
        <v>51</v>
      </c>
      <c r="M27" s="39">
        <f>M7/'O1 &amp; Fig 2. GHG emissions'!S12</f>
        <v>-1.6909308040184246E-2</v>
      </c>
      <c r="N27" s="39">
        <f>N7/'O1 &amp; Fig 2. GHG emissions'!S12</f>
        <v>2.420011547874441E-2</v>
      </c>
      <c r="O27" s="39">
        <f>O7/'O1 &amp; Fig 2. GHG emissions'!S12</f>
        <v>1.3153684168260335E-2</v>
      </c>
    </row>
  </sheetData>
  <mergeCells count="4">
    <mergeCell ref="A2:G2"/>
    <mergeCell ref="A6:G6"/>
    <mergeCell ref="A10:G10"/>
    <mergeCell ref="A14:G14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13280-D521-4EDF-B30A-A32C4BF8BAC3}">
  <dimension ref="A1:E10"/>
  <sheetViews>
    <sheetView workbookViewId="0">
      <selection activeCell="K11" sqref="K11"/>
    </sheetView>
  </sheetViews>
  <sheetFormatPr defaultRowHeight="15"/>
  <cols>
    <col min="1" max="1" width="16.5703125" customWidth="1"/>
    <col min="2" max="2" width="12" bestFit="1" customWidth="1"/>
    <col min="5" max="5" width="11" bestFit="1" customWidth="1"/>
  </cols>
  <sheetData>
    <row r="1" spans="1:5">
      <c r="A1" s="84" t="s">
        <v>372</v>
      </c>
    </row>
    <row r="3" spans="1:5">
      <c r="B3" s="46" t="s">
        <v>373</v>
      </c>
      <c r="C3" s="46" t="s">
        <v>374</v>
      </c>
      <c r="D3" s="40" t="s">
        <v>375</v>
      </c>
      <c r="E3" s="40" t="s">
        <v>376</v>
      </c>
    </row>
    <row r="4" spans="1:5">
      <c r="A4" t="s">
        <v>377</v>
      </c>
      <c r="B4" s="1">
        <f>C4*1000</f>
        <v>11630</v>
      </c>
      <c r="C4" s="73">
        <v>11.63</v>
      </c>
      <c r="D4" s="1">
        <f>C4*0.001</f>
        <v>1.1630000000000001E-2</v>
      </c>
      <c r="E4" s="1">
        <f>D4*0.001</f>
        <v>1.1630000000000002E-5</v>
      </c>
    </row>
    <row r="5" spans="1:5">
      <c r="A5" t="s">
        <v>378</v>
      </c>
      <c r="B5" s="1">
        <f>B4*1000</f>
        <v>11630000</v>
      </c>
      <c r="C5" s="1">
        <f>C4*1000</f>
        <v>11630</v>
      </c>
      <c r="D5" s="1">
        <f>D4*1000</f>
        <v>11.63</v>
      </c>
      <c r="E5" s="1">
        <f>E4*1000</f>
        <v>1.1630000000000001E-2</v>
      </c>
    </row>
    <row r="6" spans="1:5">
      <c r="A6" s="71" t="s">
        <v>379</v>
      </c>
      <c r="B6" s="1">
        <f>B4*1000000</f>
        <v>11630000000</v>
      </c>
      <c r="C6" s="1">
        <f>C4*1000000</f>
        <v>11630000</v>
      </c>
      <c r="D6" s="1">
        <f t="shared" ref="D6" si="0">D4*1000000</f>
        <v>11630.000000000002</v>
      </c>
      <c r="E6" s="1">
        <f>E4*1000000</f>
        <v>11.630000000000003</v>
      </c>
    </row>
    <row r="7" spans="1:5">
      <c r="B7" s="1"/>
      <c r="C7" s="1"/>
      <c r="D7" s="1"/>
      <c r="E7" s="1"/>
    </row>
    <row r="10" spans="1:5">
      <c r="A10" t="s">
        <v>380</v>
      </c>
      <c r="B10">
        <v>11.63</v>
      </c>
    </row>
  </sheetData>
  <hyperlinks>
    <hyperlink ref="A1" r:id="rId1" xr:uid="{CDDA7DAA-02CD-4D2C-A7D3-DC8516C3930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462A1B62F2C54A89815A910B5DA9DF" ma:contentTypeVersion="16" ma:contentTypeDescription="Create a new document." ma:contentTypeScope="" ma:versionID="43a3ad87b04958c91f7313fb39e06f27">
  <xsd:schema xmlns:xsd="http://www.w3.org/2001/XMLSchema" xmlns:xs="http://www.w3.org/2001/XMLSchema" xmlns:p="http://schemas.microsoft.com/office/2006/metadata/properties" xmlns:ns2="a9d963ac-f1ca-452e-b18b-8cbbecb7290e" xmlns:ns3="a8fcedee-7f03-4257-8c59-ae56f55c4b1e" targetNamespace="http://schemas.microsoft.com/office/2006/metadata/properties" ma:root="true" ma:fieldsID="d00b033298dd0215310f833e8991d3df" ns2:_="" ns3:_="">
    <xsd:import namespace="a9d963ac-f1ca-452e-b18b-8cbbecb7290e"/>
    <xsd:import namespace="a8fcedee-7f03-4257-8c59-ae56f55c4b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d963ac-f1ca-452e-b18b-8cbbecb729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ede42cbc-566b-46c9-aea5-a71cdcd36d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fcedee-7f03-4257-8c59-ae56f55c4b1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5e1f8554-d6c4-460b-bca5-2ae6d8f9a2f4}" ma:internalName="TaxCatchAll" ma:showField="CatchAllData" ma:web="a8fcedee-7f03-4257-8c59-ae56f55c4b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8fcedee-7f03-4257-8c59-ae56f55c4b1e" xsi:nil="true"/>
    <lcf76f155ced4ddcb4097134ff3c332f xmlns="a9d963ac-f1ca-452e-b18b-8cbbecb7290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F8D9E9E-D77E-4E54-84FA-D1A3E94E53D3}"/>
</file>

<file path=customXml/itemProps2.xml><?xml version="1.0" encoding="utf-8"?>
<ds:datastoreItem xmlns:ds="http://schemas.openxmlformats.org/officeDocument/2006/customXml" ds:itemID="{5BC852B3-A9E1-4A65-AEFC-2E8D9510FDCE}"/>
</file>

<file path=customXml/itemProps3.xml><?xml version="1.0" encoding="utf-8"?>
<ds:datastoreItem xmlns:ds="http://schemas.openxmlformats.org/officeDocument/2006/customXml" ds:itemID="{360A5E42-A007-4AE6-82D8-A5D6F3B52A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Pieter Lemmens</dc:creator>
  <cp:keywords/>
  <dc:description/>
  <cp:lastModifiedBy/>
  <cp:revision/>
  <dcterms:created xsi:type="dcterms:W3CDTF">2015-06-05T18:17:20Z</dcterms:created>
  <dcterms:modified xsi:type="dcterms:W3CDTF">2026-06-02T13:21:17Z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0x01010003462A1B62F2C54A89815A910B5DA9DF</vt:lpwstr>
  </property>
  <property fmtid="{D5CDD505-2E9C-101B-9397-08002B2CF9AE}" pid="3" name="MediaServiceImageTags">
    <vt:lpwstr/>
  </property>
</Properties>
</file>