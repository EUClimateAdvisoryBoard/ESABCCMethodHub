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assessed gaps" sheetId="2" state="visible" r:id="rId2"/>
    <sheet xmlns:r="http://schemas.openxmlformats.org/officeDocument/2006/relationships" name="Candidate gaps" sheetId="3" state="visible" r:id="rId3"/>
    <sheet xmlns:r="http://schemas.openxmlformats.org/officeDocument/2006/relationships" name="Landscape data" sheetId="4" state="visible" r:id="rId4"/>
    <sheet xmlns:r="http://schemas.openxmlformats.org/officeDocument/2006/relationships" name="Gap landscape" sheetId="5" state="visible" r:id="rId5"/>
    <sheet xmlns:r="http://schemas.openxmlformats.org/officeDocument/2006/relationships" name="Legend" sheetId="6" state="visible" r:id="rId6"/>
  </sheets>
  <definedNames>
    <definedName name="_xlnm._FilterDatabase" localSheetId="1" hidden="1">'Re-assessed gaps'!$A$1:$N$11</definedName>
    <definedName name="_xlnm._FilterDatabase" localSheetId="2" hidden="1">'Candidate gaps'!$A$1:$K$11</definedName>
    <definedName name="_xlnm._FilterDatabase" localSheetId="3" hidden="1">'Landscape data'!$A$1:$G$22</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Semibold"/>
      <b val="1"/>
      <color rgb="004D7E83"/>
      <sz val="18"/>
    </font>
    <font>
      <name val="Segoe UI Semilight"/>
      <color rgb="004D7E83"/>
      <sz val="11"/>
    </font>
    <font>
      <name val="Segoe UI Semilight"/>
      <color rgb="006E7A7B"/>
      <sz val="8"/>
    </font>
    <font>
      <name val="Segoe UI Semibold"/>
      <b val="1"/>
      <color rgb="004D7E83"/>
      <sz val="12"/>
    </font>
    <font>
      <name val="Segoe UI Semibold"/>
      <color rgb="004D7E83"/>
      <sz val="9"/>
    </font>
    <font>
      <name val="Segoe UI"/>
      <color rgb="002C2D2D"/>
      <sz val="9"/>
    </font>
    <font>
      <name val="Segoe UI Semibold"/>
      <color rgb="00FFFFFF"/>
      <sz val="9"/>
    </font>
    <font>
      <name val="Segoe UI Semibold"/>
      <color rgb="00B04545"/>
      <sz val="9"/>
    </font>
    <font>
      <name val="Segoe UI Semibold"/>
      <color rgb="002C2D2D"/>
      <sz val="9"/>
    </font>
    <font>
      <name val="Segoe UI Semilight"/>
      <i val="1"/>
      <color rgb="006E7A7B"/>
      <sz val="8.5"/>
    </font>
    <font>
      <name val="Segoe UI Semibold"/>
      <color rgb="00F59E2D"/>
      <sz val="9"/>
    </font>
    <font>
      <name val="Segoe UI"/>
      <color rgb="000563C1"/>
      <sz val="7.5"/>
    </font>
    <font>
      <name val="Segoe UI Semibold"/>
      <color rgb="00648ECA"/>
      <sz val="9"/>
    </font>
    <font>
      <name val="Segoe UI Semilight"/>
      <color rgb="004D7E83"/>
      <sz val="8.5"/>
    </font>
    <font>
      <name val="Segoe UI Semibold"/>
      <color rgb="00B487C7"/>
      <sz val="9"/>
    </font>
    <font>
      <name val="Segoe UI Semibold"/>
      <color rgb="006E7A7B"/>
      <sz val="9"/>
    </font>
  </fonts>
  <fills count="11">
    <fill>
      <patternFill/>
    </fill>
    <fill>
      <patternFill patternType="gray125"/>
    </fill>
    <fill>
      <patternFill patternType="solid">
        <fgColor rgb="00D8E7E8"/>
      </patternFill>
    </fill>
    <fill>
      <patternFill patternType="solid">
        <fgColor rgb="00EFF6F6"/>
      </patternFill>
    </fill>
    <fill>
      <patternFill patternType="solid">
        <fgColor rgb="004D7E83"/>
      </patternFill>
    </fill>
    <fill>
      <patternFill patternType="solid">
        <fgColor rgb="00FFF6D9"/>
      </patternFill>
    </fill>
    <fill>
      <patternFill patternType="solid">
        <fgColor rgb="00B04545"/>
      </patternFill>
    </fill>
    <fill>
      <patternFill patternType="solid">
        <fgColor rgb="00F59E2D"/>
      </patternFill>
    </fill>
    <fill>
      <patternFill patternType="solid">
        <fgColor rgb="00648ECA"/>
      </patternFill>
    </fill>
    <fill>
      <patternFill patternType="solid">
        <fgColor rgb="00B487C7"/>
      </patternFill>
    </fill>
    <fill>
      <patternFill patternType="solid">
        <fgColor rgb="006E7A7B"/>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0" applyAlignment="1" pivotButton="0" quotePrefix="0" xfId="0">
      <alignment vertical="top"/>
    </xf>
    <xf numFmtId="0" fontId="6" fillId="2" borderId="0" applyAlignment="1" pivotButton="0" quotePrefix="0" xfId="0">
      <alignment vertical="top" wrapText="1"/>
    </xf>
    <xf numFmtId="0" fontId="0" fillId="2" borderId="0" pivotButton="0" quotePrefix="0" xfId="0"/>
    <xf numFmtId="0" fontId="5" fillId="3" borderId="0" applyAlignment="1" pivotButton="0" quotePrefix="0" xfId="0">
      <alignment vertical="top"/>
    </xf>
    <xf numFmtId="0" fontId="6" fillId="3" borderId="0" applyAlignment="1" pivotButton="0" quotePrefix="0" xfId="0">
      <alignment vertical="top" wrapText="1"/>
    </xf>
    <xf numFmtId="0" fontId="0" fillId="3" borderId="0" pivotButton="0" quotePrefix="0" xfId="0"/>
    <xf numFmtId="0" fontId="6" fillId="0" borderId="0" applyAlignment="1" pivotButton="0" quotePrefix="0" xfId="0">
      <alignment vertical="top" wrapText="1"/>
    </xf>
    <xf numFmtId="0" fontId="5" fillId="0" borderId="0" pivotButton="0" quotePrefix="0" xfId="0"/>
    <xf numFmtId="0" fontId="7" fillId="4" borderId="1" applyAlignment="1" pivotButton="0" quotePrefix="0" xfId="0">
      <alignment horizontal="left" vertical="center" wrapText="1"/>
    </xf>
    <xf numFmtId="0" fontId="6" fillId="2" borderId="1" applyAlignment="1" pivotButton="0" quotePrefix="0" xfId="0">
      <alignment horizontal="center" vertical="top"/>
    </xf>
    <xf numFmtId="0" fontId="6" fillId="2" borderId="1" applyAlignment="1" pivotButton="0" quotePrefix="0" xfId="0">
      <alignment horizontal="left" vertical="top" wrapText="1"/>
    </xf>
    <xf numFmtId="0" fontId="8" fillId="2" borderId="1" applyAlignment="1" pivotButton="0" quotePrefix="0" xfId="0">
      <alignment horizontal="left" vertical="top" wrapText="1"/>
    </xf>
    <xf numFmtId="0" fontId="9" fillId="2" borderId="1" applyAlignment="1" pivotButton="0" quotePrefix="0" xfId="0">
      <alignment horizontal="left" vertical="top" wrapText="1"/>
    </xf>
    <xf numFmtId="0" fontId="10" fillId="2" borderId="1" applyAlignment="1" pivotButton="0" quotePrefix="0" xfId="0">
      <alignment horizontal="left" vertical="top" wrapText="1"/>
    </xf>
    <xf numFmtId="0" fontId="11" fillId="2" borderId="1" applyAlignment="1" pivotButton="0" quotePrefix="0" xfId="0">
      <alignment horizontal="left" vertical="top" wrapText="1"/>
    </xf>
    <xf numFmtId="0" fontId="12" fillId="2" borderId="1" applyAlignment="1" pivotButton="0" quotePrefix="0" xfId="0">
      <alignment horizontal="left" vertical="top" wrapText="1"/>
    </xf>
    <xf numFmtId="0" fontId="3" fillId="2" borderId="1" applyAlignment="1" pivotButton="0" quotePrefix="0" xfId="0">
      <alignment horizontal="left" vertical="top" wrapText="1"/>
    </xf>
    <xf numFmtId="0" fontId="6" fillId="3" borderId="1" applyAlignment="1" pivotButton="0" quotePrefix="0" xfId="0">
      <alignment horizontal="center" vertical="top"/>
    </xf>
    <xf numFmtId="0" fontId="6"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5" fillId="3" borderId="1" applyAlignment="1" pivotButton="0" quotePrefix="0" xfId="0">
      <alignment horizontal="left" vertical="top" wrapText="1"/>
    </xf>
    <xf numFmtId="0" fontId="12" fillId="3" borderId="1" applyAlignment="1" pivotButton="0" quotePrefix="0" xfId="0">
      <alignment horizontal="left" vertical="top" wrapText="1"/>
    </xf>
    <xf numFmtId="0" fontId="3" fillId="3" borderId="1" applyAlignment="1" pivotButton="0" quotePrefix="0" xfId="0">
      <alignment horizontal="left" vertical="top" wrapText="1"/>
    </xf>
    <xf numFmtId="0" fontId="11" fillId="3" borderId="1" applyAlignment="1" pivotButton="0" quotePrefix="0" xfId="0">
      <alignment horizontal="left" vertical="top" wrapText="1"/>
    </xf>
    <xf numFmtId="0" fontId="13" fillId="3" borderId="1" applyAlignment="1" pivotButton="0" quotePrefix="0" xfId="0">
      <alignment horizontal="left" vertical="top" wrapText="1"/>
    </xf>
    <xf numFmtId="0" fontId="14" fillId="0" borderId="0" applyAlignment="1" pivotButton="0" quotePrefix="0" xfId="0">
      <alignment vertical="top" wrapText="1"/>
    </xf>
    <xf numFmtId="0" fontId="6" fillId="5" borderId="1" applyAlignment="1" pivotButton="0" quotePrefix="0" xfId="0">
      <alignment horizontal="left" vertical="top" wrapText="1"/>
    </xf>
    <xf numFmtId="0" fontId="13" fillId="2" borderId="1" applyAlignment="1" pivotButton="0" quotePrefix="0" xfId="0">
      <alignment horizontal="left" vertical="top" wrapText="1"/>
    </xf>
    <xf numFmtId="0" fontId="5" fillId="2" borderId="1" applyAlignment="1" pivotButton="0" quotePrefix="0" xfId="0">
      <alignment horizontal="left" vertical="top" wrapText="1"/>
    </xf>
    <xf numFmtId="0" fontId="15" fillId="3" borderId="1" applyAlignment="1" pivotButton="0" quotePrefix="0" xfId="0">
      <alignment horizontal="left" vertical="top" wrapText="1"/>
    </xf>
    <xf numFmtId="0" fontId="15" fillId="2" borderId="1" applyAlignment="1" pivotButton="0" quotePrefix="0" xfId="0">
      <alignment horizontal="left" vertical="top" wrapText="1"/>
    </xf>
    <xf numFmtId="0" fontId="6" fillId="2" borderId="1" applyAlignment="1" pivotButton="0" quotePrefix="0" xfId="0">
      <alignment horizontal="center" vertical="center"/>
    </xf>
    <xf numFmtId="0" fontId="6" fillId="3" borderId="1" applyAlignment="1" pivotButton="0" quotePrefix="0" xfId="0">
      <alignment horizontal="center" vertical="center"/>
    </xf>
    <xf numFmtId="0" fontId="7" fillId="4" borderId="1" applyAlignment="1" pivotButton="0" quotePrefix="0" xfId="0">
      <alignment horizontal="left" vertical="top" wrapText="1"/>
    </xf>
    <xf numFmtId="0" fontId="7" fillId="4" borderId="1" applyAlignment="1" pivotButton="0" quotePrefix="0" xfId="0">
      <alignment horizontal="center" vertical="center"/>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4" borderId="1" applyAlignment="1" pivotButton="0" quotePrefix="0" xfId="0">
      <alignment horizontal="left" vertical="top" wrapText="1"/>
    </xf>
    <xf numFmtId="0" fontId="16" fillId="3" borderId="1" applyAlignment="1" pivotButton="0" quotePrefix="0" xfId="0">
      <alignment horizontal="left" vertical="top" wrapText="1"/>
    </xf>
    <xf numFmtId="0" fontId="6"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100" b="0">
                <a:solidFill>
                  <a:srgbClr val="4D7E83"/>
                </a:solidFill>
                <a:latin typeface="Segoe UI Semibold"/>
              </a:defRPr>
            </a:pPr>
            <a:r>
              <a:rPr sz="1100" b="0">
                <a:solidFill>
                  <a:srgbClr val="4D7E83"/>
                </a:solidFill>
                <a:latin typeface="Segoe UI Semibold"/>
              </a:rPr>
              <a:t>Industry — gaps per subsector</a:t>
            </a:r>
          </a:p>
        </rich>
      </tx>
    </title>
    <plotArea>
      <barChart>
        <barDir val="bar"/>
        <grouping val="stacked"/>
        <ser>
          <idx val="0"/>
          <order val="0"/>
          <tx>
            <strRef>
              <f>'Gap landscape'!B5</f>
            </strRef>
          </tx>
          <spPr>
            <a:solidFill xmlns:a="http://schemas.openxmlformats.org/drawingml/2006/main">
              <a:srgbClr val="B04545"/>
            </a:solidFill>
            <a:ln xmlns:a="http://schemas.openxmlformats.org/drawingml/2006/main">
              <a:noFill/>
              <a:prstDash val="solid"/>
            </a:ln>
          </spPr>
          <cat>
            <strRef>
              <f>'Gap landscape'!$A$6:$A$9</f>
            </strRef>
          </cat>
          <val>
            <numRef>
              <f>'Gap landscape'!$B$6:$B$9</f>
            </numRef>
          </val>
        </ser>
        <ser>
          <idx val="1"/>
          <order val="1"/>
          <tx>
            <strRef>
              <f>'Gap landscape'!C5</f>
            </strRef>
          </tx>
          <spPr>
            <a:solidFill xmlns:a="http://schemas.openxmlformats.org/drawingml/2006/main">
              <a:srgbClr val="F59E2D"/>
            </a:solidFill>
            <a:ln xmlns:a="http://schemas.openxmlformats.org/drawingml/2006/main">
              <a:noFill/>
              <a:prstDash val="solid"/>
            </a:ln>
          </spPr>
          <cat>
            <strRef>
              <f>'Gap landscape'!$A$6:$A$9</f>
            </strRef>
          </cat>
          <val>
            <numRef>
              <f>'Gap landscape'!$C$6:$C$9</f>
            </numRef>
          </val>
        </ser>
        <ser>
          <idx val="2"/>
          <order val="2"/>
          <tx>
            <strRef>
              <f>'Gap landscape'!D5</f>
            </strRef>
          </tx>
          <spPr>
            <a:solidFill xmlns:a="http://schemas.openxmlformats.org/drawingml/2006/main">
              <a:srgbClr val="4D7E83"/>
            </a:solidFill>
            <a:ln xmlns:a="http://schemas.openxmlformats.org/drawingml/2006/main">
              <a:noFill/>
              <a:prstDash val="solid"/>
            </a:ln>
          </spPr>
          <cat>
            <strRef>
              <f>'Gap landscape'!$A$6:$A$9</f>
            </strRef>
          </cat>
          <val>
            <numRef>
              <f>'Gap landscape'!$D$6:$D$9</f>
            </numRef>
          </val>
        </ser>
        <ser>
          <idx val="3"/>
          <order val="3"/>
          <tx>
            <strRef>
              <f>'Gap landscape'!E5</f>
            </strRef>
          </tx>
          <spPr>
            <a:solidFill xmlns:a="http://schemas.openxmlformats.org/drawingml/2006/main">
              <a:srgbClr val="B487C7"/>
            </a:solidFill>
            <a:ln xmlns:a="http://schemas.openxmlformats.org/drawingml/2006/main">
              <a:noFill/>
              <a:prstDash val="solid"/>
            </a:ln>
          </spPr>
          <cat>
            <strRef>
              <f>'Gap landscape'!$A$6:$A$9</f>
            </strRef>
          </cat>
          <val>
            <numRef>
              <f>'Gap landscape'!$E$6:$E$9</f>
            </numRef>
          </val>
        </ser>
        <gapWidth val="150"/>
        <overlap val="100"/>
        <axId val="10"/>
        <axId val="100"/>
      </barChart>
      <catAx>
        <axId val="10"/>
        <scaling>
          <orientation val="minMax"/>
        </scaling>
        <delete val="0"/>
        <axPos val="l"/>
        <title>
          <tx>
            <rich>
              <a:bodyPr xmlns:a="http://schemas.openxmlformats.org/drawingml/2006/main"/>
              <a:p xmlns:a="http://schemas.openxmlformats.org/drawingml/2006/main">
                <a:pPr>
                  <a:defRPr/>
                </a:pPr>
                <a:r>
                  <a:t>Number of gaps</a:t>
                </a:r>
              </a:p>
            </rich>
          </tx>
        </title>
        <majorTickMark val="none"/>
        <minorTickMark val="none"/>
        <tickLblPos val="nextTo"/>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majorTickMark val="none"/>
        <minorTickMark val="none"/>
        <tickLblPos val="nextTo"/>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100" b="0">
                <a:solidFill>
                  <a:srgbClr val="4D7E83"/>
                </a:solidFill>
                <a:latin typeface="Segoe UI Semibold"/>
              </a:defRPr>
            </a:pPr>
            <a:r>
              <a:rPr sz="1100" b="0">
                <a:solidFill>
                  <a:srgbClr val="4D7E83"/>
                </a:solidFill>
                <a:latin typeface="Segoe UI Semibold"/>
              </a:rPr>
              <a:t>Transport — gaps per subsector</a:t>
            </a:r>
          </a:p>
        </rich>
      </tx>
    </title>
    <plotArea>
      <barChart>
        <barDir val="bar"/>
        <grouping val="stacked"/>
        <ser>
          <idx val="0"/>
          <order val="0"/>
          <tx>
            <strRef>
              <f>'Gap landscape'!B14</f>
            </strRef>
          </tx>
          <spPr>
            <a:solidFill xmlns:a="http://schemas.openxmlformats.org/drawingml/2006/main">
              <a:srgbClr val="B04545"/>
            </a:solidFill>
            <a:ln xmlns:a="http://schemas.openxmlformats.org/drawingml/2006/main">
              <a:noFill/>
              <a:prstDash val="solid"/>
            </a:ln>
          </spPr>
          <cat>
            <strRef>
              <f>'Gap landscape'!$A$15:$A$20</f>
            </strRef>
          </cat>
          <val>
            <numRef>
              <f>'Gap landscape'!$B$15:$B$20</f>
            </numRef>
          </val>
        </ser>
        <ser>
          <idx val="1"/>
          <order val="1"/>
          <tx>
            <strRef>
              <f>'Gap landscape'!C14</f>
            </strRef>
          </tx>
          <spPr>
            <a:solidFill xmlns:a="http://schemas.openxmlformats.org/drawingml/2006/main">
              <a:srgbClr val="F59E2D"/>
            </a:solidFill>
            <a:ln xmlns:a="http://schemas.openxmlformats.org/drawingml/2006/main">
              <a:noFill/>
              <a:prstDash val="solid"/>
            </a:ln>
          </spPr>
          <cat>
            <strRef>
              <f>'Gap landscape'!$A$15:$A$20</f>
            </strRef>
          </cat>
          <val>
            <numRef>
              <f>'Gap landscape'!$C$15:$C$20</f>
            </numRef>
          </val>
        </ser>
        <ser>
          <idx val="2"/>
          <order val="2"/>
          <tx>
            <strRef>
              <f>'Gap landscape'!D14</f>
            </strRef>
          </tx>
          <spPr>
            <a:solidFill xmlns:a="http://schemas.openxmlformats.org/drawingml/2006/main">
              <a:srgbClr val="4D7E83"/>
            </a:solidFill>
            <a:ln xmlns:a="http://schemas.openxmlformats.org/drawingml/2006/main">
              <a:noFill/>
              <a:prstDash val="solid"/>
            </a:ln>
          </spPr>
          <cat>
            <strRef>
              <f>'Gap landscape'!$A$15:$A$20</f>
            </strRef>
          </cat>
          <val>
            <numRef>
              <f>'Gap landscape'!$D$15:$D$20</f>
            </numRef>
          </val>
        </ser>
        <ser>
          <idx val="3"/>
          <order val="3"/>
          <tx>
            <strRef>
              <f>'Gap landscape'!E14</f>
            </strRef>
          </tx>
          <spPr>
            <a:solidFill xmlns:a="http://schemas.openxmlformats.org/drawingml/2006/main">
              <a:srgbClr val="B487C7"/>
            </a:solidFill>
            <a:ln xmlns:a="http://schemas.openxmlformats.org/drawingml/2006/main">
              <a:noFill/>
              <a:prstDash val="solid"/>
            </a:ln>
          </spPr>
          <cat>
            <strRef>
              <f>'Gap landscape'!$A$15:$A$20</f>
            </strRef>
          </cat>
          <val>
            <numRef>
              <f>'Gap landscape'!$E$15:$E$20</f>
            </numRef>
          </val>
        </ser>
        <gapWidth val="150"/>
        <overlap val="100"/>
        <axId val="10"/>
        <axId val="100"/>
      </barChart>
      <catAx>
        <axId val="10"/>
        <scaling>
          <orientation val="minMax"/>
        </scaling>
        <delete val="0"/>
        <axPos val="l"/>
        <title>
          <tx>
            <rich>
              <a:bodyPr xmlns:a="http://schemas.openxmlformats.org/drawingml/2006/main"/>
              <a:p xmlns:a="http://schemas.openxmlformats.org/drawingml/2006/main">
                <a:pPr>
                  <a:defRPr/>
                </a:pPr>
                <a:r>
                  <a:t>Number of gaps</a:t>
                </a:r>
              </a:p>
            </rich>
          </tx>
        </title>
        <majorTickMark val="none"/>
        <minorTickMark val="none"/>
        <tickLblPos val="nextTo"/>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delete val="0"/>
        <axPos val="l"/>
        <majorTickMark val="none"/>
        <minorTickMark val="none"/>
        <tickLblPos val="nextTo"/>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legend>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3</row>
      <rowOff>0</rowOff>
    </from>
    <ext cx="5400000" cy="26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11</row>
      <rowOff>0</rowOff>
    </from>
    <ext cx="5400000" cy="26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D7E83"/>
    <outlinePr summaryBelow="1" summaryRight="1"/>
    <pageSetUpPr/>
  </sheetPr>
  <dimension ref="A1:H23"/>
  <sheetViews>
    <sheetView showGridLines="0" zoomScale="100"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0" customWidth="1" min="6" max="6"/>
    <col width="16" customWidth="1" min="7" max="7"/>
    <col width="16" customWidth="1" min="8" max="8"/>
  </cols>
  <sheetData>
    <row r="1" ht="26" customHeight="1">
      <c r="A1" s="1" t="inlineStr">
        <is>
          <t>Policy gaps — Transport &amp; Industry</t>
        </is>
      </c>
    </row>
    <row r="2" ht="30" customHeight="1">
      <c r="A2" s="2" t="inlineStr">
        <is>
          <t>The transport- and industry-tagged findings of the 2024 ESABCC progress report, re-assessed against the legislation adopted since; plus candidate additional gaps and the per-subsector gap landscape.</t>
        </is>
      </c>
    </row>
    <row r="3">
      <c r="A3" s="3" t="inlineStr">
        <is>
          <t>Background document for the Summer Prep · Policy Gap 2.0 Report module (Note 3) · prepared 27 July 2026. Re-assessment vintage: Provisional read, mid-2026.</t>
        </is>
      </c>
    </row>
    <row r="5">
      <c r="A5" s="4" t="inlineStr">
        <is>
          <t>What is in this workbook</t>
        </is>
      </c>
    </row>
    <row r="6" ht="44" customHeight="1">
      <c r="A6" s="5" t="inlineStr">
        <is>
          <t>Re-assessed gaps</t>
        </is>
      </c>
      <c r="B6" s="6" t="inlineStr">
        <is>
          <t>The 10 transport/industry gaps the report tagged, each with its verbatim report quote and page, its assigned subsector, and a provisional mid-2026 read of whether it still exists — with the sources behind that read.</t>
        </is>
      </c>
      <c r="C6" s="7" t="n"/>
      <c r="D6" s="7" t="n"/>
      <c r="E6" s="7" t="n"/>
      <c r="F6" s="7" t="n"/>
      <c r="G6" s="7" t="n"/>
      <c r="H6" s="7" t="n"/>
    </row>
    <row r="7" ht="44" customHeight="1">
      <c r="A7" s="8" t="inlineStr">
        <is>
          <t>Candidate gaps</t>
        </is>
      </c>
      <c r="B7" s="9" t="inlineStr">
        <is>
          <t>10 issues that look like policy, ambition or implementation gaps but are not (yet) tagged as such in the report. Each carries the test that would confirm or refute it. These are proposals for the sector lead, not findings.</t>
        </is>
      </c>
      <c r="C7" s="10" t="n"/>
      <c r="D7" s="10" t="n"/>
      <c r="E7" s="10" t="n"/>
      <c r="F7" s="10" t="n"/>
      <c r="G7" s="10" t="n"/>
      <c r="H7" s="10" t="n"/>
    </row>
    <row r="8" ht="44" customHeight="1">
      <c r="A8" s="5" t="inlineStr">
        <is>
          <t>Gap landscape</t>
        </is>
      </c>
      <c r="B8" s="6" t="inlineStr">
        <is>
          <t>Gaps per sector and subsector — report gaps by live status, and candidates — with the landscape figure. Counts are COUNTIFS formulas over the “Landscape data” sheet.</t>
        </is>
      </c>
      <c r="C8" s="7" t="n"/>
      <c r="D8" s="7" t="n"/>
      <c r="E8" s="7" t="n"/>
      <c r="F8" s="7" t="n"/>
      <c r="G8" s="7" t="n"/>
      <c r="H8" s="7" t="n"/>
    </row>
    <row r="9" ht="44" customHeight="1">
      <c r="A9" s="8" t="inlineStr">
        <is>
          <t>Landscape data</t>
        </is>
      </c>
      <c r="B9" s="9" t="inlineStr">
        <is>
          <t>The same gaps in long format, one row per gap × subsector. A gap that bears on two subsectors appears once per subsector, so no subsector row is silently empty. This is the sheet the landscape counts read from.</t>
        </is>
      </c>
      <c r="C9" s="10" t="n"/>
      <c r="D9" s="10" t="n"/>
      <c r="E9" s="10" t="n"/>
      <c r="F9" s="10" t="n"/>
      <c r="G9" s="10" t="n"/>
      <c r="H9" s="10" t="n"/>
    </row>
    <row r="10" ht="44" customHeight="1">
      <c r="A10" s="5" t="inlineStr">
        <is>
          <t>Legend</t>
        </is>
      </c>
      <c r="B10" s="6" t="inlineStr">
        <is>
          <t>Gap types, live statuses and the subsector taxonomy.</t>
        </is>
      </c>
      <c r="C10" s="7" t="n"/>
      <c r="D10" s="7" t="n"/>
      <c r="E10" s="7" t="n"/>
      <c r="F10" s="7" t="n"/>
      <c r="G10" s="7" t="n"/>
      <c r="H10" s="7" t="n"/>
    </row>
    <row r="12">
      <c r="A12" s="4" t="inlineStr">
        <is>
          <t>How to read it — and what it is not</t>
        </is>
      </c>
    </row>
    <row r="13" ht="28" customHeight="1">
      <c r="A13" s="11" t="inlineStr">
        <is>
          <t>• The base facts are the Board's: that the report tagged the gap, its verbatim quote, and its page. Those columns are unchanged from the report and should not be edited.</t>
        </is>
      </c>
    </row>
    <row r="14" ht="28" customHeight="1">
      <c r="A14" s="11" t="inlineStr">
        <is>
          <t>• The re-assessment status and note, the candidate gaps, and the assignment of each gap to a subsector are AI-compiled working material for this prep cycle and are PENDING VERIFICATION. Nothing here is a Board position — it is a prompt for the sector lead's own judgement.</t>
        </is>
      </c>
    </row>
    <row r="15" ht="28" customHeight="1">
      <c r="A15" s="11" t="inlineStr">
        <is>
          <t>• Where a re-assessment leans on something that happened after the report, the source URLs are in the “Sources” column. Check those first when you take a row forward.</t>
        </is>
      </c>
    </row>
    <row r="16" ht="28" customHeight="1">
      <c r="A16" s="11" t="inlineStr">
        <is>
          <t>• Candidate gaps are deliberately falsifiable: each has a “Test to confirm / refute”. Work the test, then accept the candidate into the tracker or drop it — and record which.</t>
        </is>
      </c>
    </row>
    <row r="17" ht="28" customHeight="1">
      <c r="A17" s="11" t="inlineStr">
        <is>
          <t>• The live version is in the Method Hub (Summer Prep › Policy Gap 2.0 Report › Policy Gaps — Transport &amp; Industry).</t>
        </is>
      </c>
    </row>
    <row r="19">
      <c r="A19" s="4" t="inlineStr">
        <is>
          <t>Source</t>
        </is>
      </c>
    </row>
    <row r="20" ht="26" customHeight="1">
      <c r="A20" s="12" t="inlineStr">
        <is>
          <t>Report</t>
        </is>
      </c>
      <c r="B20" s="11" t="inlineStr">
        <is>
          <t>European Scientific Advisory Board on Climate Change (2024) “Towards EU climate neutrality: Progress, policy gaps and opportunities”, January 2024.</t>
        </is>
      </c>
    </row>
    <row r="21" ht="26" customHeight="1">
      <c r="A21" s="12" t="inlineStr">
        <is>
          <t>Report URL</t>
        </is>
      </c>
      <c r="B21" s="11" t="inlineStr">
        <is>
          <t>https://climate-advisory-board.europa.eu/reports-and-publications/towards-eu-climate-neutrality-progress-policy-gaps-and-opportunities</t>
        </is>
      </c>
    </row>
    <row r="22" ht="26" customHeight="1">
      <c r="A22" s="12" t="inlineStr">
        <is>
          <t>Data source</t>
        </is>
      </c>
      <c r="B22" s="11" t="inlineStr">
        <is>
          <t>src/data/summer-prep-sector-gaps.ts, joined to src/data/policy-gaps.ts, in the ESABCC Method Hub repository.</t>
        </is>
      </c>
    </row>
    <row r="23" ht="26" customHeight="1">
      <c r="A23" s="12" t="inlineStr">
        <is>
          <t>Vintage</t>
        </is>
      </c>
      <c r="B23" s="11" t="inlineStr">
        <is>
          <t>Provisional read, mid-2026</t>
        </is>
      </c>
    </row>
  </sheetData>
  <mergeCells count="17">
    <mergeCell ref="B22:H22"/>
    <mergeCell ref="B8:H8"/>
    <mergeCell ref="A3:H3"/>
    <mergeCell ref="B23:H23"/>
    <mergeCell ref="B9:H9"/>
    <mergeCell ref="A15:H15"/>
    <mergeCell ref="B21:H21"/>
    <mergeCell ref="A2:H2"/>
    <mergeCell ref="A16:H16"/>
    <mergeCell ref="B6:H6"/>
    <mergeCell ref="A13:H13"/>
    <mergeCell ref="A14:H14"/>
    <mergeCell ref="B7:H7"/>
    <mergeCell ref="A1:H1"/>
    <mergeCell ref="B10:H10"/>
    <mergeCell ref="B20:H20"/>
    <mergeCell ref="A17:H17"/>
  </mergeCells>
  <pageMargins left="0.75" right="0.75" top="1" bottom="1" header="0.5" footer="0.5"/>
</worksheet>
</file>

<file path=xl/worksheets/sheet2.xml><?xml version="1.0" encoding="utf-8"?>
<worksheet xmlns="http://schemas.openxmlformats.org/spreadsheetml/2006/main">
  <sheetPr>
    <tabColor rgb="004D7E83"/>
    <outlinePr summaryBelow="1" summaryRight="1"/>
    <pageSetUpPr/>
  </sheetPr>
  <dimension ref="A1:N14"/>
  <sheetViews>
    <sheetView showGridLines="0" zoomScale="100"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16" customWidth="1" min="3" max="3"/>
    <col width="15" customWidth="1" min="4" max="4"/>
    <col width="28" customWidth="1" min="5" max="5"/>
    <col width="40" customWidth="1" min="6" max="6"/>
    <col width="24" customWidth="1" min="7" max="7"/>
    <col width="52" customWidth="1" min="8" max="8"/>
    <col width="20" customWidth="1" min="9" max="9"/>
    <col width="18" customWidth="1" min="10" max="10"/>
    <col width="56" customWidth="1" min="11" max="11"/>
    <col width="16" customWidth="1" min="12" max="12"/>
    <col width="34" customWidth="1" min="13" max="13"/>
    <col width="24" customWidth="1" min="14" max="14"/>
  </cols>
  <sheetData>
    <row r="1" ht="34" customHeight="1">
      <c r="A1" s="13" t="inlineStr">
        <is>
          <t>#</t>
        </is>
      </c>
      <c r="B1" s="13" t="inlineStr">
        <is>
          <t>Sector</t>
        </is>
      </c>
      <c r="C1" s="13" t="inlineStr">
        <is>
          <t>Subsector</t>
        </is>
      </c>
      <c r="D1" s="13" t="inlineStr">
        <is>
          <t>Gap type</t>
        </is>
      </c>
      <c r="E1" s="13" t="inlineStr">
        <is>
          <t>Finding</t>
        </is>
      </c>
      <c r="F1" s="13" t="inlineStr">
        <is>
          <t>What the Board found</t>
        </is>
      </c>
      <c r="G1" s="13" t="inlineStr">
        <is>
          <t>Main EU instrument(s)</t>
        </is>
      </c>
      <c r="H1" s="13" t="inlineStr">
        <is>
          <t>Verbatim quote from the report</t>
        </is>
      </c>
      <c r="I1" s="13" t="inlineStr">
        <is>
          <t>Report reference</t>
        </is>
      </c>
      <c r="J1" s="13" t="inlineStr">
        <is>
          <t>Status mid-2026 (provisional)</t>
        </is>
      </c>
      <c r="K1" s="13" t="inlineStr">
        <is>
          <t>Re-assessment — what has changed since January 2024</t>
        </is>
      </c>
      <c r="L1" s="13" t="inlineStr">
        <is>
          <t>Also bears on</t>
        </is>
      </c>
      <c r="M1" s="13" t="inlineStr">
        <is>
          <t>Sources for the re-assessment</t>
        </is>
      </c>
      <c r="N1" s="13" t="inlineStr">
        <is>
          <t>ID</t>
        </is>
      </c>
    </row>
    <row r="2" ht="92" customHeight="1">
      <c r="A2" s="14" t="n">
        <v>1</v>
      </c>
      <c r="B2" s="15" t="inlineStr">
        <is>
          <t>Industry</t>
        </is>
      </c>
      <c r="C2" s="15" t="inlineStr">
        <is>
          <t>Cross-cutting</t>
        </is>
      </c>
      <c r="D2" s="16" t="inlineStr">
        <is>
          <t>Policy gap</t>
        </is>
      </c>
      <c r="E2" s="17" t="inlineStr">
        <is>
          <t>Circular-economy policy focuses on recycling, not prevention</t>
        </is>
      </c>
      <c r="F2" s="15" t="inlineStr">
        <is>
          <t>The 2015 Circular Economy Action Plan (CEAP 1) and the strategy on plastics mainly targeted recycling, with little focus on solutions upstream in the waste hierarchy.</t>
        </is>
      </c>
      <c r="G2" s="15" t="inlineStr">
        <is>
          <t>Circular Economy Action Plan, Plastics Strategy</t>
        </is>
      </c>
      <c r="H2" s="18" t="inlineStr">
        <is>
          <t>“The 2015 circular economy action plan (CEAP 1) and the strategy on plastics mainly targeted recycling, with little focus on solutions upstream in the waste hierarchy (policy gap).”</t>
        </is>
      </c>
      <c r="I2" s="15" t="inlineStr">
        <is>
          <t>Ch. 5 Industry, p. 82, line 16</t>
        </is>
      </c>
      <c r="J2" s="19" t="inlineStr">
        <is>
          <t>Partially addressed</t>
        </is>
      </c>
      <c r="K2" s="15" t="inlineStr">
        <is>
          <t>The Ecodesign for Sustainable Products Regulation (ESPR, 2024) and the CEAP-2 workstream push design, durability and reuse upstream of recycling for the first time — but the prevention/waste-hierarchy tilt is still early and product-group delegated acts are pending, so the gap is narrowed, not closed.</t>
        </is>
      </c>
      <c r="L2" s="15" t="inlineStr">
        <is>
          <t>—</t>
        </is>
      </c>
      <c r="M2" s="20" t="inlineStr">
        <is>
          <t>—</t>
        </is>
      </c>
      <c r="N2" s="21" t="inlineStr">
        <is>
          <t>industry-ceap-upstream</t>
        </is>
      </c>
    </row>
    <row r="3" ht="92" customHeight="1">
      <c r="A3" s="22" t="n">
        <v>2</v>
      </c>
      <c r="B3" s="23" t="inlineStr">
        <is>
          <t>Industry</t>
        </is>
      </c>
      <c r="C3" s="23" t="inlineStr">
        <is>
          <t>Cross-cutting</t>
        </is>
      </c>
      <c r="D3" s="24" t="inlineStr">
        <is>
          <t>Policy gap</t>
        </is>
      </c>
      <c r="E3" s="25" t="inlineStr">
        <is>
          <t>Ecodesign circularity scope remained limited</t>
        </is>
      </c>
      <c r="F3" s="23" t="inlineStr">
        <is>
          <t>The Ecodesign Directive has been mainly focused on energy efficiency; product circularity has been added only in recent years, and its scope remained limited to energy products.</t>
        </is>
      </c>
      <c r="G3" s="23" t="inlineStr">
        <is>
          <t>Ecodesign Directive</t>
        </is>
      </c>
      <c r="H3" s="26" t="inlineStr">
        <is>
          <t>“the Ecodesign Directive has been mainly focused on energy efficiency and, whereas product circularity has been added in recent years, its scope remained limited to energy products (policy gap).”</t>
        </is>
      </c>
      <c r="I3" s="23" t="inlineStr">
        <is>
          <t>Ch. 5 Industry, p. 82, line 18</t>
        </is>
      </c>
      <c r="J3" s="27" t="inlineStr">
        <is>
          <t>Addressed</t>
        </is>
      </c>
      <c r="K3" s="23" t="inlineStr">
        <is>
          <t>Largely closed: the ESPR (Reg. (EU) 2024/1781) replaces the old energy-only Ecodesign Directive and extends the framework to almost all physical product groups. Effect now depends on the pace of delegated acts (implementation risk remains).</t>
        </is>
      </c>
      <c r="L3" s="23" t="inlineStr">
        <is>
          <t>—</t>
        </is>
      </c>
      <c r="M3" s="28" t="inlineStr">
        <is>
          <t>—</t>
        </is>
      </c>
      <c r="N3" s="29" t="inlineStr">
        <is>
          <t>industry-ecodesign-scope</t>
        </is>
      </c>
    </row>
    <row r="4" ht="92" customHeight="1">
      <c r="A4" s="14" t="n">
        <v>3</v>
      </c>
      <c r="B4" s="15" t="inlineStr">
        <is>
          <t>Industry</t>
        </is>
      </c>
      <c r="C4" s="15" t="inlineStr">
        <is>
          <t>Cross-cutting</t>
        </is>
      </c>
      <c r="D4" s="16" t="inlineStr">
        <is>
          <t>Policy gap</t>
        </is>
      </c>
      <c r="E4" s="17" t="inlineStr">
        <is>
          <t>Missing support for early deployment / lead markets</t>
        </is>
      </c>
      <c r="F4" s="15" t="inlineStr">
        <is>
          <t>Past EU policies have mainly focused on basic R&amp;D (e.g. Horizon Europe), pilots and demonstration (NER 300 and the Innovation Fund) and large-scale diffusion of mature technologies (the EU ETS), but dedicated policies to support early deployment / market formation have been largely absent.</t>
        </is>
      </c>
      <c r="G4" s="15" t="inlineStr">
        <is>
          <t>Innovation Fund, EU ETS, (future) lead-market instruments</t>
        </is>
      </c>
      <c r="H4" s="18" t="inlineStr">
        <is>
          <t>“Past EU policies have been mainly focused on supporting basic R &amp; D (e.g. Horizon Europe), pilots and demonstration (NER 300 and the Innovation Fund) and the large-scale diffusion of mature technologies (the EU ETS), but dedicated policies to support early deployment / market formation have been largely absent (policy gap).”</t>
        </is>
      </c>
      <c r="I4" s="15" t="inlineStr">
        <is>
          <t>Ch. 5 Industry, p. 83, line 17</t>
        </is>
      </c>
      <c r="J4" s="19" t="inlineStr">
        <is>
          <t>Partially addressed</t>
        </is>
      </c>
      <c r="K4" s="15" t="inlineStr">
        <is>
          <t>The Net-Zero Industry Act (2024) and the 2025 Clean Industrial Deal add lead-market and demand-side tools (e.g. non-price criteria in public procurement and auctions, planned resilience/green-content requirements). Coverage of early deployment / market formation is improving but still thin versus the R&amp;D and diffusion ends.</t>
        </is>
      </c>
      <c r="L4" s="15" t="inlineStr">
        <is>
          <t>—</t>
        </is>
      </c>
      <c r="M4" s="20" t="inlineStr">
        <is>
          <t>—</t>
        </is>
      </c>
      <c r="N4" s="21" t="inlineStr">
        <is>
          <t>industry-early-deployment</t>
        </is>
      </c>
    </row>
    <row r="5" ht="92" customHeight="1">
      <c r="A5" s="22" t="n">
        <v>4</v>
      </c>
      <c r="B5" s="23" t="inlineStr">
        <is>
          <t>Transport</t>
        </is>
      </c>
      <c r="C5" s="23" t="inlineStr">
        <is>
          <t>Road passenger</t>
        </is>
      </c>
      <c r="D5" s="30" t="inlineStr">
        <is>
          <t>Ambition gap</t>
        </is>
      </c>
      <c r="E5" s="25" t="inlineStr">
        <is>
          <t>CO₂ standards do not reward vehicle efficiency</t>
        </is>
      </c>
      <c r="F5" s="23" t="inlineStr">
        <is>
          <t>While CO₂ emission performance standards for cars and vans effectively accelerate ZEV uptake, they do not incentivise efficiency (smaller, more efficient vehicles) within the ZEV segment, and might even incentivise the uptake of larger, less-efficient ZEVs.</t>
        </is>
      </c>
      <c r="G5" s="23" t="inlineStr">
        <is>
          <t>CO₂ emission standards for cars and vans</t>
        </is>
      </c>
      <c r="H5" s="26" t="inlineStr">
        <is>
          <t>“Whereas these policies can effectively accelerate the uptake of ZEVs, they currently do not incentivise efficiency (smaller, more efficient vehicles) within the segment of ZEVs (ambition gap), and might even incentivise the uptake of larger, less-efficient ZEVs (policy inconsistency), increasing pressure on the already constrained availability of critical resources.”</t>
        </is>
      </c>
      <c r="I5" s="23" t="inlineStr">
        <is>
          <t>Ch. 6 Transport, p. 103, line 41</t>
        </is>
      </c>
      <c r="J5" s="24" t="inlineStr">
        <is>
          <t>Still open</t>
        </is>
      </c>
      <c r="K5" s="23" t="inlineStr">
        <is>
          <t>CO₂ standards for cars and vans still reward zero-tailpipe rather than vehicle efficiency; the 2025/2026 review of the standards is the moment to close it, but nothing is adopted. Assessed unchanged.</t>
        </is>
      </c>
      <c r="L5" s="23" t="inlineStr">
        <is>
          <t>—</t>
        </is>
      </c>
      <c r="M5" s="28" t="inlineStr">
        <is>
          <t>—</t>
        </is>
      </c>
      <c r="N5" s="29" t="inlineStr">
        <is>
          <t>transport-zev-efficiency</t>
        </is>
      </c>
    </row>
    <row r="6" ht="92" customHeight="1">
      <c r="A6" s="14" t="n">
        <v>5</v>
      </c>
      <c r="B6" s="15" t="inlineStr">
        <is>
          <t>Transport</t>
        </is>
      </c>
      <c r="C6" s="15" t="inlineStr">
        <is>
          <t>Road freight</t>
        </is>
      </c>
      <c r="D6" s="19" t="inlineStr">
        <is>
          <t>Ambition gap</t>
        </is>
      </c>
      <c r="E6" s="17" t="inlineStr">
        <is>
          <t>Weak framework for rail/intermodal freight shift</t>
        </is>
      </c>
      <c r="F6" s="15" t="inlineStr">
        <is>
          <t>EU policies to support a modal shift (the Combined Transport Directive, the Rail Freight Corridors Regulation and the TEN-T regulation) have so far had little success owing to lack of ambition: outdated provisions in the Combined Transport Directive that prevent digitalised workflows, lack of adequate delivery mechanisms in the Rail Freight Corridors Regulation, and lack of an overview of current and future required capacities of intermodal terminals under the TEN-T regulation.</t>
        </is>
      </c>
      <c r="G6" s="15" t="inlineStr">
        <is>
          <t>Combined Transport Directive, Rail Freight Corridors Regulation, TEN-T</t>
        </is>
      </c>
      <c r="H6" s="18" t="inlineStr">
        <is>
          <t>“Furthermore, EU policies to support a modal shift (the Combined Transport Directive, the Rail Freight Corridors Regulation, the Trans-European Transport Network (TEN-T) regulation) have so far had little success owing to lack of ambition (e.g. outdated provisions in the Combined Transport directive that prevent digitalised workflows, lack of adequate delivery mechanisms in the Rail Freights Corridors Regulation, lack of an overview of current and future required capacities of intermodal terminals under the TEN-T regulation) (ambition gap)”</t>
        </is>
      </c>
      <c r="I6" s="15" t="inlineStr">
        <is>
          <t>Ch. 6 Transport, p. 103, line 12</t>
        </is>
      </c>
      <c r="J6" s="19" t="inlineStr">
        <is>
          <t>Partially addressed</t>
        </is>
      </c>
      <c r="K6" s="15" t="inlineStr">
        <is>
          <t>The TEN-T recast (Reg. (EU) 2024/1679) is in force and addresses some ambition weaknesses, but the Combined Transport Directive recast came close to being withdrawn by the Commission in late 2025, was kept alive only after Parliament rejected the withdrawal (Jan 2026), and remains stalled in Council with no agreed text as of mid-2026 — the ambition gap is unresolved and the file’s survival itself is in question.</t>
        </is>
      </c>
      <c r="L6" s="15" t="inlineStr">
        <is>
          <t>—</t>
        </is>
      </c>
      <c r="M6" s="20" t="inlineStr">
        <is>
          <t>https://www.railwaygazette.com/freight/2026/06/04/rail-association-throw-last-hail-mary-to-save-combined-transport-directive/
https://www.cer.be/cer-press-releases/council-faces-stalemate-as-combined-transport-directive-loses-momentum</t>
        </is>
      </c>
      <c r="N6" s="21" t="inlineStr">
        <is>
          <t>transport-modal-shift-freight</t>
        </is>
      </c>
    </row>
    <row r="7" ht="92" customHeight="1">
      <c r="A7" s="22" t="n">
        <v>6</v>
      </c>
      <c r="B7" s="23" t="inlineStr">
        <is>
          <t>Transport</t>
        </is>
      </c>
      <c r="C7" s="23" t="inlineStr">
        <is>
          <t>Road freight</t>
        </is>
      </c>
      <c r="D7" s="31" t="inlineStr">
        <is>
          <t>Implementation gap</t>
        </is>
      </c>
      <c r="E7" s="25" t="inlineStr">
        <is>
          <t>Heterogeneous Member-State freight-shift implementation</t>
        </is>
      </c>
      <c r="F7" s="23" t="inlineStr">
        <is>
          <t>Implementation of the modal-shift measures (notably the Rail Freight Corridor Regulation and the Combined Transport Directive) has been incomplete and heterogeneous across Member States.</t>
        </is>
      </c>
      <c r="G7" s="23" t="inlineStr">
        <is>
          <t>Rail Freight Corridors Regulation, Combined Transport Directive</t>
        </is>
      </c>
      <c r="H7" s="26" t="inlineStr">
        <is>
          <t>“EU policies to support a modal shift (the Combined Transport Directive, the Rail Freight Corridors Regulation, the Trans-European Transport Network (TEN-T) regulation) have so far had little success owing to lack of ambition (e.g. outdated provisions in the Combined Transport directive that prevent digitalised workflows, lack of adequate delivery mechanisms in the Rail Freights Corridors Regulation, lack of an overview of current and future required capacities of intermodal terminals under the TEN-T regulation) (ambition gap) and incomplete and heterogeneous implementation at the Member State level (implementation gap).”</t>
        </is>
      </c>
      <c r="I7" s="23" t="inlineStr">
        <is>
          <t>Ch. 6 Transport, p. 103, line 12</t>
        </is>
      </c>
      <c r="J7" s="24" t="inlineStr">
        <is>
          <t>Still open</t>
        </is>
      </c>
      <c r="K7" s="23" t="inlineStr">
        <is>
          <t>Implementation across Member States remains heterogeneous; the new TEN-T deadlines are not yet in force. Assessed unchanged.</t>
        </is>
      </c>
      <c r="L7" s="23" t="inlineStr">
        <is>
          <t>—</t>
        </is>
      </c>
      <c r="M7" s="28" t="inlineStr">
        <is>
          <t>—</t>
        </is>
      </c>
      <c r="N7" s="29" t="inlineStr">
        <is>
          <t>transport-modal-shift-implementation</t>
        </is>
      </c>
    </row>
    <row r="8" ht="92" customHeight="1">
      <c r="A8" s="14" t="n">
        <v>7</v>
      </c>
      <c r="B8" s="15" t="inlineStr">
        <is>
          <t>Transport</t>
        </is>
      </c>
      <c r="C8" s="15" t="inlineStr">
        <is>
          <t>Aviation</t>
        </is>
      </c>
      <c r="D8" s="16" t="inlineStr">
        <is>
          <t>Policy gap</t>
        </is>
      </c>
      <c r="E8" s="17" t="inlineStr">
        <is>
          <t>Extra-EU aviation and maritime largely exempt from ETS</t>
        </is>
      </c>
      <c r="F8" s="15" t="inlineStr">
        <is>
          <t>Extra-EU aviation and half of extra-EU maritime transport remain exempt from the EU ETS.</t>
        </is>
      </c>
      <c r="G8" s="15" t="inlineStr">
        <is>
          <t>EU ETS (aviation &amp; maritime)</t>
        </is>
      </c>
      <c r="H8" s="18" t="inlineStr">
        <is>
          <t>“Furthermore, extra-EU aviation and half of extra-EU maritime transport remains exempt from the EU ETS (policy gap).”</t>
        </is>
      </c>
      <c r="I8" s="15" t="inlineStr">
        <is>
          <t>Ch. 6 Transport, p. 105, line 5</t>
        </is>
      </c>
      <c r="J8" s="16" t="inlineStr">
        <is>
          <t>Still open</t>
        </is>
      </c>
      <c r="K8" s="15" t="inlineStr">
        <is>
          <t>Extra-EU aviation still sits under CORSIA rather than the ETS, and half of extra-EU maritime remains outside the ETS; the review clauses have not changed the scope. Assessed unchanged (also applies to Maritime).</t>
        </is>
      </c>
      <c r="L8" s="15" t="inlineStr">
        <is>
          <t>Maritime</t>
        </is>
      </c>
      <c r="M8" s="20" t="inlineStr">
        <is>
          <t>—</t>
        </is>
      </c>
      <c r="N8" s="21" t="inlineStr">
        <is>
          <t>transport-extra-eu-exemption</t>
        </is>
      </c>
    </row>
    <row r="9" ht="92" customHeight="1">
      <c r="A9" s="22" t="n">
        <v>8</v>
      </c>
      <c r="B9" s="23" t="inlineStr">
        <is>
          <t>Transport</t>
        </is>
      </c>
      <c r="C9" s="23" t="inlineStr">
        <is>
          <t>Cross-cutting</t>
        </is>
      </c>
      <c r="D9" s="24" t="inlineStr">
        <is>
          <t>Policy gap</t>
        </is>
      </c>
      <c r="E9" s="25" t="inlineStr">
        <is>
          <t>Transport demand moderation not an EU policy option</t>
        </is>
      </c>
      <c r="F9" s="23" t="inlineStr">
        <is>
          <t>Moderation of overall transport demand is not considered as an option in the EU's Sustainable and Smart Mobility Strategy.</t>
        </is>
      </c>
      <c r="G9" s="23" t="inlineStr">
        <is>
          <t>Sustainable and Smart Mobility Strategy</t>
        </is>
      </c>
      <c r="H9" s="26" t="inlineStr">
        <is>
          <t>“Moderation of overall transport demand is not considered as an option in the EU's Sustainable and Smart Mobility Strategy (policy gap).”</t>
        </is>
      </c>
      <c r="I9" s="23" t="inlineStr">
        <is>
          <t>Ch. 6 Transport, p. 103, line 11</t>
        </is>
      </c>
      <c r="J9" s="24" t="inlineStr">
        <is>
          <t>Still open</t>
        </is>
      </c>
      <c r="K9" s="23" t="inlineStr">
        <is>
          <t>No sign that overall transport-demand moderation has entered EU mobility strategy since the report; the "avoid" tier remains largely absent. Assessed unchanged.</t>
        </is>
      </c>
      <c r="L9" s="23" t="inlineStr">
        <is>
          <t>—</t>
        </is>
      </c>
      <c r="M9" s="28" t="inlineStr">
        <is>
          <t>—</t>
        </is>
      </c>
      <c r="N9" s="29" t="inlineStr">
        <is>
          <t>transport-demand-moderation</t>
        </is>
      </c>
    </row>
    <row r="10" ht="92" customHeight="1">
      <c r="A10" s="14" t="n">
        <v>9</v>
      </c>
      <c r="B10" s="15" t="inlineStr">
        <is>
          <t>Transport</t>
        </is>
      </c>
      <c r="C10" s="15" t="inlineStr">
        <is>
          <t>Cross-cutting</t>
        </is>
      </c>
      <c r="D10" s="19" t="inlineStr">
        <is>
          <t>Ambition gap</t>
        </is>
      </c>
      <c r="E10" s="17" t="inlineStr">
        <is>
          <t>Policies still promote high-indirect-effect biofuels</t>
        </is>
      </c>
      <c r="F10" s="15" t="inlineStr">
        <is>
          <t>The RED III, ReFuelEU Aviation and FuelEU Maritime continue to promote some biofuels with potentially high indirect effects, such as fuels made from food and feed crops (up to 7 %), intermediate crops and specific types of animal fats ('category 3 animal fats').</t>
        </is>
      </c>
      <c r="G10" s="15" t="inlineStr">
        <is>
          <t>RED III, ReFuelEU Aviation, FuelEU Maritime</t>
        </is>
      </c>
      <c r="H10" s="18" t="inlineStr">
        <is>
          <t>“Nevertheless, concerns remain, as these policies continue to promote some biofuels with potentially high indirect effects, such as fuels made from food and feed crops (up to 7 %), intermediate crops and specific types of animal fats (so-called “category 3 animal fats”) (ambition gap).”</t>
        </is>
      </c>
      <c r="I10" s="15" t="inlineStr">
        <is>
          <t>Ch. 6 Transport, p. 104, line 14</t>
        </is>
      </c>
      <c r="J10" s="16" t="inlineStr">
        <is>
          <t>Still open</t>
        </is>
      </c>
      <c r="K10" s="15" t="inlineStr">
        <is>
          <t>The aviation and maritime instruments now largely shut out crop biofuels (ReFuelEU Aviation Art. 4(5) excludes food/feed crops from the SAF mandate; FuelEU Maritime assigns them fossil-equivalent emission factors), but RED III still admits food/feed-crop biofuels within Member-State caps for road transport and indirect land-use-change effects remain unpriced. Assessed still open, narrowed at the edges.</t>
        </is>
      </c>
      <c r="L10" s="15" t="inlineStr">
        <is>
          <t>—</t>
        </is>
      </c>
      <c r="M10" s="20" t="inlineStr">
        <is>
          <t>—</t>
        </is>
      </c>
      <c r="N10" s="21" t="inlineStr">
        <is>
          <t>transport-biofuels-indirect</t>
        </is>
      </c>
    </row>
    <row r="11" ht="92" customHeight="1">
      <c r="A11" s="22" t="n">
        <v>10</v>
      </c>
      <c r="B11" s="23" t="inlineStr">
        <is>
          <t>Transport</t>
        </is>
      </c>
      <c r="C11" s="23" t="inlineStr">
        <is>
          <t>Cross-cutting</t>
        </is>
      </c>
      <c r="D11" s="31" t="inlineStr">
        <is>
          <t>Implementation gap</t>
        </is>
      </c>
      <c r="E11" s="25" t="inlineStr">
        <is>
          <t>Suspected fraud in biofuel sustainability labelling</t>
        </is>
      </c>
      <c r="F11" s="23" t="inlineStr">
        <is>
          <t>There are well-founded suspicions of fraud in the labelling of transport biofuels as sustainable under RED III.</t>
        </is>
      </c>
      <c r="G11" s="23" t="inlineStr">
        <is>
          <t>RED III</t>
        </is>
      </c>
      <c r="H11" s="26" t="inlineStr">
        <is>
          <t>“Furthermore, there are well-founded suspicions of fraud in the labelling of biofuels as sustainable (implementation gap).”</t>
        </is>
      </c>
      <c r="I11" s="23" t="inlineStr">
        <is>
          <t>Ch. 6 Transport, p. 104, line 17</t>
        </is>
      </c>
      <c r="J11" s="30" t="inlineStr">
        <is>
          <t>Partially addressed</t>
        </is>
      </c>
      <c r="K11" s="23" t="inlineStr">
        <is>
          <t>The Union Database for Biofuels has been operational since January 2024 and stricter voluntary-scheme oversight tightens traceability, but the delegated act setting a binding mandatory-use/sanctions date is still pending agreement with Member States as of 2025–2026 — enforcement teeth are not yet in place, so the implementation gap is narrowed, not resolved.</t>
        </is>
      </c>
      <c r="L11" s="23" t="inlineStr">
        <is>
          <t>—</t>
        </is>
      </c>
      <c r="M11" s="28" t="inlineStr">
        <is>
          <t>https://vespertool.com/blog/the-udb-will-be-mandatory/
https://energy.ec.europa.eu/news/eu-database-biofuels-becomes-operational-2024-01-15_en</t>
        </is>
      </c>
      <c r="N11" s="29" t="inlineStr">
        <is>
          <t>transport-biofuel-fraud</t>
        </is>
      </c>
    </row>
    <row r="13">
      <c r="A13" s="32" t="inlineStr">
        <is>
          <t>Notes: columns A–I are the report's own findings (unchanged). Columns J–M are a provisional mid-2026 re-assessment compiled for this prep cycle and pending verification — not a Board position.</t>
        </is>
      </c>
    </row>
    <row r="14">
      <c r="A14" s="32" t="inlineStr">
        <is>
          <t>Source: ESABCC (2024) “Towards EU climate neutrality: Progress, policy gaps and opportunities”, January 2024; re-assessment Provisional read, mid-2026.</t>
        </is>
      </c>
    </row>
  </sheetData>
  <autoFilter ref="A1:N11"/>
  <mergeCells count="2">
    <mergeCell ref="A14:K14"/>
    <mergeCell ref="A13:K13"/>
  </mergeCells>
  <pageMargins left="0.75" right="0.75" top="1" bottom="1" header="0.5" footer="0.5"/>
</worksheet>
</file>

<file path=xl/worksheets/sheet3.xml><?xml version="1.0" encoding="utf-8"?>
<worksheet xmlns="http://schemas.openxmlformats.org/spreadsheetml/2006/main">
  <sheetPr>
    <tabColor rgb="004D7E83"/>
    <outlinePr summaryBelow="1" summaryRight="1"/>
    <pageSetUpPr/>
  </sheetPr>
  <dimension ref="A1:K13"/>
  <sheetViews>
    <sheetView showGridLines="0" zoomScale="100"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1" customWidth="1" min="2" max="2"/>
    <col width="18" customWidth="1" min="3" max="3"/>
    <col width="16" customWidth="1" min="4" max="4"/>
    <col width="30" customWidth="1" min="5" max="5"/>
    <col width="56" customWidth="1" min="6" max="6"/>
    <col width="26" customWidth="1" min="7" max="7"/>
    <col width="56" customWidth="1" min="8" max="8"/>
    <col width="32" customWidth="1" min="9" max="9"/>
    <col width="16" customWidth="1" min="10" max="10"/>
    <col width="24" customWidth="1" min="11" max="11"/>
  </cols>
  <sheetData>
    <row r="1" ht="34" customHeight="1">
      <c r="A1" s="13" t="inlineStr">
        <is>
          <t>#</t>
        </is>
      </c>
      <c r="B1" s="13" t="inlineStr">
        <is>
          <t>Sector</t>
        </is>
      </c>
      <c r="C1" s="13" t="inlineStr">
        <is>
          <t>Subsector</t>
        </is>
      </c>
      <c r="D1" s="13" t="inlineStr">
        <is>
          <t>Proposed gap type</t>
        </is>
      </c>
      <c r="E1" s="13" t="inlineStr">
        <is>
          <t>Candidate gap</t>
        </is>
      </c>
      <c r="F1" s="13" t="inlineStr">
        <is>
          <t>Why this may be a gap</t>
        </is>
      </c>
      <c r="G1" s="13" t="inlineStr">
        <is>
          <t>Instrument(s) concerned</t>
        </is>
      </c>
      <c r="H1" s="13" t="inlineStr">
        <is>
          <t>Test to confirm / refute</t>
        </is>
      </c>
      <c r="I1" s="13" t="inlineStr">
        <is>
          <t>Sources</t>
        </is>
      </c>
      <c r="J1" s="13" t="inlineStr">
        <is>
          <t>Lead's decision</t>
        </is>
      </c>
      <c r="K1" s="13" t="inlineStr">
        <is>
          <t>ID</t>
        </is>
      </c>
    </row>
    <row r="2" ht="96" customHeight="1">
      <c r="A2" s="14" t="n">
        <v>1</v>
      </c>
      <c r="B2" s="15" t="inlineStr">
        <is>
          <t>Industry</t>
        </is>
      </c>
      <c r="C2" s="15" t="inlineStr">
        <is>
          <t>Iron &amp; steel</t>
        </is>
      </c>
      <c r="D2" s="16" t="inlineStr">
        <is>
          <t>Policy gap</t>
        </is>
      </c>
      <c r="E2" s="17" t="inlineStr">
        <is>
          <t>No binding demand signal for near-zero steel</t>
        </is>
      </c>
      <c r="F2" s="15" t="inlineStr">
        <is>
          <t>Near-zero primary steel carries a green premium that no EU instrument yet guarantees demand for. Without mandatory lead-market quotas (e.g. green public procurement or a minimum near-zero content in cars/construction), first-mover H₂-DRI plants lack an offtake floor — a market-formation gap the report flags generically but not for steel specifically.</t>
        </is>
      </c>
      <c r="G2" s="15" t="inlineStr">
        <is>
          <t>Public procurement, Clean Industrial Deal lead-market measures, product standards, Industrial Accelerator Act</t>
        </is>
      </c>
      <c r="H2" s="15" t="inlineStr">
        <is>
          <t>A draft Industrial Accelerator Act (renamed from "Industrial Decarbonisation Accelerator Act" in von der Leyen’s Sept-2025 State of the Union address) was tabled 4 March 2026 with "Made in EU" / low-carbon procurement content among its core measures — the gap is now "policy proposed, not yet enacted", not a purely hypothetical future test. Confirmed if the Act is adopted without binding near-zero-steel content/procurement quotas, or stalls before adoption; refuted if the adopted Act sets enforceable near-zero-steel demand.</t>
        </is>
      </c>
      <c r="I2" s="20" t="inlineStr">
        <is>
          <t>https://www.sidley.com/en/insights/newsupdates/2026/04/industrial-accelerator-act
https://single-market-economy.ec.europa.eu/publications/industrial-accelerator-act_en</t>
        </is>
      </c>
      <c r="J2" s="33" t="inlineStr"/>
      <c r="K2" s="21" t="inlineStr">
        <is>
          <t>cand-steel-lead-market</t>
        </is>
      </c>
    </row>
    <row r="3" ht="96" customHeight="1">
      <c r="A3" s="22" t="n">
        <v>2</v>
      </c>
      <c r="B3" s="23" t="inlineStr">
        <is>
          <t>Industry</t>
        </is>
      </c>
      <c r="C3" s="23" t="inlineStr">
        <is>
          <t>Cement &amp; lime</t>
        </is>
      </c>
      <c r="D3" s="31" t="inlineStr">
        <is>
          <t>Implementation gap</t>
        </is>
      </c>
      <c r="E3" s="25" t="inlineStr">
        <is>
          <t>CO₂ transport &amp; storage lags cement CCS needs</t>
        </is>
      </c>
      <c r="F3" s="23" t="inlineStr">
        <is>
          <t>Cement’s process emissions are unavoidable without CCS, yet permitted CO₂ storage capacity and shared transport infrastructure are being built far more slowly than the Net-Zero Industry Act 2030 injection target implies, leaving abatement plans without somewhere to send the CO₂ — an implementation gap specific to hard-to-abate process industry.</t>
        </is>
      </c>
      <c r="G3" s="23" t="inlineStr">
        <is>
          <t>Net-Zero Industry Act (CO₂ storage target), CCS Directive, CEF / TEN-E</t>
        </is>
      </c>
      <c r="H3" s="23" t="inlineStr">
        <is>
          <t>Confirmed if operational/committed storage &amp; transport capacity stays below the trajectory needed for cement process emissions; refuted if storage FIDs and CO₂ networks scale to meet the 50 Mt/yr target on time.</t>
        </is>
      </c>
      <c r="I3" s="28" t="inlineStr">
        <is>
          <t>—</t>
        </is>
      </c>
      <c r="J3" s="33" t="inlineStr"/>
      <c r="K3" s="29" t="inlineStr">
        <is>
          <t>cand-cement-co2-storage</t>
        </is>
      </c>
    </row>
    <row r="4" ht="96" customHeight="1">
      <c r="A4" s="14" t="n">
        <v>3</v>
      </c>
      <c r="B4" s="15" t="inlineStr">
        <is>
          <t>Industry</t>
        </is>
      </c>
      <c r="C4" s="15" t="inlineStr">
        <is>
          <t>Chemicals &amp; petrochemicals</t>
        </is>
      </c>
      <c r="D4" s="16" t="inlineStr">
        <is>
          <t>Policy gap</t>
        </is>
      </c>
      <c r="E4" s="17" t="inlineStr">
        <is>
          <t>No incentive to decarbonise chemical feedstock (defossilisation)</t>
        </is>
      </c>
      <c r="F4" s="15" t="inlineStr">
        <is>
          <t>EU policy prices energy-related CO₂ but barely touches the fossil carbon embedded as feedstock in plastics and chemicals; there is no clear framework (or CCU/recycled-carbon accounting) to steer feedstock away from virgin fossil, so the largest part of the sector’s carbon is unaddressed.</t>
        </is>
      </c>
      <c r="G4" s="15" t="inlineStr">
        <is>
          <t>EU ETS scope, ESPR, Packaging &amp; Plastics rules, a possible recycled-carbon standard</t>
        </is>
      </c>
      <c r="H4" s="15" t="inlineStr">
        <is>
          <t>Confirmed if no instrument sets a feedstock-defossilisation signal or CCU/recycled-carbon accounting rule; refuted if such a framework is proposed.</t>
        </is>
      </c>
      <c r="I4" s="20" t="inlineStr">
        <is>
          <t>—</t>
        </is>
      </c>
      <c r="J4" s="33" t="inlineStr"/>
      <c r="K4" s="21" t="inlineStr">
        <is>
          <t>cand-chem-feedstock</t>
        </is>
      </c>
    </row>
    <row r="5" ht="96" customHeight="1">
      <c r="A5" s="22" t="n">
        <v>4</v>
      </c>
      <c r="B5" s="23" t="inlineStr">
        <is>
          <t>Industry</t>
        </is>
      </c>
      <c r="C5" s="23" t="inlineStr">
        <is>
          <t>Cross-cutting</t>
        </is>
      </c>
      <c r="D5" s="31" t="inlineStr">
        <is>
          <t>Implementation gap</t>
        </is>
      </c>
      <c r="E5" s="25" t="inlineStr">
        <is>
          <t>Grid-connection and price barriers stall industrial electrification</t>
        </is>
      </c>
      <c r="F5" s="23" t="inlineStr">
        <is>
          <t>Electrification is the backbone of industrial mitigation, but multi-year grid-connection queues and the EU’s industrial-electricity price gap are not treated as a decarbonisation barrier in their own right, so plants electrify slower than the abatement pathway needs — an enabling-conditions implementation gap.</t>
        </is>
      </c>
      <c r="G5" s="23" t="inlineStr">
        <is>
          <t>Electricity Market Design, grid planning, Clean Industrial Deal affordability measures</t>
        </is>
      </c>
      <c r="H5" s="23" t="inlineStr">
        <is>
          <t>Confirmed if connection lead-times and industrial power prices remain binding constraints without a targeted instrument; refuted if the Affordable Energy / grid package resolves them.</t>
        </is>
      </c>
      <c r="I5" s="28" t="inlineStr">
        <is>
          <t>—</t>
        </is>
      </c>
      <c r="J5" s="33" t="inlineStr"/>
      <c r="K5" s="29" t="inlineStr">
        <is>
          <t>cand-ind-electrification-enabling</t>
        </is>
      </c>
    </row>
    <row r="6" ht="96" customHeight="1">
      <c r="A6" s="14" t="n">
        <v>5</v>
      </c>
      <c r="B6" s="15" t="inlineStr">
        <is>
          <t>Industry</t>
        </is>
      </c>
      <c r="C6" s="15" t="inlineStr">
        <is>
          <t>Cross-cutting</t>
        </is>
      </c>
      <c r="D6" s="16" t="inlineStr">
        <is>
          <t>Policy gap</t>
        </is>
      </c>
      <c r="E6" s="17" t="inlineStr">
        <is>
          <t>Decarbonisation siting ignores water-stress (mitigation–adaptation blind spot)</t>
        </is>
      </c>
      <c r="F6" s="15" t="inlineStr">
        <is>
          <t>Green-hydrogen and CCS support is allocated without a systematic water-availability screen, so water-intensive abatement can be steered toward drought-prone regions — a maladaptation risk that no industrial-decarbonisation instrument currently guards against.</t>
        </is>
      </c>
      <c r="G6" s="15" t="inlineStr">
        <is>
          <t>Net-Zero Industry Act, Hydrogen Bank auctions, State-aid / IPCEI conditions</t>
        </is>
      </c>
      <c r="H6" s="15" t="inlineStr">
        <is>
          <t>Confirmed if support instruments carry no water-stress conditionality; refuted if a water screen is added to siting/funding criteria.</t>
        </is>
      </c>
      <c r="I6" s="20" t="inlineStr">
        <is>
          <t>—</t>
        </is>
      </c>
      <c r="J6" s="33" t="inlineStr"/>
      <c r="K6" s="21" t="inlineStr">
        <is>
          <t>cand-ind-water-siting</t>
        </is>
      </c>
    </row>
    <row r="7" ht="96" customHeight="1">
      <c r="A7" s="22" t="n">
        <v>6</v>
      </c>
      <c r="B7" s="23" t="inlineStr">
        <is>
          <t>Transport</t>
        </is>
      </c>
      <c r="C7" s="23" t="inlineStr">
        <is>
          <t>Road passenger</t>
        </is>
      </c>
      <c r="D7" s="24" t="inlineStr">
        <is>
          <t>Policy gap</t>
        </is>
      </c>
      <c r="E7" s="25" t="inlineStr">
        <is>
          <t>No EU steer on road pricing &amp; company-car tax to moderate demand</t>
        </is>
      </c>
      <c r="F7" s="23" t="inlineStr">
        <is>
          <t>Company-car taxation and the near-absence of distance/CO₂-based road pricing entrench car use and inefficient fleets, but demand- and fiscal-side levers sit almost entirely with Member States with no EU framework — reinforcing the report’s demand-moderation gap on the passenger side.</t>
        </is>
      </c>
      <c r="G7" s="23" t="inlineStr">
        <is>
          <t>Energy Taxation Directive revision, Eurovignette, Member-State fiscal coordination</t>
        </is>
      </c>
      <c r="H7" s="23" t="inlineStr">
        <is>
          <t>Confirmed if no EU instrument steers company-car/road-pricing reform; refuted if the ETD recast or a pricing framework does.</t>
        </is>
      </c>
      <c r="I7" s="28" t="inlineStr">
        <is>
          <t>—</t>
        </is>
      </c>
      <c r="J7" s="33" t="inlineStr"/>
      <c r="K7" s="29" t="inlineStr">
        <is>
          <t>cand-road-pricing</t>
        </is>
      </c>
    </row>
    <row r="8" ht="96" customHeight="1">
      <c r="A8" s="14" t="n">
        <v>7</v>
      </c>
      <c r="B8" s="15" t="inlineStr">
        <is>
          <t>Transport</t>
        </is>
      </c>
      <c r="C8" s="15" t="inlineStr">
        <is>
          <t>Road freight</t>
        </is>
      </c>
      <c r="D8" s="34" t="inlineStr">
        <is>
          <t>Implementation gap</t>
        </is>
      </c>
      <c r="E8" s="17" t="inlineStr">
        <is>
          <t>Heavy-duty charging/refuelling rollout trails the HDV CO₂ targets</t>
        </is>
      </c>
      <c r="F8" s="15" t="inlineStr">
        <is>
          <t>The 2024 HDV CO₂ standards assume a fast zero-emission truck ramp-up, but AFIR megawatt-charging and hydrogen-refuelling deployment at logistics hubs — and the grid capacity behind them — are lagging, risking an infrastructure implementation gap that could stall the mitigation the standards require.</t>
        </is>
      </c>
      <c r="G8" s="15" t="inlineStr">
        <is>
          <t>AFIR, TEN-T, grid connection at freight hubs</t>
        </is>
      </c>
      <c r="H8" s="15" t="inlineStr">
        <is>
          <t>Confirmed if MCS/H₂ corridor coverage stays below the truck-fleet trajectory; refuted if AFIR delivery keeps pace.</t>
        </is>
      </c>
      <c r="I8" s="20" t="inlineStr">
        <is>
          <t>—</t>
        </is>
      </c>
      <c r="J8" s="33" t="inlineStr"/>
      <c r="K8" s="21" t="inlineStr">
        <is>
          <t>cand-hdv-charging</t>
        </is>
      </c>
    </row>
    <row r="9" ht="96" customHeight="1">
      <c r="A9" s="22" t="n">
        <v>8</v>
      </c>
      <c r="B9" s="23" t="inlineStr">
        <is>
          <t>Transport</t>
        </is>
      </c>
      <c r="C9" s="23" t="inlineStr">
        <is>
          <t>Rail</t>
        </is>
      </c>
      <c r="D9" s="24" t="inlineStr">
        <is>
          <t>Policy gap</t>
        </is>
      </c>
      <c r="E9" s="25" t="inlineStr">
        <is>
          <t>Rail electrification not paired with mandatory climate-proofing</t>
        </is>
      </c>
      <c r="F9" s="23" t="inlineStr">
        <is>
          <t>EU funding accelerates rail electrification (a mitigation asset) without requiring the heat-/flood-proofing that keeps the network reliable in extremes, so the low-carbon backbone the modal-shift strategy depends on is left exposed — a joint mitigation–adaptation gap.</t>
        </is>
      </c>
      <c r="G9" s="23" t="inlineStr">
        <is>
          <t>TEN-T climate-proofing requirements, CEF Transport, Rail Freight rules</t>
        </is>
      </c>
      <c r="H9" s="23" t="inlineStr">
        <is>
          <t>Confirmed if electrification funding carries no binding adaptation/climate-proofing condition; refuted if TEN-T climate-proofing is enforced on rail works.</t>
        </is>
      </c>
      <c r="I9" s="28" t="inlineStr">
        <is>
          <t>—</t>
        </is>
      </c>
      <c r="J9" s="33" t="inlineStr"/>
      <c r="K9" s="29" t="inlineStr">
        <is>
          <t>cand-rail-adaptation</t>
        </is>
      </c>
    </row>
    <row r="10" ht="96" customHeight="1">
      <c r="A10" s="14" t="n">
        <v>9</v>
      </c>
      <c r="B10" s="15" t="inlineStr">
        <is>
          <t>Transport</t>
        </is>
      </c>
      <c r="C10" s="15" t="inlineStr">
        <is>
          <t>Aviation</t>
        </is>
      </c>
      <c r="D10" s="16" t="inlineStr">
        <is>
          <t>Policy gap</t>
        </is>
      </c>
      <c r="E10" s="17" t="inlineStr">
        <is>
          <t>Non-CO₂ aviation effects still unregulated</t>
        </is>
      </c>
      <c r="F10" s="15" t="inlineStr">
        <is>
          <t>Contrails and NOx account for roughly two-thirds of aviation’s effective warming (Lee et al. 2021, Atmospheric Environment 244:117834: non-CO₂ terms are ~66% of aviation’s net effective radiative forcing), yet only an MRV step exists — there is no instrument that prices or operationally mitigates non-CO₂ effects, leaving most of aviation’s climate impact outside policy.</t>
        </is>
      </c>
      <c r="G10" s="15" t="inlineStr">
        <is>
          <t>EU ETS aviation (non-CO₂ MRV), air-traffic-management measures</t>
        </is>
      </c>
      <c r="H10" s="15" t="inlineStr">
        <is>
          <t>Confirmed if non-CO₂ effects remain only monitored, not acted on, after the MRV review; refuted if a mitigation/pricing measure is introduced.</t>
        </is>
      </c>
      <c r="I10" s="20" t="inlineStr">
        <is>
          <t>—</t>
        </is>
      </c>
      <c r="J10" s="33" t="inlineStr"/>
      <c r="K10" s="21" t="inlineStr">
        <is>
          <t>cand-aviation-nonco2</t>
        </is>
      </c>
    </row>
    <row r="11" ht="96" customHeight="1">
      <c r="A11" s="22" t="n">
        <v>10</v>
      </c>
      <c r="B11" s="23" t="inlineStr">
        <is>
          <t>Transport</t>
        </is>
      </c>
      <c r="C11" s="23" t="inlineStr">
        <is>
          <t>Maritime</t>
        </is>
      </c>
      <c r="D11" s="31" t="inlineStr">
        <is>
          <t>Implementation gap</t>
        </is>
      </c>
      <c r="E11" s="25" t="inlineStr">
        <is>
          <t>FuelEU Maritime compliance conditions not yet in place</t>
        </is>
      </c>
      <c r="F11" s="23" t="inlineStr">
        <is>
          <t>FuelEU Maritime's declining GHG-intensity limit (in force since 1 January 2025) assumes fuel and infrastructure conditions that are still open questions rather than settled facts: RFNBO/biofuel supply may not scale fast enough (a conditional 2% RFNBO sub-target only bites from 2034, and only if uptake stays below 1% through 2031), well-to-wake lifecycle accounting leaves commercial/contractual practicalities unresolved between charterers, pool members and owners, and shore-side (OPS) port infrastructure was only ~20% contracted/installed by May 2025 against the 1 January 2030 AFIR deadline for major container/passenger ports — leaving the sector's own gap landscape with no tagged Maritime-specific risk despite these open questions.</t>
        </is>
      </c>
      <c r="G11" s="23" t="inlineStr">
        <is>
          <t>FuelEU Maritime (Reg. (EU) 2023/1805), AFIR onshore power supply requirements, RED III RFNBO sub-target mechanism</t>
        </is>
      </c>
      <c r="H11" s="23" t="inlineStr">
        <is>
          <t>Confirmed if RFNBO uptake stays below 1% of maritime fuel use through 2031 (triggering the conditional 2034 sub-target) and/or OPS installation at major EU ports continues to lag the 1 January 2030 AFIR deadline; refuted if RFNBO/biofuel supply and port electrification scale to meet the FuelEU trajectory on schedule.</t>
        </is>
      </c>
      <c r="I11" s="28" t="inlineStr">
        <is>
          <t>https://transport.ec.europa.eu/transport-modes/maritime/decarbonising-maritime-transport-fueleu-maritime/questions-and-answers-regulation-eu-20231805-use-renewable-and-low-carbon-fuels-maritime-transport_en
https://www.sustainable-ships.org/stories/2025/eu-shore-power-demand-2030</t>
        </is>
      </c>
      <c r="J11" s="33" t="inlineStr"/>
      <c r="K11" s="29" t="inlineStr">
        <is>
          <t>cand-maritime-fueleu-conditions</t>
        </is>
      </c>
    </row>
    <row r="13">
      <c r="A13" s="32" t="inlineStr">
        <is>
          <t>Notes: “Lead's decision” (shaded) is the column to fill in — accept into the gap tracker, reject, or park with a reason. Every candidate is AI-compiled working material pending verification; none is a Board finding.</t>
        </is>
      </c>
    </row>
  </sheetData>
  <autoFilter ref="A1:K11"/>
  <mergeCells count="1">
    <mergeCell ref="A13:I13"/>
  </mergeCells>
  <pageMargins left="0.75" right="0.75" top="1" bottom="1" header="0.5" footer="0.5"/>
</worksheet>
</file>

<file path=xl/worksheets/sheet4.xml><?xml version="1.0" encoding="utf-8"?>
<worksheet xmlns="http://schemas.openxmlformats.org/spreadsheetml/2006/main">
  <sheetPr>
    <tabColor rgb="004D7E83"/>
    <outlinePr summaryBelow="1" summaryRight="1"/>
    <pageSetUpPr/>
  </sheetPr>
  <dimension ref="A1:G24"/>
  <sheetViews>
    <sheetView showGridLines="0" zoomScale="100" workbookViewId="0">
      <pane ySplit="1" topLeftCell="A2" activePane="bottomLeft" state="frozen"/>
      <selection pane="bottomLeft" activeCell="A1" sqref="A1"/>
    </sheetView>
  </sheetViews>
  <sheetFormatPr baseColWidth="8" defaultRowHeight="15"/>
  <cols>
    <col width="12" customWidth="1" min="1" max="1"/>
    <col width="32" customWidth="1" min="2" max="2"/>
    <col width="14" customWidth="1" min="3" max="3"/>
    <col width="20" customWidth="1" min="4" max="4"/>
    <col width="18" customWidth="1" min="5" max="5"/>
    <col width="52" customWidth="1" min="6" max="6"/>
    <col width="24" customWidth="1" min="7" max="7"/>
  </cols>
  <sheetData>
    <row r="1" ht="20" customHeight="1">
      <c r="A1" s="13" t="inlineStr">
        <is>
          <t>Sector</t>
        </is>
      </c>
      <c r="B1" s="13" t="inlineStr">
        <is>
          <t>Subsector</t>
        </is>
      </c>
      <c r="C1" s="13" t="inlineStr">
        <is>
          <t>Origin</t>
        </is>
      </c>
      <c r="D1" s="13" t="inlineStr">
        <is>
          <t>Live status</t>
        </is>
      </c>
      <c r="E1" s="13" t="inlineStr">
        <is>
          <t>Gap type</t>
        </is>
      </c>
      <c r="F1" s="13" t="inlineStr">
        <is>
          <t>Finding</t>
        </is>
      </c>
      <c r="G1" s="13" t="inlineStr">
        <is>
          <t>ID</t>
        </is>
      </c>
    </row>
    <row r="2" ht="16" customHeight="1">
      <c r="A2" s="15" t="inlineStr">
        <is>
          <t>Industry</t>
        </is>
      </c>
      <c r="B2" s="15" t="inlineStr">
        <is>
          <t>Cross-cutting</t>
        </is>
      </c>
      <c r="C2" s="35" t="inlineStr">
        <is>
          <t>Report gap</t>
        </is>
      </c>
      <c r="D2" s="15" t="inlineStr">
        <is>
          <t>Partially addressed</t>
        </is>
      </c>
      <c r="E2" s="15" t="inlineStr">
        <is>
          <t>Policy gap</t>
        </is>
      </c>
      <c r="F2" s="15" t="inlineStr">
        <is>
          <t>Circular-economy policy focuses on recycling, not prevention</t>
        </is>
      </c>
      <c r="G2" s="15" t="inlineStr">
        <is>
          <t>industry-ceap-upstream</t>
        </is>
      </c>
    </row>
    <row r="3" ht="16" customHeight="1">
      <c r="A3" s="23" t="inlineStr">
        <is>
          <t>Industry</t>
        </is>
      </c>
      <c r="B3" s="23" t="inlineStr">
        <is>
          <t>Cross-cutting</t>
        </is>
      </c>
      <c r="C3" s="27" t="inlineStr">
        <is>
          <t>Report gap</t>
        </is>
      </c>
      <c r="D3" s="23" t="inlineStr">
        <is>
          <t>Addressed</t>
        </is>
      </c>
      <c r="E3" s="23" t="inlineStr">
        <is>
          <t>Policy gap</t>
        </is>
      </c>
      <c r="F3" s="23" t="inlineStr">
        <is>
          <t>Ecodesign circularity scope remained limited</t>
        </is>
      </c>
      <c r="G3" s="23" t="inlineStr">
        <is>
          <t>industry-ecodesign-scope</t>
        </is>
      </c>
    </row>
    <row r="4" ht="16" customHeight="1">
      <c r="A4" s="15" t="inlineStr">
        <is>
          <t>Industry</t>
        </is>
      </c>
      <c r="B4" s="15" t="inlineStr">
        <is>
          <t>Cross-cutting</t>
        </is>
      </c>
      <c r="C4" s="35" t="inlineStr">
        <is>
          <t>Report gap</t>
        </is>
      </c>
      <c r="D4" s="15" t="inlineStr">
        <is>
          <t>Partially addressed</t>
        </is>
      </c>
      <c r="E4" s="15" t="inlineStr">
        <is>
          <t>Policy gap</t>
        </is>
      </c>
      <c r="F4" s="15" t="inlineStr">
        <is>
          <t>Missing support for early deployment / lead markets</t>
        </is>
      </c>
      <c r="G4" s="15" t="inlineStr">
        <is>
          <t>industry-early-deployment</t>
        </is>
      </c>
    </row>
    <row r="5" ht="16" customHeight="1">
      <c r="A5" s="23" t="inlineStr">
        <is>
          <t>Transport</t>
        </is>
      </c>
      <c r="B5" s="23" t="inlineStr">
        <is>
          <t>Road passenger</t>
        </is>
      </c>
      <c r="C5" s="27" t="inlineStr">
        <is>
          <t>Report gap</t>
        </is>
      </c>
      <c r="D5" s="23" t="inlineStr">
        <is>
          <t>Still open</t>
        </is>
      </c>
      <c r="E5" s="23" t="inlineStr">
        <is>
          <t>Ambition gap</t>
        </is>
      </c>
      <c r="F5" s="23" t="inlineStr">
        <is>
          <t>CO₂ standards do not reward vehicle efficiency</t>
        </is>
      </c>
      <c r="G5" s="23" t="inlineStr">
        <is>
          <t>transport-zev-efficiency</t>
        </is>
      </c>
    </row>
    <row r="6" ht="16" customHeight="1">
      <c r="A6" s="15" t="inlineStr">
        <is>
          <t>Transport</t>
        </is>
      </c>
      <c r="B6" s="15" t="inlineStr">
        <is>
          <t>Road freight</t>
        </is>
      </c>
      <c r="C6" s="35" t="inlineStr">
        <is>
          <t>Report gap</t>
        </is>
      </c>
      <c r="D6" s="15" t="inlineStr">
        <is>
          <t>Partially addressed</t>
        </is>
      </c>
      <c r="E6" s="15" t="inlineStr">
        <is>
          <t>Ambition gap</t>
        </is>
      </c>
      <c r="F6" s="15" t="inlineStr">
        <is>
          <t>Weak framework for rail/intermodal freight shift</t>
        </is>
      </c>
      <c r="G6" s="15" t="inlineStr">
        <is>
          <t>transport-modal-shift-freight</t>
        </is>
      </c>
    </row>
    <row r="7" ht="16" customHeight="1">
      <c r="A7" s="23" t="inlineStr">
        <is>
          <t>Transport</t>
        </is>
      </c>
      <c r="B7" s="23" t="inlineStr">
        <is>
          <t>Road freight</t>
        </is>
      </c>
      <c r="C7" s="27" t="inlineStr">
        <is>
          <t>Report gap</t>
        </is>
      </c>
      <c r="D7" s="23" t="inlineStr">
        <is>
          <t>Still open</t>
        </is>
      </c>
      <c r="E7" s="23" t="inlineStr">
        <is>
          <t>Implementation gap</t>
        </is>
      </c>
      <c r="F7" s="23" t="inlineStr">
        <is>
          <t>Heterogeneous Member-State freight-shift implementation</t>
        </is>
      </c>
      <c r="G7" s="23" t="inlineStr">
        <is>
          <t>transport-modal-shift-implementation</t>
        </is>
      </c>
    </row>
    <row r="8" ht="16" customHeight="1">
      <c r="A8" s="15" t="inlineStr">
        <is>
          <t>Transport</t>
        </is>
      </c>
      <c r="B8" s="15" t="inlineStr">
        <is>
          <t>Aviation</t>
        </is>
      </c>
      <c r="C8" s="35" t="inlineStr">
        <is>
          <t>Report gap</t>
        </is>
      </c>
      <c r="D8" s="15" t="inlineStr">
        <is>
          <t>Still open</t>
        </is>
      </c>
      <c r="E8" s="15" t="inlineStr">
        <is>
          <t>Policy gap</t>
        </is>
      </c>
      <c r="F8" s="15" t="inlineStr">
        <is>
          <t>Extra-EU aviation and maritime largely exempt from ETS</t>
        </is>
      </c>
      <c r="G8" s="15" t="inlineStr">
        <is>
          <t>transport-extra-eu-exemption</t>
        </is>
      </c>
    </row>
    <row r="9" ht="16" customHeight="1">
      <c r="A9" s="23" t="inlineStr">
        <is>
          <t>Transport</t>
        </is>
      </c>
      <c r="B9" s="23" t="inlineStr">
        <is>
          <t>Maritime</t>
        </is>
      </c>
      <c r="C9" s="27" t="inlineStr">
        <is>
          <t>Report gap</t>
        </is>
      </c>
      <c r="D9" s="23" t="inlineStr">
        <is>
          <t>Still open</t>
        </is>
      </c>
      <c r="E9" s="23" t="inlineStr">
        <is>
          <t>Policy gap</t>
        </is>
      </c>
      <c r="F9" s="23" t="inlineStr">
        <is>
          <t>Extra-EU aviation and maritime largely exempt from ETS</t>
        </is>
      </c>
      <c r="G9" s="23" t="inlineStr">
        <is>
          <t>transport-extra-eu-exemption</t>
        </is>
      </c>
    </row>
    <row r="10" ht="16" customHeight="1">
      <c r="A10" s="15" t="inlineStr">
        <is>
          <t>Transport</t>
        </is>
      </c>
      <c r="B10" s="15" t="inlineStr">
        <is>
          <t>Cross-cutting</t>
        </is>
      </c>
      <c r="C10" s="35" t="inlineStr">
        <is>
          <t>Report gap</t>
        </is>
      </c>
      <c r="D10" s="15" t="inlineStr">
        <is>
          <t>Still open</t>
        </is>
      </c>
      <c r="E10" s="15" t="inlineStr">
        <is>
          <t>Policy gap</t>
        </is>
      </c>
      <c r="F10" s="15" t="inlineStr">
        <is>
          <t>Transport demand moderation not an EU policy option</t>
        </is>
      </c>
      <c r="G10" s="15" t="inlineStr">
        <is>
          <t>transport-demand-moderation</t>
        </is>
      </c>
    </row>
    <row r="11" ht="16" customHeight="1">
      <c r="A11" s="23" t="inlineStr">
        <is>
          <t>Transport</t>
        </is>
      </c>
      <c r="B11" s="23" t="inlineStr">
        <is>
          <t>Cross-cutting</t>
        </is>
      </c>
      <c r="C11" s="27" t="inlineStr">
        <is>
          <t>Report gap</t>
        </is>
      </c>
      <c r="D11" s="23" t="inlineStr">
        <is>
          <t>Still open</t>
        </is>
      </c>
      <c r="E11" s="23" t="inlineStr">
        <is>
          <t>Ambition gap</t>
        </is>
      </c>
      <c r="F11" s="23" t="inlineStr">
        <is>
          <t>Policies still promote high-indirect-effect biofuels</t>
        </is>
      </c>
      <c r="G11" s="23" t="inlineStr">
        <is>
          <t>transport-biofuels-indirect</t>
        </is>
      </c>
    </row>
    <row r="12" ht="16" customHeight="1">
      <c r="A12" s="15" t="inlineStr">
        <is>
          <t>Transport</t>
        </is>
      </c>
      <c r="B12" s="15" t="inlineStr">
        <is>
          <t>Cross-cutting</t>
        </is>
      </c>
      <c r="C12" s="35" t="inlineStr">
        <is>
          <t>Report gap</t>
        </is>
      </c>
      <c r="D12" s="15" t="inlineStr">
        <is>
          <t>Partially addressed</t>
        </is>
      </c>
      <c r="E12" s="15" t="inlineStr">
        <is>
          <t>Implementation gap</t>
        </is>
      </c>
      <c r="F12" s="15" t="inlineStr">
        <is>
          <t>Suspected fraud in biofuel sustainability labelling</t>
        </is>
      </c>
      <c r="G12" s="15" t="inlineStr">
        <is>
          <t>transport-biofuel-fraud</t>
        </is>
      </c>
    </row>
    <row r="13" ht="16" customHeight="1">
      <c r="A13" s="23" t="inlineStr">
        <is>
          <t>Industry</t>
        </is>
      </c>
      <c r="B13" s="23" t="inlineStr">
        <is>
          <t>Iron &amp; steel</t>
        </is>
      </c>
      <c r="C13" s="36" t="inlineStr">
        <is>
          <t>Candidate</t>
        </is>
      </c>
      <c r="D13" s="23" t="inlineStr">
        <is>
          <t>Candidate — to test</t>
        </is>
      </c>
      <c r="E13" s="23" t="inlineStr">
        <is>
          <t>Policy gap</t>
        </is>
      </c>
      <c r="F13" s="23" t="inlineStr">
        <is>
          <t>No binding demand signal for near-zero steel</t>
        </is>
      </c>
      <c r="G13" s="23" t="inlineStr">
        <is>
          <t>cand-steel-lead-market</t>
        </is>
      </c>
    </row>
    <row r="14" ht="16" customHeight="1">
      <c r="A14" s="15" t="inlineStr">
        <is>
          <t>Industry</t>
        </is>
      </c>
      <c r="B14" s="15" t="inlineStr">
        <is>
          <t>Cement &amp; lime</t>
        </is>
      </c>
      <c r="C14" s="37" t="inlineStr">
        <is>
          <t>Candidate</t>
        </is>
      </c>
      <c r="D14" s="15" t="inlineStr">
        <is>
          <t>Candidate — to test</t>
        </is>
      </c>
      <c r="E14" s="15" t="inlineStr">
        <is>
          <t>Implementation gap</t>
        </is>
      </c>
      <c r="F14" s="15" t="inlineStr">
        <is>
          <t>CO₂ transport &amp; storage lags cement CCS needs</t>
        </is>
      </c>
      <c r="G14" s="15" t="inlineStr">
        <is>
          <t>cand-cement-co2-storage</t>
        </is>
      </c>
    </row>
    <row r="15" ht="16" customHeight="1">
      <c r="A15" s="23" t="inlineStr">
        <is>
          <t>Industry</t>
        </is>
      </c>
      <c r="B15" s="23" t="inlineStr">
        <is>
          <t>Chemicals &amp; petrochemicals</t>
        </is>
      </c>
      <c r="C15" s="36" t="inlineStr">
        <is>
          <t>Candidate</t>
        </is>
      </c>
      <c r="D15" s="23" t="inlineStr">
        <is>
          <t>Candidate — to test</t>
        </is>
      </c>
      <c r="E15" s="23" t="inlineStr">
        <is>
          <t>Policy gap</t>
        </is>
      </c>
      <c r="F15" s="23" t="inlineStr">
        <is>
          <t>No incentive to decarbonise chemical feedstock (defossilisation)</t>
        </is>
      </c>
      <c r="G15" s="23" t="inlineStr">
        <is>
          <t>cand-chem-feedstock</t>
        </is>
      </c>
    </row>
    <row r="16" ht="16" customHeight="1">
      <c r="A16" s="15" t="inlineStr">
        <is>
          <t>Industry</t>
        </is>
      </c>
      <c r="B16" s="15" t="inlineStr">
        <is>
          <t>Cross-cutting</t>
        </is>
      </c>
      <c r="C16" s="37" t="inlineStr">
        <is>
          <t>Candidate</t>
        </is>
      </c>
      <c r="D16" s="15" t="inlineStr">
        <is>
          <t>Candidate — to test</t>
        </is>
      </c>
      <c r="E16" s="15" t="inlineStr">
        <is>
          <t>Implementation gap</t>
        </is>
      </c>
      <c r="F16" s="15" t="inlineStr">
        <is>
          <t>Grid-connection and price barriers stall industrial electrification</t>
        </is>
      </c>
      <c r="G16" s="15" t="inlineStr">
        <is>
          <t>cand-ind-electrification-enabling</t>
        </is>
      </c>
    </row>
    <row r="17" ht="16" customHeight="1">
      <c r="A17" s="23" t="inlineStr">
        <is>
          <t>Industry</t>
        </is>
      </c>
      <c r="B17" s="23" t="inlineStr">
        <is>
          <t>Cross-cutting</t>
        </is>
      </c>
      <c r="C17" s="36" t="inlineStr">
        <is>
          <t>Candidate</t>
        </is>
      </c>
      <c r="D17" s="23" t="inlineStr">
        <is>
          <t>Candidate — to test</t>
        </is>
      </c>
      <c r="E17" s="23" t="inlineStr">
        <is>
          <t>Policy gap</t>
        </is>
      </c>
      <c r="F17" s="23" t="inlineStr">
        <is>
          <t>Decarbonisation siting ignores water-stress (mitigation–adaptation blind spot)</t>
        </is>
      </c>
      <c r="G17" s="23" t="inlineStr">
        <is>
          <t>cand-ind-water-siting</t>
        </is>
      </c>
    </row>
    <row r="18" ht="16" customHeight="1">
      <c r="A18" s="15" t="inlineStr">
        <is>
          <t>Transport</t>
        </is>
      </c>
      <c r="B18" s="15" t="inlineStr">
        <is>
          <t>Road passenger</t>
        </is>
      </c>
      <c r="C18" s="37" t="inlineStr">
        <is>
          <t>Candidate</t>
        </is>
      </c>
      <c r="D18" s="15" t="inlineStr">
        <is>
          <t>Candidate — to test</t>
        </is>
      </c>
      <c r="E18" s="15" t="inlineStr">
        <is>
          <t>Policy gap</t>
        </is>
      </c>
      <c r="F18" s="15" t="inlineStr">
        <is>
          <t>No EU steer on road pricing &amp; company-car tax to moderate demand</t>
        </is>
      </c>
      <c r="G18" s="15" t="inlineStr">
        <is>
          <t>cand-road-pricing</t>
        </is>
      </c>
    </row>
    <row r="19" ht="16" customHeight="1">
      <c r="A19" s="23" t="inlineStr">
        <is>
          <t>Transport</t>
        </is>
      </c>
      <c r="B19" s="23" t="inlineStr">
        <is>
          <t>Road freight</t>
        </is>
      </c>
      <c r="C19" s="36" t="inlineStr">
        <is>
          <t>Candidate</t>
        </is>
      </c>
      <c r="D19" s="23" t="inlineStr">
        <is>
          <t>Candidate — to test</t>
        </is>
      </c>
      <c r="E19" s="23" t="inlineStr">
        <is>
          <t>Implementation gap</t>
        </is>
      </c>
      <c r="F19" s="23" t="inlineStr">
        <is>
          <t>Heavy-duty charging/refuelling rollout trails the HDV CO₂ targets</t>
        </is>
      </c>
      <c r="G19" s="23" t="inlineStr">
        <is>
          <t>cand-hdv-charging</t>
        </is>
      </c>
    </row>
    <row r="20" ht="16" customHeight="1">
      <c r="A20" s="15" t="inlineStr">
        <is>
          <t>Transport</t>
        </is>
      </c>
      <c r="B20" s="15" t="inlineStr">
        <is>
          <t>Rail</t>
        </is>
      </c>
      <c r="C20" s="37" t="inlineStr">
        <is>
          <t>Candidate</t>
        </is>
      </c>
      <c r="D20" s="15" t="inlineStr">
        <is>
          <t>Candidate — to test</t>
        </is>
      </c>
      <c r="E20" s="15" t="inlineStr">
        <is>
          <t>Policy gap</t>
        </is>
      </c>
      <c r="F20" s="15" t="inlineStr">
        <is>
          <t>Rail electrification not paired with mandatory climate-proofing</t>
        </is>
      </c>
      <c r="G20" s="15" t="inlineStr">
        <is>
          <t>cand-rail-adaptation</t>
        </is>
      </c>
    </row>
    <row r="21" ht="16" customHeight="1">
      <c r="A21" s="23" t="inlineStr">
        <is>
          <t>Transport</t>
        </is>
      </c>
      <c r="B21" s="23" t="inlineStr">
        <is>
          <t>Aviation</t>
        </is>
      </c>
      <c r="C21" s="36" t="inlineStr">
        <is>
          <t>Candidate</t>
        </is>
      </c>
      <c r="D21" s="23" t="inlineStr">
        <is>
          <t>Candidate — to test</t>
        </is>
      </c>
      <c r="E21" s="23" t="inlineStr">
        <is>
          <t>Policy gap</t>
        </is>
      </c>
      <c r="F21" s="23" t="inlineStr">
        <is>
          <t>Non-CO₂ aviation effects still unregulated</t>
        </is>
      </c>
      <c r="G21" s="23" t="inlineStr">
        <is>
          <t>cand-aviation-nonco2</t>
        </is>
      </c>
    </row>
    <row r="22" ht="16" customHeight="1">
      <c r="A22" s="15" t="inlineStr">
        <is>
          <t>Transport</t>
        </is>
      </c>
      <c r="B22" s="15" t="inlineStr">
        <is>
          <t>Maritime</t>
        </is>
      </c>
      <c r="C22" s="37" t="inlineStr">
        <is>
          <t>Candidate</t>
        </is>
      </c>
      <c r="D22" s="15" t="inlineStr">
        <is>
          <t>Candidate — to test</t>
        </is>
      </c>
      <c r="E22" s="15" t="inlineStr">
        <is>
          <t>Implementation gap</t>
        </is>
      </c>
      <c r="F22" s="15" t="inlineStr">
        <is>
          <t>FuelEU Maritime compliance conditions not yet in place</t>
        </is>
      </c>
      <c r="G22" s="15" t="inlineStr">
        <is>
          <t>cand-maritime-fueleu-conditions</t>
        </is>
      </c>
    </row>
    <row r="24">
      <c r="A24" s="32" t="inlineStr">
        <is>
          <t>One row per gap × subsector: a gap flagged as bearing on a second subsector appears twice, so the landscape counts do not leave that subsector empty. Row totals here are therefore larger than the number of distinct gaps.</t>
        </is>
      </c>
    </row>
  </sheetData>
  <autoFilter ref="A1:G22"/>
  <mergeCells count="1">
    <mergeCell ref="A24:G24"/>
  </mergeCells>
  <pageMargins left="0.75" right="0.75" top="1" bottom="1" header="0.5" footer="0.5"/>
</worksheet>
</file>

<file path=xl/worksheets/sheet5.xml><?xml version="1.0" encoding="utf-8"?>
<worksheet xmlns="http://schemas.openxmlformats.org/spreadsheetml/2006/main">
  <sheetPr>
    <tabColor rgb="004D7E83"/>
    <outlinePr summaryBelow="1" summaryRight="1"/>
    <pageSetUpPr/>
  </sheetPr>
  <dimension ref="A1:I25"/>
  <sheetViews>
    <sheetView showGridLines="0" zoomScale="100" workbookViewId="0">
      <selection activeCell="A1" sqref="A1"/>
    </sheetView>
  </sheetViews>
  <sheetFormatPr baseColWidth="8" defaultRowHeight="15"/>
  <cols>
    <col width="34" customWidth="1" min="1" max="1"/>
    <col width="12" customWidth="1" min="2" max="2"/>
    <col width="16" customWidth="1" min="3" max="3"/>
    <col width="12" customWidth="1" min="4" max="4"/>
    <col width="14" customWidth="1" min="5" max="5"/>
    <col width="12" customWidth="1" min="6" max="6"/>
    <col width="3" customWidth="1" min="7" max="7"/>
    <col width="20" customWidth="1" min="8" max="8"/>
    <col width="12" customWidth="1" min="9" max="9"/>
  </cols>
  <sheetData>
    <row r="1" ht="26" customHeight="1">
      <c r="A1" s="1" t="inlineStr">
        <is>
          <t>The gap landscape, subsector by subsector</t>
        </is>
      </c>
    </row>
    <row r="2" ht="30" customHeight="1">
      <c r="A2" s="2" t="inlineStr">
        <is>
          <t>How the transport and industry gaps distribute across the report-aligned subsectors: report gaps by their provisional mid-2026 status, and the candidate gaps proposed on top. Counts are COUNTIFS formulas over the “Landscape data” sheet.</t>
        </is>
      </c>
    </row>
    <row r="4">
      <c r="A4" s="4" t="inlineStr">
        <is>
          <t>Industry</t>
        </is>
      </c>
    </row>
    <row r="5" ht="32" customHeight="1">
      <c r="A5" s="13" t="inlineStr">
        <is>
          <t>Subsector</t>
        </is>
      </c>
      <c r="B5" s="13" t="inlineStr">
        <is>
          <t>Still open</t>
        </is>
      </c>
      <c r="C5" s="13" t="inlineStr">
        <is>
          <t>Partially addressed</t>
        </is>
      </c>
      <c r="D5" s="13" t="inlineStr">
        <is>
          <t>Addressed</t>
        </is>
      </c>
      <c r="E5" s="13" t="inlineStr">
        <is>
          <t>Candidate — to test</t>
        </is>
      </c>
      <c r="F5" s="13" t="inlineStr">
        <is>
          <t>Total</t>
        </is>
      </c>
    </row>
    <row r="6" ht="17" customHeight="1">
      <c r="A6" s="17" t="inlineStr">
        <is>
          <t>Iron &amp; steel</t>
        </is>
      </c>
      <c r="B6" s="38">
        <f>COUNTIFS('Landscape data'!$A$2:$A$200,"Industry",'Landscape data'!$B$2:$B$200,$A6,'Landscape data'!$D$2:$D$200,B$5)</f>
        <v/>
      </c>
      <c r="C6" s="38">
        <f>COUNTIFS('Landscape data'!$A$2:$A$200,"Industry",'Landscape data'!$B$2:$B$200,$A6,'Landscape data'!$D$2:$D$200,C$5)</f>
        <v/>
      </c>
      <c r="D6" s="38">
        <f>COUNTIFS('Landscape data'!$A$2:$A$200,"Industry",'Landscape data'!$B$2:$B$200,$A6,'Landscape data'!$D$2:$D$200,D$5)</f>
        <v/>
      </c>
      <c r="E6" s="38">
        <f>COUNTIFS('Landscape data'!$A$2:$A$200,"Industry",'Landscape data'!$B$2:$B$200,$A6,'Landscape data'!$D$2:$D$200,E$5)</f>
        <v/>
      </c>
      <c r="F6" s="38">
        <f>SUM(B6:E6)</f>
        <v/>
      </c>
    </row>
    <row r="7" ht="17" customHeight="1">
      <c r="A7" s="25" t="inlineStr">
        <is>
          <t>Cement &amp; lime</t>
        </is>
      </c>
      <c r="B7" s="39">
        <f>COUNTIFS('Landscape data'!$A$2:$A$200,"Industry",'Landscape data'!$B$2:$B$200,$A7,'Landscape data'!$D$2:$D$200,B$5)</f>
        <v/>
      </c>
      <c r="C7" s="39">
        <f>COUNTIFS('Landscape data'!$A$2:$A$200,"Industry",'Landscape data'!$B$2:$B$200,$A7,'Landscape data'!$D$2:$D$200,C$5)</f>
        <v/>
      </c>
      <c r="D7" s="39">
        <f>COUNTIFS('Landscape data'!$A$2:$A$200,"Industry",'Landscape data'!$B$2:$B$200,$A7,'Landscape data'!$D$2:$D$200,D$5)</f>
        <v/>
      </c>
      <c r="E7" s="39">
        <f>COUNTIFS('Landscape data'!$A$2:$A$200,"Industry",'Landscape data'!$B$2:$B$200,$A7,'Landscape data'!$D$2:$D$200,E$5)</f>
        <v/>
      </c>
      <c r="F7" s="39">
        <f>SUM(B7:E7)</f>
        <v/>
      </c>
    </row>
    <row r="8" ht="17" customHeight="1">
      <c r="A8" s="17" t="inlineStr">
        <is>
          <t>Chemicals &amp; petrochemicals</t>
        </is>
      </c>
      <c r="B8" s="38">
        <f>COUNTIFS('Landscape data'!$A$2:$A$200,"Industry",'Landscape data'!$B$2:$B$200,$A8,'Landscape data'!$D$2:$D$200,B$5)</f>
        <v/>
      </c>
      <c r="C8" s="38">
        <f>COUNTIFS('Landscape data'!$A$2:$A$200,"Industry",'Landscape data'!$B$2:$B$200,$A8,'Landscape data'!$D$2:$D$200,C$5)</f>
        <v/>
      </c>
      <c r="D8" s="38">
        <f>COUNTIFS('Landscape data'!$A$2:$A$200,"Industry",'Landscape data'!$B$2:$B$200,$A8,'Landscape data'!$D$2:$D$200,D$5)</f>
        <v/>
      </c>
      <c r="E8" s="38">
        <f>COUNTIFS('Landscape data'!$A$2:$A$200,"Industry",'Landscape data'!$B$2:$B$200,$A8,'Landscape data'!$D$2:$D$200,E$5)</f>
        <v/>
      </c>
      <c r="F8" s="38">
        <f>SUM(B8:E8)</f>
        <v/>
      </c>
    </row>
    <row r="9" ht="17" customHeight="1">
      <c r="A9" s="25" t="inlineStr">
        <is>
          <t>Cross-cutting</t>
        </is>
      </c>
      <c r="B9" s="39">
        <f>COUNTIFS('Landscape data'!$A$2:$A$200,"Industry",'Landscape data'!$B$2:$B$200,$A9,'Landscape data'!$D$2:$D$200,B$5)</f>
        <v/>
      </c>
      <c r="C9" s="39">
        <f>COUNTIFS('Landscape data'!$A$2:$A$200,"Industry",'Landscape data'!$B$2:$B$200,$A9,'Landscape data'!$D$2:$D$200,C$5)</f>
        <v/>
      </c>
      <c r="D9" s="39">
        <f>COUNTIFS('Landscape data'!$A$2:$A$200,"Industry",'Landscape data'!$B$2:$B$200,$A9,'Landscape data'!$D$2:$D$200,D$5)</f>
        <v/>
      </c>
      <c r="E9" s="39">
        <f>COUNTIFS('Landscape data'!$A$2:$A$200,"Industry",'Landscape data'!$B$2:$B$200,$A9,'Landscape data'!$D$2:$D$200,E$5)</f>
        <v/>
      </c>
      <c r="F9" s="39">
        <f>SUM(B9:E9)</f>
        <v/>
      </c>
    </row>
    <row r="10" ht="18" customHeight="1">
      <c r="A10" s="40" t="inlineStr">
        <is>
          <t>All industry</t>
        </is>
      </c>
      <c r="B10" s="41">
        <f>SUM(B6:B9)</f>
        <v/>
      </c>
      <c r="C10" s="41">
        <f>SUM(C6:C9)</f>
        <v/>
      </c>
      <c r="D10" s="41">
        <f>SUM(D6:D9)</f>
        <v/>
      </c>
      <c r="E10" s="41">
        <f>SUM(E6:E9)</f>
        <v/>
      </c>
      <c r="F10" s="41">
        <f>SUM(F6:F9)</f>
        <v/>
      </c>
    </row>
    <row r="13">
      <c r="A13" s="4" t="inlineStr">
        <is>
          <t>Transport</t>
        </is>
      </c>
    </row>
    <row r="14" ht="32" customHeight="1">
      <c r="A14" s="13" t="inlineStr">
        <is>
          <t>Subsector</t>
        </is>
      </c>
      <c r="B14" s="13" t="inlineStr">
        <is>
          <t>Still open</t>
        </is>
      </c>
      <c r="C14" s="13" t="inlineStr">
        <is>
          <t>Partially addressed</t>
        </is>
      </c>
      <c r="D14" s="13" t="inlineStr">
        <is>
          <t>Addressed</t>
        </is>
      </c>
      <c r="E14" s="13" t="inlineStr">
        <is>
          <t>Candidate — to test</t>
        </is>
      </c>
      <c r="F14" s="13" t="inlineStr">
        <is>
          <t>Total</t>
        </is>
      </c>
    </row>
    <row r="15" ht="17" customHeight="1">
      <c r="A15" s="17" t="inlineStr">
        <is>
          <t>Road passenger</t>
        </is>
      </c>
      <c r="B15" s="38">
        <f>COUNTIFS('Landscape data'!$A$2:$A$200,"Transport",'Landscape data'!$B$2:$B$200,$A15,'Landscape data'!$D$2:$D$200,B$14)</f>
        <v/>
      </c>
      <c r="C15" s="38">
        <f>COUNTIFS('Landscape data'!$A$2:$A$200,"Transport",'Landscape data'!$B$2:$B$200,$A15,'Landscape data'!$D$2:$D$200,C$14)</f>
        <v/>
      </c>
      <c r="D15" s="38">
        <f>COUNTIFS('Landscape data'!$A$2:$A$200,"Transport",'Landscape data'!$B$2:$B$200,$A15,'Landscape data'!$D$2:$D$200,D$14)</f>
        <v/>
      </c>
      <c r="E15" s="38">
        <f>COUNTIFS('Landscape data'!$A$2:$A$200,"Transport",'Landscape data'!$B$2:$B$200,$A15,'Landscape data'!$D$2:$D$200,E$14)</f>
        <v/>
      </c>
      <c r="F15" s="38">
        <f>SUM(B15:E15)</f>
        <v/>
      </c>
    </row>
    <row r="16" ht="17" customHeight="1">
      <c r="A16" s="25" t="inlineStr">
        <is>
          <t>Road freight</t>
        </is>
      </c>
      <c r="B16" s="39">
        <f>COUNTIFS('Landscape data'!$A$2:$A$200,"Transport",'Landscape data'!$B$2:$B$200,$A16,'Landscape data'!$D$2:$D$200,B$14)</f>
        <v/>
      </c>
      <c r="C16" s="39">
        <f>COUNTIFS('Landscape data'!$A$2:$A$200,"Transport",'Landscape data'!$B$2:$B$200,$A16,'Landscape data'!$D$2:$D$200,C$14)</f>
        <v/>
      </c>
      <c r="D16" s="39">
        <f>COUNTIFS('Landscape data'!$A$2:$A$200,"Transport",'Landscape data'!$B$2:$B$200,$A16,'Landscape data'!$D$2:$D$200,D$14)</f>
        <v/>
      </c>
      <c r="E16" s="39">
        <f>COUNTIFS('Landscape data'!$A$2:$A$200,"Transport",'Landscape data'!$B$2:$B$200,$A16,'Landscape data'!$D$2:$D$200,E$14)</f>
        <v/>
      </c>
      <c r="F16" s="39">
        <f>SUM(B16:E16)</f>
        <v/>
      </c>
    </row>
    <row r="17" ht="17" customHeight="1">
      <c r="A17" s="17" t="inlineStr">
        <is>
          <t>Rail</t>
        </is>
      </c>
      <c r="B17" s="38">
        <f>COUNTIFS('Landscape data'!$A$2:$A$200,"Transport",'Landscape data'!$B$2:$B$200,$A17,'Landscape data'!$D$2:$D$200,B$14)</f>
        <v/>
      </c>
      <c r="C17" s="38">
        <f>COUNTIFS('Landscape data'!$A$2:$A$200,"Transport",'Landscape data'!$B$2:$B$200,$A17,'Landscape data'!$D$2:$D$200,C$14)</f>
        <v/>
      </c>
      <c r="D17" s="38">
        <f>COUNTIFS('Landscape data'!$A$2:$A$200,"Transport",'Landscape data'!$B$2:$B$200,$A17,'Landscape data'!$D$2:$D$200,D$14)</f>
        <v/>
      </c>
      <c r="E17" s="38">
        <f>COUNTIFS('Landscape data'!$A$2:$A$200,"Transport",'Landscape data'!$B$2:$B$200,$A17,'Landscape data'!$D$2:$D$200,E$14)</f>
        <v/>
      </c>
      <c r="F17" s="38">
        <f>SUM(B17:E17)</f>
        <v/>
      </c>
    </row>
    <row r="18" ht="17" customHeight="1">
      <c r="A18" s="25" t="inlineStr">
        <is>
          <t>Aviation</t>
        </is>
      </c>
      <c r="B18" s="39">
        <f>COUNTIFS('Landscape data'!$A$2:$A$200,"Transport",'Landscape data'!$B$2:$B$200,$A18,'Landscape data'!$D$2:$D$200,B$14)</f>
        <v/>
      </c>
      <c r="C18" s="39">
        <f>COUNTIFS('Landscape data'!$A$2:$A$200,"Transport",'Landscape data'!$B$2:$B$200,$A18,'Landscape data'!$D$2:$D$200,C$14)</f>
        <v/>
      </c>
      <c r="D18" s="39">
        <f>COUNTIFS('Landscape data'!$A$2:$A$200,"Transport",'Landscape data'!$B$2:$B$200,$A18,'Landscape data'!$D$2:$D$200,D$14)</f>
        <v/>
      </c>
      <c r="E18" s="39">
        <f>COUNTIFS('Landscape data'!$A$2:$A$200,"Transport",'Landscape data'!$B$2:$B$200,$A18,'Landscape data'!$D$2:$D$200,E$14)</f>
        <v/>
      </c>
      <c r="F18" s="39">
        <f>SUM(B18:E18)</f>
        <v/>
      </c>
    </row>
    <row r="19" ht="17" customHeight="1">
      <c r="A19" s="17" t="inlineStr">
        <is>
          <t>Maritime</t>
        </is>
      </c>
      <c r="B19" s="38">
        <f>COUNTIFS('Landscape data'!$A$2:$A$200,"Transport",'Landscape data'!$B$2:$B$200,$A19,'Landscape data'!$D$2:$D$200,B$14)</f>
        <v/>
      </c>
      <c r="C19" s="38">
        <f>COUNTIFS('Landscape data'!$A$2:$A$200,"Transport",'Landscape data'!$B$2:$B$200,$A19,'Landscape data'!$D$2:$D$200,C$14)</f>
        <v/>
      </c>
      <c r="D19" s="38">
        <f>COUNTIFS('Landscape data'!$A$2:$A$200,"Transport",'Landscape data'!$B$2:$B$200,$A19,'Landscape data'!$D$2:$D$200,D$14)</f>
        <v/>
      </c>
      <c r="E19" s="38">
        <f>COUNTIFS('Landscape data'!$A$2:$A$200,"Transport",'Landscape data'!$B$2:$B$200,$A19,'Landscape data'!$D$2:$D$200,E$14)</f>
        <v/>
      </c>
      <c r="F19" s="38">
        <f>SUM(B19:E19)</f>
        <v/>
      </c>
    </row>
    <row r="20" ht="17" customHeight="1">
      <c r="A20" s="25" t="inlineStr">
        <is>
          <t>Cross-cutting</t>
        </is>
      </c>
      <c r="B20" s="39">
        <f>COUNTIFS('Landscape data'!$A$2:$A$200,"Transport",'Landscape data'!$B$2:$B$200,$A20,'Landscape data'!$D$2:$D$200,B$14)</f>
        <v/>
      </c>
      <c r="C20" s="39">
        <f>COUNTIFS('Landscape data'!$A$2:$A$200,"Transport",'Landscape data'!$B$2:$B$200,$A20,'Landscape data'!$D$2:$D$200,C$14)</f>
        <v/>
      </c>
      <c r="D20" s="39">
        <f>COUNTIFS('Landscape data'!$A$2:$A$200,"Transport",'Landscape data'!$B$2:$B$200,$A20,'Landscape data'!$D$2:$D$200,D$14)</f>
        <v/>
      </c>
      <c r="E20" s="39">
        <f>COUNTIFS('Landscape data'!$A$2:$A$200,"Transport",'Landscape data'!$B$2:$B$200,$A20,'Landscape data'!$D$2:$D$200,E$14)</f>
        <v/>
      </c>
      <c r="F20" s="39">
        <f>SUM(B20:E20)</f>
        <v/>
      </c>
    </row>
    <row r="21" ht="18" customHeight="1">
      <c r="A21" s="40" t="inlineStr">
        <is>
          <t>All transport</t>
        </is>
      </c>
      <c r="B21" s="41">
        <f>SUM(B15:B20)</f>
        <v/>
      </c>
      <c r="C21" s="41">
        <f>SUM(C15:C20)</f>
        <v/>
      </c>
      <c r="D21" s="41">
        <f>SUM(D15:D20)</f>
        <v/>
      </c>
      <c r="E21" s="41">
        <f>SUM(E15:E20)</f>
        <v/>
      </c>
      <c r="F21" s="41">
        <f>SUM(F15:F20)</f>
        <v/>
      </c>
    </row>
    <row r="24">
      <c r="A24" s="32" t="inlineStr">
        <is>
          <t>Notes: a gap that bears on more than one subsector is counted in each — the totals are therefore assignments, not distinct gaps. “Candidate — to test” rows are proposals, not Board findings.</t>
        </is>
      </c>
    </row>
    <row r="25">
      <c r="A25" s="32" t="inlineStr">
        <is>
          <t>Source: ESABCC (2024) “Towards EU climate neutrality: Progress, policy gaps and opportunities”; re-assessment Provisional read, mid-2026.</t>
        </is>
      </c>
    </row>
  </sheetData>
  <mergeCells count="4">
    <mergeCell ref="A1:I1"/>
    <mergeCell ref="A24:F24"/>
    <mergeCell ref="A2:I2"/>
    <mergeCell ref="A25:F25"/>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D7E83"/>
    <outlinePr summaryBelow="1" summaryRight="1"/>
    <pageSetUpPr/>
  </sheetPr>
  <dimension ref="A1:C21"/>
  <sheetViews>
    <sheetView showGridLines="0" zoomScale="100" workbookViewId="0">
      <selection activeCell="A1" sqref="A1"/>
    </sheetView>
  </sheetViews>
  <sheetFormatPr baseColWidth="8" defaultRowHeight="15"/>
  <cols>
    <col width="26" customWidth="1" min="1" max="1"/>
    <col width="76" customWidth="1" min="2" max="2"/>
    <col width="12" customWidth="1" min="3" max="3"/>
  </cols>
  <sheetData>
    <row r="1" ht="26" customHeight="1">
      <c r="A1" s="1" t="inlineStr">
        <is>
          <t>Legend</t>
        </is>
      </c>
    </row>
    <row r="2" ht="30" customHeight="1">
      <c r="A2" s="2" t="inlineStr">
        <is>
          <t>The report's gap classification, the status vocabulary used in the re-assessment, and the subsector taxonomy.</t>
        </is>
      </c>
    </row>
    <row r="4" ht="20" customHeight="1">
      <c r="A4" s="13" t="inlineStr">
        <is>
          <t>Gap type</t>
        </is>
      </c>
      <c r="B4" s="13" t="inlineStr">
        <is>
          <t>What it means (report methodology)</t>
        </is>
      </c>
      <c r="C4" s="13" t="inlineStr">
        <is>
          <t>Colour</t>
        </is>
      </c>
    </row>
    <row r="5" ht="20" customHeight="1">
      <c r="A5" s="16" t="inlineStr">
        <is>
          <t>Policy gap</t>
        </is>
      </c>
      <c r="B5" s="15" t="inlineStr">
        <is>
          <t>No policy in place to address the required change.</t>
        </is>
      </c>
      <c r="C5" s="42" t="inlineStr"/>
    </row>
    <row r="6" ht="20" customHeight="1">
      <c r="A6" s="30" t="inlineStr">
        <is>
          <t>Ambition gap</t>
        </is>
      </c>
      <c r="B6" s="23" t="inlineStr">
        <is>
          <t>Policies exist but are not ambitious enough to deliver the change.</t>
        </is>
      </c>
      <c r="C6" s="43" t="inlineStr"/>
    </row>
    <row r="7" ht="20" customHeight="1">
      <c r="A7" s="34" t="inlineStr">
        <is>
          <t>Implementation gap</t>
        </is>
      </c>
      <c r="B7" s="15" t="inlineStr">
        <is>
          <t>Policies are not implemented adequately.</t>
        </is>
      </c>
      <c r="C7" s="44" t="inlineStr"/>
    </row>
    <row r="8" ht="20" customHeight="1">
      <c r="A8" s="36" t="inlineStr">
        <is>
          <t>Inconsistency</t>
        </is>
      </c>
      <c r="B8" s="23" t="inlineStr">
        <is>
          <t>Policies provide counter-productive incentives.</t>
        </is>
      </c>
      <c r="C8" s="45" t="inlineStr"/>
    </row>
    <row r="11" ht="20" customHeight="1">
      <c r="A11" s="13" t="inlineStr">
        <is>
          <t>Status (mid-2026 re-assessment)</t>
        </is>
      </c>
      <c r="B11" s="13" t="inlineStr">
        <is>
          <t>What it means here</t>
        </is>
      </c>
      <c r="C11" s="13" t="inlineStr">
        <is>
          <t>Colour</t>
        </is>
      </c>
    </row>
    <row r="12" ht="20" customHeight="1">
      <c r="A12" s="16" t="inlineStr">
        <is>
          <t>Still open</t>
        </is>
      </c>
      <c r="B12" s="15" t="inlineStr">
        <is>
          <t>Nothing adopted since the report changes the finding — assessed unchanged.</t>
        </is>
      </c>
      <c r="C12" s="42" t="inlineStr"/>
    </row>
    <row r="13" ht="20" customHeight="1">
      <c r="A13" s="30" t="inlineStr">
        <is>
          <t>Partially addressed</t>
        </is>
      </c>
      <c r="B13" s="23" t="inlineStr">
        <is>
          <t>Legislation since the report narrows the gap but does not close it.</t>
        </is>
      </c>
      <c r="C13" s="43" t="inlineStr"/>
    </row>
    <row r="14" ht="20" customHeight="1">
      <c r="A14" s="35" t="inlineStr">
        <is>
          <t>Addressed</t>
        </is>
      </c>
      <c r="B14" s="15" t="inlineStr">
        <is>
          <t>An adopted instrument closes the gap; any residual risk is named in the note.</t>
        </is>
      </c>
      <c r="C14" s="46" t="inlineStr"/>
    </row>
    <row r="15" ht="20" customHeight="1">
      <c r="A15" s="47" t="inlineStr">
        <is>
          <t>To review</t>
        </is>
      </c>
      <c r="B15" s="23" t="inlineStr">
        <is>
          <t>Not yet re-assessed.</t>
        </is>
      </c>
      <c r="C15" s="48" t="inlineStr"/>
    </row>
    <row r="16" ht="28" customHeight="1">
      <c r="A16" s="37" t="inlineStr">
        <is>
          <t>Candidate — to test</t>
        </is>
      </c>
      <c r="B16" s="15" t="inlineStr">
        <is>
          <t>Proposed additional gap, not tagged in the report. Work the test in the “Candidate gaps” sheet, then accept or reject.</t>
        </is>
      </c>
      <c r="C16" s="45" t="inlineStr"/>
    </row>
    <row r="19" ht="20" customHeight="1">
      <c r="A19" s="13" t="inlineStr">
        <is>
          <t>Sector</t>
        </is>
      </c>
      <c r="B19" s="13" t="inlineStr">
        <is>
          <t>Subsectors (report-aligned taxonomy)</t>
        </is>
      </c>
      <c r="C19" s="13" t="inlineStr"/>
    </row>
    <row r="20" ht="20" customHeight="1">
      <c r="A20" s="35" t="inlineStr">
        <is>
          <t>Industry</t>
        </is>
      </c>
      <c r="B20" s="15" t="inlineStr">
        <is>
          <t>Iron &amp; steel · Cement &amp; lime · Chemicals &amp; petrochemicals · Cross-cutting</t>
        </is>
      </c>
      <c r="C20" s="15" t="inlineStr"/>
    </row>
    <row r="21" ht="20" customHeight="1">
      <c r="A21" s="27" t="inlineStr">
        <is>
          <t>Transport</t>
        </is>
      </c>
      <c r="B21" s="23" t="inlineStr">
        <is>
          <t>Road passenger · Road freight · Rail · Aviation · Maritime · Cross-cutting</t>
        </is>
      </c>
      <c r="C21" s="23"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ESABCC Method Hub</dc:creator>
  <dc:title xmlns:dc="http://purl.org/dc/elements/1.1/">Policy gaps — Transport &amp; Industry (Summer Prep note 3)</dc:title>
  <dc:subject xmlns:dc="http://purl.org/dc/elements/1.1/">Summer Prep · Policy Gap 2.0 Report — background document</dc:subject>
  <dcterms:created xmlns:dcterms="http://purl.org/dc/terms/" xmlns:xsi="http://www.w3.org/2001/XMLSchema-instance" xsi:type="dcterms:W3CDTF">2026-07-27T15:08:42Z</dcterms:created>
  <dcterms:modified xmlns:dcterms="http://purl.org/dc/terms/" xmlns:xsi="http://www.w3.org/2001/XMLSchema-instance" xsi:type="dcterms:W3CDTF">2026-07-27T15:08:42Z</dcterms:modified>
</cp:coreProperties>
</file>