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Re-assessed gaps" sheetId="2" state="visible" r:id="rId2"/>
    <sheet name="Candidate gaps" sheetId="3" state="visible" r:id="rId3"/>
    <sheet name="Landscape data" sheetId="4" state="visible" r:id="rId4"/>
    <sheet name="Gap landscape" sheetId="5" state="visible" r:id="rId5"/>
    <sheet name="Legend" sheetId="6" state="visible" r:id="rId6"/>
  </sheets>
  <definedNames>
    <definedName name="_xlnm._FilterDatabase" localSheetId="1" hidden="1">'Re-assessed gaps'!$A$1:$N$11</definedName>
    <definedName name="_xlnm._FilterDatabase" localSheetId="2" hidden="1">'Candidate gaps'!$A$1:$K$11</definedName>
    <definedName name="_xlnm._FilterDatabase" localSheetId="3" hidden="1">'Landscape data'!$A$1:$G$22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Segoe UI Semibold"/>
      <b val="1"/>
      <color rgb="004D7E83"/>
      <sz val="18"/>
    </font>
    <font>
      <name val="Segoe UI Semilight"/>
      <color rgb="004D7E83"/>
      <sz val="11"/>
    </font>
    <font>
      <name val="Segoe UI Semilight"/>
      <color rgb="006E7A7B"/>
      <sz val="8"/>
    </font>
    <font>
      <name val="Segoe UI Semibold"/>
      <b val="1"/>
      <color rgb="004D7E83"/>
      <sz val="12"/>
    </font>
    <font>
      <name val="Segoe UI Semibold"/>
      <color rgb="004D7E83"/>
      <sz val="9"/>
    </font>
    <font>
      <name val="Segoe UI"/>
      <color rgb="002C2D2D"/>
      <sz val="9"/>
    </font>
    <font>
      <name val="Segoe UI Semibold"/>
      <color rgb="00FFFFFF"/>
      <sz val="9"/>
    </font>
    <font>
      <name val="Segoe UI Semibold"/>
      <color rgb="00B04545"/>
      <sz val="9"/>
    </font>
    <font>
      <name val="Segoe UI Semibold"/>
      <color rgb="002C2D2D"/>
      <sz val="9"/>
    </font>
    <font>
      <name val="Segoe UI Semilight"/>
      <i val="1"/>
      <color rgb="006E7A7B"/>
      <sz val="8.5"/>
    </font>
    <font>
      <name val="Segoe UI Semibold"/>
      <color rgb="00F59E2D"/>
      <sz val="9"/>
    </font>
    <font>
      <name val="Segoe UI"/>
      <color rgb="000563C1"/>
      <sz val="7.5"/>
    </font>
    <font>
      <name val="Segoe UI Semibold"/>
      <color rgb="00648ECA"/>
      <sz val="9"/>
    </font>
    <font>
      <name val="Segoe UI Semilight"/>
      <color rgb="004D7E83"/>
      <sz val="8.5"/>
    </font>
    <font>
      <name val="Segoe UI Semibold"/>
      <color rgb="00B487C7"/>
      <sz val="9"/>
    </font>
    <font>
      <name val="Segoe UI Semibold"/>
      <color rgb="006E7A7B"/>
      <sz val="9"/>
    </font>
  </fonts>
  <fills count="11">
    <fill>
      <patternFill/>
    </fill>
    <fill>
      <patternFill patternType="gray125"/>
    </fill>
    <fill>
      <patternFill patternType="solid">
        <fgColor rgb="00D8E7E8"/>
      </patternFill>
    </fill>
    <fill>
      <patternFill patternType="solid">
        <fgColor rgb="00EFF6F6"/>
      </patternFill>
    </fill>
    <fill>
      <patternFill patternType="solid">
        <fgColor rgb="004D7E83"/>
      </patternFill>
    </fill>
    <fill>
      <patternFill patternType="solid">
        <fgColor rgb="00FFF6D9"/>
      </patternFill>
    </fill>
    <fill>
      <patternFill patternType="solid">
        <fgColor rgb="00B04545"/>
      </patternFill>
    </fill>
    <fill>
      <patternFill patternType="solid">
        <fgColor rgb="00F59E2D"/>
      </patternFill>
    </fill>
    <fill>
      <patternFill patternType="solid">
        <fgColor rgb="00648ECA"/>
      </patternFill>
    </fill>
    <fill>
      <patternFill patternType="solid">
        <fgColor rgb="00B487C7"/>
      </patternFill>
    </fill>
    <fill>
      <patternFill patternType="solid">
        <fgColor rgb="006E7A7B"/>
      </patternFill>
    </fill>
  </fills>
  <borders count="2">
    <border>
      <left/>
      <right/>
      <top/>
      <bottom/>
      <diagonal/>
    </border>
    <border>
      <left style="thin">
        <color rgb="00FFFFFF"/>
      </left>
      <right style="thin">
        <color rgb="00FFFFFF"/>
      </right>
      <top style="thin">
        <color rgb="00FFFFFF"/>
      </top>
      <bottom style="thin">
        <color rgb="00FFFFFF"/>
      </bottom>
    </border>
  </borders>
  <cellStyleXfs count="1">
    <xf numFmtId="0" fontId="0" fillId="0" borderId="0"/>
  </cellStyleXfs>
  <cellXfs count="49">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2" borderId="0" applyAlignment="1" pivotButton="0" quotePrefix="0" xfId="0">
      <alignment vertical="top"/>
    </xf>
    <xf numFmtId="0" fontId="6" fillId="2" borderId="0" applyAlignment="1" pivotButton="0" quotePrefix="0" xfId="0">
      <alignment vertical="top" wrapText="1"/>
    </xf>
    <xf numFmtId="0" fontId="0" fillId="2" borderId="0" pivotButton="0" quotePrefix="0" xfId="0"/>
    <xf numFmtId="0" fontId="5" fillId="3" borderId="0" applyAlignment="1" pivotButton="0" quotePrefix="0" xfId="0">
      <alignment vertical="top"/>
    </xf>
    <xf numFmtId="0" fontId="6" fillId="3" borderId="0" applyAlignment="1" pivotButton="0" quotePrefix="0" xfId="0">
      <alignment vertical="top" wrapText="1"/>
    </xf>
    <xf numFmtId="0" fontId="0" fillId="3" borderId="0" pivotButton="0" quotePrefix="0" xfId="0"/>
    <xf numFmtId="0" fontId="6" fillId="0" borderId="0" applyAlignment="1" pivotButton="0" quotePrefix="0" xfId="0">
      <alignment vertical="top" wrapText="1"/>
    </xf>
    <xf numFmtId="0" fontId="5" fillId="0" borderId="0" pivotButton="0" quotePrefix="0" xfId="0"/>
    <xf numFmtId="0" fontId="7" fillId="4" borderId="1" applyAlignment="1" pivotButton="0" quotePrefix="0" xfId="0">
      <alignment horizontal="left" vertical="center" wrapText="1"/>
    </xf>
    <xf numFmtId="0" fontId="6" fillId="2" borderId="1" applyAlignment="1" pivotButton="0" quotePrefix="0" xfId="0">
      <alignment horizontal="center" vertical="top"/>
    </xf>
    <xf numFmtId="0" fontId="6" fillId="2" borderId="1" applyAlignment="1" pivotButton="0" quotePrefix="0" xfId="0">
      <alignment horizontal="left" vertical="top" wrapText="1"/>
    </xf>
    <xf numFmtId="0" fontId="8" fillId="2" borderId="1" applyAlignment="1" pivotButton="0" quotePrefix="0" xfId="0">
      <alignment horizontal="left" vertical="top" wrapText="1"/>
    </xf>
    <xf numFmtId="0" fontId="9" fillId="2" borderId="1" applyAlignment="1" pivotButton="0" quotePrefix="0" xfId="0">
      <alignment horizontal="left" vertical="top" wrapText="1"/>
    </xf>
    <xf numFmtId="0" fontId="10" fillId="2" borderId="1" applyAlignment="1" pivotButton="0" quotePrefix="0" xfId="0">
      <alignment horizontal="left" vertical="top" wrapText="1"/>
    </xf>
    <xf numFmtId="0" fontId="11" fillId="2" borderId="1" applyAlignment="1" pivotButton="0" quotePrefix="0" xfId="0">
      <alignment horizontal="left" vertical="top" wrapText="1"/>
    </xf>
    <xf numFmtId="0" fontId="12" fillId="2" borderId="1" applyAlignment="1" pivotButton="0" quotePrefix="0" xfId="0">
      <alignment horizontal="left" vertical="top" wrapText="1"/>
    </xf>
    <xf numFmtId="0" fontId="3" fillId="2" borderId="1" applyAlignment="1" pivotButton="0" quotePrefix="0" xfId="0">
      <alignment horizontal="left" vertical="top" wrapText="1"/>
    </xf>
    <xf numFmtId="0" fontId="6" fillId="3" borderId="1" applyAlignment="1" pivotButton="0" quotePrefix="0" xfId="0">
      <alignment horizontal="center" vertical="top"/>
    </xf>
    <xf numFmtId="0" fontId="6" fillId="3" borderId="1" applyAlignment="1" pivotButton="0" quotePrefix="0" xfId="0">
      <alignment horizontal="left" vertical="top" wrapText="1"/>
    </xf>
    <xf numFmtId="0" fontId="8" fillId="3" borderId="1" applyAlignment="1" pivotButton="0" quotePrefix="0" xfId="0">
      <alignment horizontal="left" vertical="top" wrapText="1"/>
    </xf>
    <xf numFmtId="0" fontId="9" fillId="3" borderId="1" applyAlignment="1" pivotButton="0" quotePrefix="0" xfId="0">
      <alignment horizontal="left" vertical="top" wrapText="1"/>
    </xf>
    <xf numFmtId="0" fontId="10" fillId="3" borderId="1" applyAlignment="1" pivotButton="0" quotePrefix="0" xfId="0">
      <alignment horizontal="left" vertical="top" wrapText="1"/>
    </xf>
    <xf numFmtId="0" fontId="5" fillId="3" borderId="1" applyAlignment="1" pivotButton="0" quotePrefix="0" xfId="0">
      <alignment horizontal="left" vertical="top" wrapText="1"/>
    </xf>
    <xf numFmtId="0" fontId="12" fillId="3" borderId="1" applyAlignment="1" pivotButton="0" quotePrefix="0" xfId="0">
      <alignment horizontal="left" vertical="top" wrapText="1"/>
    </xf>
    <xf numFmtId="0" fontId="3" fillId="3" borderId="1" applyAlignment="1" pivotButton="0" quotePrefix="0" xfId="0">
      <alignment horizontal="left" vertical="top" wrapText="1"/>
    </xf>
    <xf numFmtId="0" fontId="11" fillId="3" borderId="1" applyAlignment="1" pivotButton="0" quotePrefix="0" xfId="0">
      <alignment horizontal="left" vertical="top" wrapText="1"/>
    </xf>
    <xf numFmtId="0" fontId="13" fillId="3" borderId="1" applyAlignment="1" pivotButton="0" quotePrefix="0" xfId="0">
      <alignment horizontal="left" vertical="top" wrapText="1"/>
    </xf>
    <xf numFmtId="0" fontId="14" fillId="0" borderId="0" applyAlignment="1" pivotButton="0" quotePrefix="0" xfId="0">
      <alignment vertical="top" wrapText="1"/>
    </xf>
    <xf numFmtId="0" fontId="6" fillId="5" borderId="1" applyAlignment="1" pivotButton="0" quotePrefix="0" xfId="0">
      <alignment horizontal="left" vertical="top" wrapText="1"/>
    </xf>
    <xf numFmtId="0" fontId="13" fillId="2" borderId="1" applyAlignment="1" pivotButton="0" quotePrefix="0" xfId="0">
      <alignment horizontal="left" vertical="top" wrapText="1"/>
    </xf>
    <xf numFmtId="0" fontId="5" fillId="2" borderId="1" applyAlignment="1" pivotButton="0" quotePrefix="0" xfId="0">
      <alignment horizontal="left" vertical="top" wrapText="1"/>
    </xf>
    <xf numFmtId="0" fontId="15" fillId="3" borderId="1" applyAlignment="1" pivotButton="0" quotePrefix="0" xfId="0">
      <alignment horizontal="left" vertical="top" wrapText="1"/>
    </xf>
    <xf numFmtId="0" fontId="15" fillId="2" borderId="1" applyAlignment="1" pivotButton="0" quotePrefix="0" xfId="0">
      <alignment horizontal="left" vertical="top" wrapText="1"/>
    </xf>
    <xf numFmtId="0" fontId="6" fillId="2" borderId="1" applyAlignment="1" pivotButton="0" quotePrefix="0" xfId="0">
      <alignment horizontal="center" vertical="center"/>
    </xf>
    <xf numFmtId="0" fontId="6" fillId="3" borderId="1" applyAlignment="1" pivotButton="0" quotePrefix="0" xfId="0">
      <alignment horizontal="center" vertical="center"/>
    </xf>
    <xf numFmtId="0" fontId="7" fillId="4" borderId="1" applyAlignment="1" pivotButton="0" quotePrefix="0" xfId="0">
      <alignment horizontal="left" vertical="top" wrapText="1"/>
    </xf>
    <xf numFmtId="0" fontId="7" fillId="4" borderId="1" applyAlignment="1" pivotButton="0" quotePrefix="0" xfId="0">
      <alignment horizontal="center" vertical="center"/>
    </xf>
    <xf numFmtId="0" fontId="6" fillId="6" borderId="1" applyAlignment="1" pivotButton="0" quotePrefix="0" xfId="0">
      <alignment horizontal="left" vertical="top" wrapText="1"/>
    </xf>
    <xf numFmtId="0" fontId="6" fillId="7" borderId="1" applyAlignment="1" pivotButton="0" quotePrefix="0" xfId="0">
      <alignment horizontal="left" vertical="top" wrapText="1"/>
    </xf>
    <xf numFmtId="0" fontId="6" fillId="8" borderId="1" applyAlignment="1" pivotButton="0" quotePrefix="0" xfId="0">
      <alignment horizontal="left" vertical="top" wrapText="1"/>
    </xf>
    <xf numFmtId="0" fontId="6" fillId="9" borderId="1" applyAlignment="1" pivotButton="0" quotePrefix="0" xfId="0">
      <alignment horizontal="left" vertical="top" wrapText="1"/>
    </xf>
    <xf numFmtId="0" fontId="6" fillId="4" borderId="1" applyAlignment="1" pivotButton="0" quotePrefix="0" xfId="0">
      <alignment horizontal="left" vertical="top" wrapText="1"/>
    </xf>
    <xf numFmtId="0" fontId="16" fillId="3" borderId="1" applyAlignment="1" pivotButton="0" quotePrefix="0" xfId="0">
      <alignment horizontal="left" vertical="top" wrapText="1"/>
    </xf>
    <xf numFmtId="0" fontId="6" fillId="1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Industry — gaps per subsector</a:t>
            </a:r>
          </a:p>
        </rich>
      </tx>
      <overlay val="0"/>
    </title>
    <plotArea>
      <barChart>
        <barDir val="bar"/>
        <grouping val="stacked"/>
        <ser>
          <idx val="0"/>
          <order val="0"/>
          <tx>
            <strRef>
              <f>'Gap landscape'!B5</f>
            </strRef>
          </tx>
          <spPr>
            <a:solidFill>
              <a:srgbClr val="B04545"/>
            </a:solidFill>
            <a:ln>
              <a:noFill/>
              <a:prstDash val="solid"/>
            </a:ln>
          </spPr>
          <cat>
            <strRef>
              <f>'Gap landscape'!$A$6:$A$9</f>
            </strRef>
          </cat>
          <val>
            <numRef>
              <f>'Gap landscape'!$B$6:$B$9</f>
            </numRef>
          </val>
        </ser>
        <ser>
          <idx val="1"/>
          <order val="1"/>
          <tx>
            <strRef>
              <f>'Gap landscape'!C5</f>
            </strRef>
          </tx>
          <spPr>
            <a:solidFill>
              <a:srgbClr val="F59E2D"/>
            </a:solidFill>
            <a:ln>
              <a:noFill/>
              <a:prstDash val="solid"/>
            </a:ln>
          </spPr>
          <cat>
            <strRef>
              <f>'Gap landscape'!$A$6:$A$9</f>
            </strRef>
          </cat>
          <val>
            <numRef>
              <f>'Gap landscape'!$C$6:$C$9</f>
            </numRef>
          </val>
        </ser>
        <ser>
          <idx val="2"/>
          <order val="2"/>
          <tx>
            <strRef>
              <f>'Gap landscape'!D5</f>
            </strRef>
          </tx>
          <spPr>
            <a:solidFill>
              <a:srgbClr val="4D7E83"/>
            </a:solidFill>
            <a:ln>
              <a:noFill/>
              <a:prstDash val="solid"/>
            </a:ln>
          </spPr>
          <cat>
            <strRef>
              <f>'Gap landscape'!$A$6:$A$9</f>
            </strRef>
          </cat>
          <val>
            <numRef>
              <f>'Gap landscape'!$D$6:$D$9</f>
            </numRef>
          </val>
        </ser>
        <ser>
          <idx val="3"/>
          <order val="3"/>
          <tx>
            <strRef>
              <f>'Gap landscape'!E5</f>
            </strRef>
          </tx>
          <spPr>
            <a:solidFill>
              <a:srgbClr val="B487C7"/>
            </a:solidFill>
            <a:ln>
              <a:noFill/>
              <a:prstDash val="solid"/>
            </a:ln>
          </spPr>
          <cat>
            <strRef>
              <f>'Gap landscape'!$A$6:$A$9</f>
            </strRef>
          </cat>
          <val>
            <numRef>
              <f>'Gap landscape'!$E$6:$E$9</f>
            </numRef>
          </val>
        </ser>
        <gapWidth val="150"/>
        <overlap val="100"/>
        <axId val="10"/>
        <axId val="100"/>
      </barChart>
      <catAx>
        <axId val="10"/>
        <scaling>
          <orientation val="minMax"/>
        </scaling>
        <delete val="0"/>
        <axPos val="l"/>
        <title>
          <tx>
            <rich>
              <a:bodyPr/>
              <a:p>
                <a:pPr>
                  <a:defRPr/>
                </a:pPr>
                <a:r>
                  <a:t>Number of gaps</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sz="1100" b="0">
                <a:solidFill>
                  <a:srgbClr val="4D7E83"/>
                </a:solidFill>
                <a:latin typeface="Segoe UI Semibold"/>
              </a:defRPr>
            </a:pPr>
            <a:r>
              <a:rPr sz="1100" b="0">
                <a:solidFill>
                  <a:srgbClr val="4D7E83"/>
                </a:solidFill>
                <a:latin typeface="Segoe UI Semibold"/>
              </a:rPr>
              <a:t>Transport — gaps per subsector</a:t>
            </a:r>
          </a:p>
        </rich>
      </tx>
      <overlay val="0"/>
    </title>
    <plotArea>
      <barChart>
        <barDir val="bar"/>
        <grouping val="stacked"/>
        <ser>
          <idx val="0"/>
          <order val="0"/>
          <tx>
            <strRef>
              <f>'Gap landscape'!B14</f>
            </strRef>
          </tx>
          <spPr>
            <a:solidFill>
              <a:srgbClr val="B04545"/>
            </a:solidFill>
            <a:ln>
              <a:noFill/>
              <a:prstDash val="solid"/>
            </a:ln>
          </spPr>
          <cat>
            <strRef>
              <f>'Gap landscape'!$A$15:$A$20</f>
            </strRef>
          </cat>
          <val>
            <numRef>
              <f>'Gap landscape'!$B$15:$B$20</f>
            </numRef>
          </val>
        </ser>
        <ser>
          <idx val="1"/>
          <order val="1"/>
          <tx>
            <strRef>
              <f>'Gap landscape'!C14</f>
            </strRef>
          </tx>
          <spPr>
            <a:solidFill>
              <a:srgbClr val="F59E2D"/>
            </a:solidFill>
            <a:ln>
              <a:noFill/>
              <a:prstDash val="solid"/>
            </a:ln>
          </spPr>
          <cat>
            <strRef>
              <f>'Gap landscape'!$A$15:$A$20</f>
            </strRef>
          </cat>
          <val>
            <numRef>
              <f>'Gap landscape'!$C$15:$C$20</f>
            </numRef>
          </val>
        </ser>
        <ser>
          <idx val="2"/>
          <order val="2"/>
          <tx>
            <strRef>
              <f>'Gap landscape'!D14</f>
            </strRef>
          </tx>
          <spPr>
            <a:solidFill>
              <a:srgbClr val="4D7E83"/>
            </a:solidFill>
            <a:ln>
              <a:noFill/>
              <a:prstDash val="solid"/>
            </a:ln>
          </spPr>
          <cat>
            <strRef>
              <f>'Gap landscape'!$A$15:$A$20</f>
            </strRef>
          </cat>
          <val>
            <numRef>
              <f>'Gap landscape'!$D$15:$D$20</f>
            </numRef>
          </val>
        </ser>
        <ser>
          <idx val="3"/>
          <order val="3"/>
          <tx>
            <strRef>
              <f>'Gap landscape'!E14</f>
            </strRef>
          </tx>
          <spPr>
            <a:solidFill>
              <a:srgbClr val="B487C7"/>
            </a:solidFill>
            <a:ln>
              <a:noFill/>
              <a:prstDash val="solid"/>
            </a:ln>
          </spPr>
          <cat>
            <strRef>
              <f>'Gap landscape'!$A$15:$A$20</f>
            </strRef>
          </cat>
          <val>
            <numRef>
              <f>'Gap landscape'!$E$15:$E$20</f>
            </numRef>
          </val>
        </ser>
        <gapWidth val="150"/>
        <overlap val="100"/>
        <axId val="10"/>
        <axId val="100"/>
      </barChart>
      <catAx>
        <axId val="10"/>
        <scaling>
          <orientation val="minMax"/>
        </scaling>
        <delete val="0"/>
        <axPos val="l"/>
        <title>
          <tx>
            <rich>
              <a:bodyPr/>
              <a:p>
                <a:pPr>
                  <a:defRPr/>
                </a:pPr>
                <a:r>
                  <a:t>Number of gaps</a:t>
                </a:r>
              </a:p>
            </rich>
          </tx>
          <overlay val="0"/>
        </title>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majorTickMark val="none"/>
        <minorTickMark val="none"/>
        <tickLblPos val="nextTo"/>
        <spPr>
          <a:ln>
            <a:solidFill>
              <a:srgbClr val="B9CFD1"/>
            </a:solidFill>
            <a:prstDash val="solid"/>
          </a:ln>
        </spPr>
        <txPr>
          <a:bodyPr/>
          <a:p>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a:p>
          <a:pPr>
            <a:defRPr sz="800">
              <a:solidFill>
                <a:srgbClr val="2C2D2D"/>
              </a:solidFill>
              <a:latin typeface="Segoe UI"/>
            </a:defRPr>
          </a:pPr>
          <a:r>
            <a:t/>
          </a:r>
          <a:endParaRPr sz="800">
            <a:solidFill>
              <a:srgbClr val="2C2D2D"/>
            </a:solidFill>
            <a:latin typeface="Segoe UI"/>
          </a:endParaRPr>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3</row>
      <rowOff>0</rowOff>
    </from>
    <ext cx="5400000" cy="2664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18</row>
      <rowOff>0</rowOff>
    </from>
    <ext cx="5400000" cy="2664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4D7E83"/>
    <outlinePr summaryBelow="1" summaryRight="1"/>
    <pageSetUpPr/>
  </sheetPr>
  <dimension ref="A1:H23"/>
  <sheetViews>
    <sheetView showGridLines="0" zoomScale="100"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0" customWidth="1" min="6" max="6"/>
    <col width="16" customWidth="1" min="7" max="7"/>
    <col width="16" customWidth="1" min="8" max="8"/>
  </cols>
  <sheetData>
    <row r="1" ht="26" customHeight="1">
      <c r="A1" s="1" t="inlineStr">
        <is>
          <t>Policy gaps — Transport &amp; Industry</t>
        </is>
      </c>
    </row>
    <row r="2" ht="30" customHeight="1">
      <c r="A2" s="2" t="inlineStr">
        <is>
          <t>The transport- and industry-tagged findings of the 2024 ESABCC progress report, re-assessed against the legislation adopted since; plus candidate additional gaps and the per-subsector gap landscape.</t>
        </is>
      </c>
    </row>
    <row r="3">
      <c r="A3" s="3" t="inlineStr">
        <is>
          <t>Background document for the Summer Prep · Policy Gap 2.0 Report module (Note 3) · prepared 27 July 2026. Re-assessment vintage: Provisional read, mid-2026.</t>
        </is>
      </c>
    </row>
    <row r="5">
      <c r="A5" s="4" t="inlineStr">
        <is>
          <t>What is in this workbook</t>
        </is>
      </c>
    </row>
    <row r="6" ht="44" customHeight="1">
      <c r="A6" s="5" t="inlineStr">
        <is>
          <t>Re-assessed gaps</t>
        </is>
      </c>
      <c r="B6" s="6" t="inlineStr">
        <is>
          <t>The 10 transport/industry gaps the report tagged, each with its verbatim report quote and page, its assigned subsector, and a provisional mid-2026 read of whether it still exists — with the sources behind that read.</t>
        </is>
      </c>
      <c r="C6" s="7" t="n"/>
      <c r="D6" s="7" t="n"/>
      <c r="E6" s="7" t="n"/>
      <c r="F6" s="7" t="n"/>
      <c r="G6" s="7" t="n"/>
      <c r="H6" s="7" t="n"/>
    </row>
    <row r="7" ht="44" customHeight="1">
      <c r="A7" s="8" t="inlineStr">
        <is>
          <t>Candidate gaps</t>
        </is>
      </c>
      <c r="B7" s="9" t="inlineStr">
        <is>
          <t>10 issues that look like policy, ambition or implementation gaps but are not (yet) tagged as such in the report. Each carries the test that would confirm or refute it. These are proposals for the sector lead, not findings.</t>
        </is>
      </c>
      <c r="C7" s="10" t="n"/>
      <c r="D7" s="10" t="n"/>
      <c r="E7" s="10" t="n"/>
      <c r="F7" s="10" t="n"/>
      <c r="G7" s="10" t="n"/>
      <c r="H7" s="10" t="n"/>
    </row>
    <row r="8" ht="44" customHeight="1">
      <c r="A8" s="5" t="inlineStr">
        <is>
          <t>Gap landscape</t>
        </is>
      </c>
      <c r="B8" s="6" t="inlineStr">
        <is>
          <t>Gaps per sector and subsector — report gaps by live status, and candidates — with the landscape figure. Counts are COUNTIFS formulas over the “Landscape data” sheet.</t>
        </is>
      </c>
      <c r="C8" s="7" t="n"/>
      <c r="D8" s="7" t="n"/>
      <c r="E8" s="7" t="n"/>
      <c r="F8" s="7" t="n"/>
      <c r="G8" s="7" t="n"/>
      <c r="H8" s="7" t="n"/>
    </row>
    <row r="9" ht="44" customHeight="1">
      <c r="A9" s="8" t="inlineStr">
        <is>
          <t>Landscape data</t>
        </is>
      </c>
      <c r="B9" s="9" t="inlineStr">
        <is>
          <t>The same gaps in long format, one row per gap × subsector. A gap that bears on two subsectors appears once per subsector, so no subsector row is silently empty. This is the sheet the landscape counts read from.</t>
        </is>
      </c>
      <c r="C9" s="10" t="n"/>
      <c r="D9" s="10" t="n"/>
      <c r="E9" s="10" t="n"/>
      <c r="F9" s="10" t="n"/>
      <c r="G9" s="10" t="n"/>
      <c r="H9" s="10" t="n"/>
    </row>
    <row r="10" ht="44" customHeight="1">
      <c r="A10" s="5" t="inlineStr">
        <is>
          <t>Legend</t>
        </is>
      </c>
      <c r="B10" s="6" t="inlineStr">
        <is>
          <t>Gap types, live statuses and the subsector taxonomy.</t>
        </is>
      </c>
      <c r="C10" s="7" t="n"/>
      <c r="D10" s="7" t="n"/>
      <c r="E10" s="7" t="n"/>
      <c r="F10" s="7" t="n"/>
      <c r="G10" s="7" t="n"/>
      <c r="H10" s="7" t="n"/>
    </row>
    <row r="12">
      <c r="A12" s="4" t="inlineStr">
        <is>
          <t>How to read it — and what it is not</t>
        </is>
      </c>
    </row>
    <row r="13" ht="28" customHeight="1">
      <c r="A13" s="11" t="inlineStr">
        <is>
          <t>• The base facts are the Board's: that the report tagged the gap, its verbatim quote, and its page. Those columns are unchanged from the report and should not be edited.</t>
        </is>
      </c>
    </row>
    <row r="14" ht="28" customHeight="1">
      <c r="A14" s="11" t="inlineStr">
        <is>
          <t>• The re-assessment status and note, the candidate gaps, and the assignment of each gap to a subsector are AI-compiled working material for this prep cycle and are PENDING VERIFICATION. Nothing here is a Board position — it is a prompt for the sector lead's own judgement.</t>
        </is>
      </c>
    </row>
    <row r="15" ht="28" customHeight="1">
      <c r="A15" s="11" t="inlineStr">
        <is>
          <t>• Where a re-assessment leans on something that happened after the report, the source URLs are in the “Sources” column. Check those first when you take a row forward.</t>
        </is>
      </c>
    </row>
    <row r="16" ht="28" customHeight="1">
      <c r="A16" s="11" t="inlineStr">
        <is>
          <t>• Candidate gaps are deliberately falsifiable: each has a “Test to confirm / refute”. Work the test, then accept the candidate into the tracker or drop it — and record which.</t>
        </is>
      </c>
    </row>
    <row r="17" ht="28" customHeight="1">
      <c r="A17" s="11" t="inlineStr">
        <is>
          <t>• The live version is in the Method Hub (Summer Prep › Policy Gap 2.0 Report › Policy Gaps — Transport &amp; Industry).</t>
        </is>
      </c>
    </row>
    <row r="19">
      <c r="A19" s="4" t="inlineStr">
        <is>
          <t>Source</t>
        </is>
      </c>
    </row>
    <row r="20" ht="26" customHeight="1">
      <c r="A20" s="12" t="inlineStr">
        <is>
          <t>Report</t>
        </is>
      </c>
      <c r="B20" s="11" t="inlineStr">
        <is>
          <t>European Scientific Advisory Board on Climate Change (2024) “Towards EU climate neutrality: Progress, policy gaps and opportunities”, January 2024.</t>
        </is>
      </c>
    </row>
    <row r="21" ht="26" customHeight="1">
      <c r="A21" s="12" t="inlineStr">
        <is>
          <t>Report URL</t>
        </is>
      </c>
      <c r="B21" s="11" t="inlineStr">
        <is>
          <t>https://climate-advisory-board.europa.eu/reports-and-publications/towards-eu-climate-neutrality-progress-policy-gaps-and-opportunities</t>
        </is>
      </c>
    </row>
    <row r="22" ht="26" customHeight="1">
      <c r="A22" s="12" t="inlineStr">
        <is>
          <t>Data source</t>
        </is>
      </c>
      <c r="B22" s="11" t="inlineStr">
        <is>
          <t>src/data/summer-prep-sector-gaps.ts, joined to src/data/policy-gaps.ts, in the ESABCC Method Hub repository.</t>
        </is>
      </c>
    </row>
    <row r="23" ht="26" customHeight="1">
      <c r="A23" s="12" t="inlineStr">
        <is>
          <t>Vintage</t>
        </is>
      </c>
      <c r="B23" s="11" t="inlineStr">
        <is>
          <t>Provisional read, mid-2026</t>
        </is>
      </c>
    </row>
  </sheetData>
  <mergeCells count="17">
    <mergeCell ref="B22:H22"/>
    <mergeCell ref="B8:H8"/>
    <mergeCell ref="A3:H3"/>
    <mergeCell ref="B23:H23"/>
    <mergeCell ref="B9:H9"/>
    <mergeCell ref="A15:H15"/>
    <mergeCell ref="B21:H21"/>
    <mergeCell ref="A2:H2"/>
    <mergeCell ref="A16:H16"/>
    <mergeCell ref="B6:H6"/>
    <mergeCell ref="A13:H13"/>
    <mergeCell ref="A14:H14"/>
    <mergeCell ref="B7:H7"/>
    <mergeCell ref="A1:H1"/>
    <mergeCell ref="B10:H10"/>
    <mergeCell ref="B20:H20"/>
    <mergeCell ref="A17:H17"/>
  </mergeCells>
  <pageMargins left="0.75" right="0.75" top="1" bottom="1" header="0.5" footer="0.5"/>
</worksheet>
</file>

<file path=xl/worksheets/sheet2.xml><?xml version="1.0" encoding="utf-8"?>
<worksheet xmlns="http://schemas.openxmlformats.org/spreadsheetml/2006/main">
  <sheetPr>
    <tabColor rgb="004D7E83"/>
    <outlinePr summaryBelow="1" summaryRight="1"/>
    <pageSetUpPr/>
  </sheetPr>
  <dimension ref="A1:N14"/>
  <sheetViews>
    <sheetView showGridLines="0" zoomScale="100" workbookViewId="0">
      <pane xSplit="3" ySplit="1" topLeftCell="D2" activePane="bottomRight" state="frozen"/>
      <selection pane="topRight"/>
      <selection pane="bottomLeft"/>
      <selection pane="bottomRight" activeCell="A1" sqref="A1"/>
    </sheetView>
  </sheetViews>
  <sheetFormatPr baseColWidth="8" defaultRowHeight="15"/>
  <cols>
    <col width="4" customWidth="1" min="1" max="1"/>
    <col width="11" customWidth="1" min="2" max="2"/>
    <col width="16" customWidth="1" min="3" max="3"/>
    <col width="15" customWidth="1" min="4" max="4"/>
    <col width="28" customWidth="1" min="5" max="5"/>
    <col width="40" customWidth="1" min="6" max="6"/>
    <col width="24" customWidth="1" min="7" max="7"/>
    <col width="52" customWidth="1" min="8" max="8"/>
    <col width="20" customWidth="1" min="9" max="9"/>
    <col width="18" customWidth="1" min="10" max="10"/>
    <col width="56" customWidth="1" min="11" max="11"/>
    <col width="16" customWidth="1" min="12" max="12"/>
    <col width="34" customWidth="1" min="13" max="13"/>
    <col width="24" customWidth="1" min="14" max="14"/>
  </cols>
  <sheetData>
    <row r="1" ht="34" customHeight="1">
      <c r="A1" s="13" t="inlineStr">
        <is>
          <t>#</t>
        </is>
      </c>
      <c r="B1" s="13" t="inlineStr">
        <is>
          <t>Sector</t>
        </is>
      </c>
      <c r="C1" s="13" t="inlineStr">
        <is>
          <t>Subsector</t>
        </is>
      </c>
      <c r="D1" s="13" t="inlineStr">
        <is>
          <t>Gap type</t>
        </is>
      </c>
      <c r="E1" s="13" t="inlineStr">
        <is>
          <t>Finding</t>
        </is>
      </c>
      <c r="F1" s="13" t="inlineStr">
        <is>
          <t>What the Board found</t>
        </is>
      </c>
      <c r="G1" s="13" t="inlineStr">
        <is>
          <t>Main EU instrument(s)</t>
        </is>
      </c>
      <c r="H1" s="13" t="inlineStr">
        <is>
          <t>Verbatim quote from the report</t>
        </is>
      </c>
      <c r="I1" s="13" t="inlineStr">
        <is>
          <t>Report reference</t>
        </is>
      </c>
      <c r="J1" s="13" t="inlineStr">
        <is>
          <t>Status mid-2026 (provisional)</t>
        </is>
      </c>
      <c r="K1" s="13" t="inlineStr">
        <is>
          <t>Re-assessment — what has changed since January 2024</t>
        </is>
      </c>
      <c r="L1" s="13" t="inlineStr">
        <is>
          <t>Also bears on</t>
        </is>
      </c>
      <c r="M1" s="13" t="inlineStr">
        <is>
          <t>Sources for the re-assessment</t>
        </is>
      </c>
      <c r="N1" s="13" t="inlineStr">
        <is>
          <t>ID</t>
        </is>
      </c>
    </row>
    <row r="2" ht="92" customHeight="1">
      <c r="A2" s="14" t="n">
        <v>1</v>
      </c>
      <c r="B2" s="15" t="inlineStr">
        <is>
          <t>Industry</t>
        </is>
      </c>
      <c r="C2" s="15" t="inlineStr">
        <is>
          <t>Cross-cutting</t>
        </is>
      </c>
      <c r="D2" s="16" t="inlineStr">
        <is>
          <t>Policy gap</t>
        </is>
      </c>
      <c r="E2" s="17" t="inlineStr">
        <is>
          <t>Circular-economy policy focuses on recycling, not prevention</t>
        </is>
      </c>
      <c r="F2" s="15" t="inlineStr">
        <is>
          <t>The 2015 Circular Economy Action Plan (CEAP 1) and the strategy on plastics mainly targeted recycling, with little focus on solutions upstream in the waste hierarchy.</t>
        </is>
      </c>
      <c r="G2" s="15" t="inlineStr">
        <is>
          <t>Circular Economy Action Plan, Plastics Strategy</t>
        </is>
      </c>
      <c r="H2" s="18" t="inlineStr">
        <is>
          <t>“The 2015 circular economy action plan (CEAP 1) and the strategy on plastics mainly targeted recycling, with little focus on solutions upstream in the waste hierarchy (policy gap).”</t>
        </is>
      </c>
      <c r="I2" s="15" t="inlineStr">
        <is>
          <t>Ch. 5 Industry, p. 82, line 16</t>
        </is>
      </c>
      <c r="J2" s="19" t="inlineStr">
        <is>
          <t>Partially addressed</t>
        </is>
      </c>
      <c r="K2" s="15" t="inlineStr">
        <is>
          <t>The Ecodesign for Sustainable Products Regulation (ESPR, Reg. (EU) 2024/1781) operationalises the design, durability and reuse agenda that CEAP 2 (COM(2020) 98 final, 11 March 2020) had already set out — so this is the delivery of an existing direction, not a first move. The gap stays open at both ends: the successor Circular Economy Act has not been tabled (expected Q3–Q4 2026), and although the ESPR working plan was adopted on 16 April 2025 (2025–2030, six priority groups, iron &amp; steel first with an indicative 2026 delegated act), no product-group delegated act has been adopted as of July 2026.</t>
        </is>
      </c>
      <c r="L2" s="15" t="inlineStr">
        <is>
          <t>—</t>
        </is>
      </c>
      <c r="M2" s="20" t="inlineStr">
        <is>
          <t>—</t>
        </is>
      </c>
      <c r="N2" s="21" t="inlineStr">
        <is>
          <t>industry-ceap-upstream</t>
        </is>
      </c>
    </row>
    <row r="3" ht="92" customHeight="1">
      <c r="A3" s="22" t="n">
        <v>2</v>
      </c>
      <c r="B3" s="23" t="inlineStr">
        <is>
          <t>Industry</t>
        </is>
      </c>
      <c r="C3" s="23" t="inlineStr">
        <is>
          <t>Cross-cutting</t>
        </is>
      </c>
      <c r="D3" s="24" t="inlineStr">
        <is>
          <t>Policy gap</t>
        </is>
      </c>
      <c r="E3" s="25" t="inlineStr">
        <is>
          <t>Ecodesign circularity scope remained limited</t>
        </is>
      </c>
      <c r="F3" s="23" t="inlineStr">
        <is>
          <t>The Ecodesign Directive has been mainly focused on energy efficiency; product circularity has been added in recent years, and its scope remained limited to energy products.</t>
        </is>
      </c>
      <c r="G3" s="23" t="inlineStr">
        <is>
          <t>Ecodesign Directive</t>
        </is>
      </c>
      <c r="H3" s="26" t="inlineStr">
        <is>
          <t>“the Ecodesign Directive has been mainly focused on energy efficiency and, whereas product circularity has been added in recent years, its scope remained limited to energy products (policy gap).”</t>
        </is>
      </c>
      <c r="I3" s="23" t="inlineStr">
        <is>
          <t>Ch. 5 Industry, p. 82, line 18</t>
        </is>
      </c>
      <c r="J3" s="27" t="inlineStr">
        <is>
          <t>Addressed</t>
        </is>
      </c>
      <c r="K3" s="23" t="inlineStr">
        <is>
          <t>Largely closed: the ESPR (Reg. (EU) 2024/1781 of 13 June 2024, in force 18 July 2024) replaces the old energy-only Ecodesign Directive 2009/125/EC and extends the framework to physical products generally — subject to the Art. 1(2) carve-outs for food, feed, medicinal products, living plants, animals and micro-organisms, products of human origin and vehicles under Reg. (EU) 2018/858. Effect now depends on the pace of delegated acts, and none has yet been adopted for a product group (implementation risk remains).</t>
        </is>
      </c>
      <c r="L3" s="23" t="inlineStr">
        <is>
          <t>—</t>
        </is>
      </c>
      <c r="M3" s="28" t="inlineStr">
        <is>
          <t>—</t>
        </is>
      </c>
      <c r="N3" s="29" t="inlineStr">
        <is>
          <t>industry-ecodesign-scope</t>
        </is>
      </c>
    </row>
    <row r="4" ht="92" customHeight="1">
      <c r="A4" s="14" t="n">
        <v>3</v>
      </c>
      <c r="B4" s="15" t="inlineStr">
        <is>
          <t>Industry</t>
        </is>
      </c>
      <c r="C4" s="15" t="inlineStr">
        <is>
          <t>Cross-cutting</t>
        </is>
      </c>
      <c r="D4" s="16" t="inlineStr">
        <is>
          <t>Policy gap</t>
        </is>
      </c>
      <c r="E4" s="17" t="inlineStr">
        <is>
          <t>Missing support for early deployment / lead markets</t>
        </is>
      </c>
      <c r="F4" s="15" t="inlineStr">
        <is>
          <t>Past EU policies have mainly focused on basic R&amp;D (e.g. Horizon Europe), pilots and demonstration (NER 300 and the Innovation Fund) and large-scale diffusion of mature technologies (the EU ETS), but dedicated policies to support early deployment / market formation have been largely absent.</t>
        </is>
      </c>
      <c r="G4" s="15" t="inlineStr">
        <is>
          <t>Innovation Fund, EU ETS, (future) lead-market instruments</t>
        </is>
      </c>
      <c r="H4" s="18" t="inlineStr">
        <is>
          <t>“Past EU policies have been mainly focused on supporting basic R &amp; D (e.g. Horizon Europe), pilots and demonstration (NER 300 and the Innovation Fund) and the large-scale diffusion of mature technologies (the EU ETS), but dedicated policies to support early deployment / market formation have been largely absent (policy gap).”</t>
        </is>
      </c>
      <c r="I4" s="15" t="inlineStr">
        <is>
          <t>Ch. 5 Industry, p. 83, line 17</t>
        </is>
      </c>
      <c r="J4" s="19" t="inlineStr">
        <is>
          <t>Partially addressed</t>
        </is>
      </c>
      <c r="K4" s="15" t="inlineStr">
        <is>
          <t>The Net-Zero Industry Act (Reg. (EU) 2024/1735) and the 2025 Clean Industrial Deal add lead-market and demand-side tools: NZIA Arts 25 and 26 bring non-price criteria into public procurement and renewables auctions, with the implementing act obliging Member States to apply them from 30 December 2025 to at least 30 % of annually auctioned capacity or at least 6 GW, and Commission guidance on Arts 25–26 followed on 22 July 2026. The Industrial Accelerator Act proposed on 4 March 2026 adds binding low-carbon procurement content on top. Coverage of early deployment / market formation is improving but still thin versus the R&amp;D and diffusion ends.</t>
        </is>
      </c>
      <c r="L4" s="15" t="inlineStr">
        <is>
          <t>—</t>
        </is>
      </c>
      <c r="M4" s="20" t="inlineStr">
        <is>
          <t>—</t>
        </is>
      </c>
      <c r="N4" s="21" t="inlineStr">
        <is>
          <t>industry-early-deployment</t>
        </is>
      </c>
    </row>
    <row r="5" ht="92" customHeight="1">
      <c r="A5" s="22" t="n">
        <v>4</v>
      </c>
      <c r="B5" s="23" t="inlineStr">
        <is>
          <t>Transport</t>
        </is>
      </c>
      <c r="C5" s="23" t="inlineStr">
        <is>
          <t>Road passenger</t>
        </is>
      </c>
      <c r="D5" s="30" t="inlineStr">
        <is>
          <t>Ambition gap</t>
        </is>
      </c>
      <c r="E5" s="25" t="inlineStr">
        <is>
          <t>CO₂ standards do not reward vehicle efficiency</t>
        </is>
      </c>
      <c r="F5" s="23" t="inlineStr">
        <is>
          <t>While CO₂ emission performance standards for cars and vans effectively accelerate ZEV uptake, they do not incentivise efficiency (smaller, more efficient vehicles) within the ZEV segment, and might even incentivise the uptake of larger, less-efficient ZEVs.</t>
        </is>
      </c>
      <c r="G5" s="23" t="inlineStr">
        <is>
          <t>CO₂ emission standards for cars and vans</t>
        </is>
      </c>
      <c r="H5" s="26" t="inlineStr">
        <is>
          <t>“Whereas these policies can effectively accelerate the uptake of ZEVs, they currently do not incentivise efficiency (smaller, more efficient vehicles) within the segment of ZEVs (ambition gap), and might even incentivise the uptake of larger, less-efficient ZEVs (policy inconsistency), increasing pressure on the already constrained availability of critical resources.”</t>
        </is>
      </c>
      <c r="I5" s="23" t="inlineStr">
        <is>
          <t>Ch. 6 Transport, p. 103, line 41</t>
        </is>
      </c>
      <c r="J5" s="24" t="inlineStr">
        <is>
          <t>Still open</t>
        </is>
      </c>
      <c r="K5" s="23" t="inlineStr">
        <is>
          <t>CO₂ standards for cars and vans still reward zero-tailpipe rather than vehicle efficiency. The review has since been delivered — COM(2025) 995 of 16 December 2025, in the Automotive Package — and it contains the first size/efficiency lever inside the ZEV segment: super-credits for a new 'small affordable electric car' class (≤4.2 m, with mass, width, wheel-size and motor-power criteria). The same proposal would cut the 2035 target from 100 % to 90 % and the 2030 van target from 50 % to 40 %. Nothing is adopted: Council was divided in March 2026 and the EP rapporteur's draft report came in April 2026. Status open, but the file to watch is now identified.</t>
        </is>
      </c>
      <c r="L5" s="23" t="inlineStr">
        <is>
          <t>—</t>
        </is>
      </c>
      <c r="M5" s="28" t="inlineStr">
        <is>
          <t>—</t>
        </is>
      </c>
      <c r="N5" s="29" t="inlineStr">
        <is>
          <t>transport-zev-efficiency</t>
        </is>
      </c>
    </row>
    <row r="6" ht="92" customHeight="1">
      <c r="A6" s="14" t="n">
        <v>5</v>
      </c>
      <c r="B6" s="15" t="inlineStr">
        <is>
          <t>Transport</t>
        </is>
      </c>
      <c r="C6" s="15" t="inlineStr">
        <is>
          <t>Road freight</t>
        </is>
      </c>
      <c r="D6" s="19" t="inlineStr">
        <is>
          <t>Ambition gap</t>
        </is>
      </c>
      <c r="E6" s="17" t="inlineStr">
        <is>
          <t>Weak framework for rail/intermodal freight shift</t>
        </is>
      </c>
      <c r="F6" s="15" t="inlineStr">
        <is>
          <t>EU policies to support a modal shift (the Combined Transport Directive, the Rail Freight Corridors Regulation and the TEN-T regulation) have so far had little success owing to lack of ambition: outdated provisions in the Combined Transport Directive that prevent digitalised workflows, lack of adequate delivery mechanisms in the Rail Freight Corridors Regulation, and lack of an overview of current and future required capacities of intermodal terminals under the TEN-T regulation.</t>
        </is>
      </c>
      <c r="G6" s="15" t="inlineStr">
        <is>
          <t>Combined Transport Directive, Rail Freight Corridors Regulation, TEN-T</t>
        </is>
      </c>
      <c r="H6" s="18" t="inlineStr">
        <is>
          <t>“Furthermore, EU policies to support a modal shift (the Combined Transport Directive, the Rail Freight Corridors Regulation, the Trans-European Transport Network (TEN-T) regulation) have so far had little success owing to lack of ambition (e.g. outdated provisions in the Combined Transport directive that prevent digitalised workflows, lack of adequate delivery mechanisms in the Rail Freights Corridors Regulation, lack of an overview of current and future required capacities of intermodal terminals under the TEN-T regulation) (ambition gap)”</t>
        </is>
      </c>
      <c r="I6" s="15" t="inlineStr">
        <is>
          <t>Ch. 6 Transport, p. 103, line 12</t>
        </is>
      </c>
      <c r="J6" s="19" t="inlineStr">
        <is>
          <t>Partially addressed</t>
        </is>
      </c>
      <c r="K6" s="15" t="inlineStr">
        <is>
          <t>The TEN-T recast (Reg. (EU) 2024/1679) has applied since 18 July 2024 and answers the report's specific finding on terminal capacity: Art. 36(4) requires Member States to complete an analysis of multimodal freight terminals and adopt action plans by 19 July 2028, feeding corridor work plans due 19 July 2026. Regulation (EU) 2026/1184 of 20 May 2026 on railway infrastructure capacity then replaces the delivery architecture the report criticised, repealing the Rail Freight Corridors Regulation (EU) No 913/2010 with effect from 14 December 2030. Against that, the Combined Transport Directive recast is in limbo: the Commission announced its INTENTION to withdraw COM(2023) 702 in its 2026 Work Programme (adopted 21 October 2025) — the proposal has never been formally withdrawn and the file still reads 'awaiting committee decision' — a majority of political groups rejected the withdrawal at the end of January 2026 (exact date and forum unverified), and the June 2026 TTE Council reached no general approach. The ambition gap is narrowed on terminals and rail capacity but unresolved on combined transport.</t>
        </is>
      </c>
      <c r="L6" s="15" t="inlineStr">
        <is>
          <t>—</t>
        </is>
      </c>
      <c r="M6" s="20" t="inlineStr">
        <is>
          <t>https://www.railwaygazette.com/freight/2026/06/04/rail-association-throw-last-hail-mary-to-save-combined-transport-directive/
https://oeil.europarl.europa.eu/oeil/en/procedure-file?reference=2023/0396(COD)</t>
        </is>
      </c>
      <c r="N6" s="21" t="inlineStr">
        <is>
          <t>transport-modal-shift-freight</t>
        </is>
      </c>
    </row>
    <row r="7" ht="92" customHeight="1">
      <c r="A7" s="22" t="n">
        <v>6</v>
      </c>
      <c r="B7" s="23" t="inlineStr">
        <is>
          <t>Transport</t>
        </is>
      </c>
      <c r="C7" s="23" t="inlineStr">
        <is>
          <t>Road freight</t>
        </is>
      </c>
      <c r="D7" s="31" t="inlineStr">
        <is>
          <t>Implementation gap</t>
        </is>
      </c>
      <c r="E7" s="25" t="inlineStr">
        <is>
          <t>Heterogeneous Member-State freight-shift implementation</t>
        </is>
      </c>
      <c r="F7" s="23" t="inlineStr">
        <is>
          <t>Implementation of the modal-shift measures has been incomplete and heterogeneous across Member States.</t>
        </is>
      </c>
      <c r="G7" s="23" t="inlineStr">
        <is>
          <t>Rail Freight Corridors Regulation, Combined Transport Directive</t>
        </is>
      </c>
      <c r="H7" s="26" t="inlineStr">
        <is>
          <t>“EU policies to support a modal shift (the Combined Transport Directive, the Rail Freight Corridors Regulation, the Trans-European Transport Network (TEN-T) regulation) have so far had little success owing to lack of ambition (e.g. outdated provisions in the Combined Transport directive that prevent digitalised workflows, lack of adequate delivery mechanisms in the Rail Freights Corridors Regulation, lack of an overview of current and future required capacities of intermodal terminals under the TEN-T regulation) (ambition gap) and incomplete and heterogeneous implementation at the Member State level (implementation gap).”</t>
        </is>
      </c>
      <c r="I7" s="23" t="inlineStr">
        <is>
          <t>Ch. 6 Transport, p. 103, line 12</t>
        </is>
      </c>
      <c r="J7" s="24" t="inlineStr">
        <is>
          <t>Still open</t>
        </is>
      </c>
      <c r="K7" s="23" t="inlineStr">
        <is>
          <t>Implementation across Member States remains heterogeneous. The TEN-T Regulation itself has applied since 18 July 2024 — it is its milestones that have not yet fallen due (terminal analysis 19 July 2028; network completion 2030/2040/2050) — and Reg. (EU) 2026/1184 only bites from December 2030, so implementation is still largely untested. Assessed unchanged.</t>
        </is>
      </c>
      <c r="L7" s="23" t="inlineStr">
        <is>
          <t>—</t>
        </is>
      </c>
      <c r="M7" s="28" t="inlineStr">
        <is>
          <t>—</t>
        </is>
      </c>
      <c r="N7" s="29" t="inlineStr">
        <is>
          <t>transport-modal-shift-implementation</t>
        </is>
      </c>
    </row>
    <row r="8" ht="92" customHeight="1">
      <c r="A8" s="14" t="n">
        <v>7</v>
      </c>
      <c r="B8" s="15" t="inlineStr">
        <is>
          <t>Transport</t>
        </is>
      </c>
      <c r="C8" s="15" t="inlineStr">
        <is>
          <t>Aviation</t>
        </is>
      </c>
      <c r="D8" s="16" t="inlineStr">
        <is>
          <t>Policy gap</t>
        </is>
      </c>
      <c r="E8" s="17" t="inlineStr">
        <is>
          <t>Extra-EU aviation and maritime largely exempt from ETS</t>
        </is>
      </c>
      <c r="F8" s="15" t="inlineStr">
        <is>
          <t>Extra-EU aviation and half of extra-EU maritime transport remain exempt from the EU ETS.</t>
        </is>
      </c>
      <c r="G8" s="15" t="inlineStr">
        <is>
          <t>EU ETS (aviation &amp; maritime)</t>
        </is>
      </c>
      <c r="H8" s="18" t="inlineStr">
        <is>
          <t>“Furthermore, extra-EU aviation and half of extra-EU maritime transport remains exempt from the EU ETS (policy gap).”</t>
        </is>
      </c>
      <c r="I8" s="15" t="inlineStr">
        <is>
          <t>Ch. 6 Transport, p. 105, line 5</t>
        </is>
      </c>
      <c r="J8" s="16" t="inlineStr">
        <is>
          <t>Still open</t>
        </is>
      </c>
      <c r="K8" s="15" t="inlineStr">
        <is>
          <t>Extra-EU aviation still sits under CORSIA rather than the ETS, and half of extra-EU maritime remains outside it — but the review clause has now been acted on. On 17 July 2026 the Commission adopted COM(2026) 616 final (2026/0212(COD)), finding under Art. 28b(3) that CORSIA-participating states cover less than 70 % of international aviation emissions, and proposing to extend the ETS from 1 January 2029 to 31 December 2032 to flights departing the EEA for aerodromes within 5 000 km of Frankfurt, subject to a 2032 review. Long-haul (US, Brazil, India, China, Far East) would stay exempt and nothing is adopted, so the gap remains open — but it is no longer true that the review clauses have not changed the scope. The maritime half is unchanged: the proposal reproduces Art. 3ga(1) with the 50 % extra-EU voyage share intact.</t>
        </is>
      </c>
      <c r="L8" s="15" t="inlineStr">
        <is>
          <t>Maritime</t>
        </is>
      </c>
      <c r="M8" s="20" t="inlineStr">
        <is>
          <t>—</t>
        </is>
      </c>
      <c r="N8" s="21" t="inlineStr">
        <is>
          <t>transport-extra-eu-exemption</t>
        </is>
      </c>
    </row>
    <row r="9" ht="92" customHeight="1">
      <c r="A9" s="22" t="n">
        <v>8</v>
      </c>
      <c r="B9" s="23" t="inlineStr">
        <is>
          <t>Transport</t>
        </is>
      </c>
      <c r="C9" s="23" t="inlineStr">
        <is>
          <t>Cross-cutting</t>
        </is>
      </c>
      <c r="D9" s="24" t="inlineStr">
        <is>
          <t>Policy gap</t>
        </is>
      </c>
      <c r="E9" s="25" t="inlineStr">
        <is>
          <t>Transport demand moderation not an EU policy option</t>
        </is>
      </c>
      <c r="F9" s="23" t="inlineStr">
        <is>
          <t>Moderation of overall transport demand is not considered as an option in the EU's Sustainable and Smart Mobility Strategy.</t>
        </is>
      </c>
      <c r="G9" s="23" t="inlineStr">
        <is>
          <t>Sustainable and Smart Mobility Strategy</t>
        </is>
      </c>
      <c r="H9" s="26" t="inlineStr">
        <is>
          <t>“Moderation of overall transport demand is not considered as an option in the EU's Sustainable and Smart Mobility Strategy (policy gap).”</t>
        </is>
      </c>
      <c r="I9" s="23" t="inlineStr">
        <is>
          <t>Ch. 6 Transport, p. 103, line 11</t>
        </is>
      </c>
      <c r="J9" s="24" t="inlineStr">
        <is>
          <t>Still open</t>
        </is>
      </c>
      <c r="K9" s="23" t="inlineStr">
        <is>
          <t>No sign that overall transport-demand moderation has entered EU mobility strategy since the report; the "avoid" tier remains largely absent. Assessed unchanged.</t>
        </is>
      </c>
      <c r="L9" s="23" t="inlineStr">
        <is>
          <t>—</t>
        </is>
      </c>
      <c r="M9" s="28" t="inlineStr">
        <is>
          <t>—</t>
        </is>
      </c>
      <c r="N9" s="29" t="inlineStr">
        <is>
          <t>transport-demand-moderation</t>
        </is>
      </c>
    </row>
    <row r="10" ht="92" customHeight="1">
      <c r="A10" s="14" t="n">
        <v>9</v>
      </c>
      <c r="B10" s="15" t="inlineStr">
        <is>
          <t>Transport</t>
        </is>
      </c>
      <c r="C10" s="15" t="inlineStr">
        <is>
          <t>Cross-cutting</t>
        </is>
      </c>
      <c r="D10" s="19" t="inlineStr">
        <is>
          <t>Ambition gap</t>
        </is>
      </c>
      <c r="E10" s="17" t="inlineStr">
        <is>
          <t>Policies still promote high-indirect-effect biofuels</t>
        </is>
      </c>
      <c r="F10" s="15" t="inlineStr">
        <is>
          <t>The RED III, ReFuelEU Aviation and FuelEU Maritime continue to promote some biofuels with potentially high indirect effects, such as fuels made from food and feed crops (up to 7 %), intermediate crops and specific types of animal fats ('category 3 animal fats').</t>
        </is>
      </c>
      <c r="G10" s="15" t="inlineStr">
        <is>
          <t>RED III, ReFuelEU Aviation, FuelEU Maritime</t>
        </is>
      </c>
      <c r="H10" s="18" t="inlineStr">
        <is>
          <t>“Nevertheless, concerns remain, as these policies continue to promote some biofuels with potentially high indirect effects, such as fuels made from food and feed crops (up to 7 %), intermediate crops and specific types of animal fats (so-called “category 3 animal fats”) (ambition gap).”</t>
        </is>
      </c>
      <c r="I10" s="15" t="inlineStr">
        <is>
          <t>Ch. 6 Transport, p. 104, line 14</t>
        </is>
      </c>
      <c r="J10" s="16" t="inlineStr">
        <is>
          <t>Still open</t>
        </is>
      </c>
      <c r="K10" s="15" t="inlineStr">
        <is>
          <t>The aviation and maritime instruments now largely shut out crop biofuels (ReFuelEU Aviation Art. 4(5) excludes food/feed crops from the SAF mandate; FuelEU Maritime assigns them fossil-equivalent emission factors), but RED III still admits food/feed-crop biofuels within Member-State caps for road transport and indirect land-use-change effects remain unpriced. Assessed still open, narrowed at the edges.</t>
        </is>
      </c>
      <c r="L10" s="15" t="inlineStr">
        <is>
          <t>—</t>
        </is>
      </c>
      <c r="M10" s="20" t="inlineStr">
        <is>
          <t>—</t>
        </is>
      </c>
      <c r="N10" s="21" t="inlineStr">
        <is>
          <t>transport-biofuels-indirect</t>
        </is>
      </c>
    </row>
    <row r="11" ht="92" customHeight="1">
      <c r="A11" s="22" t="n">
        <v>10</v>
      </c>
      <c r="B11" s="23" t="inlineStr">
        <is>
          <t>Transport</t>
        </is>
      </c>
      <c r="C11" s="23" t="inlineStr">
        <is>
          <t>Cross-cutting</t>
        </is>
      </c>
      <c r="D11" s="31" t="inlineStr">
        <is>
          <t>Implementation gap</t>
        </is>
      </c>
      <c r="E11" s="25" t="inlineStr">
        <is>
          <t>Suspected fraud in biofuel sustainability labelling</t>
        </is>
      </c>
      <c r="F11" s="23" t="inlineStr">
        <is>
          <t>There are well-founded suspicions of fraud in the labelling of transport biofuels as sustainable.</t>
        </is>
      </c>
      <c r="G11" s="23" t="inlineStr">
        <is>
          <t>RED III</t>
        </is>
      </c>
      <c r="H11" s="26" t="inlineStr">
        <is>
          <t>“Furthermore, there are well-founded suspicions of fraud in the labelling of biofuels as sustainable (implementation gap).”</t>
        </is>
      </c>
      <c r="I11" s="23" t="inlineStr">
        <is>
          <t>Ch. 6 Transport, p. 104, line 17</t>
        </is>
      </c>
      <c r="J11" s="30" t="inlineStr">
        <is>
          <t>Partially addressed</t>
        </is>
      </c>
      <c r="K11" s="23" t="inlineStr">
        <is>
          <t>The Union Database for Biofuels has been operational since 15 January 2024 (gaseous fuels added end-November 2024), but the delegated act setting a binding mandatory-use/sanctions date is still a tabled draft as of July 2026 — it slipped past its end-2025 target and the mandatory-use date was the last open item. The revision of Implementing Regulation (EU) 2022/996 on voluntary schemes, often cited as the tightening step, is not expected before end-2026. Enforcement teeth are not yet in place, so the implementation gap is narrowed, not resolved.</t>
        </is>
      </c>
      <c r="L11" s="23" t="inlineStr">
        <is>
          <t>—</t>
        </is>
      </c>
      <c r="M11" s="28" t="inlineStr">
        <is>
          <t>https://energy.ec.europa.eu/topics/renewable-energy/bioenergy/biofuels/union-database-liquid-and-gaseous-renewable-and-recycled-carbon-fuels_en
https://energy.ec.europa.eu/news/eu-database-biofuels-becomes-operational-2024-01-15_en</t>
        </is>
      </c>
      <c r="N11" s="29" t="inlineStr">
        <is>
          <t>transport-biofuel-fraud</t>
        </is>
      </c>
    </row>
    <row r="13">
      <c r="A13" s="32" t="inlineStr">
        <is>
          <t>Notes: columns A–I are the report's own findings (unchanged). Columns J–M are a provisional mid-2026 re-assessment compiled for this prep cycle and pending verification — not a Board position.</t>
        </is>
      </c>
    </row>
    <row r="14">
      <c r="A14" s="32" t="inlineStr">
        <is>
          <t>Source: ESABCC (2024) “Towards EU climate neutrality: Progress, policy gaps and opportunities”, January 2024; re-assessment Provisional read, mid-2026.</t>
        </is>
      </c>
    </row>
  </sheetData>
  <autoFilter ref="A1:N11"/>
  <mergeCells count="2">
    <mergeCell ref="A14:K14"/>
    <mergeCell ref="A13:K13"/>
  </mergeCells>
  <pageMargins left="0.75" right="0.75" top="1" bottom="1" header="0.5" footer="0.5"/>
</worksheet>
</file>

<file path=xl/worksheets/sheet3.xml><?xml version="1.0" encoding="utf-8"?>
<worksheet xmlns="http://schemas.openxmlformats.org/spreadsheetml/2006/main">
  <sheetPr>
    <tabColor rgb="004D7E83"/>
    <outlinePr summaryBelow="1" summaryRight="1"/>
    <pageSetUpPr/>
  </sheetPr>
  <dimension ref="A1:K13"/>
  <sheetViews>
    <sheetView showGridLines="0" zoomScale="100" workbookViewId="0">
      <pane xSplit="3" ySplit="1" topLeftCell="D2" activePane="bottomRight" state="frozen"/>
      <selection pane="topRight"/>
      <selection pane="bottomLeft"/>
      <selection pane="bottomRight" activeCell="A1" sqref="A1"/>
    </sheetView>
  </sheetViews>
  <sheetFormatPr baseColWidth="8" defaultRowHeight="15"/>
  <cols>
    <col width="4" customWidth="1" min="1" max="1"/>
    <col width="11" customWidth="1" min="2" max="2"/>
    <col width="18" customWidth="1" min="3" max="3"/>
    <col width="16" customWidth="1" min="4" max="4"/>
    <col width="30" customWidth="1" min="5" max="5"/>
    <col width="56" customWidth="1" min="6" max="6"/>
    <col width="26" customWidth="1" min="7" max="7"/>
    <col width="56" customWidth="1" min="8" max="8"/>
    <col width="32" customWidth="1" min="9" max="9"/>
    <col width="16" customWidth="1" min="10" max="10"/>
    <col width="24" customWidth="1" min="11" max="11"/>
  </cols>
  <sheetData>
    <row r="1" ht="34" customHeight="1">
      <c r="A1" s="13" t="inlineStr">
        <is>
          <t>#</t>
        </is>
      </c>
      <c r="B1" s="13" t="inlineStr">
        <is>
          <t>Sector</t>
        </is>
      </c>
      <c r="C1" s="13" t="inlineStr">
        <is>
          <t>Subsector</t>
        </is>
      </c>
      <c r="D1" s="13" t="inlineStr">
        <is>
          <t>Proposed gap type</t>
        </is>
      </c>
      <c r="E1" s="13" t="inlineStr">
        <is>
          <t>Candidate gap</t>
        </is>
      </c>
      <c r="F1" s="13" t="inlineStr">
        <is>
          <t>Why this may be a gap</t>
        </is>
      </c>
      <c r="G1" s="13" t="inlineStr">
        <is>
          <t>Instrument(s) concerned</t>
        </is>
      </c>
      <c r="H1" s="13" t="inlineStr">
        <is>
          <t>Test to confirm / refute</t>
        </is>
      </c>
      <c r="I1" s="13" t="inlineStr">
        <is>
          <t>Sources</t>
        </is>
      </c>
      <c r="J1" s="13" t="inlineStr">
        <is>
          <t>Lead's decision</t>
        </is>
      </c>
      <c r="K1" s="13" t="inlineStr">
        <is>
          <t>ID</t>
        </is>
      </c>
    </row>
    <row r="2" ht="96" customHeight="1">
      <c r="A2" s="14" t="n">
        <v>1</v>
      </c>
      <c r="B2" s="15" t="inlineStr">
        <is>
          <t>Industry</t>
        </is>
      </c>
      <c r="C2" s="15" t="inlineStr">
        <is>
          <t>Iron &amp; steel</t>
        </is>
      </c>
      <c r="D2" s="16" t="inlineStr">
        <is>
          <t>Policy gap</t>
        </is>
      </c>
      <c r="E2" s="17" t="inlineStr">
        <is>
          <t>No binding demand signal for near-zero steel</t>
        </is>
      </c>
      <c r="F2" s="15" t="inlineStr">
        <is>
          <t>Near-zero primary steel carries a green premium that no EU instrument yet guarantees demand for. Without mandatory lead-market quotas (e.g. green public procurement or a minimum near-zero content in cars/construction), first-mover H₂-DRI plants lack an offtake floor — a market-formation gap the report flags generically but not for steel specifically.</t>
        </is>
      </c>
      <c r="G2" s="15" t="inlineStr">
        <is>
          <t>Public procurement, Clean Industrial Deal lead-market measures, product standards, Industrial Accelerator Act</t>
        </is>
      </c>
      <c r="H2" s="15" t="inlineStr">
        <is>
          <t>A draft Industrial Accelerator Act (renamed from "Industrial Decarbonisation Accelerator Act" — the earlier title is used in the Steel and Metals Action Plan of 19 March 2025, and the SOTEU 2025 Letter of Intent of 10 September 2025 lists it under the new name) was tabled 4 March 2026 with "Made in EU" / low-carbon procurement content among its core measures — the gap is now "policy proposed, not yet enacted", not a purely hypothetical future test. The tabled text (COM(2026) 100 final, 2026/0068(COD)) already sets binding thresholds — at least 25 % low-carbon steel, 25 % low-carbon and Union-origin aluminium, and at least 5 % low-carbon and Union-origin concrete/mortar in publicly supported construction, pegged to standards to be set by CPR and ESPR delegated acts — but it nowhere uses 'near-zero' and sets no near-zero quota. So the candidate now reads: binding LOW-CARBON procurement proposed, NEAR-ZERO still unaddressed. Confirmed if the Act is adopted with low-carbon thresholds only, or stalls; refuted if the adopted Act sets enforceable near-zero-steel demand. In first reading (joint INTA/ITRE/IMCO, rapporteurs appointed 29 April 2026, indicative plenary 14 December 2026).</t>
        </is>
      </c>
      <c r="I2" s="20" t="inlineStr">
        <is>
          <t>https://www.sidley.com/en/insights/newsupdates/2026/04/industrial-accelerator-act
https://oeil.europarl.europa.eu/oeil/en/procedure-file?reference=2026/0068(COD)</t>
        </is>
      </c>
      <c r="J2" s="33" t="inlineStr"/>
      <c r="K2" s="21" t="inlineStr">
        <is>
          <t>cand-steel-lead-market</t>
        </is>
      </c>
    </row>
    <row r="3" ht="96" customHeight="1">
      <c r="A3" s="22" t="n">
        <v>2</v>
      </c>
      <c r="B3" s="23" t="inlineStr">
        <is>
          <t>Industry</t>
        </is>
      </c>
      <c r="C3" s="23" t="inlineStr">
        <is>
          <t>Cement &amp; lime</t>
        </is>
      </c>
      <c r="D3" s="31" t="inlineStr">
        <is>
          <t>Implementation gap</t>
        </is>
      </c>
      <c r="E3" s="25" t="inlineStr">
        <is>
          <t>CO₂ transport &amp; storage lags cement CCS needs</t>
        </is>
      </c>
      <c r="F3" s="23" t="inlineStr">
        <is>
          <t>Cement’s process emissions are unavoidable without CCS, yet permitted CO₂ storage capacity and shared transport infrastructure are being built far more slowly than the Net-Zero Industry Act 2030 injection target implies, leaving abatement plans without somewhere to send the CO₂ — an implementation gap specific to hard-to-abate process industry.</t>
        </is>
      </c>
      <c r="G3" s="23" t="inlineStr">
        <is>
          <t>Net-Zero Industry Act (CO₂ storage target), CCS Directive, CEF / TEN-E</t>
        </is>
      </c>
      <c r="H3" s="23" t="inlineStr">
        <is>
          <t>Confirmed if operational/committed storage &amp; transport capacity stays below the trajectory needed for cement process emissions; refuted if storage FIDs and CO₂ networks scale to meet the 50 Mt/yr target on time. UPDATE (July 2026): obligated entities are on track for roughly 29 Mt and Member State plans for roughly 33 Mt against the 50 Mt NZIA Art. 23 target, with Porthos, Greensand and Prinos operational or near-operational and seven further sites totalling about 19 Mt. The CO2 transport and market package slipped from 2025 and is expected within the Energy Union package in Q3 2026, so there is still no tabled EU proposal on CO2 transport infrastructure — the strongest support for this candidate.</t>
        </is>
      </c>
      <c r="I3" s="28" t="inlineStr">
        <is>
          <t>—</t>
        </is>
      </c>
      <c r="J3" s="33" t="inlineStr"/>
      <c r="K3" s="29" t="inlineStr">
        <is>
          <t>cand-cement-co2-storage</t>
        </is>
      </c>
    </row>
    <row r="4" ht="96" customHeight="1">
      <c r="A4" s="14" t="n">
        <v>3</v>
      </c>
      <c r="B4" s="15" t="inlineStr">
        <is>
          <t>Industry</t>
        </is>
      </c>
      <c r="C4" s="15" t="inlineStr">
        <is>
          <t>Chemicals &amp; petrochemicals</t>
        </is>
      </c>
      <c r="D4" s="16" t="inlineStr">
        <is>
          <t>Policy gap</t>
        </is>
      </c>
      <c r="E4" s="17" t="inlineStr">
        <is>
          <t>No incentive to decarbonise chemical feedstock (defossilisation)</t>
        </is>
      </c>
      <c r="F4" s="15" t="inlineStr">
        <is>
          <t>EU policy prices energy-related CO₂ but barely touches the fossil carbon embedded as feedstock in plastics and chemicals; there is no clear framework (or CCU/recycled-carbon accounting) to steer feedstock away from virgin fossil, so the largest part of the sector’s carbon is unaddressed.</t>
        </is>
      </c>
      <c r="G4" s="15" t="inlineStr">
        <is>
          <t>EU ETS scope, ESPR, Packaging &amp; Plastics rules, a possible recycled-carbon standard</t>
        </is>
      </c>
      <c r="H4" s="15" t="inlineStr">
        <is>
          <t>Confirmed if no instrument sets a feedstock-defossilisation signal or CCU/recycled-carbon accounting rule; refuted if such a framework is proposed. UPDATE (July 2026): as written this test is already partly tripped. Commission Implementing Decision (EU) 2026/1425 of 30 June 2026 lays down mass-balance rules for recycled plastic content in single-use plastic beverage bottles, and the Chemicals Industry Action Plan of 8 July 2025 commits to incentivising clean carbon sources. Narrow the refutation condition to a binding, SECTOR-WIDE feedstock-defossilisation signal; these two are partial and sector-limited. Whether the July-2026 ETS review extends surrender-obligation exemptions to carbon embedded in products is unverified.</t>
        </is>
      </c>
      <c r="I4" s="20" t="inlineStr">
        <is>
          <t>—</t>
        </is>
      </c>
      <c r="J4" s="33" t="inlineStr"/>
      <c r="K4" s="21" t="inlineStr">
        <is>
          <t>cand-chem-feedstock</t>
        </is>
      </c>
    </row>
    <row r="5" ht="96" customHeight="1">
      <c r="A5" s="22" t="n">
        <v>4</v>
      </c>
      <c r="B5" s="23" t="inlineStr">
        <is>
          <t>Industry</t>
        </is>
      </c>
      <c r="C5" s="23" t="inlineStr">
        <is>
          <t>Cross-cutting</t>
        </is>
      </c>
      <c r="D5" s="31" t="inlineStr">
        <is>
          <t>Implementation gap</t>
        </is>
      </c>
      <c r="E5" s="25" t="inlineStr">
        <is>
          <t>Grid-connection and price barriers stall industrial electrification</t>
        </is>
      </c>
      <c r="F5" s="23" t="inlineStr">
        <is>
          <t>Electrification is the backbone of industrial mitigation, but multi-year grid-connection queues and the EU’s industrial-electricity price gap are not treated as a decarbonisation barrier in their own right, so plants electrify slower than the abatement pathway needs — an enabling-conditions implementation gap.</t>
        </is>
      </c>
      <c r="G5" s="23" t="inlineStr">
        <is>
          <t>Electricity Market Design, grid planning, Clean Industrial Deal affordability measures</t>
        </is>
      </c>
      <c r="H5" s="23" t="inlineStr">
        <is>
          <t>Confirmed if connection lead-times and industrial power prices remain binding constraints without a targeted instrument; refuted if the Affordable Energy / grid package resolves them. UPDATE (July 2026): the premise that grid access and power prices are not treated as a decarbonisation barrier in their own right no longer holds — the European Grids Package (10 December 2025) carries guidance on preventing and clearing connection queues plus eight prioritised energy highways, and the Electrification Action Plan (17 July 2026) targets the electricity-versus-fossil price gap directly, enabling Member States to cut network charges for certain consumer groups and taxes for energy-intensive businesses, against a 23%-to-46%-by-2040 electrification pathway and the Clean Industrial Deal 32%-by-2030 KPI. Read this as a DELIVERY gap and test it in outcome terms — connection lead times actually falling, the industrial price gap actually narrowing — not on whether an instrument exists.</t>
        </is>
      </c>
      <c r="I5" s="28" t="inlineStr">
        <is>
          <t>—</t>
        </is>
      </c>
      <c r="J5" s="33" t="inlineStr"/>
      <c r="K5" s="29" t="inlineStr">
        <is>
          <t>cand-ind-electrification-enabling</t>
        </is>
      </c>
    </row>
    <row r="6" ht="96" customHeight="1">
      <c r="A6" s="14" t="n">
        <v>5</v>
      </c>
      <c r="B6" s="15" t="inlineStr">
        <is>
          <t>Industry</t>
        </is>
      </c>
      <c r="C6" s="15" t="inlineStr">
        <is>
          <t>Cross-cutting</t>
        </is>
      </c>
      <c r="D6" s="16" t="inlineStr">
        <is>
          <t>Policy gap</t>
        </is>
      </c>
      <c r="E6" s="17" t="inlineStr">
        <is>
          <t>Decarbonisation siting ignores water-stress (mitigation–adaptation blind spot)</t>
        </is>
      </c>
      <c r="F6" s="15" t="inlineStr">
        <is>
          <t>Green-hydrogen and CCS support is allocated without a systematic water-availability screen, so water-intensive abatement can be steered toward drought-prone regions — a maladaptation risk that no industrial-decarbonisation instrument currently guards against.</t>
        </is>
      </c>
      <c r="G6" s="15" t="inlineStr">
        <is>
          <t>Net-Zero Industry Act, Hydrogen Bank auctions, State-aid / IPCEI conditions</t>
        </is>
      </c>
      <c r="H6" s="15" t="inlineStr">
        <is>
          <t>Confirmed if support instruments carry no water-stress conditionality; refuted if a water screen is added to siting/funding criteria. UPDATE (July 2026): the European Water Resilience Strategy of 4 June 2025 names hydrogen, batteries, CCS, semiconductors and data centres as water-intensive strategic technologies and calls for water to be integrated into EU industrial policy — a non-binding counterweight, not a siting or funding condition. The absence of a water criterion in NZIA, Hydrogen Bank auction terms and State-aid/IPCEI rules is evidence of absence from the documents checked, not a confirmed absence in the legal texts.</t>
        </is>
      </c>
      <c r="I6" s="20" t="inlineStr">
        <is>
          <t>—</t>
        </is>
      </c>
      <c r="J6" s="33" t="inlineStr"/>
      <c r="K6" s="21" t="inlineStr">
        <is>
          <t>cand-ind-water-siting</t>
        </is>
      </c>
    </row>
    <row r="7" ht="96" customHeight="1">
      <c r="A7" s="22" t="n">
        <v>6</v>
      </c>
      <c r="B7" s="23" t="inlineStr">
        <is>
          <t>Transport</t>
        </is>
      </c>
      <c r="C7" s="23" t="inlineStr">
        <is>
          <t>Road passenger</t>
        </is>
      </c>
      <c r="D7" s="24" t="inlineStr">
        <is>
          <t>Policy gap</t>
        </is>
      </c>
      <c r="E7" s="25" t="inlineStr">
        <is>
          <t>No EU steer on road pricing &amp; company-car tax to moderate demand</t>
        </is>
      </c>
      <c r="F7" s="23" t="inlineStr">
        <is>
          <t>Company-car taxation and the near-absence of distance/CO₂-based road pricing entrench car use and inefficient fleets, but demand- and fiscal-side levers sit almost entirely with Member States with no EU framework — reinforcing the report’s demand-moderation gap on the passenger side.</t>
        </is>
      </c>
      <c r="G7" s="23" t="inlineStr">
        <is>
          <t>Energy Taxation Directive revision, Eurovignette, Member-State fiscal coordination</t>
        </is>
      </c>
      <c r="H7" s="23" t="inlineStr">
        <is>
          <t>Confirmed if no EU instrument steers company-car/road-pricing reform; refuted if the ETD recast or a pricing framework does. UPDATE (July 2026): narrow this to FISCAL levers. The Clean Corporate Vehicles Regulation proposed on 16 December 2025 would oblige Member States to ensure minimum zero- and low-emission shares of new corporate car and van registrations by large undertakings from 2030 — corporate vehicles are around 60% of new cars and up to 90% of new vans — but it regulates registrations, not taxation. The Eurovignette targeted revision (proposal 2 October 2025, Council mandate 4 March 2026, provisional agreement 30 June 2026) is heavy-duty only. Company-car tax treatment and distance- or CO2-based charging for light vehicles remain unaddressed.</t>
        </is>
      </c>
      <c r="I7" s="28" t="inlineStr">
        <is>
          <t>—</t>
        </is>
      </c>
      <c r="J7" s="33" t="inlineStr"/>
      <c r="K7" s="29" t="inlineStr">
        <is>
          <t>cand-road-pricing</t>
        </is>
      </c>
    </row>
    <row r="8" ht="96" customHeight="1">
      <c r="A8" s="14" t="n">
        <v>7</v>
      </c>
      <c r="B8" s="15" t="inlineStr">
        <is>
          <t>Transport</t>
        </is>
      </c>
      <c r="C8" s="15" t="inlineStr">
        <is>
          <t>Road freight</t>
        </is>
      </c>
      <c r="D8" s="34" t="inlineStr">
        <is>
          <t>Implementation gap</t>
        </is>
      </c>
      <c r="E8" s="17" t="inlineStr">
        <is>
          <t>Heavy-duty charging/refuelling rollout trails the HDV CO₂ targets</t>
        </is>
      </c>
      <c r="F8" s="15" t="inlineStr">
        <is>
          <t>The 2024 HDV CO₂ standards assume a fast zero-emission truck ramp-up, but AFIR megawatt-charging and hydrogen-refuelling deployment at logistics hubs — and the grid capacity behind them — are lagging, risking an infrastructure implementation gap that could stall the mitigation the standards require.</t>
        </is>
      </c>
      <c r="G8" s="15" t="inlineStr">
        <is>
          <t>AFIR, TEN-T, grid connection at freight hubs</t>
        </is>
      </c>
      <c r="H8" s="15" t="inlineStr">
        <is>
          <t>Confirmed if MCS/H₂ corridor coverage stays below the truck-fleet trajectory; refuted if AFIR delivery keeps pace. CONFIRMED (July 2026): the 2024 HDV CO2 standards are Regulation (EU) 2024/1610 of 14 May 2024 (-45% from 2030, -65% from 2035, -90% from 2040; 100% zero-emission urban buses by 2035), and the AFIR review proposal is expected in Q4 2026 — the natural checkpoint for this test.</t>
        </is>
      </c>
      <c r="I8" s="20" t="inlineStr">
        <is>
          <t>—</t>
        </is>
      </c>
      <c r="J8" s="33" t="inlineStr"/>
      <c r="K8" s="21" t="inlineStr">
        <is>
          <t>cand-hdv-charging</t>
        </is>
      </c>
    </row>
    <row r="9" ht="96" customHeight="1">
      <c r="A9" s="22" t="n">
        <v>8</v>
      </c>
      <c r="B9" s="23" t="inlineStr">
        <is>
          <t>Transport</t>
        </is>
      </c>
      <c r="C9" s="23" t="inlineStr">
        <is>
          <t>Rail</t>
        </is>
      </c>
      <c r="D9" s="24" t="inlineStr">
        <is>
          <t>Policy gap</t>
        </is>
      </c>
      <c r="E9" s="25" t="inlineStr">
        <is>
          <t>Rail electrification not paired with mandatory climate-proofing</t>
        </is>
      </c>
      <c r="F9" s="23" t="inlineStr">
        <is>
          <t>EU funding accelerates rail electrification (a mitigation asset) without requiring the heat-/flood-proofing that keeps the network reliable in extremes, so the low-carbon backbone the modal-shift strategy depends on is left exposed — a joint mitigation–adaptation gap.</t>
        </is>
      </c>
      <c r="G9" s="23" t="inlineStr">
        <is>
          <t>TEN-T climate-proofing requirements, CEF Transport, Rail Freight rules</t>
        </is>
      </c>
      <c r="H9" s="23" t="inlineStr">
        <is>
          <t>Confirmed if electrification funding carries no binding adaptation/climate-proofing condition; refuted if TEN-T climate-proofing is enforced on rail works. UPDATE (July 2026): the premise is largely refuted as worded. Regulation (EU) 2024/1679 requires climate resilience to be taken into account when projects of common interest are planned, and makes projects requiring an EIA under Directive 2011/92/EU subject to climate proofing per Commission Notice 2021/C 373/01; corridor work plans must analyse climate-change impacts. Reframe as an IMPLEMENTATION gap — no adaptation performance standards, no coverage of sub-EIA or nationally funded electrification works, no monitoring of whether climate proofing is applied. The final article number should be checked against the OJ before use.</t>
        </is>
      </c>
      <c r="I9" s="28" t="inlineStr">
        <is>
          <t>—</t>
        </is>
      </c>
      <c r="J9" s="33" t="inlineStr"/>
      <c r="K9" s="29" t="inlineStr">
        <is>
          <t>cand-rail-adaptation</t>
        </is>
      </c>
    </row>
    <row r="10" ht="96" customHeight="1">
      <c r="A10" s="14" t="n">
        <v>9</v>
      </c>
      <c r="B10" s="15" t="inlineStr">
        <is>
          <t>Transport</t>
        </is>
      </c>
      <c r="C10" s="15" t="inlineStr">
        <is>
          <t>Aviation</t>
        </is>
      </c>
      <c r="D10" s="16" t="inlineStr">
        <is>
          <t>Policy gap</t>
        </is>
      </c>
      <c r="E10" s="17" t="inlineStr">
        <is>
          <t>Non-CO₂ aviation effects still unregulated</t>
        </is>
      </c>
      <c r="F10" s="15" t="inlineStr">
        <is>
          <t>Contrails and NOx account for roughly two-thirds of aviation’s effective warming (Lee et al. 2021, Atmospheric Environment 244:117834: non-CO₂ terms are ~66% of aviation’s net effective radiative forcing), yet only an MRV step exists — there is no instrument that prices or operationally mitigates non-CO₂ effects, leaving most of aviation’s climate impact outside policy.</t>
        </is>
      </c>
      <c r="G10" s="15" t="inlineStr">
        <is>
          <t>EU ETS aviation (non-CO₂ MRV), air-traffic-management measures</t>
        </is>
      </c>
      <c r="H10" s="15" t="inlineStr">
        <is>
          <t>Confirmed if non-CO₂ effects remain only monitored, not acted on, after the MRV review; refuted if a mitigation/pricing measure is introduced. UPDATE (July 2026): "only an MRV step exists" is no longer accurate at proposal level. COM(2026) 616 of 17 July 2026 proposes an amended Art. 3c(6) reserving up to 3 million allowances until 31 December 2033 for cost-effective contrail mitigation, allocating allowances worth 0.1% of verified emissions to operators that embed contrail forecasting in flight planning. Read the test as refuted only if a mitigation or pricing measure is ADOPTED; the Art. 14(5) MRV review report is due 31 December 2027.</t>
        </is>
      </c>
      <c r="I10" s="20" t="inlineStr">
        <is>
          <t>—</t>
        </is>
      </c>
      <c r="J10" s="33" t="inlineStr"/>
      <c r="K10" s="21" t="inlineStr">
        <is>
          <t>cand-aviation-nonco2</t>
        </is>
      </c>
    </row>
    <row r="11" ht="96" customHeight="1">
      <c r="A11" s="22" t="n">
        <v>10</v>
      </c>
      <c r="B11" s="23" t="inlineStr">
        <is>
          <t>Transport</t>
        </is>
      </c>
      <c r="C11" s="23" t="inlineStr">
        <is>
          <t>Maritime</t>
        </is>
      </c>
      <c r="D11" s="31" t="inlineStr">
        <is>
          <t>Implementation gap</t>
        </is>
      </c>
      <c r="E11" s="25" t="inlineStr">
        <is>
          <t>FuelEU Maritime compliance conditions not yet in place</t>
        </is>
      </c>
      <c r="F11" s="23" t="inlineStr">
        <is>
          <t>FuelEU Maritime's declining GHG-intensity limit (in force since 1 January 2025) assumes fuel and infrastructure conditions that are still open questions rather than settled facts: RFNBO/biofuel supply may not scale fast enough (a conditional 2% RFNBO sub-target only bites from 2034, and only if uptake stays below 1% through 2031), well-to-wake lifecycle accounting leaves commercial/contractual practicalities unresolved between charterers, pool members and owners, and shore-side (OPS) port infrastructure was only ~20% contracted/installed by May 2025 against the 1 January 2030 AFIR deadline for major container/passenger ports — leaving the sector's own gap landscape with no tagged Maritime-specific risk despite these open questions.</t>
        </is>
      </c>
      <c r="G11" s="23" t="inlineStr">
        <is>
          <t>FuelEU Maritime (Reg. (EU) 2023/1805), AFIR onshore power supply requirements, RED III RFNBO sub-target mechanism</t>
        </is>
      </c>
      <c r="H11" s="23" t="inlineStr">
        <is>
          <t>Confirmed if RFNBO uptake stays below 1% of maritime fuel use through 2031 (triggering the conditional 2034 sub-target) and/or OPS installation at major EU ports continues to lag the 1 January 2030 AFIR deadline; refuted if RFNBO/biofuel supply and port electrification scale to meet the FuelEU trajectory on schedule. CORRECTION (July 2026): the "~20% contracted or installed by May 2025" figure is not in the cited source. The source says 51 ports across 15 coastal Member States offered shore power with 309 MW installed as of May 2025, against a need to triple or quadruple capacity by 2030. COM(2026) 616 of 17 July 2026 also proposes a Sustainable Maritime Alternative Propulsion mechanism (new Art. 3gaa) recycling ETS revenue into sustainable maritime fuels — a partial response on the supply condition.</t>
        </is>
      </c>
      <c r="I11" s="28" t="inlineStr">
        <is>
          <t>https://transport.ec.europa.eu/transport-modes/maritime/decarbonising-maritime-transport-fueleu-maritime/questions-and-answers-regulation-eu-20231805-use-renewable-and-low-carbon-fuels-maritime-transport_en
https://www.sustainable-ships.org/stories/2025/eu-shore-power-demand-2030</t>
        </is>
      </c>
      <c r="J11" s="33" t="inlineStr"/>
      <c r="K11" s="29" t="inlineStr">
        <is>
          <t>cand-maritime-fueleu-conditions</t>
        </is>
      </c>
    </row>
    <row r="13">
      <c r="A13" s="32" t="inlineStr">
        <is>
          <t>Notes: “Lead's decision” (shaded) is the column to fill in — accept into the gap tracker, reject, or park with a reason. Every candidate is AI-compiled working material pending verification; none is a Board finding.</t>
        </is>
      </c>
    </row>
  </sheetData>
  <autoFilter ref="A1:K11"/>
  <mergeCells count="1">
    <mergeCell ref="A13:I13"/>
  </mergeCells>
  <pageMargins left="0.75" right="0.75" top="1" bottom="1" header="0.5" footer="0.5"/>
</worksheet>
</file>

<file path=xl/worksheets/sheet4.xml><?xml version="1.0" encoding="utf-8"?>
<worksheet xmlns="http://schemas.openxmlformats.org/spreadsheetml/2006/main">
  <sheetPr>
    <tabColor rgb="004D7E83"/>
    <outlinePr summaryBelow="1" summaryRight="1"/>
    <pageSetUpPr/>
  </sheetPr>
  <dimension ref="A1:G24"/>
  <sheetViews>
    <sheetView showGridLines="0" zoomScale="100" workbookViewId="0">
      <pane ySplit="1" topLeftCell="A2" activePane="bottomLeft" state="frozen"/>
      <selection pane="bottomLeft" activeCell="A1" sqref="A1"/>
    </sheetView>
  </sheetViews>
  <sheetFormatPr baseColWidth="8" defaultRowHeight="15"/>
  <cols>
    <col width="12" customWidth="1" min="1" max="1"/>
    <col width="32" customWidth="1" min="2" max="2"/>
    <col width="14" customWidth="1" min="3" max="3"/>
    <col width="20" customWidth="1" min="4" max="4"/>
    <col width="18" customWidth="1" min="5" max="5"/>
    <col width="52" customWidth="1" min="6" max="6"/>
    <col width="24" customWidth="1" min="7" max="7"/>
  </cols>
  <sheetData>
    <row r="1" ht="20" customHeight="1">
      <c r="A1" s="13" t="inlineStr">
        <is>
          <t>Sector</t>
        </is>
      </c>
      <c r="B1" s="13" t="inlineStr">
        <is>
          <t>Subsector</t>
        </is>
      </c>
      <c r="C1" s="13" t="inlineStr">
        <is>
          <t>Origin</t>
        </is>
      </c>
      <c r="D1" s="13" t="inlineStr">
        <is>
          <t>Live status</t>
        </is>
      </c>
      <c r="E1" s="13" t="inlineStr">
        <is>
          <t>Gap type</t>
        </is>
      </c>
      <c r="F1" s="13" t="inlineStr">
        <is>
          <t>Finding</t>
        </is>
      </c>
      <c r="G1" s="13" t="inlineStr">
        <is>
          <t>ID</t>
        </is>
      </c>
    </row>
    <row r="2" ht="16" customHeight="1">
      <c r="A2" s="15" t="inlineStr">
        <is>
          <t>Industry</t>
        </is>
      </c>
      <c r="B2" s="15" t="inlineStr">
        <is>
          <t>Cross-cutting</t>
        </is>
      </c>
      <c r="C2" s="35" t="inlineStr">
        <is>
          <t>Report gap</t>
        </is>
      </c>
      <c r="D2" s="15" t="inlineStr">
        <is>
          <t>Partially addressed</t>
        </is>
      </c>
      <c r="E2" s="15" t="inlineStr">
        <is>
          <t>Policy gap</t>
        </is>
      </c>
      <c r="F2" s="15" t="inlineStr">
        <is>
          <t>Circular-economy policy focuses on recycling, not prevention</t>
        </is>
      </c>
      <c r="G2" s="15" t="inlineStr">
        <is>
          <t>industry-ceap-upstream</t>
        </is>
      </c>
    </row>
    <row r="3" ht="16" customHeight="1">
      <c r="A3" s="23" t="inlineStr">
        <is>
          <t>Industry</t>
        </is>
      </c>
      <c r="B3" s="23" t="inlineStr">
        <is>
          <t>Cross-cutting</t>
        </is>
      </c>
      <c r="C3" s="27" t="inlineStr">
        <is>
          <t>Report gap</t>
        </is>
      </c>
      <c r="D3" s="23" t="inlineStr">
        <is>
          <t>Addressed</t>
        </is>
      </c>
      <c r="E3" s="23" t="inlineStr">
        <is>
          <t>Policy gap</t>
        </is>
      </c>
      <c r="F3" s="23" t="inlineStr">
        <is>
          <t>Ecodesign circularity scope remained limited</t>
        </is>
      </c>
      <c r="G3" s="23" t="inlineStr">
        <is>
          <t>industry-ecodesign-scope</t>
        </is>
      </c>
    </row>
    <row r="4" ht="16" customHeight="1">
      <c r="A4" s="15" t="inlineStr">
        <is>
          <t>Industry</t>
        </is>
      </c>
      <c r="B4" s="15" t="inlineStr">
        <is>
          <t>Cross-cutting</t>
        </is>
      </c>
      <c r="C4" s="35" t="inlineStr">
        <is>
          <t>Report gap</t>
        </is>
      </c>
      <c r="D4" s="15" t="inlineStr">
        <is>
          <t>Partially addressed</t>
        </is>
      </c>
      <c r="E4" s="15" t="inlineStr">
        <is>
          <t>Policy gap</t>
        </is>
      </c>
      <c r="F4" s="15" t="inlineStr">
        <is>
          <t>Missing support for early deployment / lead markets</t>
        </is>
      </c>
      <c r="G4" s="15" t="inlineStr">
        <is>
          <t>industry-early-deployment</t>
        </is>
      </c>
    </row>
    <row r="5" ht="16" customHeight="1">
      <c r="A5" s="23" t="inlineStr">
        <is>
          <t>Transport</t>
        </is>
      </c>
      <c r="B5" s="23" t="inlineStr">
        <is>
          <t>Road passenger</t>
        </is>
      </c>
      <c r="C5" s="27" t="inlineStr">
        <is>
          <t>Report gap</t>
        </is>
      </c>
      <c r="D5" s="23" t="inlineStr">
        <is>
          <t>Still open</t>
        </is>
      </c>
      <c r="E5" s="23" t="inlineStr">
        <is>
          <t>Ambition gap</t>
        </is>
      </c>
      <c r="F5" s="23" t="inlineStr">
        <is>
          <t>CO₂ standards do not reward vehicle efficiency</t>
        </is>
      </c>
      <c r="G5" s="23" t="inlineStr">
        <is>
          <t>transport-zev-efficiency</t>
        </is>
      </c>
    </row>
    <row r="6" ht="16" customHeight="1">
      <c r="A6" s="15" t="inlineStr">
        <is>
          <t>Transport</t>
        </is>
      </c>
      <c r="B6" s="15" t="inlineStr">
        <is>
          <t>Road freight</t>
        </is>
      </c>
      <c r="C6" s="35" t="inlineStr">
        <is>
          <t>Report gap</t>
        </is>
      </c>
      <c r="D6" s="15" t="inlineStr">
        <is>
          <t>Partially addressed</t>
        </is>
      </c>
      <c r="E6" s="15" t="inlineStr">
        <is>
          <t>Ambition gap</t>
        </is>
      </c>
      <c r="F6" s="15" t="inlineStr">
        <is>
          <t>Weak framework for rail/intermodal freight shift</t>
        </is>
      </c>
      <c r="G6" s="15" t="inlineStr">
        <is>
          <t>transport-modal-shift-freight</t>
        </is>
      </c>
    </row>
    <row r="7" ht="16" customHeight="1">
      <c r="A7" s="23" t="inlineStr">
        <is>
          <t>Transport</t>
        </is>
      </c>
      <c r="B7" s="23" t="inlineStr">
        <is>
          <t>Road freight</t>
        </is>
      </c>
      <c r="C7" s="27" t="inlineStr">
        <is>
          <t>Report gap</t>
        </is>
      </c>
      <c r="D7" s="23" t="inlineStr">
        <is>
          <t>Still open</t>
        </is>
      </c>
      <c r="E7" s="23" t="inlineStr">
        <is>
          <t>Implementation gap</t>
        </is>
      </c>
      <c r="F7" s="23" t="inlineStr">
        <is>
          <t>Heterogeneous Member-State freight-shift implementation</t>
        </is>
      </c>
      <c r="G7" s="23" t="inlineStr">
        <is>
          <t>transport-modal-shift-implementation</t>
        </is>
      </c>
    </row>
    <row r="8" ht="16" customHeight="1">
      <c r="A8" s="15" t="inlineStr">
        <is>
          <t>Transport</t>
        </is>
      </c>
      <c r="B8" s="15" t="inlineStr">
        <is>
          <t>Aviation</t>
        </is>
      </c>
      <c r="C8" s="35" t="inlineStr">
        <is>
          <t>Report gap</t>
        </is>
      </c>
      <c r="D8" s="15" t="inlineStr">
        <is>
          <t>Still open</t>
        </is>
      </c>
      <c r="E8" s="15" t="inlineStr">
        <is>
          <t>Policy gap</t>
        </is>
      </c>
      <c r="F8" s="15" t="inlineStr">
        <is>
          <t>Extra-EU aviation and maritime largely exempt from ETS</t>
        </is>
      </c>
      <c r="G8" s="15" t="inlineStr">
        <is>
          <t>transport-extra-eu-exemption</t>
        </is>
      </c>
    </row>
    <row r="9" ht="16" customHeight="1">
      <c r="A9" s="23" t="inlineStr">
        <is>
          <t>Transport</t>
        </is>
      </c>
      <c r="B9" s="23" t="inlineStr">
        <is>
          <t>Maritime</t>
        </is>
      </c>
      <c r="C9" s="27" t="inlineStr">
        <is>
          <t>Report gap</t>
        </is>
      </c>
      <c r="D9" s="23" t="inlineStr">
        <is>
          <t>Still open</t>
        </is>
      </c>
      <c r="E9" s="23" t="inlineStr">
        <is>
          <t>Policy gap</t>
        </is>
      </c>
      <c r="F9" s="23" t="inlineStr">
        <is>
          <t>Extra-EU aviation and maritime largely exempt from ETS</t>
        </is>
      </c>
      <c r="G9" s="23" t="inlineStr">
        <is>
          <t>transport-extra-eu-exemption</t>
        </is>
      </c>
    </row>
    <row r="10" ht="16" customHeight="1">
      <c r="A10" s="15" t="inlineStr">
        <is>
          <t>Transport</t>
        </is>
      </c>
      <c r="B10" s="15" t="inlineStr">
        <is>
          <t>Cross-cutting</t>
        </is>
      </c>
      <c r="C10" s="35" t="inlineStr">
        <is>
          <t>Report gap</t>
        </is>
      </c>
      <c r="D10" s="15" t="inlineStr">
        <is>
          <t>Still open</t>
        </is>
      </c>
      <c r="E10" s="15" t="inlineStr">
        <is>
          <t>Policy gap</t>
        </is>
      </c>
      <c r="F10" s="15" t="inlineStr">
        <is>
          <t>Transport demand moderation not an EU policy option</t>
        </is>
      </c>
      <c r="G10" s="15" t="inlineStr">
        <is>
          <t>transport-demand-moderation</t>
        </is>
      </c>
    </row>
    <row r="11" ht="16" customHeight="1">
      <c r="A11" s="23" t="inlineStr">
        <is>
          <t>Transport</t>
        </is>
      </c>
      <c r="B11" s="23" t="inlineStr">
        <is>
          <t>Cross-cutting</t>
        </is>
      </c>
      <c r="C11" s="27" t="inlineStr">
        <is>
          <t>Report gap</t>
        </is>
      </c>
      <c r="D11" s="23" t="inlineStr">
        <is>
          <t>Still open</t>
        </is>
      </c>
      <c r="E11" s="23" t="inlineStr">
        <is>
          <t>Ambition gap</t>
        </is>
      </c>
      <c r="F11" s="23" t="inlineStr">
        <is>
          <t>Policies still promote high-indirect-effect biofuels</t>
        </is>
      </c>
      <c r="G11" s="23" t="inlineStr">
        <is>
          <t>transport-biofuels-indirect</t>
        </is>
      </c>
    </row>
    <row r="12" ht="16" customHeight="1">
      <c r="A12" s="15" t="inlineStr">
        <is>
          <t>Transport</t>
        </is>
      </c>
      <c r="B12" s="15" t="inlineStr">
        <is>
          <t>Cross-cutting</t>
        </is>
      </c>
      <c r="C12" s="35" t="inlineStr">
        <is>
          <t>Report gap</t>
        </is>
      </c>
      <c r="D12" s="15" t="inlineStr">
        <is>
          <t>Partially addressed</t>
        </is>
      </c>
      <c r="E12" s="15" t="inlineStr">
        <is>
          <t>Implementation gap</t>
        </is>
      </c>
      <c r="F12" s="15" t="inlineStr">
        <is>
          <t>Suspected fraud in biofuel sustainability labelling</t>
        </is>
      </c>
      <c r="G12" s="15" t="inlineStr">
        <is>
          <t>transport-biofuel-fraud</t>
        </is>
      </c>
    </row>
    <row r="13" ht="16" customHeight="1">
      <c r="A13" s="23" t="inlineStr">
        <is>
          <t>Industry</t>
        </is>
      </c>
      <c r="B13" s="23" t="inlineStr">
        <is>
          <t>Iron &amp; steel</t>
        </is>
      </c>
      <c r="C13" s="36" t="inlineStr">
        <is>
          <t>Candidate</t>
        </is>
      </c>
      <c r="D13" s="23" t="inlineStr">
        <is>
          <t>Candidate — to test</t>
        </is>
      </c>
      <c r="E13" s="23" t="inlineStr">
        <is>
          <t>Policy gap</t>
        </is>
      </c>
      <c r="F13" s="23" t="inlineStr">
        <is>
          <t>No binding demand signal for near-zero steel</t>
        </is>
      </c>
      <c r="G13" s="23" t="inlineStr">
        <is>
          <t>cand-steel-lead-market</t>
        </is>
      </c>
    </row>
    <row r="14" ht="16" customHeight="1">
      <c r="A14" s="15" t="inlineStr">
        <is>
          <t>Industry</t>
        </is>
      </c>
      <c r="B14" s="15" t="inlineStr">
        <is>
          <t>Cement &amp; lime</t>
        </is>
      </c>
      <c r="C14" s="37" t="inlineStr">
        <is>
          <t>Candidate</t>
        </is>
      </c>
      <c r="D14" s="15" t="inlineStr">
        <is>
          <t>Candidate — to test</t>
        </is>
      </c>
      <c r="E14" s="15" t="inlineStr">
        <is>
          <t>Implementation gap</t>
        </is>
      </c>
      <c r="F14" s="15" t="inlineStr">
        <is>
          <t>CO₂ transport &amp; storage lags cement CCS needs</t>
        </is>
      </c>
      <c r="G14" s="15" t="inlineStr">
        <is>
          <t>cand-cement-co2-storage</t>
        </is>
      </c>
    </row>
    <row r="15" ht="16" customHeight="1">
      <c r="A15" s="23" t="inlineStr">
        <is>
          <t>Industry</t>
        </is>
      </c>
      <c r="B15" s="23" t="inlineStr">
        <is>
          <t>Chemicals &amp; petrochemicals</t>
        </is>
      </c>
      <c r="C15" s="36" t="inlineStr">
        <is>
          <t>Candidate</t>
        </is>
      </c>
      <c r="D15" s="23" t="inlineStr">
        <is>
          <t>Candidate — to test</t>
        </is>
      </c>
      <c r="E15" s="23" t="inlineStr">
        <is>
          <t>Policy gap</t>
        </is>
      </c>
      <c r="F15" s="23" t="inlineStr">
        <is>
          <t>No incentive to decarbonise chemical feedstock (defossilisation)</t>
        </is>
      </c>
      <c r="G15" s="23" t="inlineStr">
        <is>
          <t>cand-chem-feedstock</t>
        </is>
      </c>
    </row>
    <row r="16" ht="16" customHeight="1">
      <c r="A16" s="15" t="inlineStr">
        <is>
          <t>Industry</t>
        </is>
      </c>
      <c r="B16" s="15" t="inlineStr">
        <is>
          <t>Cross-cutting</t>
        </is>
      </c>
      <c r="C16" s="37" t="inlineStr">
        <is>
          <t>Candidate</t>
        </is>
      </c>
      <c r="D16" s="15" t="inlineStr">
        <is>
          <t>Candidate — to test</t>
        </is>
      </c>
      <c r="E16" s="15" t="inlineStr">
        <is>
          <t>Implementation gap</t>
        </is>
      </c>
      <c r="F16" s="15" t="inlineStr">
        <is>
          <t>Grid-connection and price barriers stall industrial electrification</t>
        </is>
      </c>
      <c r="G16" s="15" t="inlineStr">
        <is>
          <t>cand-ind-electrification-enabling</t>
        </is>
      </c>
    </row>
    <row r="17" ht="16" customHeight="1">
      <c r="A17" s="23" t="inlineStr">
        <is>
          <t>Industry</t>
        </is>
      </c>
      <c r="B17" s="23" t="inlineStr">
        <is>
          <t>Cross-cutting</t>
        </is>
      </c>
      <c r="C17" s="36" t="inlineStr">
        <is>
          <t>Candidate</t>
        </is>
      </c>
      <c r="D17" s="23" t="inlineStr">
        <is>
          <t>Candidate — to test</t>
        </is>
      </c>
      <c r="E17" s="23" t="inlineStr">
        <is>
          <t>Policy gap</t>
        </is>
      </c>
      <c r="F17" s="23" t="inlineStr">
        <is>
          <t>Decarbonisation siting ignores water-stress (mitigation–adaptation blind spot)</t>
        </is>
      </c>
      <c r="G17" s="23" t="inlineStr">
        <is>
          <t>cand-ind-water-siting</t>
        </is>
      </c>
    </row>
    <row r="18" ht="16" customHeight="1">
      <c r="A18" s="15" t="inlineStr">
        <is>
          <t>Transport</t>
        </is>
      </c>
      <c r="B18" s="15" t="inlineStr">
        <is>
          <t>Road passenger</t>
        </is>
      </c>
      <c r="C18" s="37" t="inlineStr">
        <is>
          <t>Candidate</t>
        </is>
      </c>
      <c r="D18" s="15" t="inlineStr">
        <is>
          <t>Candidate — to test</t>
        </is>
      </c>
      <c r="E18" s="15" t="inlineStr">
        <is>
          <t>Policy gap</t>
        </is>
      </c>
      <c r="F18" s="15" t="inlineStr">
        <is>
          <t>No EU steer on road pricing &amp; company-car tax to moderate demand</t>
        </is>
      </c>
      <c r="G18" s="15" t="inlineStr">
        <is>
          <t>cand-road-pricing</t>
        </is>
      </c>
    </row>
    <row r="19" ht="16" customHeight="1">
      <c r="A19" s="23" t="inlineStr">
        <is>
          <t>Transport</t>
        </is>
      </c>
      <c r="B19" s="23" t="inlineStr">
        <is>
          <t>Road freight</t>
        </is>
      </c>
      <c r="C19" s="36" t="inlineStr">
        <is>
          <t>Candidate</t>
        </is>
      </c>
      <c r="D19" s="23" t="inlineStr">
        <is>
          <t>Candidate — to test</t>
        </is>
      </c>
      <c r="E19" s="23" t="inlineStr">
        <is>
          <t>Implementation gap</t>
        </is>
      </c>
      <c r="F19" s="23" t="inlineStr">
        <is>
          <t>Heavy-duty charging/refuelling rollout trails the HDV CO₂ targets</t>
        </is>
      </c>
      <c r="G19" s="23" t="inlineStr">
        <is>
          <t>cand-hdv-charging</t>
        </is>
      </c>
    </row>
    <row r="20" ht="16" customHeight="1">
      <c r="A20" s="15" t="inlineStr">
        <is>
          <t>Transport</t>
        </is>
      </c>
      <c r="B20" s="15" t="inlineStr">
        <is>
          <t>Rail</t>
        </is>
      </c>
      <c r="C20" s="37" t="inlineStr">
        <is>
          <t>Candidate</t>
        </is>
      </c>
      <c r="D20" s="15" t="inlineStr">
        <is>
          <t>Candidate — to test</t>
        </is>
      </c>
      <c r="E20" s="15" t="inlineStr">
        <is>
          <t>Policy gap</t>
        </is>
      </c>
      <c r="F20" s="15" t="inlineStr">
        <is>
          <t>Rail electrification not paired with mandatory climate-proofing</t>
        </is>
      </c>
      <c r="G20" s="15" t="inlineStr">
        <is>
          <t>cand-rail-adaptation</t>
        </is>
      </c>
    </row>
    <row r="21" ht="16" customHeight="1">
      <c r="A21" s="23" t="inlineStr">
        <is>
          <t>Transport</t>
        </is>
      </c>
      <c r="B21" s="23" t="inlineStr">
        <is>
          <t>Aviation</t>
        </is>
      </c>
      <c r="C21" s="36" t="inlineStr">
        <is>
          <t>Candidate</t>
        </is>
      </c>
      <c r="D21" s="23" t="inlineStr">
        <is>
          <t>Candidate — to test</t>
        </is>
      </c>
      <c r="E21" s="23" t="inlineStr">
        <is>
          <t>Policy gap</t>
        </is>
      </c>
      <c r="F21" s="23" t="inlineStr">
        <is>
          <t>Non-CO₂ aviation effects still unregulated</t>
        </is>
      </c>
      <c r="G21" s="23" t="inlineStr">
        <is>
          <t>cand-aviation-nonco2</t>
        </is>
      </c>
    </row>
    <row r="22" ht="16" customHeight="1">
      <c r="A22" s="15" t="inlineStr">
        <is>
          <t>Transport</t>
        </is>
      </c>
      <c r="B22" s="15" t="inlineStr">
        <is>
          <t>Maritime</t>
        </is>
      </c>
      <c r="C22" s="37" t="inlineStr">
        <is>
          <t>Candidate</t>
        </is>
      </c>
      <c r="D22" s="15" t="inlineStr">
        <is>
          <t>Candidate — to test</t>
        </is>
      </c>
      <c r="E22" s="15" t="inlineStr">
        <is>
          <t>Implementation gap</t>
        </is>
      </c>
      <c r="F22" s="15" t="inlineStr">
        <is>
          <t>FuelEU Maritime compliance conditions not yet in place</t>
        </is>
      </c>
      <c r="G22" s="15" t="inlineStr">
        <is>
          <t>cand-maritime-fueleu-conditions</t>
        </is>
      </c>
    </row>
    <row r="24">
      <c r="A24" s="32" t="inlineStr">
        <is>
          <t>One row per gap × subsector: a gap flagged as bearing on a second subsector appears twice, so the landscape counts do not leave that subsector empty. Row totals here are therefore larger than the number of distinct gaps.</t>
        </is>
      </c>
    </row>
  </sheetData>
  <autoFilter ref="A1:G22"/>
  <mergeCells count="1">
    <mergeCell ref="A24:G24"/>
  </mergeCells>
  <pageMargins left="0.75" right="0.75" top="1" bottom="1" header="0.5" footer="0.5"/>
</worksheet>
</file>

<file path=xl/worksheets/sheet5.xml><?xml version="1.0" encoding="utf-8"?>
<worksheet xmlns="http://schemas.openxmlformats.org/spreadsheetml/2006/main">
  <sheetPr>
    <tabColor rgb="004D7E83"/>
    <outlinePr summaryBelow="1" summaryRight="1"/>
    <pageSetUpPr/>
  </sheetPr>
  <dimension ref="A1:I25"/>
  <sheetViews>
    <sheetView showGridLines="0" zoomScale="100" workbookViewId="0">
      <selection activeCell="A1" sqref="A1"/>
    </sheetView>
  </sheetViews>
  <sheetFormatPr baseColWidth="8" defaultRowHeight="15"/>
  <cols>
    <col width="34" customWidth="1" min="1" max="1"/>
    <col width="12" customWidth="1" min="2" max="2"/>
    <col width="16" customWidth="1" min="3" max="3"/>
    <col width="12" customWidth="1" min="4" max="4"/>
    <col width="14" customWidth="1" min="5" max="5"/>
    <col width="12" customWidth="1" min="6" max="6"/>
    <col width="3" customWidth="1" min="7" max="7"/>
    <col width="20" customWidth="1" min="8" max="8"/>
    <col width="12" customWidth="1" min="9" max="9"/>
  </cols>
  <sheetData>
    <row r="1" ht="26" customHeight="1">
      <c r="A1" s="1" t="inlineStr">
        <is>
          <t>The gap landscape, subsector by subsector</t>
        </is>
      </c>
    </row>
    <row r="2" ht="30" customHeight="1">
      <c r="A2" s="2" t="inlineStr">
        <is>
          <t>How the transport and industry gaps distribute across the report-aligned subsectors: report gaps by their provisional mid-2026 status, and the candidate gaps proposed on top. Counts are COUNTIFS formulas over the “Landscape data” sheet.</t>
        </is>
      </c>
    </row>
    <row r="4">
      <c r="A4" s="4" t="inlineStr">
        <is>
          <t>Industry</t>
        </is>
      </c>
    </row>
    <row r="5" ht="32" customHeight="1">
      <c r="A5" s="13" t="inlineStr">
        <is>
          <t>Subsector</t>
        </is>
      </c>
      <c r="B5" s="13" t="inlineStr">
        <is>
          <t>Still open</t>
        </is>
      </c>
      <c r="C5" s="13" t="inlineStr">
        <is>
          <t>Partially addressed</t>
        </is>
      </c>
      <c r="D5" s="13" t="inlineStr">
        <is>
          <t>Addressed</t>
        </is>
      </c>
      <c r="E5" s="13" t="inlineStr">
        <is>
          <t>Candidate — to test</t>
        </is>
      </c>
      <c r="F5" s="13" t="inlineStr">
        <is>
          <t>Total</t>
        </is>
      </c>
    </row>
    <row r="6" ht="17" customHeight="1">
      <c r="A6" s="17" t="inlineStr">
        <is>
          <t>Iron &amp; steel</t>
        </is>
      </c>
      <c r="B6" s="38">
        <f>COUNTIFS('Landscape data'!$A$2:$A$200,"Industry",'Landscape data'!$B$2:$B$200,$A6,'Landscape data'!$D$2:$D$200,B$5)</f>
        <v/>
      </c>
      <c r="C6" s="38">
        <f>COUNTIFS('Landscape data'!$A$2:$A$200,"Industry",'Landscape data'!$B$2:$B$200,$A6,'Landscape data'!$D$2:$D$200,C$5)</f>
        <v/>
      </c>
      <c r="D6" s="38">
        <f>COUNTIFS('Landscape data'!$A$2:$A$200,"Industry",'Landscape data'!$B$2:$B$200,$A6,'Landscape data'!$D$2:$D$200,D$5)</f>
        <v/>
      </c>
      <c r="E6" s="38">
        <f>COUNTIFS('Landscape data'!$A$2:$A$200,"Industry",'Landscape data'!$B$2:$B$200,$A6,'Landscape data'!$D$2:$D$200,E$5)</f>
        <v/>
      </c>
      <c r="F6" s="38">
        <f>SUM(B6:E6)</f>
        <v/>
      </c>
    </row>
    <row r="7" ht="17" customHeight="1">
      <c r="A7" s="25" t="inlineStr">
        <is>
          <t>Cement &amp; lime</t>
        </is>
      </c>
      <c r="B7" s="39">
        <f>COUNTIFS('Landscape data'!$A$2:$A$200,"Industry",'Landscape data'!$B$2:$B$200,$A7,'Landscape data'!$D$2:$D$200,B$5)</f>
        <v/>
      </c>
      <c r="C7" s="39">
        <f>COUNTIFS('Landscape data'!$A$2:$A$200,"Industry",'Landscape data'!$B$2:$B$200,$A7,'Landscape data'!$D$2:$D$200,C$5)</f>
        <v/>
      </c>
      <c r="D7" s="39">
        <f>COUNTIFS('Landscape data'!$A$2:$A$200,"Industry",'Landscape data'!$B$2:$B$200,$A7,'Landscape data'!$D$2:$D$200,D$5)</f>
        <v/>
      </c>
      <c r="E7" s="39">
        <f>COUNTIFS('Landscape data'!$A$2:$A$200,"Industry",'Landscape data'!$B$2:$B$200,$A7,'Landscape data'!$D$2:$D$200,E$5)</f>
        <v/>
      </c>
      <c r="F7" s="39">
        <f>SUM(B7:E7)</f>
        <v/>
      </c>
    </row>
    <row r="8" ht="17" customHeight="1">
      <c r="A8" s="17" t="inlineStr">
        <is>
          <t>Chemicals &amp; petrochemicals</t>
        </is>
      </c>
      <c r="B8" s="38">
        <f>COUNTIFS('Landscape data'!$A$2:$A$200,"Industry",'Landscape data'!$B$2:$B$200,$A8,'Landscape data'!$D$2:$D$200,B$5)</f>
        <v/>
      </c>
      <c r="C8" s="38">
        <f>COUNTIFS('Landscape data'!$A$2:$A$200,"Industry",'Landscape data'!$B$2:$B$200,$A8,'Landscape data'!$D$2:$D$200,C$5)</f>
        <v/>
      </c>
      <c r="D8" s="38">
        <f>COUNTIFS('Landscape data'!$A$2:$A$200,"Industry",'Landscape data'!$B$2:$B$200,$A8,'Landscape data'!$D$2:$D$200,D$5)</f>
        <v/>
      </c>
      <c r="E8" s="38">
        <f>COUNTIFS('Landscape data'!$A$2:$A$200,"Industry",'Landscape data'!$B$2:$B$200,$A8,'Landscape data'!$D$2:$D$200,E$5)</f>
        <v/>
      </c>
      <c r="F8" s="38">
        <f>SUM(B8:E8)</f>
        <v/>
      </c>
    </row>
    <row r="9" ht="17" customHeight="1">
      <c r="A9" s="25" t="inlineStr">
        <is>
          <t>Cross-cutting</t>
        </is>
      </c>
      <c r="B9" s="39">
        <f>COUNTIFS('Landscape data'!$A$2:$A$200,"Industry",'Landscape data'!$B$2:$B$200,$A9,'Landscape data'!$D$2:$D$200,B$5)</f>
        <v/>
      </c>
      <c r="C9" s="39">
        <f>COUNTIFS('Landscape data'!$A$2:$A$200,"Industry",'Landscape data'!$B$2:$B$200,$A9,'Landscape data'!$D$2:$D$200,C$5)</f>
        <v/>
      </c>
      <c r="D9" s="39">
        <f>COUNTIFS('Landscape data'!$A$2:$A$200,"Industry",'Landscape data'!$B$2:$B$200,$A9,'Landscape data'!$D$2:$D$200,D$5)</f>
        <v/>
      </c>
      <c r="E9" s="39">
        <f>COUNTIFS('Landscape data'!$A$2:$A$200,"Industry",'Landscape data'!$B$2:$B$200,$A9,'Landscape data'!$D$2:$D$200,E$5)</f>
        <v/>
      </c>
      <c r="F9" s="39">
        <f>SUM(B9:E9)</f>
        <v/>
      </c>
    </row>
    <row r="10" ht="18" customHeight="1">
      <c r="A10" s="40" t="inlineStr">
        <is>
          <t>All industry</t>
        </is>
      </c>
      <c r="B10" s="41">
        <f>SUM(B6:B9)</f>
        <v/>
      </c>
      <c r="C10" s="41">
        <f>SUM(C6:C9)</f>
        <v/>
      </c>
      <c r="D10" s="41">
        <f>SUM(D6:D9)</f>
        <v/>
      </c>
      <c r="E10" s="41">
        <f>SUM(E6:E9)</f>
        <v/>
      </c>
      <c r="F10" s="41">
        <f>SUM(F6:F9)</f>
        <v/>
      </c>
    </row>
    <row r="13">
      <c r="A13" s="4" t="inlineStr">
        <is>
          <t>Transport</t>
        </is>
      </c>
    </row>
    <row r="14" ht="32" customHeight="1">
      <c r="A14" s="13" t="inlineStr">
        <is>
          <t>Subsector</t>
        </is>
      </c>
      <c r="B14" s="13" t="inlineStr">
        <is>
          <t>Still open</t>
        </is>
      </c>
      <c r="C14" s="13" t="inlineStr">
        <is>
          <t>Partially addressed</t>
        </is>
      </c>
      <c r="D14" s="13" t="inlineStr">
        <is>
          <t>Addressed</t>
        </is>
      </c>
      <c r="E14" s="13" t="inlineStr">
        <is>
          <t>Candidate — to test</t>
        </is>
      </c>
      <c r="F14" s="13" t="inlineStr">
        <is>
          <t>Total</t>
        </is>
      </c>
    </row>
    <row r="15" ht="17" customHeight="1">
      <c r="A15" s="17" t="inlineStr">
        <is>
          <t>Road passenger</t>
        </is>
      </c>
      <c r="B15" s="38">
        <f>COUNTIFS('Landscape data'!$A$2:$A$200,"Transport",'Landscape data'!$B$2:$B$200,$A15,'Landscape data'!$D$2:$D$200,B$14)</f>
        <v/>
      </c>
      <c r="C15" s="38">
        <f>COUNTIFS('Landscape data'!$A$2:$A$200,"Transport",'Landscape data'!$B$2:$B$200,$A15,'Landscape data'!$D$2:$D$200,C$14)</f>
        <v/>
      </c>
      <c r="D15" s="38">
        <f>COUNTIFS('Landscape data'!$A$2:$A$200,"Transport",'Landscape data'!$B$2:$B$200,$A15,'Landscape data'!$D$2:$D$200,D$14)</f>
        <v/>
      </c>
      <c r="E15" s="38">
        <f>COUNTIFS('Landscape data'!$A$2:$A$200,"Transport",'Landscape data'!$B$2:$B$200,$A15,'Landscape data'!$D$2:$D$200,E$14)</f>
        <v/>
      </c>
      <c r="F15" s="38">
        <f>SUM(B15:E15)</f>
        <v/>
      </c>
    </row>
    <row r="16" ht="17" customHeight="1">
      <c r="A16" s="25" t="inlineStr">
        <is>
          <t>Road freight</t>
        </is>
      </c>
      <c r="B16" s="39">
        <f>COUNTIFS('Landscape data'!$A$2:$A$200,"Transport",'Landscape data'!$B$2:$B$200,$A16,'Landscape data'!$D$2:$D$200,B$14)</f>
        <v/>
      </c>
      <c r="C16" s="39">
        <f>COUNTIFS('Landscape data'!$A$2:$A$200,"Transport",'Landscape data'!$B$2:$B$200,$A16,'Landscape data'!$D$2:$D$200,C$14)</f>
        <v/>
      </c>
      <c r="D16" s="39">
        <f>COUNTIFS('Landscape data'!$A$2:$A$200,"Transport",'Landscape data'!$B$2:$B$200,$A16,'Landscape data'!$D$2:$D$200,D$14)</f>
        <v/>
      </c>
      <c r="E16" s="39">
        <f>COUNTIFS('Landscape data'!$A$2:$A$200,"Transport",'Landscape data'!$B$2:$B$200,$A16,'Landscape data'!$D$2:$D$200,E$14)</f>
        <v/>
      </c>
      <c r="F16" s="39">
        <f>SUM(B16:E16)</f>
        <v/>
      </c>
    </row>
    <row r="17" ht="17" customHeight="1">
      <c r="A17" s="17" t="inlineStr">
        <is>
          <t>Rail</t>
        </is>
      </c>
      <c r="B17" s="38">
        <f>COUNTIFS('Landscape data'!$A$2:$A$200,"Transport",'Landscape data'!$B$2:$B$200,$A17,'Landscape data'!$D$2:$D$200,B$14)</f>
        <v/>
      </c>
      <c r="C17" s="38">
        <f>COUNTIFS('Landscape data'!$A$2:$A$200,"Transport",'Landscape data'!$B$2:$B$200,$A17,'Landscape data'!$D$2:$D$200,C$14)</f>
        <v/>
      </c>
      <c r="D17" s="38">
        <f>COUNTIFS('Landscape data'!$A$2:$A$200,"Transport",'Landscape data'!$B$2:$B$200,$A17,'Landscape data'!$D$2:$D$200,D$14)</f>
        <v/>
      </c>
      <c r="E17" s="38">
        <f>COUNTIFS('Landscape data'!$A$2:$A$200,"Transport",'Landscape data'!$B$2:$B$200,$A17,'Landscape data'!$D$2:$D$200,E$14)</f>
        <v/>
      </c>
      <c r="F17" s="38">
        <f>SUM(B17:E17)</f>
        <v/>
      </c>
    </row>
    <row r="18" ht="17" customHeight="1">
      <c r="A18" s="25" t="inlineStr">
        <is>
          <t>Aviation</t>
        </is>
      </c>
      <c r="B18" s="39">
        <f>COUNTIFS('Landscape data'!$A$2:$A$200,"Transport",'Landscape data'!$B$2:$B$200,$A18,'Landscape data'!$D$2:$D$200,B$14)</f>
        <v/>
      </c>
      <c r="C18" s="39">
        <f>COUNTIFS('Landscape data'!$A$2:$A$200,"Transport",'Landscape data'!$B$2:$B$200,$A18,'Landscape data'!$D$2:$D$200,C$14)</f>
        <v/>
      </c>
      <c r="D18" s="39">
        <f>COUNTIFS('Landscape data'!$A$2:$A$200,"Transport",'Landscape data'!$B$2:$B$200,$A18,'Landscape data'!$D$2:$D$200,D$14)</f>
        <v/>
      </c>
      <c r="E18" s="39">
        <f>COUNTIFS('Landscape data'!$A$2:$A$200,"Transport",'Landscape data'!$B$2:$B$200,$A18,'Landscape data'!$D$2:$D$200,E$14)</f>
        <v/>
      </c>
      <c r="F18" s="39">
        <f>SUM(B18:E18)</f>
        <v/>
      </c>
    </row>
    <row r="19" ht="17" customHeight="1">
      <c r="A19" s="17" t="inlineStr">
        <is>
          <t>Maritime</t>
        </is>
      </c>
      <c r="B19" s="38">
        <f>COUNTIFS('Landscape data'!$A$2:$A$200,"Transport",'Landscape data'!$B$2:$B$200,$A19,'Landscape data'!$D$2:$D$200,B$14)</f>
        <v/>
      </c>
      <c r="C19" s="38">
        <f>COUNTIFS('Landscape data'!$A$2:$A$200,"Transport",'Landscape data'!$B$2:$B$200,$A19,'Landscape data'!$D$2:$D$200,C$14)</f>
        <v/>
      </c>
      <c r="D19" s="38">
        <f>COUNTIFS('Landscape data'!$A$2:$A$200,"Transport",'Landscape data'!$B$2:$B$200,$A19,'Landscape data'!$D$2:$D$200,D$14)</f>
        <v/>
      </c>
      <c r="E19" s="38">
        <f>COUNTIFS('Landscape data'!$A$2:$A$200,"Transport",'Landscape data'!$B$2:$B$200,$A19,'Landscape data'!$D$2:$D$200,E$14)</f>
        <v/>
      </c>
      <c r="F19" s="38">
        <f>SUM(B19:E19)</f>
        <v/>
      </c>
    </row>
    <row r="20" ht="17" customHeight="1">
      <c r="A20" s="25" t="inlineStr">
        <is>
          <t>Cross-cutting</t>
        </is>
      </c>
      <c r="B20" s="39">
        <f>COUNTIFS('Landscape data'!$A$2:$A$200,"Transport",'Landscape data'!$B$2:$B$200,$A20,'Landscape data'!$D$2:$D$200,B$14)</f>
        <v/>
      </c>
      <c r="C20" s="39">
        <f>COUNTIFS('Landscape data'!$A$2:$A$200,"Transport",'Landscape data'!$B$2:$B$200,$A20,'Landscape data'!$D$2:$D$200,C$14)</f>
        <v/>
      </c>
      <c r="D20" s="39">
        <f>COUNTIFS('Landscape data'!$A$2:$A$200,"Transport",'Landscape data'!$B$2:$B$200,$A20,'Landscape data'!$D$2:$D$200,D$14)</f>
        <v/>
      </c>
      <c r="E20" s="39">
        <f>COUNTIFS('Landscape data'!$A$2:$A$200,"Transport",'Landscape data'!$B$2:$B$200,$A20,'Landscape data'!$D$2:$D$200,E$14)</f>
        <v/>
      </c>
      <c r="F20" s="39">
        <f>SUM(B20:E20)</f>
        <v/>
      </c>
    </row>
    <row r="21" ht="18" customHeight="1">
      <c r="A21" s="40" t="inlineStr">
        <is>
          <t>All transport</t>
        </is>
      </c>
      <c r="B21" s="41">
        <f>SUM(B15:B20)</f>
        <v/>
      </c>
      <c r="C21" s="41">
        <f>SUM(C15:C20)</f>
        <v/>
      </c>
      <c r="D21" s="41">
        <f>SUM(D15:D20)</f>
        <v/>
      </c>
      <c r="E21" s="41">
        <f>SUM(E15:E20)</f>
        <v/>
      </c>
      <c r="F21" s="41">
        <f>SUM(F15:F20)</f>
        <v/>
      </c>
    </row>
    <row r="24">
      <c r="A24" s="32" t="inlineStr">
        <is>
          <t>Notes: a gap that bears on more than one subsector is counted in each — the totals are therefore assignments, not distinct gaps. “Candidate — to test” rows are proposals, not Board findings.</t>
        </is>
      </c>
    </row>
    <row r="25">
      <c r="A25" s="32" t="inlineStr">
        <is>
          <t>Source: ESABCC (2024) “Towards EU climate neutrality: Progress, policy gaps and opportunities”; re-assessment Provisional read, mid-2026.</t>
        </is>
      </c>
    </row>
  </sheetData>
  <mergeCells count="4">
    <mergeCell ref="A1:I1"/>
    <mergeCell ref="A24:F24"/>
    <mergeCell ref="A2:I2"/>
    <mergeCell ref="A25:F25"/>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tabColor rgb="004D7E83"/>
    <outlinePr summaryBelow="1" summaryRight="1"/>
    <pageSetUpPr/>
  </sheetPr>
  <dimension ref="A1:C21"/>
  <sheetViews>
    <sheetView showGridLines="0" zoomScale="100" workbookViewId="0">
      <selection activeCell="A1" sqref="A1"/>
    </sheetView>
  </sheetViews>
  <sheetFormatPr baseColWidth="8" defaultRowHeight="15"/>
  <cols>
    <col width="26" customWidth="1" min="1" max="1"/>
    <col width="76" customWidth="1" min="2" max="2"/>
    <col width="12" customWidth="1" min="3" max="3"/>
  </cols>
  <sheetData>
    <row r="1" ht="26" customHeight="1">
      <c r="A1" s="1" t="inlineStr">
        <is>
          <t>Legend</t>
        </is>
      </c>
    </row>
    <row r="2" ht="30" customHeight="1">
      <c r="A2" s="2" t="inlineStr">
        <is>
          <t>The report's gap classification, the status vocabulary used in the re-assessment, and the subsector taxonomy.</t>
        </is>
      </c>
    </row>
    <row r="4" ht="20" customHeight="1">
      <c r="A4" s="13" t="inlineStr">
        <is>
          <t>Gap type</t>
        </is>
      </c>
      <c r="B4" s="13" t="inlineStr">
        <is>
          <t>What it means (report methodology)</t>
        </is>
      </c>
      <c r="C4" s="13" t="inlineStr">
        <is>
          <t>Colour</t>
        </is>
      </c>
    </row>
    <row r="5" ht="20" customHeight="1">
      <c r="A5" s="16" t="inlineStr">
        <is>
          <t>Policy gap</t>
        </is>
      </c>
      <c r="B5" s="15" t="inlineStr">
        <is>
          <t>No policy in place to address the required change.</t>
        </is>
      </c>
      <c r="C5" s="42" t="inlineStr"/>
    </row>
    <row r="6" ht="20" customHeight="1">
      <c r="A6" s="30" t="inlineStr">
        <is>
          <t>Ambition gap</t>
        </is>
      </c>
      <c r="B6" s="23" t="inlineStr">
        <is>
          <t>Policies exist but are not ambitious enough to deliver the change.</t>
        </is>
      </c>
      <c r="C6" s="43" t="inlineStr"/>
    </row>
    <row r="7" ht="20" customHeight="1">
      <c r="A7" s="34" t="inlineStr">
        <is>
          <t>Implementation gap</t>
        </is>
      </c>
      <c r="B7" s="15" t="inlineStr">
        <is>
          <t>Policies are not implemented adequately.</t>
        </is>
      </c>
      <c r="C7" s="44" t="inlineStr"/>
    </row>
    <row r="8" ht="20" customHeight="1">
      <c r="A8" s="36" t="inlineStr">
        <is>
          <t>Inconsistency</t>
        </is>
      </c>
      <c r="B8" s="23" t="inlineStr">
        <is>
          <t>Policies provide counter-productive incentives.</t>
        </is>
      </c>
      <c r="C8" s="45" t="inlineStr"/>
    </row>
    <row r="11" ht="20" customHeight="1">
      <c r="A11" s="13" t="inlineStr">
        <is>
          <t>Status (mid-2026 re-assessment)</t>
        </is>
      </c>
      <c r="B11" s="13" t="inlineStr">
        <is>
          <t>What it means here</t>
        </is>
      </c>
      <c r="C11" s="13" t="inlineStr">
        <is>
          <t>Colour</t>
        </is>
      </c>
    </row>
    <row r="12" ht="20" customHeight="1">
      <c r="A12" s="16" t="inlineStr">
        <is>
          <t>Still open</t>
        </is>
      </c>
      <c r="B12" s="15" t="inlineStr">
        <is>
          <t>Nothing adopted since the report changes the finding — assessed unchanged.</t>
        </is>
      </c>
      <c r="C12" s="42" t="inlineStr"/>
    </row>
    <row r="13" ht="20" customHeight="1">
      <c r="A13" s="30" t="inlineStr">
        <is>
          <t>Partially addressed</t>
        </is>
      </c>
      <c r="B13" s="23" t="inlineStr">
        <is>
          <t>Legislation since the report narrows the gap but does not close it.</t>
        </is>
      </c>
      <c r="C13" s="43" t="inlineStr"/>
    </row>
    <row r="14" ht="20" customHeight="1">
      <c r="A14" s="35" t="inlineStr">
        <is>
          <t>Addressed</t>
        </is>
      </c>
      <c r="B14" s="15" t="inlineStr">
        <is>
          <t>An adopted instrument closes the gap; any residual risk is named in the note.</t>
        </is>
      </c>
      <c r="C14" s="46" t="inlineStr"/>
    </row>
    <row r="15" ht="20" customHeight="1">
      <c r="A15" s="47" t="inlineStr">
        <is>
          <t>To review</t>
        </is>
      </c>
      <c r="B15" s="23" t="inlineStr">
        <is>
          <t>Not yet re-assessed.</t>
        </is>
      </c>
      <c r="C15" s="48" t="inlineStr"/>
    </row>
    <row r="16" ht="28" customHeight="1">
      <c r="A16" s="37" t="inlineStr">
        <is>
          <t>Candidate — to test</t>
        </is>
      </c>
      <c r="B16" s="15" t="inlineStr">
        <is>
          <t>Proposed additional gap, not tagged in the report. Work the test in the “Candidate gaps” sheet, then accept or reject.</t>
        </is>
      </c>
      <c r="C16" s="45" t="inlineStr"/>
    </row>
    <row r="19" ht="20" customHeight="1">
      <c r="A19" s="13" t="inlineStr">
        <is>
          <t>Sector</t>
        </is>
      </c>
      <c r="B19" s="13" t="inlineStr">
        <is>
          <t>Subsectors (report-aligned taxonomy)</t>
        </is>
      </c>
      <c r="C19" s="13" t="inlineStr"/>
    </row>
    <row r="20" ht="20" customHeight="1">
      <c r="A20" s="35" t="inlineStr">
        <is>
          <t>Industry</t>
        </is>
      </c>
      <c r="B20" s="15" t="inlineStr">
        <is>
          <t>Iron &amp; steel · Cement &amp; lime · Chemicals &amp; petrochemicals · Cross-cutting</t>
        </is>
      </c>
      <c r="C20" s="15" t="inlineStr"/>
    </row>
    <row r="21" ht="20" customHeight="1">
      <c r="A21" s="27" t="inlineStr">
        <is>
          <t>Transport</t>
        </is>
      </c>
      <c r="B21" s="23" t="inlineStr">
        <is>
          <t>Road passenger · Road freight · Rail · Aviation · Maritime · Cross-cutting</t>
        </is>
      </c>
      <c r="C21" s="23" t="inlineStr"/>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ESABCC Method Hub</dc:creator>
  <dc:title>Policy gaps — Transport &amp; Industry (Summer Prep note 3)</dc:title>
  <dc:subject>Summer Prep · Policy Gap 2.0 Report — background document</dc:subject>
  <dcterms:created xsi:type="dcterms:W3CDTF">2026-08-03T12:56:32Z</dcterms:created>
  <dcterms:modified xsi:type="dcterms:W3CDTF">2026-08-03T12:56:32Z</dcterms:modified>
</cp:coreProperties>
</file>